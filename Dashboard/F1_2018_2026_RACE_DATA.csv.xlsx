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99c4e8135c766a7/Documents/"/>
    </mc:Choice>
  </mc:AlternateContent>
  <xr:revisionPtr revIDLastSave="762" documentId="8_{91DAFEF4-C1DF-41CD-AC6F-CFCC1D83E840}" xr6:coauthVersionLast="47" xr6:coauthVersionMax="47" xr10:uidLastSave="{FA0B911B-32B6-4335-A14F-CA8E6A330822}"/>
  <bookViews>
    <workbookView xWindow="-108" yWindow="-108" windowWidth="23256" windowHeight="12456" activeTab="1" xr2:uid="{CC8D166C-886D-47F9-A709-ECCC94F2EDD7}"/>
  </bookViews>
  <sheets>
    <sheet name="F1_2018_2026_RACE_DATA" sheetId="1" r:id="rId1"/>
    <sheet name="Dashboard" sheetId="8" r:id="rId2"/>
    <sheet name="Weather vs Race Performance" sheetId="6" r:id="rId3"/>
    <sheet name="Finish Vs Starting" sheetId="10" r:id="rId4"/>
    <sheet name="Fastest Sector Performance" sheetId="7" r:id="rId5"/>
    <sheet name="Average Lap Time by Driver" sheetId="5" r:id="rId6"/>
    <sheet name="Driver Championship Points" sheetId="2" r:id="rId7"/>
    <sheet name="Constructor Points Comparison" sheetId="3" r:id="rId8"/>
  </sheets>
  <definedNames>
    <definedName name="Slicer_Driver">#N/A</definedName>
    <definedName name="Slicer_Race">#N/A</definedName>
    <definedName name="Slicer_Season">#N/A</definedName>
    <definedName name="Slicer_Team">#N/A</definedName>
    <definedName name="Slicer_Weath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48" i="1" l="1"/>
  <c r="V51" i="8"/>
  <c r="V47" i="8"/>
  <c r="V39" i="8"/>
  <c r="V35" i="8"/>
  <c r="A27" i="8"/>
  <c r="V27" i="8"/>
  <c r="V23" i="8"/>
  <c r="V19" i="8"/>
  <c r="V15" i="8"/>
  <c r="V11" i="8"/>
  <c r="V7" i="8"/>
  <c r="A23" i="8"/>
  <c r="A15" i="8"/>
  <c r="A11" i="8"/>
  <c r="D199" i="6"/>
  <c r="A7" i="8"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V43" i="8"/>
  <c r="A19" i="8"/>
  <c r="V31"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<sst xmlns="http://schemas.openxmlformats.org/spreadsheetml/2006/main" count="28747" uniqueCount="1580">
  <si>
    <t>Season</t>
  </si>
  <si>
    <t>Round</t>
  </si>
  <si>
    <t>Race</t>
  </si>
  <si>
    <t>Driver</t>
  </si>
  <si>
    <t>Abbreviation</t>
  </si>
  <si>
    <t>Team</t>
  </si>
  <si>
    <t>StartPosition</t>
  </si>
  <si>
    <t>FinishPosition</t>
  </si>
  <si>
    <t>RacePoints</t>
  </si>
  <si>
    <t>Podium</t>
  </si>
  <si>
    <t>Status</t>
  </si>
  <si>
    <t>TotalLaps</t>
  </si>
  <si>
    <t>FastestLap</t>
  </si>
  <si>
    <t>AverageLapTime</t>
  </si>
  <si>
    <t>FastestS1</t>
  </si>
  <si>
    <t>FastestS2</t>
  </si>
  <si>
    <t>FastestS3</t>
  </si>
  <si>
    <t>PitStopLaps</t>
  </si>
  <si>
    <t>Weather</t>
  </si>
  <si>
    <t>Australian Grand Prix</t>
  </si>
  <si>
    <t>Sebastian Vettel</t>
  </si>
  <si>
    <t>VET</t>
  </si>
  <si>
    <t>Ferrari</t>
  </si>
  <si>
    <t>Yes</t>
  </si>
  <si>
    <t>Finished</t>
  </si>
  <si>
    <t>Wet</t>
  </si>
  <si>
    <t>Lewis Hamilton</t>
  </si>
  <si>
    <t>HAM</t>
  </si>
  <si>
    <t>Mercedes</t>
  </si>
  <si>
    <t>Kimi RÃ¤ikkÃ¶nen</t>
  </si>
  <si>
    <t>RAI</t>
  </si>
  <si>
    <t>Daniel Ricciardo</t>
  </si>
  <si>
    <t>RIC</t>
  </si>
  <si>
    <t>Red Bull Racing</t>
  </si>
  <si>
    <t>No</t>
  </si>
  <si>
    <t>Fernando Alonso</t>
  </si>
  <si>
    <t>ALO</t>
  </si>
  <si>
    <t>McLaren</t>
  </si>
  <si>
    <t>Max Verstappen</t>
  </si>
  <si>
    <t>VER</t>
  </si>
  <si>
    <t>Nico Hulkenberg</t>
  </si>
  <si>
    <t>HUL</t>
  </si>
  <si>
    <t>Renault</t>
  </si>
  <si>
    <t>Valtteri Bottas</t>
  </si>
  <si>
    <t>BOT</t>
  </si>
  <si>
    <t>Stoffel Vandoorne</t>
  </si>
  <si>
    <t>VAN</t>
  </si>
  <si>
    <t>Carlos Sainz</t>
  </si>
  <si>
    <t>SAI</t>
  </si>
  <si>
    <t>Sergio Perez</t>
  </si>
  <si>
    <t>PER</t>
  </si>
  <si>
    <t>Force India</t>
  </si>
  <si>
    <t>Esteban Ocon</t>
  </si>
  <si>
    <t>OCO</t>
  </si>
  <si>
    <t>Charles Leclerc</t>
  </si>
  <si>
    <t>LEC</t>
  </si>
  <si>
    <t>Sauber</t>
  </si>
  <si>
    <t>20,27</t>
  </si>
  <si>
    <t>Lance Stroll</t>
  </si>
  <si>
    <t>STR</t>
  </si>
  <si>
    <t>Williams</t>
  </si>
  <si>
    <t>25,29</t>
  </si>
  <si>
    <t>Brendon Hartley</t>
  </si>
  <si>
    <t>HAR</t>
  </si>
  <si>
    <t>Toro Rosso</t>
  </si>
  <si>
    <t>+1 Lap</t>
  </si>
  <si>
    <t>1,22</t>
  </si>
  <si>
    <t>Romain Grosjean</t>
  </si>
  <si>
    <t>GRO</t>
  </si>
  <si>
    <t>Haas F1 Team</t>
  </si>
  <si>
    <t>Wheel</t>
  </si>
  <si>
    <t>Kevin Magnussen</t>
  </si>
  <si>
    <t>MAG</t>
  </si>
  <si>
    <t>Pierre Gasly</t>
  </si>
  <si>
    <t>GAS</t>
  </si>
  <si>
    <t>Engine</t>
  </si>
  <si>
    <t>Marcus Ericsson</t>
  </si>
  <si>
    <t>ERI</t>
  </si>
  <si>
    <t>Steering</t>
  </si>
  <si>
    <t>Sergey Sirotkin</t>
  </si>
  <si>
    <t>SIR</t>
  </si>
  <si>
    <t>Brakes</t>
  </si>
  <si>
    <t>Bahrain Grand Prix</t>
  </si>
  <si>
    <t>Dry</t>
  </si>
  <si>
    <t>15,34</t>
  </si>
  <si>
    <t>13,27</t>
  </si>
  <si>
    <t>15,39</t>
  </si>
  <si>
    <t>14,39</t>
  </si>
  <si>
    <t>10,28</t>
  </si>
  <si>
    <t>15,35</t>
  </si>
  <si>
    <t>16,26</t>
  </si>
  <si>
    <t>3,34</t>
  </si>
  <si>
    <t>18,30,45</t>
  </si>
  <si>
    <t>10,29</t>
  </si>
  <si>
    <t>22,40</t>
  </si>
  <si>
    <t>9,32</t>
  </si>
  <si>
    <t>20,42</t>
  </si>
  <si>
    <t>18,34</t>
  </si>
  <si>
    <t>Puncture</t>
  </si>
  <si>
    <t>Electrical</t>
  </si>
  <si>
    <t>Chinese Grand Prix</t>
  </si>
  <si>
    <t>17,31</t>
  </si>
  <si>
    <t>13,31</t>
  </si>
  <si>
    <t>12,31</t>
  </si>
  <si>
    <t>11,31</t>
  </si>
  <si>
    <t>12,32</t>
  </si>
  <si>
    <t>28,33</t>
  </si>
  <si>
    <t>16,46</t>
  </si>
  <si>
    <t>20,31</t>
  </si>
  <si>
    <t>Collision damage</t>
  </si>
  <si>
    <t>10,30,51</t>
  </si>
  <si>
    <t>Azerbaijan Grand Prix</t>
  </si>
  <si>
    <t>1,40</t>
  </si>
  <si>
    <t>2,40</t>
  </si>
  <si>
    <t>30,40</t>
  </si>
  <si>
    <t>15,40</t>
  </si>
  <si>
    <t>24,40</t>
  </si>
  <si>
    <t>23,40</t>
  </si>
  <si>
    <t>17,25,39,46</t>
  </si>
  <si>
    <t>1,22,39</t>
  </si>
  <si>
    <t>1,18,36,39</t>
  </si>
  <si>
    <t>12,39</t>
  </si>
  <si>
    <t>1,39</t>
  </si>
  <si>
    <t>Accident</t>
  </si>
  <si>
    <t>Collision</t>
  </si>
  <si>
    <t>Spanish Grand Prix</t>
  </si>
  <si>
    <t>17,41</t>
  </si>
  <si>
    <t>+2 Laps</t>
  </si>
  <si>
    <t>26,40</t>
  </si>
  <si>
    <t>1,33</t>
  </si>
  <si>
    <t>+3 Laps</t>
  </si>
  <si>
    <t>1,24,41</t>
  </si>
  <si>
    <t>Gearbox</t>
  </si>
  <si>
    <t>34,46</t>
  </si>
  <si>
    <t>Oil leak</t>
  </si>
  <si>
    <t>Turbo</t>
  </si>
  <si>
    <t>Monaco Grand Prix</t>
  </si>
  <si>
    <t>20,72</t>
  </si>
  <si>
    <t>15,68</t>
  </si>
  <si>
    <t>7,19,49</t>
  </si>
  <si>
    <t>9,34,59</t>
  </si>
  <si>
    <t>13,71</t>
  </si>
  <si>
    <t>Canadian Grand Prix</t>
  </si>
  <si>
    <t>9,44</t>
  </si>
  <si>
    <t>1,48</t>
  </si>
  <si>
    <t>Exhaust</t>
  </si>
  <si>
    <t>18,41</t>
  </si>
  <si>
    <t>French Grand Prix</t>
  </si>
  <si>
    <t>1,46,51</t>
  </si>
  <si>
    <t>Austrian Grand Prix</t>
  </si>
  <si>
    <t>24,60</t>
  </si>
  <si>
    <t>15,65</t>
  </si>
  <si>
    <t>1,40,65</t>
  </si>
  <si>
    <t>Fuel pressure</t>
  </si>
  <si>
    <t>25,52</t>
  </si>
  <si>
    <t>Hydraulics</t>
  </si>
  <si>
    <t>15,38</t>
  </si>
  <si>
    <t>British Grand Prix</t>
  </si>
  <si>
    <t>20,33</t>
  </si>
  <si>
    <t>13,33</t>
  </si>
  <si>
    <t>18,30</t>
  </si>
  <si>
    <t>13,32</t>
  </si>
  <si>
    <t>21,33</t>
  </si>
  <si>
    <t>20,32</t>
  </si>
  <si>
    <t>17,33</t>
  </si>
  <si>
    <t>17,32</t>
  </si>
  <si>
    <t>Tyre</t>
  </si>
  <si>
    <t>Power Unit</t>
  </si>
  <si>
    <t>German Grand Prix</t>
  </si>
  <si>
    <t>28,52</t>
  </si>
  <si>
    <t>14,53</t>
  </si>
  <si>
    <t>29,46,48</t>
  </si>
  <si>
    <t>18,51,55</t>
  </si>
  <si>
    <t>21,51,55</t>
  </si>
  <si>
    <t>20,51,55</t>
  </si>
  <si>
    <t>20,50,56</t>
  </si>
  <si>
    <t>29,52</t>
  </si>
  <si>
    <t>43,46</t>
  </si>
  <si>
    <t>20,43,46</t>
  </si>
  <si>
    <t>Retired</t>
  </si>
  <si>
    <t>31,43,47,65</t>
  </si>
  <si>
    <t>27,50,53</t>
  </si>
  <si>
    <t>28,51</t>
  </si>
  <si>
    <t>Hungarian Grand Prix</t>
  </si>
  <si>
    <t>14,38</t>
  </si>
  <si>
    <t>23,50</t>
  </si>
  <si>
    <t>Power loss</t>
  </si>
  <si>
    <t>Suspension</t>
  </si>
  <si>
    <t>Belgian Grand Prix</t>
  </si>
  <si>
    <t>1,21</t>
  </si>
  <si>
    <t>1,26</t>
  </si>
  <si>
    <t>1,2,29</t>
  </si>
  <si>
    <t>Racing Point</t>
  </si>
  <si>
    <t>1,25</t>
  </si>
  <si>
    <t>1,24</t>
  </si>
  <si>
    <t>1,23</t>
  </si>
  <si>
    <t>1,31</t>
  </si>
  <si>
    <t>1,2,28</t>
  </si>
  <si>
    <t>1,28</t>
  </si>
  <si>
    <t>1,7,8</t>
  </si>
  <si>
    <t>Singapore Grand Prix</t>
  </si>
  <si>
    <t>17,33,39</t>
  </si>
  <si>
    <t>14,36</t>
  </si>
  <si>
    <t>26,36,48</t>
  </si>
  <si>
    <t>3,45</t>
  </si>
  <si>
    <t>Russian Grand Prix</t>
  </si>
  <si>
    <t>11,37</t>
  </si>
  <si>
    <t>3,4</t>
  </si>
  <si>
    <t>Japanese Grand Prix</t>
  </si>
  <si>
    <t>4,38</t>
  </si>
  <si>
    <t>Mechanical</t>
  </si>
  <si>
    <t>4,35</t>
  </si>
  <si>
    <t>30,37</t>
  </si>
  <si>
    <t>2,8</t>
  </si>
  <si>
    <t>United States Grand Prix</t>
  </si>
  <si>
    <t>10,40</t>
  </si>
  <si>
    <t>10,36</t>
  </si>
  <si>
    <t>1,5,38</t>
  </si>
  <si>
    <t>Battery</t>
  </si>
  <si>
    <t>1,2</t>
  </si>
  <si>
    <t>Disqualified</t>
  </si>
  <si>
    <t>Mexican Grand Prix</t>
  </si>
  <si>
    <t>13,48</t>
  </si>
  <si>
    <t>17,47</t>
  </si>
  <si>
    <t>11,47</t>
  </si>
  <si>
    <t>11,48,62</t>
  </si>
  <si>
    <t>5,26</t>
  </si>
  <si>
    <t>1,30</t>
  </si>
  <si>
    <t>10,23</t>
  </si>
  <si>
    <t>44,60</t>
  </si>
  <si>
    <t>30,38</t>
  </si>
  <si>
    <t>Brazilian Grand Prix</t>
  </si>
  <si>
    <t>18,59</t>
  </si>
  <si>
    <t>27,53</t>
  </si>
  <si>
    <t>25,48</t>
  </si>
  <si>
    <t>40,57</t>
  </si>
  <si>
    <t>15,54</t>
  </si>
  <si>
    <t>17,65</t>
  </si>
  <si>
    <t>Overheating</t>
  </si>
  <si>
    <t>18,20</t>
  </si>
  <si>
    <t>Abu Dhabi Grand Prix</t>
  </si>
  <si>
    <t>16,40</t>
  </si>
  <si>
    <t>18,45</t>
  </si>
  <si>
    <t>Alfa Romeo Racing</t>
  </si>
  <si>
    <t>Daniil Kvyat</t>
  </si>
  <si>
    <t>KVY</t>
  </si>
  <si>
    <t>Lando Norris</t>
  </si>
  <si>
    <t>NOR</t>
  </si>
  <si>
    <t>Alexander Albon</t>
  </si>
  <si>
    <t>ALB</t>
  </si>
  <si>
    <t>Antonio Giovinazzi</t>
  </si>
  <si>
    <t>GIO</t>
  </si>
  <si>
    <t>George Russell</t>
  </si>
  <si>
    <t>RUS</t>
  </si>
  <si>
    <t>26,42</t>
  </si>
  <si>
    <t>Robert Kubica</t>
  </si>
  <si>
    <t>KUB</t>
  </si>
  <si>
    <t>1,28,44</t>
  </si>
  <si>
    <t>Damage</t>
  </si>
  <si>
    <t>1,29</t>
  </si>
  <si>
    <t>13,34</t>
  </si>
  <si>
    <t>12,37</t>
  </si>
  <si>
    <t>13,36</t>
  </si>
  <si>
    <t>11,32</t>
  </si>
  <si>
    <t>14,35,38</t>
  </si>
  <si>
    <t>10,34</t>
  </si>
  <si>
    <t>9,33</t>
  </si>
  <si>
    <t>9,39</t>
  </si>
  <si>
    <t>9,25</t>
  </si>
  <si>
    <t>8,33</t>
  </si>
  <si>
    <t>12,38</t>
  </si>
  <si>
    <t>10,38</t>
  </si>
  <si>
    <t>12,26</t>
  </si>
  <si>
    <t>11,27</t>
  </si>
  <si>
    <t>Out of fuel</t>
  </si>
  <si>
    <t>4,24,40,53</t>
  </si>
  <si>
    <t>1,16</t>
  </si>
  <si>
    <t>22,36</t>
  </si>
  <si>
    <t>21,36</t>
  </si>
  <si>
    <t>18,35</t>
  </si>
  <si>
    <t>17,34</t>
  </si>
  <si>
    <t>22,42</t>
  </si>
  <si>
    <t>19,39,53</t>
  </si>
  <si>
    <t>8,35</t>
  </si>
  <si>
    <t>20,44</t>
  </si>
  <si>
    <t>1,36</t>
  </si>
  <si>
    <t>7,30</t>
  </si>
  <si>
    <t>22,49</t>
  </si>
  <si>
    <t>1,17,34,50</t>
  </si>
  <si>
    <t>7,25,30,41</t>
  </si>
  <si>
    <t>11,16</t>
  </si>
  <si>
    <t>34,47</t>
  </si>
  <si>
    <t>7,39</t>
  </si>
  <si>
    <t>8,34</t>
  </si>
  <si>
    <t>25,38</t>
  </si>
  <si>
    <t>14,23,42</t>
  </si>
  <si>
    <t>Transmission</t>
  </si>
  <si>
    <t>34,38</t>
  </si>
  <si>
    <t>5,33</t>
  </si>
  <si>
    <t>10,31</t>
  </si>
  <si>
    <t>27,46</t>
  </si>
  <si>
    <t>26,45</t>
  </si>
  <si>
    <t>20,43</t>
  </si>
  <si>
    <t>19,40</t>
  </si>
  <si>
    <t>25,46</t>
  </si>
  <si>
    <t>22,46</t>
  </si>
  <si>
    <t>23,45</t>
  </si>
  <si>
    <t>24,46</t>
  </si>
  <si>
    <t>21,45</t>
  </si>
  <si>
    <t>26,46</t>
  </si>
  <si>
    <t>25,45</t>
  </si>
  <si>
    <t>24,45</t>
  </si>
  <si>
    <t>28,45</t>
  </si>
  <si>
    <t>6,41</t>
  </si>
  <si>
    <t>32,44</t>
  </si>
  <si>
    <t>31,44</t>
  </si>
  <si>
    <t>11,12</t>
  </si>
  <si>
    <t>27,62</t>
  </si>
  <si>
    <t>9,16,17</t>
  </si>
  <si>
    <t>30,67</t>
  </si>
  <si>
    <t>6,58</t>
  </si>
  <si>
    <t>8,38</t>
  </si>
  <si>
    <t>1,60</t>
  </si>
  <si>
    <t>25,51</t>
  </si>
  <si>
    <t>7,34</t>
  </si>
  <si>
    <t>25,33</t>
  </si>
  <si>
    <t>31,45</t>
  </si>
  <si>
    <t>21,50</t>
  </si>
  <si>
    <t>11,13,62</t>
  </si>
  <si>
    <t>16,45</t>
  </si>
  <si>
    <t>13,21</t>
  </si>
  <si>
    <t>13,20</t>
  </si>
  <si>
    <t>12,20</t>
  </si>
  <si>
    <t>12,21</t>
  </si>
  <si>
    <t>13,35</t>
  </si>
  <si>
    <t>13,39</t>
  </si>
  <si>
    <t>20,38</t>
  </si>
  <si>
    <t>18,24,46</t>
  </si>
  <si>
    <t>Spun off</t>
  </si>
  <si>
    <t>1,9</t>
  </si>
  <si>
    <t>1,6</t>
  </si>
  <si>
    <t>3,25,29,41,46</t>
  </si>
  <si>
    <t>2,23,28,41,47</t>
  </si>
  <si>
    <t>3,25,28,45</t>
  </si>
  <si>
    <t>7,25,28,41,44</t>
  </si>
  <si>
    <t>3,27,46</t>
  </si>
  <si>
    <t>2,27,28,46</t>
  </si>
  <si>
    <t>3,26,28,41,46</t>
  </si>
  <si>
    <t>8,21,29,42,45,57</t>
  </si>
  <si>
    <t>3,28,29,47,53,56</t>
  </si>
  <si>
    <t>7,23,31,46,57</t>
  </si>
  <si>
    <t>7,24,41,47,57</t>
  </si>
  <si>
    <t>3,26,28,47</t>
  </si>
  <si>
    <t>3,26,28,46</t>
  </si>
  <si>
    <t>3,26,30,46</t>
  </si>
  <si>
    <t>3,15,29</t>
  </si>
  <si>
    <t>3,15,27</t>
  </si>
  <si>
    <t>6,25</t>
  </si>
  <si>
    <t>31,48</t>
  </si>
  <si>
    <t>25,67</t>
  </si>
  <si>
    <t>5,46</t>
  </si>
  <si>
    <t>16,50</t>
  </si>
  <si>
    <t>Water pressure</t>
  </si>
  <si>
    <t>19,49</t>
  </si>
  <si>
    <t>15,33</t>
  </si>
  <si>
    <t>14,30</t>
  </si>
  <si>
    <t>1,2,31</t>
  </si>
  <si>
    <t>Italian Grand Prix</t>
  </si>
  <si>
    <t>1,27</t>
  </si>
  <si>
    <t>15,22</t>
  </si>
  <si>
    <t>6,12,41</t>
  </si>
  <si>
    <t>19,26</t>
  </si>
  <si>
    <t>7,29</t>
  </si>
  <si>
    <t>29,44</t>
  </si>
  <si>
    <t>20,34,43</t>
  </si>
  <si>
    <t>34,36</t>
  </si>
  <si>
    <t>23,35</t>
  </si>
  <si>
    <t>1,35</t>
  </si>
  <si>
    <t>31,41,44</t>
  </si>
  <si>
    <t>12,36</t>
  </si>
  <si>
    <t>21,44</t>
  </si>
  <si>
    <t>18,56</t>
  </si>
  <si>
    <t>22,30</t>
  </si>
  <si>
    <t>16,29</t>
  </si>
  <si>
    <t>27,29</t>
  </si>
  <si>
    <t>9,27</t>
  </si>
  <si>
    <t>2,27</t>
  </si>
  <si>
    <t>17,36</t>
  </si>
  <si>
    <t>16,31</t>
  </si>
  <si>
    <t>21,42</t>
  </si>
  <si>
    <t>3,25,46</t>
  </si>
  <si>
    <t>19,41</t>
  </si>
  <si>
    <t>4,25</t>
  </si>
  <si>
    <t>15,36</t>
  </si>
  <si>
    <t>18,49</t>
  </si>
  <si>
    <t>22,33</t>
  </si>
  <si>
    <t>15,43</t>
  </si>
  <si>
    <t>14,44</t>
  </si>
  <si>
    <t>9,49</t>
  </si>
  <si>
    <t>10,44</t>
  </si>
  <si>
    <t>21,60</t>
  </si>
  <si>
    <t>15,52,58</t>
  </si>
  <si>
    <t>Withdrew</t>
  </si>
  <si>
    <t>12,48</t>
  </si>
  <si>
    <t>14,35</t>
  </si>
  <si>
    <t>1,20,40</t>
  </si>
  <si>
    <t>19,42</t>
  </si>
  <si>
    <t>27,39</t>
  </si>
  <si>
    <t>18,40</t>
  </si>
  <si>
    <t>21,39</t>
  </si>
  <si>
    <t>9,29</t>
  </si>
  <si>
    <t>17,39</t>
  </si>
  <si>
    <t>19,53,54</t>
  </si>
  <si>
    <t>23,46</t>
  </si>
  <si>
    <t>21,44,54</t>
  </si>
  <si>
    <t>22,47</t>
  </si>
  <si>
    <t>21,47</t>
  </si>
  <si>
    <t>20,46</t>
  </si>
  <si>
    <t>8,40</t>
  </si>
  <si>
    <t>20,43,66</t>
  </si>
  <si>
    <t>17,45</t>
  </si>
  <si>
    <t>23,54,66</t>
  </si>
  <si>
    <t>26,65</t>
  </si>
  <si>
    <t>24,50</t>
  </si>
  <si>
    <t>27,44,53</t>
  </si>
  <si>
    <t>20,36,53,66</t>
  </si>
  <si>
    <t>25,49</t>
  </si>
  <si>
    <t>29,54</t>
  </si>
  <si>
    <t>28,53</t>
  </si>
  <si>
    <t>26,41</t>
  </si>
  <si>
    <t>12,41</t>
  </si>
  <si>
    <t>11,42</t>
  </si>
  <si>
    <t>8,26</t>
  </si>
  <si>
    <t>5,23,45</t>
  </si>
  <si>
    <t>22,52</t>
  </si>
  <si>
    <t>21,46,51</t>
  </si>
  <si>
    <t>21,51</t>
  </si>
  <si>
    <t>21,47,51</t>
  </si>
  <si>
    <t>AlphaTauri</t>
  </si>
  <si>
    <t>20,50,51</t>
  </si>
  <si>
    <t>Nicholas Latifi</t>
  </si>
  <si>
    <t>LAT</t>
  </si>
  <si>
    <t>Electronics</t>
  </si>
  <si>
    <t>19,46</t>
  </si>
  <si>
    <t>15,44</t>
  </si>
  <si>
    <t>Styrian Grand Prix</t>
  </si>
  <si>
    <t>24,68</t>
  </si>
  <si>
    <t>32,66</t>
  </si>
  <si>
    <t>24,49</t>
  </si>
  <si>
    <t>1,4</t>
  </si>
  <si>
    <t>3,37,66</t>
  </si>
  <si>
    <t>4,36</t>
  </si>
  <si>
    <t>2,33,49</t>
  </si>
  <si>
    <t>3,35,52</t>
  </si>
  <si>
    <t>3,29</t>
  </si>
  <si>
    <t>3,35</t>
  </si>
  <si>
    <t>4,43</t>
  </si>
  <si>
    <t>3,40</t>
  </si>
  <si>
    <t>2,20</t>
  </si>
  <si>
    <t>1,18</t>
  </si>
  <si>
    <t>4,31</t>
  </si>
  <si>
    <t>3,33</t>
  </si>
  <si>
    <t>4,20,40</t>
  </si>
  <si>
    <t>4,19,50</t>
  </si>
  <si>
    <t>+5 Laps</t>
  </si>
  <si>
    <t>3,4,31,39,52</t>
  </si>
  <si>
    <t>3,15</t>
  </si>
  <si>
    <t>13,50</t>
  </si>
  <si>
    <t>6,30</t>
  </si>
  <si>
    <t>13,51</t>
  </si>
  <si>
    <t>12,47</t>
  </si>
  <si>
    <t>70th Anniversary Grand Prix</t>
  </si>
  <si>
    <t>26,32</t>
  </si>
  <si>
    <t>14,41</t>
  </si>
  <si>
    <t>18,31</t>
  </si>
  <si>
    <t>15,30,44</t>
  </si>
  <si>
    <t>12,29</t>
  </si>
  <si>
    <t>19,35</t>
  </si>
  <si>
    <t>7,23</t>
  </si>
  <si>
    <t>22,34</t>
  </si>
  <si>
    <t>14,26,35</t>
  </si>
  <si>
    <t>17,38</t>
  </si>
  <si>
    <t>7,33</t>
  </si>
  <si>
    <t>8,24,39</t>
  </si>
  <si>
    <t>9,26,46</t>
  </si>
  <si>
    <t>9,20,43</t>
  </si>
  <si>
    <t>21,41</t>
  </si>
  <si>
    <t>23,48,64</t>
  </si>
  <si>
    <t>27,42</t>
  </si>
  <si>
    <t>22,41</t>
  </si>
  <si>
    <t>28,49</t>
  </si>
  <si>
    <t>32,62</t>
  </si>
  <si>
    <t>29,38</t>
  </si>
  <si>
    <t>10,24</t>
  </si>
  <si>
    <t>10,30</t>
  </si>
  <si>
    <t>10,35</t>
  </si>
  <si>
    <t>Debris</t>
  </si>
  <si>
    <t>22,26</t>
  </si>
  <si>
    <t>20,26,28</t>
  </si>
  <si>
    <t>18,26</t>
  </si>
  <si>
    <t>20,26,30</t>
  </si>
  <si>
    <t>22,26,30</t>
  </si>
  <si>
    <t>17,24</t>
  </si>
  <si>
    <t>Tuscan Grand Prix</t>
  </si>
  <si>
    <t>7,8,32,44,45</t>
  </si>
  <si>
    <t>7,8,31,43,45</t>
  </si>
  <si>
    <t>7,8,32,43,45</t>
  </si>
  <si>
    <t>7,8,27,43,45</t>
  </si>
  <si>
    <t>7,8,28,43,45</t>
  </si>
  <si>
    <t>7,8,29,43,45</t>
  </si>
  <si>
    <t>7,8,21,37,45</t>
  </si>
  <si>
    <t>1,7,8,27,42,44</t>
  </si>
  <si>
    <t>1,7,8,28,43,45</t>
  </si>
  <si>
    <t>7,8,28,42,44</t>
  </si>
  <si>
    <t>7,8,30</t>
  </si>
  <si>
    <t>7,8</t>
  </si>
  <si>
    <t>18,42</t>
  </si>
  <si>
    <t>1,47</t>
  </si>
  <si>
    <t>17,42</t>
  </si>
  <si>
    <t>1,14,50</t>
  </si>
  <si>
    <t>Eifel Grand Prix</t>
  </si>
  <si>
    <t>16,44</t>
  </si>
  <si>
    <t>28,44</t>
  </si>
  <si>
    <t>30,44</t>
  </si>
  <si>
    <t>11,41</t>
  </si>
  <si>
    <t>14,34</t>
  </si>
  <si>
    <t>14,33</t>
  </si>
  <si>
    <t>17,44</t>
  </si>
  <si>
    <t>Radiator</t>
  </si>
  <si>
    <t>13,18</t>
  </si>
  <si>
    <t>Portuguese Grand Prix</t>
  </si>
  <si>
    <t>1,45</t>
  </si>
  <si>
    <t>18,43</t>
  </si>
  <si>
    <t>25,55</t>
  </si>
  <si>
    <t>18,34,51</t>
  </si>
  <si>
    <t>Emilia Romagna Grand Prix</t>
  </si>
  <si>
    <t>30,52</t>
  </si>
  <si>
    <t>19,51</t>
  </si>
  <si>
    <t>14,51</t>
  </si>
  <si>
    <t>27,51</t>
  </si>
  <si>
    <t>17,51</t>
  </si>
  <si>
    <t>13,53</t>
  </si>
  <si>
    <t>39,51</t>
  </si>
  <si>
    <t>1,29,52</t>
  </si>
  <si>
    <t>9,50</t>
  </si>
  <si>
    <t>14,59</t>
  </si>
  <si>
    <t>Illness</t>
  </si>
  <si>
    <t>27,47</t>
  </si>
  <si>
    <t>Turkish Grand Prix</t>
  </si>
  <si>
    <t>10,33</t>
  </si>
  <si>
    <t>11,18,43</t>
  </si>
  <si>
    <t>12,34</t>
  </si>
  <si>
    <t>9,36</t>
  </si>
  <si>
    <t>10,32</t>
  </si>
  <si>
    <t>1,10</t>
  </si>
  <si>
    <t>7,46</t>
  </si>
  <si>
    <t>8,30,50</t>
  </si>
  <si>
    <t>32,42</t>
  </si>
  <si>
    <t>8,34,55</t>
  </si>
  <si>
    <t>8,36,49</t>
  </si>
  <si>
    <t>8,38,39</t>
  </si>
  <si>
    <t>1,19,35</t>
  </si>
  <si>
    <t>1,20,34,46</t>
  </si>
  <si>
    <t>1,19,34</t>
  </si>
  <si>
    <t>1,18,38</t>
  </si>
  <si>
    <t>1,21,39</t>
  </si>
  <si>
    <t>1,16,36</t>
  </si>
  <si>
    <t>1,4,25,38</t>
  </si>
  <si>
    <t>1,17,34</t>
  </si>
  <si>
    <t>1,23,40</t>
  </si>
  <si>
    <t>1,17,33</t>
  </si>
  <si>
    <t>1,20,39</t>
  </si>
  <si>
    <t>1,21,37</t>
  </si>
  <si>
    <t>1,17,40</t>
  </si>
  <si>
    <t>1,20,53</t>
  </si>
  <si>
    <t>1,3,27,53</t>
  </si>
  <si>
    <t>1,20,36</t>
  </si>
  <si>
    <t>Sakhir Grand Prix</t>
  </si>
  <si>
    <t>28,55</t>
  </si>
  <si>
    <t>29,55</t>
  </si>
  <si>
    <t>47,62</t>
  </si>
  <si>
    <t>49,62</t>
  </si>
  <si>
    <t>45,62,63,78</t>
  </si>
  <si>
    <t>20,54</t>
  </si>
  <si>
    <t>31,54,63</t>
  </si>
  <si>
    <t>26,54</t>
  </si>
  <si>
    <t>23,54,62</t>
  </si>
  <si>
    <t>Jack Aitken</t>
  </si>
  <si>
    <t>AIT</t>
  </si>
  <si>
    <t>31,54,59</t>
  </si>
  <si>
    <t>Pietro Fittipaldi</t>
  </si>
  <si>
    <t>FIT</t>
  </si>
  <si>
    <t>31,53,63</t>
  </si>
  <si>
    <t>11,35</t>
  </si>
  <si>
    <t>31,47</t>
  </si>
  <si>
    <t>10,34,48</t>
  </si>
  <si>
    <t>13,28</t>
  </si>
  <si>
    <t>16,30,54</t>
  </si>
  <si>
    <t>12,33</t>
  </si>
  <si>
    <t>2,19,38</t>
  </si>
  <si>
    <t>15,37</t>
  </si>
  <si>
    <t>Yuki Tsunoda</t>
  </si>
  <si>
    <t>TSU</t>
  </si>
  <si>
    <t>Aston Martin</t>
  </si>
  <si>
    <t>12,28</t>
  </si>
  <si>
    <t>13,29</t>
  </si>
  <si>
    <t>12,30</t>
  </si>
  <si>
    <t>Alpine</t>
  </si>
  <si>
    <t>Mick Schumacher</t>
  </si>
  <si>
    <t>MSC</t>
  </si>
  <si>
    <t>4,19,39,52</t>
  </si>
  <si>
    <t>14,32,51</t>
  </si>
  <si>
    <t>11,29,32</t>
  </si>
  <si>
    <t>Nikita Mazepin</t>
  </si>
  <si>
    <t>MAZ</t>
  </si>
  <si>
    <t>27,33</t>
  </si>
  <si>
    <t>28,31,32,33</t>
  </si>
  <si>
    <t>14,26,32,33</t>
  </si>
  <si>
    <t>27,32,33</t>
  </si>
  <si>
    <t>1,27,31,32,33</t>
  </si>
  <si>
    <t>28,32,33</t>
  </si>
  <si>
    <t>25,32,33</t>
  </si>
  <si>
    <t>26,32,33</t>
  </si>
  <si>
    <t>27,32,33,40</t>
  </si>
  <si>
    <t>3,20,22,32,33,61</t>
  </si>
  <si>
    <t>5,21,31,32</t>
  </si>
  <si>
    <t>12,23,31,32</t>
  </si>
  <si>
    <t>2,3,37</t>
  </si>
  <si>
    <t>2,3,35,64</t>
  </si>
  <si>
    <t>2,3,36,63</t>
  </si>
  <si>
    <t>2,3,51</t>
  </si>
  <si>
    <t>2,3,22</t>
  </si>
  <si>
    <t>2,3,25</t>
  </si>
  <si>
    <t>2,3,40</t>
  </si>
  <si>
    <t>2,3,41</t>
  </si>
  <si>
    <t>2,3,24</t>
  </si>
  <si>
    <t>2,3,21</t>
  </si>
  <si>
    <t>2,3,39</t>
  </si>
  <si>
    <t>2,3,28</t>
  </si>
  <si>
    <t>2,3,32</t>
  </si>
  <si>
    <t>2,3,31,43</t>
  </si>
  <si>
    <t>28,42</t>
  </si>
  <si>
    <t>23,53</t>
  </si>
  <si>
    <t>28,58</t>
  </si>
  <si>
    <t>27,57</t>
  </si>
  <si>
    <t>23,51</t>
  </si>
  <si>
    <t>18,47</t>
  </si>
  <si>
    <t>22,39</t>
  </si>
  <si>
    <t>21,38</t>
  </si>
  <si>
    <t>9,28</t>
  </si>
  <si>
    <t>8,39</t>
  </si>
  <si>
    <t>9,27,50</t>
  </si>
  <si>
    <t>21,61</t>
  </si>
  <si>
    <t>29,67</t>
  </si>
  <si>
    <t>Wheel nut</t>
  </si>
  <si>
    <t>Driveshaft</t>
  </si>
  <si>
    <t>13,47,48</t>
  </si>
  <si>
    <t>18,47,48</t>
  </si>
  <si>
    <t>11,47,48</t>
  </si>
  <si>
    <t>9,47,48</t>
  </si>
  <si>
    <t>7,47,48</t>
  </si>
  <si>
    <t>7,34,47,48</t>
  </si>
  <si>
    <t>10,47,48</t>
  </si>
  <si>
    <t>2,34,47,48</t>
  </si>
  <si>
    <t>8,34,44,47,48</t>
  </si>
  <si>
    <t>9,34,44,46,47,48</t>
  </si>
  <si>
    <t>9,48</t>
  </si>
  <si>
    <t>1,34,47,48</t>
  </si>
  <si>
    <t>18,32</t>
  </si>
  <si>
    <t>28,69</t>
  </si>
  <si>
    <t>1,37</t>
  </si>
  <si>
    <t>25,26,36</t>
  </si>
  <si>
    <t>32,60</t>
  </si>
  <si>
    <t>31,53</t>
  </si>
  <si>
    <t>13,45</t>
  </si>
  <si>
    <t>12,51</t>
  </si>
  <si>
    <t>14,46</t>
  </si>
  <si>
    <t>17,49,70</t>
  </si>
  <si>
    <t>27,45</t>
  </si>
  <si>
    <t>2,29</t>
  </si>
  <si>
    <t>2,22</t>
  </si>
  <si>
    <t>2,21</t>
  </si>
  <si>
    <t>2,28</t>
  </si>
  <si>
    <t>2,24</t>
  </si>
  <si>
    <t>2,23</t>
  </si>
  <si>
    <t>2,19</t>
  </si>
  <si>
    <t>2,30</t>
  </si>
  <si>
    <t>2,28,46</t>
  </si>
  <si>
    <t>2,18</t>
  </si>
  <si>
    <t>2,18,38,48</t>
  </si>
  <si>
    <t>2,25</t>
  </si>
  <si>
    <t>2,18,40</t>
  </si>
  <si>
    <t>2,4,19,47</t>
  </si>
  <si>
    <t>2,3,30,68</t>
  </si>
  <si>
    <t>2,3,23</t>
  </si>
  <si>
    <t>1,2,3,20,40</t>
  </si>
  <si>
    <t>2,3,15,53</t>
  </si>
  <si>
    <t>2,3,20</t>
  </si>
  <si>
    <t>2,3,34</t>
  </si>
  <si>
    <t>1,2,3,11,33</t>
  </si>
  <si>
    <t>1,2,3</t>
  </si>
  <si>
    <t>2,3,36</t>
  </si>
  <si>
    <t>Dutch Grand Prix</t>
  </si>
  <si>
    <t>21,40</t>
  </si>
  <si>
    <t>20,39,70</t>
  </si>
  <si>
    <t>31,67</t>
  </si>
  <si>
    <t>8,47</t>
  </si>
  <si>
    <t>27,68,69</t>
  </si>
  <si>
    <t>4,30</t>
  </si>
  <si>
    <t>33,41</t>
  </si>
  <si>
    <t>24,28,39</t>
  </si>
  <si>
    <t>26,49</t>
  </si>
  <si>
    <t>26,48</t>
  </si>
  <si>
    <t>14,48</t>
  </si>
  <si>
    <t>22,48</t>
  </si>
  <si>
    <t>28,47</t>
  </si>
  <si>
    <t>36,50</t>
  </si>
  <si>
    <t>15,47</t>
  </si>
  <si>
    <t>13,47</t>
  </si>
  <si>
    <t>26,50</t>
  </si>
  <si>
    <t>33,50</t>
  </si>
  <si>
    <t>15,50</t>
  </si>
  <si>
    <t>35,51</t>
  </si>
  <si>
    <t>13,47,49</t>
  </si>
  <si>
    <t>36,37</t>
  </si>
  <si>
    <t>13,37</t>
  </si>
  <si>
    <t>11,30</t>
  </si>
  <si>
    <t>11,29</t>
  </si>
  <si>
    <t>9,31</t>
  </si>
  <si>
    <t>5,25</t>
  </si>
  <si>
    <t>11,34</t>
  </si>
  <si>
    <t>1,24,37</t>
  </si>
  <si>
    <t>Rear wing</t>
  </si>
  <si>
    <t>7,28,39,49</t>
  </si>
  <si>
    <t>3,25,40</t>
  </si>
  <si>
    <t>10,14</t>
  </si>
  <si>
    <t>Mexico City Grand Prix</t>
  </si>
  <si>
    <t>1,38</t>
  </si>
  <si>
    <t>1,40,63,67</t>
  </si>
  <si>
    <t>11,49</t>
  </si>
  <si>
    <t>13,58</t>
  </si>
  <si>
    <t>SÃ£o Paulo Grand Prix</t>
  </si>
  <si>
    <t>7,8,26,43</t>
  </si>
  <si>
    <t>7,8,27,40</t>
  </si>
  <si>
    <t>7,8,30,41</t>
  </si>
  <si>
    <t>7,8,28,42,69</t>
  </si>
  <si>
    <t>7,8,27,52</t>
  </si>
  <si>
    <t>7,8,26,53</t>
  </si>
  <si>
    <t>7,8,25,51</t>
  </si>
  <si>
    <t>7,8,34</t>
  </si>
  <si>
    <t>1,6,7,8,37</t>
  </si>
  <si>
    <t>7,8,28,55</t>
  </si>
  <si>
    <t>7,8,28,52</t>
  </si>
  <si>
    <t>6,7,8,41</t>
  </si>
  <si>
    <t>7,8,29,42</t>
  </si>
  <si>
    <t>4,6,7,8,39</t>
  </si>
  <si>
    <t>7,8,13,39</t>
  </si>
  <si>
    <t>7,8,11,29,61</t>
  </si>
  <si>
    <t>7,8,30,49</t>
  </si>
  <si>
    <t>7,8,22,47</t>
  </si>
  <si>
    <t>Qatar Grand Prix</t>
  </si>
  <si>
    <t>17,41,55</t>
  </si>
  <si>
    <t>9,34</t>
  </si>
  <si>
    <t>15,32</t>
  </si>
  <si>
    <t>17,49</t>
  </si>
  <si>
    <t>33,49</t>
  </si>
  <si>
    <t>Saudi Arabian Grand Prix</t>
  </si>
  <si>
    <t>10,13,15</t>
  </si>
  <si>
    <t>13,15</t>
  </si>
  <si>
    <t>9,13,15</t>
  </si>
  <si>
    <t>10,13,15,44</t>
  </si>
  <si>
    <t>13,15,23</t>
  </si>
  <si>
    <t>13,15,26</t>
  </si>
  <si>
    <t>13,15,44</t>
  </si>
  <si>
    <t>10,13</t>
  </si>
  <si>
    <t>9,13</t>
  </si>
  <si>
    <t>13,36,53</t>
  </si>
  <si>
    <t>36,54</t>
  </si>
  <si>
    <t>17,48</t>
  </si>
  <si>
    <t>18,52</t>
  </si>
  <si>
    <t>21,52</t>
  </si>
  <si>
    <t>10,52</t>
  </si>
  <si>
    <t>21,36,53,55</t>
  </si>
  <si>
    <t>21,25</t>
  </si>
  <si>
    <t>15,31,46</t>
  </si>
  <si>
    <t>14,33,44</t>
  </si>
  <si>
    <t>11,27,44</t>
  </si>
  <si>
    <t>15,33,45</t>
  </si>
  <si>
    <t>14,34,46</t>
  </si>
  <si>
    <t>Alfa Romeo</t>
  </si>
  <si>
    <t>14,36,45</t>
  </si>
  <si>
    <t>14,30,43</t>
  </si>
  <si>
    <t>15,29,44</t>
  </si>
  <si>
    <t>11,25,42</t>
  </si>
  <si>
    <t>Guanyu Zhou</t>
  </si>
  <si>
    <t>ZHO</t>
  </si>
  <si>
    <t>15,37,45</t>
  </si>
  <si>
    <t>12,35</t>
  </si>
  <si>
    <t>18,38,45</t>
  </si>
  <si>
    <t>13,35,46</t>
  </si>
  <si>
    <t>17,33,44</t>
  </si>
  <si>
    <t>24,41,45</t>
  </si>
  <si>
    <t>14,32,45</t>
  </si>
  <si>
    <t>19,37,44</t>
  </si>
  <si>
    <t>15,33,43</t>
  </si>
  <si>
    <t>14,30,43,54</t>
  </si>
  <si>
    <t>14,32</t>
  </si>
  <si>
    <t>16,27</t>
  </si>
  <si>
    <t>Cooling system</t>
  </si>
  <si>
    <t>16,35,36</t>
  </si>
  <si>
    <t>Water pump</t>
  </si>
  <si>
    <t>8,36</t>
  </si>
  <si>
    <t>3,4,23</t>
  </si>
  <si>
    <t>13,23</t>
  </si>
  <si>
    <t>39,53</t>
  </si>
  <si>
    <t>Fuel leak</t>
  </si>
  <si>
    <t>18,50</t>
  </si>
  <si>
    <t>19,49,53</t>
  </si>
  <si>
    <t>2,16,30</t>
  </si>
  <si>
    <t>Miami Grand Prix</t>
  </si>
  <si>
    <t>27,41</t>
  </si>
  <si>
    <t>30,41</t>
  </si>
  <si>
    <t>14,54</t>
  </si>
  <si>
    <t>Front wing</t>
  </si>
  <si>
    <t>12,42,57</t>
  </si>
  <si>
    <t>41,54</t>
  </si>
  <si>
    <t>16,40,45</t>
  </si>
  <si>
    <t>Water leak</t>
  </si>
  <si>
    <t>13,28,44</t>
  </si>
  <si>
    <t>17,37,53</t>
  </si>
  <si>
    <t>13,36,51</t>
  </si>
  <si>
    <t>10,31,45</t>
  </si>
  <si>
    <t>1,22,48</t>
  </si>
  <si>
    <t>13,35,52</t>
  </si>
  <si>
    <t>12,33,51</t>
  </si>
  <si>
    <t>10,31,53</t>
  </si>
  <si>
    <t>11,32,52</t>
  </si>
  <si>
    <t>11,31,48</t>
  </si>
  <si>
    <t>10,29,46</t>
  </si>
  <si>
    <t>14,27,46</t>
  </si>
  <si>
    <t>12,26,50</t>
  </si>
  <si>
    <t>11,25,45,54</t>
  </si>
  <si>
    <t>21,27</t>
  </si>
  <si>
    <t>16,22,30</t>
  </si>
  <si>
    <t>21,30</t>
  </si>
  <si>
    <t>18,22,30</t>
  </si>
  <si>
    <t>18,21,30</t>
  </si>
  <si>
    <t>17,22,30,51</t>
  </si>
  <si>
    <t>15,22,30</t>
  </si>
  <si>
    <t>20,30</t>
  </si>
  <si>
    <t>6,23,30</t>
  </si>
  <si>
    <t>2,22,30</t>
  </si>
  <si>
    <t>19,30</t>
  </si>
  <si>
    <t>1,2,24,29</t>
  </si>
  <si>
    <t>1,2,19,29</t>
  </si>
  <si>
    <t>19,29</t>
  </si>
  <si>
    <t>6,21,29,56</t>
  </si>
  <si>
    <t>18,22,29,49</t>
  </si>
  <si>
    <t>4,17</t>
  </si>
  <si>
    <t>18,33</t>
  </si>
  <si>
    <t>16,33</t>
  </si>
  <si>
    <t>9,38</t>
  </si>
  <si>
    <t>9,23</t>
  </si>
  <si>
    <t>3,17</t>
  </si>
  <si>
    <t>Vibrations</t>
  </si>
  <si>
    <t>30,46</t>
  </si>
  <si>
    <t>9,20</t>
  </si>
  <si>
    <t>9,43</t>
  </si>
  <si>
    <t>20,49</t>
  </si>
  <si>
    <t>19,45</t>
  </si>
  <si>
    <t>5,19</t>
  </si>
  <si>
    <t>18,48</t>
  </si>
  <si>
    <t>5,36</t>
  </si>
  <si>
    <t>9,37</t>
  </si>
  <si>
    <t>9,47</t>
  </si>
  <si>
    <t>1,5,39</t>
  </si>
  <si>
    <t>1,33,39</t>
  </si>
  <si>
    <t>1,34,40</t>
  </si>
  <si>
    <t>1,12,23,39</t>
  </si>
  <si>
    <t>1,19,39</t>
  </si>
  <si>
    <t>1,6,39</t>
  </si>
  <si>
    <t>1,15,40</t>
  </si>
  <si>
    <t>1,20,32,38</t>
  </si>
  <si>
    <t>Fuel pump</t>
  </si>
  <si>
    <t>1,16,26</t>
  </si>
  <si>
    <t>1,20</t>
  </si>
  <si>
    <t>26,49,58</t>
  </si>
  <si>
    <t>13,36,58</t>
  </si>
  <si>
    <t>11,40</t>
  </si>
  <si>
    <t>16,43</t>
  </si>
  <si>
    <t>14,43</t>
  </si>
  <si>
    <t>15,41</t>
  </si>
  <si>
    <t>12,44</t>
  </si>
  <si>
    <t>27,57,58</t>
  </si>
  <si>
    <t>6,39</t>
  </si>
  <si>
    <t>29,48</t>
  </si>
  <si>
    <t>12,40</t>
  </si>
  <si>
    <t>27,50</t>
  </si>
  <si>
    <t>Undertray</t>
  </si>
  <si>
    <t>12,35,48</t>
  </si>
  <si>
    <t>18,36</t>
  </si>
  <si>
    <t>9,18</t>
  </si>
  <si>
    <t>+6 Laps</t>
  </si>
  <si>
    <t>9,22</t>
  </si>
  <si>
    <t>19,38,41</t>
  </si>
  <si>
    <t>8,18,38</t>
  </si>
  <si>
    <t>11,18</t>
  </si>
  <si>
    <t>16,38</t>
  </si>
  <si>
    <t>16,39</t>
  </si>
  <si>
    <t>21,39,54</t>
  </si>
  <si>
    <t>14,42</t>
  </si>
  <si>
    <t>15,46</t>
  </si>
  <si>
    <t>6,35,67</t>
  </si>
  <si>
    <t>2,21,40</t>
  </si>
  <si>
    <t>18,39,56</t>
  </si>
  <si>
    <t>13,33,51</t>
  </si>
  <si>
    <t>15,30</t>
  </si>
  <si>
    <t>14,27</t>
  </si>
  <si>
    <t>11,25</t>
  </si>
  <si>
    <t>3,25,42</t>
  </si>
  <si>
    <t>10,22</t>
  </si>
  <si>
    <t>10,26</t>
  </si>
  <si>
    <t>15,26</t>
  </si>
  <si>
    <t>14,28</t>
  </si>
  <si>
    <t>3,15,34</t>
  </si>
  <si>
    <t>18,48,56,57</t>
  </si>
  <si>
    <t>31,48,57</t>
  </si>
  <si>
    <t>17,45,56,57</t>
  </si>
  <si>
    <t>29,48,57</t>
  </si>
  <si>
    <t>14,40,56,57</t>
  </si>
  <si>
    <t>12,47,57</t>
  </si>
  <si>
    <t>17,47,57</t>
  </si>
  <si>
    <t>14,43,57</t>
  </si>
  <si>
    <t>18,56,57</t>
  </si>
  <si>
    <t>16,38,56,57</t>
  </si>
  <si>
    <t>11,32,56,57</t>
  </si>
  <si>
    <t>21,42,55,56</t>
  </si>
  <si>
    <t>13,33,47,56</t>
  </si>
  <si>
    <t>9,35,48,56</t>
  </si>
  <si>
    <t>14,34,47,56</t>
  </si>
  <si>
    <t>12,37,55,56</t>
  </si>
  <si>
    <t>11,27,47,55,56</t>
  </si>
  <si>
    <t>13,26,54,55</t>
  </si>
  <si>
    <t>16,34</t>
  </si>
  <si>
    <t>Differential</t>
  </si>
  <si>
    <t>13,42,43</t>
  </si>
  <si>
    <t>12,33,48</t>
  </si>
  <si>
    <t>23,47</t>
  </si>
  <si>
    <t>30,47</t>
  </si>
  <si>
    <t>7,42</t>
  </si>
  <si>
    <t>35,47</t>
  </si>
  <si>
    <t>Nyck De Vries</t>
  </si>
  <si>
    <t>DEV</t>
  </si>
  <si>
    <t>19,47</t>
  </si>
  <si>
    <t>18,39</t>
  </si>
  <si>
    <t>35,40</t>
  </si>
  <si>
    <t>34,41</t>
  </si>
  <si>
    <t>21,35,41,51</t>
  </si>
  <si>
    <t>2,7</t>
  </si>
  <si>
    <t>2,5</t>
  </si>
  <si>
    <t>2,8,22</t>
  </si>
  <si>
    <t>2,6</t>
  </si>
  <si>
    <t>2,7,19</t>
  </si>
  <si>
    <t>2,7,20</t>
  </si>
  <si>
    <t>2,9,18</t>
  </si>
  <si>
    <t>2,11</t>
  </si>
  <si>
    <t>1,2,7,19</t>
  </si>
  <si>
    <t>13,36,54</t>
  </si>
  <si>
    <t>18,22</t>
  </si>
  <si>
    <t>5,18</t>
  </si>
  <si>
    <t>34,69</t>
  </si>
  <si>
    <t>17,40</t>
  </si>
  <si>
    <t>23,52</t>
  </si>
  <si>
    <t>29,50</t>
  </si>
  <si>
    <t>17,36,53</t>
  </si>
  <si>
    <t>7,21,44</t>
  </si>
  <si>
    <t>14,35,52</t>
  </si>
  <si>
    <t>7,23,48</t>
  </si>
  <si>
    <t>24,47</t>
  </si>
  <si>
    <t>16,37</t>
  </si>
  <si>
    <t>19,35,52</t>
  </si>
  <si>
    <t>4,25,47</t>
  </si>
  <si>
    <t>20,32,52</t>
  </si>
  <si>
    <t>20,40,54</t>
  </si>
  <si>
    <t>15,42</t>
  </si>
  <si>
    <t>13,40</t>
  </si>
  <si>
    <t>18,55</t>
  </si>
  <si>
    <t>15,38,55</t>
  </si>
  <si>
    <t>19,27</t>
  </si>
  <si>
    <t>9,25,40</t>
  </si>
  <si>
    <t>11,26,40</t>
  </si>
  <si>
    <t>10,26,40</t>
  </si>
  <si>
    <t>Logan Sargeant</t>
  </si>
  <si>
    <t>SAR</t>
  </si>
  <si>
    <t>Lapped</t>
  </si>
  <si>
    <t>12,30,40</t>
  </si>
  <si>
    <t>15,29,40</t>
  </si>
  <si>
    <t>12,32,54</t>
  </si>
  <si>
    <t>10,17,27,37,47,54</t>
  </si>
  <si>
    <t>12,15,32,41</t>
  </si>
  <si>
    <t>Oscar Piastri</t>
  </si>
  <si>
    <t>PIA</t>
  </si>
  <si>
    <t>9,17,35</t>
  </si>
  <si>
    <t>17,27</t>
  </si>
  <si>
    <t>8,55,57</t>
  </si>
  <si>
    <t>1,2,8,55,57</t>
  </si>
  <si>
    <t>8,54,55,57</t>
  </si>
  <si>
    <t>1,8,54,55,57</t>
  </si>
  <si>
    <t>1,8,53,54,55,57</t>
  </si>
  <si>
    <t>7,8,55,57</t>
  </si>
  <si>
    <t>8,55</t>
  </si>
  <si>
    <t>1,8,55</t>
  </si>
  <si>
    <t>8,45,54,55</t>
  </si>
  <si>
    <t>1,2,8,36,54,55</t>
  </si>
  <si>
    <t>5,23</t>
  </si>
  <si>
    <t>6,12,34</t>
  </si>
  <si>
    <t>11,36</t>
  </si>
  <si>
    <t>54,55</t>
  </si>
  <si>
    <t>32,54</t>
  </si>
  <si>
    <t>31,54</t>
  </si>
  <si>
    <t>44,55</t>
  </si>
  <si>
    <t>47,54</t>
  </si>
  <si>
    <t>33,55</t>
  </si>
  <si>
    <t>50,54</t>
  </si>
  <si>
    <t>1,52</t>
  </si>
  <si>
    <t>1,34,53,57,70</t>
  </si>
  <si>
    <t>1,54,59</t>
  </si>
  <si>
    <t>20,23,52</t>
  </si>
  <si>
    <t>56,71</t>
  </si>
  <si>
    <t>26,52</t>
  </si>
  <si>
    <t>19,44</t>
  </si>
  <si>
    <t>19,39</t>
  </si>
  <si>
    <t>16,41</t>
  </si>
  <si>
    <t>8,26,43</t>
  </si>
  <si>
    <t>1,22,50</t>
  </si>
  <si>
    <t>10,24,42</t>
  </si>
  <si>
    <t>5,39</t>
  </si>
  <si>
    <t>12,42</t>
  </si>
  <si>
    <t>37,68</t>
  </si>
  <si>
    <t>1,34</t>
  </si>
  <si>
    <t>35,53</t>
  </si>
  <si>
    <t>11,50</t>
  </si>
  <si>
    <t>12,54</t>
  </si>
  <si>
    <t>2,24,49,69</t>
  </si>
  <si>
    <t>2,15,47</t>
  </si>
  <si>
    <t>2,25,50</t>
  </si>
  <si>
    <t>2,14,41</t>
  </si>
  <si>
    <t>2,15,44</t>
  </si>
  <si>
    <t>2,15,45</t>
  </si>
  <si>
    <t>2,14,42</t>
  </si>
  <si>
    <t>2,15,36,54</t>
  </si>
  <si>
    <t>2,14,44</t>
  </si>
  <si>
    <t>2,8,38</t>
  </si>
  <si>
    <t>2,14,43</t>
  </si>
  <si>
    <t>2,14,40</t>
  </si>
  <si>
    <t>2,14,22,41</t>
  </si>
  <si>
    <t>2,12,37</t>
  </si>
  <si>
    <t>1,2,34</t>
  </si>
  <si>
    <t>1,2,23,43</t>
  </si>
  <si>
    <t>7,32</t>
  </si>
  <si>
    <t>24,33,36</t>
  </si>
  <si>
    <t>27,32</t>
  </si>
  <si>
    <t>31,46</t>
  </si>
  <si>
    <t>24,42</t>
  </si>
  <si>
    <t>16,49</t>
  </si>
  <si>
    <t>28,46</t>
  </si>
  <si>
    <t>17,43</t>
  </si>
  <si>
    <t>8,31</t>
  </si>
  <si>
    <t>9,40</t>
  </si>
  <si>
    <t>18,29</t>
  </si>
  <si>
    <t>13,34,67</t>
  </si>
  <si>
    <t>12,27,42</t>
  </si>
  <si>
    <t>5,17</t>
  </si>
  <si>
    <t>9,24</t>
  </si>
  <si>
    <t>6,24</t>
  </si>
  <si>
    <t>7,25</t>
  </si>
  <si>
    <t>7,23,33</t>
  </si>
  <si>
    <t>5,22</t>
  </si>
  <si>
    <t>8,24,34</t>
  </si>
  <si>
    <t>12,24</t>
  </si>
  <si>
    <t>2,11,49,61,63,64</t>
  </si>
  <si>
    <t>2,10,48,61,64</t>
  </si>
  <si>
    <t>1,11,46,60,64</t>
  </si>
  <si>
    <t>1,12,45,60,63,64</t>
  </si>
  <si>
    <t>2,10,41,60,64</t>
  </si>
  <si>
    <t>3,9,45,60,64</t>
  </si>
  <si>
    <t>3,10,42,60,63,64</t>
  </si>
  <si>
    <t>44,61,63,64</t>
  </si>
  <si>
    <t>15,46,60,63,64</t>
  </si>
  <si>
    <t>2,10,43,61,63,64</t>
  </si>
  <si>
    <t>4,9,16,34,60,63,64</t>
  </si>
  <si>
    <t>16,48,60,63,64</t>
  </si>
  <si>
    <t>Liam Lawson</t>
  </si>
  <si>
    <t>LAW</t>
  </si>
  <si>
    <t>1,10,17,46,59,63,64</t>
  </si>
  <si>
    <t>16,47,59,63,64</t>
  </si>
  <si>
    <t>1,10,60,63,64</t>
  </si>
  <si>
    <t>1,9,35,60,63,64</t>
  </si>
  <si>
    <t>4,10,16,60,63,64,67</t>
  </si>
  <si>
    <t>1,10,37,60</t>
  </si>
  <si>
    <t>1,11,41</t>
  </si>
  <si>
    <t>23,41</t>
  </si>
  <si>
    <t>11,33</t>
  </si>
  <si>
    <t>24,39</t>
  </si>
  <si>
    <t>Did not start</t>
  </si>
  <si>
    <t>19,43</t>
  </si>
  <si>
    <t>18,38</t>
  </si>
  <si>
    <t>10,25</t>
  </si>
  <si>
    <t>9,30</t>
  </si>
  <si>
    <t>1,10,29</t>
  </si>
  <si>
    <t>8,21,37</t>
  </si>
  <si>
    <t>1,13,26</t>
  </si>
  <si>
    <t>2,5,21,22</t>
  </si>
  <si>
    <t>14,20</t>
  </si>
  <si>
    <t>2,12,13,14,15</t>
  </si>
  <si>
    <t>1,6,7</t>
  </si>
  <si>
    <t>17,34,51</t>
  </si>
  <si>
    <t>12,25,43</t>
  </si>
  <si>
    <t>13,27,44</t>
  </si>
  <si>
    <t>1,14,32,50</t>
  </si>
  <si>
    <t>11,26,44</t>
  </si>
  <si>
    <t>10,25,43</t>
  </si>
  <si>
    <t>3,21,39</t>
  </si>
  <si>
    <t>18,35,52</t>
  </si>
  <si>
    <t>17,31,43</t>
  </si>
  <si>
    <t>18,31,44</t>
  </si>
  <si>
    <t>9,22,40</t>
  </si>
  <si>
    <t>13,27,39</t>
  </si>
  <si>
    <t>13,26,40</t>
  </si>
  <si>
    <t>16,35</t>
  </si>
  <si>
    <t>17,35</t>
  </si>
  <si>
    <t>17,37</t>
  </si>
  <si>
    <t>18,37</t>
  </si>
  <si>
    <t>20,40</t>
  </si>
  <si>
    <t>17,34,54</t>
  </si>
  <si>
    <t>19,34</t>
  </si>
  <si>
    <t>19,42,49</t>
  </si>
  <si>
    <t>19,33,34</t>
  </si>
  <si>
    <t>24,34</t>
  </si>
  <si>
    <t>31,34</t>
  </si>
  <si>
    <t>30,34</t>
  </si>
  <si>
    <t>11,33,34</t>
  </si>
  <si>
    <t>26,34</t>
  </si>
  <si>
    <t>27,34</t>
  </si>
  <si>
    <t>25,34</t>
  </si>
  <si>
    <t>33,34</t>
  </si>
  <si>
    <t>28,34</t>
  </si>
  <si>
    <t>23,34</t>
  </si>
  <si>
    <t>21,34</t>
  </si>
  <si>
    <t>22,34,71</t>
  </si>
  <si>
    <t>30,34,66</t>
  </si>
  <si>
    <t>29,34,47</t>
  </si>
  <si>
    <t>1,2,27,56</t>
  </si>
  <si>
    <t>1,2,27,59</t>
  </si>
  <si>
    <t>1,2,25,47</t>
  </si>
  <si>
    <t>1,2,20,46</t>
  </si>
  <si>
    <t>1,2,22,52</t>
  </si>
  <si>
    <t>1,2,26,51</t>
  </si>
  <si>
    <t>1,2,26,46</t>
  </si>
  <si>
    <t>1,2,18,46</t>
  </si>
  <si>
    <t>1,2,26,55</t>
  </si>
  <si>
    <t>1,2,14,31,51</t>
  </si>
  <si>
    <t>1,2,17,44</t>
  </si>
  <si>
    <t>1,2,21,46</t>
  </si>
  <si>
    <t>1,2,24,52</t>
  </si>
  <si>
    <t>1,2,19,45,57</t>
  </si>
  <si>
    <t>1,2,18,39</t>
  </si>
  <si>
    <t>1,2,15,22</t>
  </si>
  <si>
    <t>Las Vegas Grand Prix</t>
  </si>
  <si>
    <t>3,26</t>
  </si>
  <si>
    <t>17,26</t>
  </si>
  <si>
    <t>14,26</t>
  </si>
  <si>
    <t>10,21</t>
  </si>
  <si>
    <t>7,31</t>
  </si>
  <si>
    <t>23,56,57</t>
  </si>
  <si>
    <t>Kick Sauber</t>
  </si>
  <si>
    <t>RB</t>
  </si>
  <si>
    <t>1,20,41</t>
  </si>
  <si>
    <t>12,31,43</t>
  </si>
  <si>
    <t>10,28,40</t>
  </si>
  <si>
    <t>Oliver Bearman</t>
  </si>
  <si>
    <t>BEA</t>
  </si>
  <si>
    <t>7,35</t>
  </si>
  <si>
    <t>14,40</t>
  </si>
  <si>
    <t>8,37</t>
  </si>
  <si>
    <t>6,27</t>
  </si>
  <si>
    <t>5,29</t>
  </si>
  <si>
    <t>6,35</t>
  </si>
  <si>
    <t>9,16,42</t>
  </si>
  <si>
    <t>8,45</t>
  </si>
  <si>
    <t>1,16,34</t>
  </si>
  <si>
    <t>1,15,33</t>
  </si>
  <si>
    <t>1,15,36</t>
  </si>
  <si>
    <t>1,11,26</t>
  </si>
  <si>
    <t>1,13,33</t>
  </si>
  <si>
    <t>1,22,37</t>
  </si>
  <si>
    <t>1,12,32</t>
  </si>
  <si>
    <t>1,23,39</t>
  </si>
  <si>
    <t>1,7,22</t>
  </si>
  <si>
    <t>1,5,33</t>
  </si>
  <si>
    <t>1,12,22,34</t>
  </si>
  <si>
    <t>1,6,22</t>
  </si>
  <si>
    <t>1,19,33</t>
  </si>
  <si>
    <t>1,16,32</t>
  </si>
  <si>
    <t>1,22,34,41</t>
  </si>
  <si>
    <t>1,7,11,12</t>
  </si>
  <si>
    <t>11,23</t>
  </si>
  <si>
    <t>11,23,43</t>
  </si>
  <si>
    <t>16,24</t>
  </si>
  <si>
    <t>9,21</t>
  </si>
  <si>
    <t>8,23</t>
  </si>
  <si>
    <t>11,23,38</t>
  </si>
  <si>
    <t>8,23,40</t>
  </si>
  <si>
    <t>9,21,26,35</t>
  </si>
  <si>
    <t>17,28</t>
  </si>
  <si>
    <t>27,40</t>
  </si>
  <si>
    <t>11,28</t>
  </si>
  <si>
    <t>10,53</t>
  </si>
  <si>
    <t>22,28,31</t>
  </si>
  <si>
    <t>8,30</t>
  </si>
  <si>
    <t>7,40,59</t>
  </si>
  <si>
    <t>8,9,23,28,51</t>
  </si>
  <si>
    <t>1,51</t>
  </si>
  <si>
    <t>1,15</t>
  </si>
  <si>
    <t>1,42,48</t>
  </si>
  <si>
    <t>1,57</t>
  </si>
  <si>
    <t>1,70</t>
  </si>
  <si>
    <t>26,47</t>
  </si>
  <si>
    <t>25,45,54</t>
  </si>
  <si>
    <t>25,43,54</t>
  </si>
  <si>
    <t>25,44</t>
  </si>
  <si>
    <t>26,43</t>
  </si>
  <si>
    <t>25,40</t>
  </si>
  <si>
    <t>12,25,44</t>
  </si>
  <si>
    <t>7,25,41,54</t>
  </si>
  <si>
    <t>24,44,52</t>
  </si>
  <si>
    <t>25,43,53</t>
  </si>
  <si>
    <t>25,43,52</t>
  </si>
  <si>
    <t>25,28,31,41</t>
  </si>
  <si>
    <t>21,46</t>
  </si>
  <si>
    <t>13,31,49</t>
  </si>
  <si>
    <t>9,41</t>
  </si>
  <si>
    <t>16,42</t>
  </si>
  <si>
    <t>9,27,44</t>
  </si>
  <si>
    <t>21,53</t>
  </si>
  <si>
    <t>23,51,64</t>
  </si>
  <si>
    <t>11,39</t>
  </si>
  <si>
    <t>10,37</t>
  </si>
  <si>
    <t>1,16,33,51</t>
  </si>
  <si>
    <t>11,35,68</t>
  </si>
  <si>
    <t>1,20,49</t>
  </si>
  <si>
    <t>27,38</t>
  </si>
  <si>
    <t>26,38</t>
  </si>
  <si>
    <t>28,38</t>
  </si>
  <si>
    <t>26,39,50</t>
  </si>
  <si>
    <t>26,39</t>
  </si>
  <si>
    <t>27,37</t>
  </si>
  <si>
    <t>26,37</t>
  </si>
  <si>
    <t>19,27,37</t>
  </si>
  <si>
    <t>19,21,26,38</t>
  </si>
  <si>
    <t>19,28,37,47</t>
  </si>
  <si>
    <t>12,19,26,37</t>
  </si>
  <si>
    <t>21,49</t>
  </si>
  <si>
    <t>33,53</t>
  </si>
  <si>
    <t>14,45</t>
  </si>
  <si>
    <t>7,37</t>
  </si>
  <si>
    <t>7,28</t>
  </si>
  <si>
    <t>6,29</t>
  </si>
  <si>
    <t>6,34</t>
  </si>
  <si>
    <t>8,33,63</t>
  </si>
  <si>
    <t>6,30,64</t>
  </si>
  <si>
    <t>7,36</t>
  </si>
  <si>
    <t>11,26</t>
  </si>
  <si>
    <t>12,25</t>
  </si>
  <si>
    <t>15,29</t>
  </si>
  <si>
    <t>20,28</t>
  </si>
  <si>
    <t>11,21,42</t>
  </si>
  <si>
    <t>8,21</t>
  </si>
  <si>
    <t>8,24</t>
  </si>
  <si>
    <t>7,20</t>
  </si>
  <si>
    <t>25,54</t>
  </si>
  <si>
    <t>23,48</t>
  </si>
  <si>
    <t>18,51</t>
  </si>
  <si>
    <t>Franco Colapinto</t>
  </si>
  <si>
    <t>COL</t>
  </si>
  <si>
    <t>5,32</t>
  </si>
  <si>
    <t>19,36,50</t>
  </si>
  <si>
    <t>12,49</t>
  </si>
  <si>
    <t>1,22,45</t>
  </si>
  <si>
    <t>12,14</t>
  </si>
  <si>
    <t>10,46,58</t>
  </si>
  <si>
    <t>28,49,57</t>
  </si>
  <si>
    <t>11,15</t>
  </si>
  <si>
    <t>31,51</t>
  </si>
  <si>
    <t>31,69</t>
  </si>
  <si>
    <t>39,65</t>
  </si>
  <si>
    <t>20,43,68</t>
  </si>
  <si>
    <t>28,32</t>
  </si>
  <si>
    <t>24,32</t>
  </si>
  <si>
    <t>27,28,31,32</t>
  </si>
  <si>
    <t>26,30</t>
  </si>
  <si>
    <t>25,27,29,30</t>
  </si>
  <si>
    <t>9,30,48</t>
  </si>
  <si>
    <t>4,24</t>
  </si>
  <si>
    <t>11,38</t>
  </si>
  <si>
    <t>11,12,45</t>
  </si>
  <si>
    <t>10,15</t>
  </si>
  <si>
    <t>35,36,37</t>
  </si>
  <si>
    <t>34,36,37</t>
  </si>
  <si>
    <t>23,35,36,37</t>
  </si>
  <si>
    <t>27,36,37</t>
  </si>
  <si>
    <t>35,36,37,45</t>
  </si>
  <si>
    <t>24,35,36</t>
  </si>
  <si>
    <t>34,35,36,47</t>
  </si>
  <si>
    <t>35,36,37,40</t>
  </si>
  <si>
    <t>35,36,37,55</t>
  </si>
  <si>
    <t>1,31,36,37</t>
  </si>
  <si>
    <t>4,32</t>
  </si>
  <si>
    <t>Jack Doohan</t>
  </si>
  <si>
    <t>DOO</t>
  </si>
  <si>
    <t>12,29,30,55</t>
  </si>
  <si>
    <t>23,24,29</t>
  </si>
  <si>
    <t>2,3,4,34,44</t>
  </si>
  <si>
    <t>2,3,4,34,46</t>
  </si>
  <si>
    <t>Andrea Kimi Antonelli</t>
  </si>
  <si>
    <t>ANT</t>
  </si>
  <si>
    <t>2,3,4,33,44</t>
  </si>
  <si>
    <t>2,3,4,34,47</t>
  </si>
  <si>
    <t>2,3,4,33,47</t>
  </si>
  <si>
    <t>2,3,4,33,46</t>
  </si>
  <si>
    <t>Racing Bulls</t>
  </si>
  <si>
    <t>2,3,4,39,46</t>
  </si>
  <si>
    <t>2,3,4,39,44</t>
  </si>
  <si>
    <t>2,3,4,33</t>
  </si>
  <si>
    <t>Gabriel Bortoleto</t>
  </si>
  <si>
    <t>BOR</t>
  </si>
  <si>
    <t>2,3,4</t>
  </si>
  <si>
    <t>Isack Hadjar</t>
  </si>
  <si>
    <t>HAD</t>
  </si>
  <si>
    <t>Kimi Antonelli</t>
  </si>
  <si>
    <t>11,35,46</t>
  </si>
  <si>
    <t>8,27</t>
  </si>
  <si>
    <t>12,27,32</t>
  </si>
  <si>
    <t>16,32</t>
  </si>
  <si>
    <t>6,28</t>
  </si>
  <si>
    <t>14,32,44,45</t>
  </si>
  <si>
    <t>5,27</t>
  </si>
  <si>
    <t>1,32</t>
  </si>
  <si>
    <t>28,36</t>
  </si>
  <si>
    <t>29,46</t>
  </si>
  <si>
    <t>13,30</t>
  </si>
  <si>
    <t>29,47</t>
  </si>
  <si>
    <t>12,46</t>
  </si>
  <si>
    <t>29,31</t>
  </si>
  <si>
    <t>12,29,46</t>
  </si>
  <si>
    <t>19,50</t>
  </si>
  <si>
    <t>20,48</t>
  </si>
  <si>
    <t>28,77</t>
  </si>
  <si>
    <t>14,19</t>
  </si>
  <si>
    <t>16,28</t>
  </si>
  <si>
    <t>31,40</t>
  </si>
  <si>
    <t>32,40</t>
  </si>
  <si>
    <t>48,53</t>
  </si>
  <si>
    <t>53,62,68</t>
  </si>
  <si>
    <t>1,17</t>
  </si>
  <si>
    <t>13,26</t>
  </si>
  <si>
    <t>1,26,35</t>
  </si>
  <si>
    <t>17,64</t>
  </si>
  <si>
    <t>1,73</t>
  </si>
  <si>
    <t>69,71</t>
  </si>
  <si>
    <t>1,8</t>
  </si>
  <si>
    <t>22,49,55</t>
  </si>
  <si>
    <t>21,48,55</t>
  </si>
  <si>
    <t>17,40,55</t>
  </si>
  <si>
    <t>20,41,55</t>
  </si>
  <si>
    <t>9,45,56</t>
  </si>
  <si>
    <t>16,46,55</t>
  </si>
  <si>
    <t>19,48,55</t>
  </si>
  <si>
    <t>10,31,55</t>
  </si>
  <si>
    <t>15,42,54</t>
  </si>
  <si>
    <t>13,29,47,55</t>
  </si>
  <si>
    <t>18,44</t>
  </si>
  <si>
    <t>8,24,44,54</t>
  </si>
  <si>
    <t>9,34,55</t>
  </si>
  <si>
    <t>14,39,54</t>
  </si>
  <si>
    <t>8,35,54</t>
  </si>
  <si>
    <t>6,26,27</t>
  </si>
  <si>
    <t>13,42,67,68,69</t>
  </si>
  <si>
    <t>12,37,67,68,69</t>
  </si>
  <si>
    <t>14,38,67,68,69</t>
  </si>
  <si>
    <t>16,45,67,68,69</t>
  </si>
  <si>
    <t>28,53,67,68,69</t>
  </si>
  <si>
    <t>15,45,67,68,69</t>
  </si>
  <si>
    <t>15,50,66,67,68,69</t>
  </si>
  <si>
    <t>19,66,67,68,69</t>
  </si>
  <si>
    <t>57,66,67,68</t>
  </si>
  <si>
    <t>18,66,67,68</t>
  </si>
  <si>
    <t>56,66,67,68</t>
  </si>
  <si>
    <t>14,66,67,68</t>
  </si>
  <si>
    <t>49,66,67,68</t>
  </si>
  <si>
    <t>53,66,67,68</t>
  </si>
  <si>
    <t>13,66,67,68</t>
  </si>
  <si>
    <t>24,51,66,67,68</t>
  </si>
  <si>
    <t>38,54</t>
  </si>
  <si>
    <t>20,52</t>
  </si>
  <si>
    <t>24,53</t>
  </si>
  <si>
    <t>26,53</t>
  </si>
  <si>
    <t>18,30,60</t>
  </si>
  <si>
    <t>11,44</t>
  </si>
  <si>
    <t>11,43</t>
  </si>
  <si>
    <t>9,42</t>
  </si>
  <si>
    <t>6,10,41</t>
  </si>
  <si>
    <t>10,41</t>
  </si>
  <si>
    <t>10,42</t>
  </si>
  <si>
    <t>2,9,20,23</t>
  </si>
  <si>
    <t>5,41</t>
  </si>
  <si>
    <t>15,51</t>
  </si>
  <si>
    <t>20,37</t>
  </si>
  <si>
    <t>30,48</t>
  </si>
  <si>
    <t>8,52</t>
  </si>
  <si>
    <t>19,53</t>
  </si>
  <si>
    <t>19,53,65</t>
  </si>
  <si>
    <t>23,27,52</t>
  </si>
  <si>
    <t>23,27,51,65</t>
  </si>
  <si>
    <t>22,60</t>
  </si>
  <si>
    <t>23,51,53</t>
  </si>
  <si>
    <t>20,24</t>
  </si>
  <si>
    <t>24,51</t>
  </si>
  <si>
    <t>24,48</t>
  </si>
  <si>
    <t>17,46,56</t>
  </si>
  <si>
    <t>20,34</t>
  </si>
  <si>
    <t>30,50</t>
  </si>
  <si>
    <t>7,34,54</t>
  </si>
  <si>
    <t>34,48</t>
  </si>
  <si>
    <t>38,51</t>
  </si>
  <si>
    <t>35,55</t>
  </si>
  <si>
    <t>29,43</t>
  </si>
  <si>
    <t>2,24,47</t>
  </si>
  <si>
    <t>2,14,32,37</t>
  </si>
  <si>
    <t>13,14,34,35</t>
  </si>
  <si>
    <t>8,9,34</t>
  </si>
  <si>
    <t>7,24,49,55</t>
  </si>
  <si>
    <t>7,32,55</t>
  </si>
  <si>
    <t>7,32,40,41</t>
  </si>
  <si>
    <t>Arvid Lindblad</t>
  </si>
  <si>
    <t>LIN</t>
  </si>
  <si>
    <t>Audi</t>
  </si>
  <si>
    <t>9,46</t>
  </si>
  <si>
    <t>11,33,45</t>
  </si>
  <si>
    <t>Cadillac</t>
  </si>
  <si>
    <t>11,26,34,39</t>
  </si>
  <si>
    <t>11,13,22</t>
  </si>
  <si>
    <t>9,45</t>
  </si>
  <si>
    <t>31,32</t>
  </si>
  <si>
    <t>21,23</t>
  </si>
  <si>
    <t>22,45,46,47,48,49</t>
  </si>
  <si>
    <t>21,24,30</t>
  </si>
  <si>
    <t>21,37</t>
  </si>
  <si>
    <t>6,21,30</t>
  </si>
  <si>
    <t>1,7</t>
  </si>
  <si>
    <t>31,52,62</t>
  </si>
  <si>
    <t>1,12,51</t>
  </si>
  <si>
    <t>16,30</t>
  </si>
  <si>
    <t>14,49</t>
  </si>
  <si>
    <t>3,9,29,49</t>
  </si>
  <si>
    <t>2,15,29,40</t>
  </si>
  <si>
    <t>2,15</t>
  </si>
  <si>
    <t>37,61,66,68</t>
  </si>
  <si>
    <t>28,60,61,66,68</t>
  </si>
  <si>
    <t>32,60,66,68</t>
  </si>
  <si>
    <t>48,59,60,66,68</t>
  </si>
  <si>
    <t>44,60,66,68</t>
  </si>
  <si>
    <t>59,65,67,68</t>
  </si>
  <si>
    <t>45,60,66,68</t>
  </si>
  <si>
    <t>43,59,65,67,68</t>
  </si>
  <si>
    <t>9,59,65,67,68</t>
  </si>
  <si>
    <t>3,58,59,65,67,68</t>
  </si>
  <si>
    <t>1,43,58,59,65,67,68</t>
  </si>
  <si>
    <t>31,60,66,68,72</t>
  </si>
  <si>
    <t>12,58,59,65,67,68</t>
  </si>
  <si>
    <t>35,59,65,67,68</t>
  </si>
  <si>
    <t>4,9,59,65,67,68</t>
  </si>
  <si>
    <t>52,59,65,67,68</t>
  </si>
  <si>
    <t>35,60,61</t>
  </si>
  <si>
    <t>Barcelona Grand Prix</t>
  </si>
  <si>
    <t>11,27,41</t>
  </si>
  <si>
    <t>12,29,40</t>
  </si>
  <si>
    <t>15,32,58</t>
  </si>
  <si>
    <t>22,37</t>
  </si>
  <si>
    <t>15,33,53</t>
  </si>
  <si>
    <t>14,30,55</t>
  </si>
  <si>
    <t>13,34,58</t>
  </si>
  <si>
    <t>12,31,39</t>
  </si>
  <si>
    <t>16,39,62</t>
  </si>
  <si>
    <t>14,37</t>
  </si>
  <si>
    <t>18,39,60</t>
  </si>
  <si>
    <t>13,29,34,50</t>
  </si>
  <si>
    <t>14,15</t>
  </si>
  <si>
    <t>12,25,42</t>
  </si>
  <si>
    <t>13,37,59</t>
  </si>
  <si>
    <t>18,46</t>
  </si>
  <si>
    <t>13,38,51</t>
  </si>
  <si>
    <t>28,38,48</t>
  </si>
  <si>
    <t>19,38,47</t>
  </si>
  <si>
    <t>2,36,47</t>
  </si>
  <si>
    <t>35,41,43</t>
  </si>
  <si>
    <t>1,14,23,35,40,43</t>
  </si>
  <si>
    <t>1,2,20</t>
  </si>
  <si>
    <t>19,31</t>
  </si>
  <si>
    <t>17,25</t>
  </si>
  <si>
    <t>1,12,13</t>
  </si>
  <si>
    <t>17,39,56</t>
  </si>
  <si>
    <t>22,53</t>
  </si>
  <si>
    <t>16,36,56</t>
  </si>
  <si>
    <t>13,30,56</t>
  </si>
  <si>
    <t>27,54</t>
  </si>
  <si>
    <t>16,39,55</t>
  </si>
  <si>
    <t>34,55</t>
  </si>
  <si>
    <t>18,43,54</t>
  </si>
  <si>
    <t>21,46,48</t>
  </si>
  <si>
    <t>2,21,47</t>
  </si>
  <si>
    <t>2,21,40,56</t>
  </si>
  <si>
    <t>2,17,40</t>
  </si>
  <si>
    <t>2,25,55</t>
  </si>
  <si>
    <t>2,21,43,55</t>
  </si>
  <si>
    <t>2,18,44,55</t>
  </si>
  <si>
    <t>2,19,48</t>
  </si>
  <si>
    <t>2,34</t>
  </si>
  <si>
    <t>2,18,46</t>
  </si>
  <si>
    <t>2,18,44</t>
  </si>
  <si>
    <t>2,5,36</t>
  </si>
  <si>
    <t>2,11,34,53</t>
  </si>
  <si>
    <t>2,8,21,45</t>
  </si>
  <si>
    <t>2,29,52</t>
  </si>
  <si>
    <t>2,30,65</t>
  </si>
  <si>
    <t>2,26,49,66</t>
  </si>
  <si>
    <t>2,28,51,61</t>
  </si>
  <si>
    <t>2,16,36</t>
  </si>
  <si>
    <t>2,15,35,45</t>
  </si>
  <si>
    <t>3,28</t>
  </si>
  <si>
    <t>3,27</t>
  </si>
  <si>
    <t>3,12</t>
  </si>
  <si>
    <t>3,46</t>
  </si>
  <si>
    <t>3,23</t>
  </si>
  <si>
    <t>33,43</t>
  </si>
  <si>
    <t>23,31,43</t>
  </si>
  <si>
    <t>14,31</t>
  </si>
  <si>
    <t>Row Labels</t>
  </si>
  <si>
    <t>Grand Total</t>
  </si>
  <si>
    <t>Sum of RacePoints</t>
  </si>
  <si>
    <t>(All)</t>
  </si>
  <si>
    <t>Column Labels</t>
  </si>
  <si>
    <t>(blank)</t>
  </si>
  <si>
    <t>Average of FinishPosition</t>
  </si>
  <si>
    <t>Average of AverageLapTime</t>
  </si>
  <si>
    <t>NoPitStops</t>
  </si>
  <si>
    <t>Average of FastestS1</t>
  </si>
  <si>
    <t>Average of FastestS2</t>
  </si>
  <si>
    <t>Average of FastestS3</t>
  </si>
  <si>
    <t>Grid position</t>
  </si>
  <si>
    <t>Starting Position</t>
  </si>
  <si>
    <t>Finish Position</t>
  </si>
  <si>
    <t>Season | Race | Driver | Team | Weather</t>
  </si>
  <si>
    <t>TOTAL DRIVERS</t>
  </si>
  <si>
    <t>Count of Race</t>
  </si>
  <si>
    <t>TOTAL RACES</t>
  </si>
  <si>
    <t>Count of Driver</t>
  </si>
  <si>
    <t>Count of Team</t>
  </si>
  <si>
    <t>Total Teams</t>
  </si>
  <si>
    <t>TOTAL RACE POINTS</t>
  </si>
  <si>
    <t>TOTAL PODIUMS</t>
  </si>
  <si>
    <t>Fastest Lap Time</t>
  </si>
  <si>
    <t>Driver with Fastest Lap</t>
  </si>
  <si>
    <t>Grand Prix with Fastest Lap</t>
  </si>
  <si>
    <t>Slowest Average Lap Time</t>
  </si>
  <si>
    <t>Driver with Slowest Average Lap</t>
  </si>
  <si>
    <t>Grand Prix with Slowest Average Lap</t>
  </si>
  <si>
    <t>MOST RACE POINT DRIVER</t>
  </si>
  <si>
    <t>F1 RACE ANALYSIS (2018 - 2020)</t>
  </si>
  <si>
    <t>Sum of AverageLapTime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</si>
</sst>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tint="4.9989318521683403E-2"/>
      <name val="Aptos Narrow"/>
      <family val="2"/>
      <scheme val="minor"/>
    </font>
    <font>
      <b/>
      <sz val="20"/>
      <color theme="1" tint="4.9989318521683403E-2"/>
      <name val="Aptos Narrow"/>
      <family val="2"/>
      <scheme val="minor"/>
    </font>
    <font>
      <b/>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CC0000"/>
        <bgColor indexed="64"/>
      </patternFill>
    </fill>
    <fill>
      <patternFill patternType="solid">
        <fgColor theme="2" tint="-0.749992370372631"/>
        <bgColor indexed="64"/>
      </patternFill>
    </fill>
    <fill>
      <patternFill patternType="solid">
        <fgColor theme="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Alignment="1">
      <alignment horizontal="left" indent="1"/>
    </xf>
    <xf numFmtId="0" fontId="20" fillId="35" borderId="0" xfId="0" applyFont="1" applyFill="1" applyAlignment="1">
      <alignment horizontal="center" vertical="center" wrapText="1"/>
    </xf>
    <xf numFmtId="0" fontId="18" fillId="36" borderId="0" xfId="0" applyFont="1" applyFill="1" applyAlignment="1">
      <alignment horizontal="center" vertical="center" wrapText="1"/>
    </xf>
    <xf numFmtId="0" fontId="20" fillId="35" borderId="11" xfId="0" applyFont="1" applyFill="1" applyBorder="1" applyAlignment="1">
      <alignment horizontal="center" vertical="center" wrapText="1"/>
    </xf>
    <xf numFmtId="0" fontId="18" fillId="36" borderId="11" xfId="0"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18" fillId="34" borderId="0" xfId="0" applyFont="1" applyFill="1" applyAlignment="1">
      <alignment horizontal="center" vertical="center" wrapText="1"/>
    </xf>
    <xf numFmtId="0" fontId="19" fillId="36" borderId="0" xfId="0" applyFont="1" applyFill="1" applyAlignment="1">
      <alignment horizontal="center" vertical="center"/>
    </xf>
    <xf numFmtId="0" fontId="19" fillId="36" borderId="12" xfId="0" applyFont="1" applyFill="1" applyBorder="1" applyAlignment="1">
      <alignment horizontal="center" vertical="center"/>
    </xf>
    <xf numFmtId="0" fontId="13" fillId="35" borderId="10" xfId="0"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0000"/>
      <color rgb="FFF15D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[F1_2018_2026_RACE_DATA.csv.xlsx]Average Lap Time by Driver!PivotTable4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Lap Time by Driver'!$B$4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'Average Lap Time by Driver'!$A$5:$A$50</c:f>
              <c:strCache>
                <c:ptCount val="45"/>
                <c:pt idx="0">
                  <c:v>Jack Aitken</c:v>
                </c:pt>
                <c:pt idx="1">
                  <c:v>Pietro Fittipaldi</c:v>
                </c:pt>
                <c:pt idx="2">
                  <c:v>Oscar Piastri</c:v>
                </c:pt>
                <c:pt idx="3">
                  <c:v>Nyck De Vries</c:v>
                </c:pt>
                <c:pt idx="4">
                  <c:v>Kimi Antonelli</c:v>
                </c:pt>
                <c:pt idx="5">
                  <c:v>Lewis Hamilton</c:v>
                </c:pt>
                <c:pt idx="6">
                  <c:v>Gabriel Bortoleto</c:v>
                </c:pt>
                <c:pt idx="7">
                  <c:v>Max Verstappen</c:v>
                </c:pt>
                <c:pt idx="8">
                  <c:v>Isack Hadjar</c:v>
                </c:pt>
                <c:pt idx="9">
                  <c:v>Franco Colapinto</c:v>
                </c:pt>
                <c:pt idx="10">
                  <c:v>Lando Norris</c:v>
                </c:pt>
                <c:pt idx="11">
                  <c:v>Liam Lawson</c:v>
                </c:pt>
                <c:pt idx="12">
                  <c:v>Carlos Sainz</c:v>
                </c:pt>
                <c:pt idx="13">
                  <c:v>Nikita Mazepin</c:v>
                </c:pt>
                <c:pt idx="14">
                  <c:v>George Russell</c:v>
                </c:pt>
                <c:pt idx="15">
                  <c:v>Arvid Lindblad</c:v>
                </c:pt>
                <c:pt idx="16">
                  <c:v>Charles Leclerc</c:v>
                </c:pt>
                <c:pt idx="17">
                  <c:v>Sebastian Vettel</c:v>
                </c:pt>
                <c:pt idx="18">
                  <c:v>Antonio Giovinazzi</c:v>
                </c:pt>
                <c:pt idx="19">
                  <c:v>Sergio Perez</c:v>
                </c:pt>
                <c:pt idx="20">
                  <c:v>Daniil Kvyat</c:v>
                </c:pt>
                <c:pt idx="21">
                  <c:v>Esteban Ocon</c:v>
                </c:pt>
                <c:pt idx="22">
                  <c:v>Kimi RÃ¤ikkÃ¶nen</c:v>
                </c:pt>
                <c:pt idx="23">
                  <c:v>Oliver Bearman</c:v>
                </c:pt>
                <c:pt idx="24">
                  <c:v>Fernando Alonso</c:v>
                </c:pt>
                <c:pt idx="25">
                  <c:v>Valtteri Bottas</c:v>
                </c:pt>
                <c:pt idx="26">
                  <c:v>Yuki Tsunoda</c:v>
                </c:pt>
                <c:pt idx="27">
                  <c:v>Pierre Gasly</c:v>
                </c:pt>
                <c:pt idx="28">
                  <c:v>Alexander Albon</c:v>
                </c:pt>
                <c:pt idx="29">
                  <c:v>Lance Stroll</c:v>
                </c:pt>
                <c:pt idx="30">
                  <c:v>Daniel Ricciardo</c:v>
                </c:pt>
                <c:pt idx="31">
                  <c:v>Nicholas Latifi</c:v>
                </c:pt>
                <c:pt idx="32">
                  <c:v>Nico Hulkenberg</c:v>
                </c:pt>
                <c:pt idx="33">
                  <c:v>Logan Sargeant</c:v>
                </c:pt>
                <c:pt idx="34">
                  <c:v>Romain Grosjean</c:v>
                </c:pt>
                <c:pt idx="35">
                  <c:v>Mick Schumacher</c:v>
                </c:pt>
                <c:pt idx="36">
                  <c:v>Andrea Kimi Antonelli</c:v>
                </c:pt>
                <c:pt idx="37">
                  <c:v>Kevin Magnussen</c:v>
                </c:pt>
                <c:pt idx="38">
                  <c:v>Guanyu Zhou</c:v>
                </c:pt>
                <c:pt idx="39">
                  <c:v>Sergey Sirotkin</c:v>
                </c:pt>
                <c:pt idx="40">
                  <c:v>Stoffel Vandoorne</c:v>
                </c:pt>
                <c:pt idx="41">
                  <c:v>Marcus Ericsson</c:v>
                </c:pt>
                <c:pt idx="42">
                  <c:v>Robert Kubica</c:v>
                </c:pt>
                <c:pt idx="43">
                  <c:v>Brendon Hartley</c:v>
                </c:pt>
                <c:pt idx="44">
                  <c:v>Jack Doohan</c:v>
                </c:pt>
              </c:strCache>
            </c:strRef>
          </c:cat>
          <c:val>
            <c:numRef>
              <c:f>'Average Lap Time by Driver'!$B$5:$B$50</c:f>
              <c:numCache>
                <c:formatCode>General</c:formatCode>
                <c:ptCount val="45"/>
                <c:pt idx="0">
                  <c:v>58.980910000000002</c:v>
                </c:pt>
                <c:pt idx="1">
                  <c:v>82.415328000000002</c:v>
                </c:pt>
                <c:pt idx="2">
                  <c:v>88.577323849999999</c:v>
                </c:pt>
                <c:pt idx="3">
                  <c:v>88.928917727272733</c:v>
                </c:pt>
                <c:pt idx="4">
                  <c:v>89.136842611111135</c:v>
                </c:pt>
                <c:pt idx="5">
                  <c:v>89.174326607734827</c:v>
                </c:pt>
                <c:pt idx="6">
                  <c:v>89.244755529411762</c:v>
                </c:pt>
                <c:pt idx="7">
                  <c:v>89.271892920454562</c:v>
                </c:pt>
                <c:pt idx="8">
                  <c:v>89.325621941176479</c:v>
                </c:pt>
                <c:pt idx="9">
                  <c:v>89.366833871794853</c:v>
                </c:pt>
                <c:pt idx="10">
                  <c:v>89.416974240740785</c:v>
                </c:pt>
                <c:pt idx="11">
                  <c:v>89.59564329166669</c:v>
                </c:pt>
                <c:pt idx="12">
                  <c:v>89.694263578034679</c:v>
                </c:pt>
                <c:pt idx="13">
                  <c:v>89.785251722222199</c:v>
                </c:pt>
                <c:pt idx="14">
                  <c:v>89.821864582822073</c:v>
                </c:pt>
                <c:pt idx="15">
                  <c:v>90.077127307692308</c:v>
                </c:pt>
                <c:pt idx="16">
                  <c:v>90.150052800000054</c:v>
                </c:pt>
                <c:pt idx="17">
                  <c:v>90.159468612244922</c:v>
                </c:pt>
                <c:pt idx="18">
                  <c:v>90.189253775862028</c:v>
                </c:pt>
                <c:pt idx="19">
                  <c:v>90.280069071428599</c:v>
                </c:pt>
                <c:pt idx="20">
                  <c:v>90.294906447368419</c:v>
                </c:pt>
                <c:pt idx="21">
                  <c:v>90.385736174193525</c:v>
                </c:pt>
                <c:pt idx="22">
                  <c:v>90.40765106578948</c:v>
                </c:pt>
                <c:pt idx="23">
                  <c:v>90.443966474999996</c:v>
                </c:pt>
                <c:pt idx="24">
                  <c:v>90.448159289655152</c:v>
                </c:pt>
                <c:pt idx="25">
                  <c:v>90.485221088607602</c:v>
                </c:pt>
                <c:pt idx="26">
                  <c:v>90.509395899082591</c:v>
                </c:pt>
                <c:pt idx="27">
                  <c:v>90.520495672316386</c:v>
                </c:pt>
                <c:pt idx="28">
                  <c:v>90.556931845588267</c:v>
                </c:pt>
                <c:pt idx="29">
                  <c:v>90.691497085227255</c:v>
                </c:pt>
                <c:pt idx="30">
                  <c:v>90.726158237704979</c:v>
                </c:pt>
                <c:pt idx="31">
                  <c:v>90.928409241379299</c:v>
                </c:pt>
                <c:pt idx="32">
                  <c:v>90.944367178861768</c:v>
                </c:pt>
                <c:pt idx="33">
                  <c:v>91.127679027777788</c:v>
                </c:pt>
                <c:pt idx="34">
                  <c:v>91.426328884615387</c:v>
                </c:pt>
                <c:pt idx="35">
                  <c:v>91.54327419512191</c:v>
                </c:pt>
                <c:pt idx="36">
                  <c:v>91.734381999999997</c:v>
                </c:pt>
                <c:pt idx="37">
                  <c:v>91.755425457627112</c:v>
                </c:pt>
                <c:pt idx="38">
                  <c:v>91.786302388059696</c:v>
                </c:pt>
                <c:pt idx="39">
                  <c:v>92.367388999999989</c:v>
                </c:pt>
                <c:pt idx="40">
                  <c:v>92.702863300000004</c:v>
                </c:pt>
                <c:pt idx="41">
                  <c:v>92.935482400000012</c:v>
                </c:pt>
                <c:pt idx="42">
                  <c:v>92.997250478260852</c:v>
                </c:pt>
                <c:pt idx="43">
                  <c:v>93.789967277777777</c:v>
                </c:pt>
                <c:pt idx="44">
                  <c:v>95.310696000000007</c:v>
                </c:pt>
              </c:numCache>
            </c:numRef>
          </c:val>
          <c:extLst>
            <c:ext xmlns:c16="http://schemas.microsoft.com/office/drawing/2014/chart" uri="{C3380CC4-5D6E-409C-BE32-E72D297353CC}">
              <c16:uniqueId val="{00000000-22C4-4B47-B198-825A11D864FB}"/>
            </c:ext>
          </c:extLst>
        </c:ser>
        <c:dLbls>
          <c:showLegendKey val="0"/>
          <c:showVal val="0"/>
          <c:showCatName val="0"/>
          <c:showSerName val="0"/>
          <c:showPercent val="0"/>
          <c:showBubbleSize val="0"/>
        </c:dLbls>
        <c:gapWidth val="100"/>
        <c:axId val="1595720912"/>
        <c:axId val="1497856336"/>
      </c:barChart>
      <c:catAx>
        <c:axId val="15957209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7856336"/>
        <c:crosses val="autoZero"/>
        <c:auto val="1"/>
        <c:lblAlgn val="ctr"/>
        <c:lblOffset val="100"/>
        <c:noMultiLvlLbl val="0"/>
      </c:catAx>
      <c:valAx>
        <c:axId val="14978563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57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[F1_2018_2026_RACE_DATA.csv.xlsx]Fastest Sector Performance!PivotTable6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'Fastest Sector Performance'!$B$3</c:f>
              <c:strCache>
                <c:ptCount val="1"/>
                <c:pt idx="0">
                  <c:v>Average of FastestS1</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'Fastest Sector Performance'!$A$4:$A$49</c:f>
              <c:strCache>
                <c:ptCount val="45"/>
                <c:pt idx="0">
                  <c:v>Pietro Fittipaldi</c:v>
                </c:pt>
                <c:pt idx="1">
                  <c:v>Jack Aitken</c:v>
                </c:pt>
                <c:pt idx="2">
                  <c:v>Sergey Sirotkin</c:v>
                </c:pt>
                <c:pt idx="3">
                  <c:v>Kimi RÃ¤ikkÃ¶nen</c:v>
                </c:pt>
                <c:pt idx="4">
                  <c:v>Daniil Kvyat</c:v>
                </c:pt>
                <c:pt idx="5">
                  <c:v>Franco Colapinto</c:v>
                </c:pt>
                <c:pt idx="6">
                  <c:v>Stoffel Vandoorne</c:v>
                </c:pt>
                <c:pt idx="7">
                  <c:v>Sebastian Vettel</c:v>
                </c:pt>
                <c:pt idx="8">
                  <c:v>Lewis Hamilton</c:v>
                </c:pt>
                <c:pt idx="9">
                  <c:v>Marcus Ericsson</c:v>
                </c:pt>
                <c:pt idx="10">
                  <c:v>Antonio Giovinazzi</c:v>
                </c:pt>
                <c:pt idx="11">
                  <c:v>Carlos Sainz</c:v>
                </c:pt>
                <c:pt idx="12">
                  <c:v>Brendon Hartley</c:v>
                </c:pt>
                <c:pt idx="13">
                  <c:v>Max Verstappen</c:v>
                </c:pt>
                <c:pt idx="14">
                  <c:v>Romain Grosjean</c:v>
                </c:pt>
                <c:pt idx="15">
                  <c:v>Lando Norris</c:v>
                </c:pt>
                <c:pt idx="16">
                  <c:v>Oscar Piastri</c:v>
                </c:pt>
                <c:pt idx="17">
                  <c:v>Robert Kubica</c:v>
                </c:pt>
                <c:pt idx="18">
                  <c:v>Daniel Ricciardo</c:v>
                </c:pt>
                <c:pt idx="19">
                  <c:v>Valtteri Bottas</c:v>
                </c:pt>
                <c:pt idx="20">
                  <c:v>George Russell</c:v>
                </c:pt>
                <c:pt idx="21">
                  <c:v>Pierre Gasly</c:v>
                </c:pt>
                <c:pt idx="22">
                  <c:v>Isack Hadjar</c:v>
                </c:pt>
                <c:pt idx="23">
                  <c:v>Charles Leclerc</c:v>
                </c:pt>
                <c:pt idx="24">
                  <c:v>Sergio Perez</c:v>
                </c:pt>
                <c:pt idx="25">
                  <c:v>Kimi Antonelli</c:v>
                </c:pt>
                <c:pt idx="26">
                  <c:v>Lance Stroll</c:v>
                </c:pt>
                <c:pt idx="27">
                  <c:v>Alexander Albon</c:v>
                </c:pt>
                <c:pt idx="28">
                  <c:v>Mick Schumacher</c:v>
                </c:pt>
                <c:pt idx="29">
                  <c:v>Fernando Alonso</c:v>
                </c:pt>
                <c:pt idx="30">
                  <c:v>Yuki Tsunoda</c:v>
                </c:pt>
                <c:pt idx="31">
                  <c:v>Esteban Ocon</c:v>
                </c:pt>
                <c:pt idx="32">
                  <c:v>Liam Lawson</c:v>
                </c:pt>
                <c:pt idx="33">
                  <c:v>Kevin Magnussen</c:v>
                </c:pt>
                <c:pt idx="34">
                  <c:v>Nicholas Latifi</c:v>
                </c:pt>
                <c:pt idx="35">
                  <c:v>Nico Hulkenberg</c:v>
                </c:pt>
                <c:pt idx="36">
                  <c:v>Nikita Mazepin</c:v>
                </c:pt>
                <c:pt idx="37">
                  <c:v>Gabriel Bortoleto</c:v>
                </c:pt>
                <c:pt idx="38">
                  <c:v>Oliver Bearman</c:v>
                </c:pt>
                <c:pt idx="39">
                  <c:v>Guanyu Zhou</c:v>
                </c:pt>
                <c:pt idx="40">
                  <c:v>Nyck De Vries</c:v>
                </c:pt>
                <c:pt idx="41">
                  <c:v>Arvid Lindblad</c:v>
                </c:pt>
                <c:pt idx="42">
                  <c:v>Logan Sargeant</c:v>
                </c:pt>
                <c:pt idx="43">
                  <c:v>Jack Doohan</c:v>
                </c:pt>
                <c:pt idx="44">
                  <c:v>Andrea Kimi Antonelli</c:v>
                </c:pt>
              </c:strCache>
            </c:strRef>
          </c:cat>
          <c:val>
            <c:numRef>
              <c:f>'Fastest Sector Performance'!$B$4:$B$49</c:f>
              <c:numCache>
                <c:formatCode>General</c:formatCode>
                <c:ptCount val="45"/>
                <c:pt idx="0">
                  <c:v>18.899000000000001</c:v>
                </c:pt>
                <c:pt idx="1">
                  <c:v>20.010999999999999</c:v>
                </c:pt>
                <c:pt idx="2">
                  <c:v>25.58538888888889</c:v>
                </c:pt>
                <c:pt idx="3">
                  <c:v>26.285565789473686</c:v>
                </c:pt>
                <c:pt idx="4">
                  <c:v>26.328263157894732</c:v>
                </c:pt>
                <c:pt idx="5">
                  <c:v>26.337358974358967</c:v>
                </c:pt>
                <c:pt idx="6">
                  <c:v>26.338749999999997</c:v>
                </c:pt>
                <c:pt idx="7">
                  <c:v>26.440489795918364</c:v>
                </c:pt>
                <c:pt idx="8">
                  <c:v>26.474453038674049</c:v>
                </c:pt>
                <c:pt idx="9">
                  <c:v>26.476600000000001</c:v>
                </c:pt>
                <c:pt idx="10">
                  <c:v>26.509327586206883</c:v>
                </c:pt>
                <c:pt idx="11">
                  <c:v>26.535595375722554</c:v>
                </c:pt>
                <c:pt idx="12">
                  <c:v>26.539166666666667</c:v>
                </c:pt>
                <c:pt idx="13">
                  <c:v>26.545346590909109</c:v>
                </c:pt>
                <c:pt idx="14">
                  <c:v>26.563653846153848</c:v>
                </c:pt>
                <c:pt idx="15">
                  <c:v>26.719580246913576</c:v>
                </c:pt>
                <c:pt idx="16">
                  <c:v>26.747150000000005</c:v>
                </c:pt>
                <c:pt idx="17">
                  <c:v>26.749391304347832</c:v>
                </c:pt>
                <c:pt idx="18">
                  <c:v>26.751081967213114</c:v>
                </c:pt>
                <c:pt idx="19">
                  <c:v>26.795208860759494</c:v>
                </c:pt>
                <c:pt idx="20">
                  <c:v>26.828312883435601</c:v>
                </c:pt>
                <c:pt idx="21">
                  <c:v>26.832259887005648</c:v>
                </c:pt>
                <c:pt idx="22">
                  <c:v>26.832411764705885</c:v>
                </c:pt>
                <c:pt idx="23">
                  <c:v>26.8336857142857</c:v>
                </c:pt>
                <c:pt idx="24">
                  <c:v>26.868259740259724</c:v>
                </c:pt>
                <c:pt idx="25">
                  <c:v>26.921638888888893</c:v>
                </c:pt>
                <c:pt idx="26">
                  <c:v>26.932539772727285</c:v>
                </c:pt>
                <c:pt idx="27">
                  <c:v>26.96287499999999</c:v>
                </c:pt>
                <c:pt idx="28">
                  <c:v>26.976853658536584</c:v>
                </c:pt>
                <c:pt idx="29">
                  <c:v>26.989372413793106</c:v>
                </c:pt>
                <c:pt idx="30">
                  <c:v>27.025477064220183</c:v>
                </c:pt>
                <c:pt idx="31">
                  <c:v>27.066122580645178</c:v>
                </c:pt>
                <c:pt idx="32">
                  <c:v>27.066666666666659</c:v>
                </c:pt>
                <c:pt idx="33">
                  <c:v>27.085271186440686</c:v>
                </c:pt>
                <c:pt idx="34">
                  <c:v>27.090603448275868</c:v>
                </c:pt>
                <c:pt idx="35">
                  <c:v>27.122219512195137</c:v>
                </c:pt>
                <c:pt idx="36">
                  <c:v>27.199666666666666</c:v>
                </c:pt>
                <c:pt idx="37">
                  <c:v>27.20397058823529</c:v>
                </c:pt>
                <c:pt idx="38">
                  <c:v>27.32835</c:v>
                </c:pt>
                <c:pt idx="39">
                  <c:v>27.470910447761195</c:v>
                </c:pt>
                <c:pt idx="40">
                  <c:v>27.481272727272724</c:v>
                </c:pt>
                <c:pt idx="41">
                  <c:v>27.497999999999998</c:v>
                </c:pt>
                <c:pt idx="42">
                  <c:v>27.534749999999999</c:v>
                </c:pt>
                <c:pt idx="43">
                  <c:v>28.166399999999999</c:v>
                </c:pt>
                <c:pt idx="44">
                  <c:v>29.606000000000002</c:v>
                </c:pt>
              </c:numCache>
            </c:numRef>
          </c:val>
          <c:smooth val="0"/>
          <c:extLst>
            <c:ext xmlns:c16="http://schemas.microsoft.com/office/drawing/2014/chart" uri="{C3380CC4-5D6E-409C-BE32-E72D297353CC}">
              <c16:uniqueId val="{00000000-FFC2-4D8F-B439-771D68E8E2CF}"/>
            </c:ext>
          </c:extLst>
        </c:ser>
        <c:ser>
          <c:idx val="1"/>
          <c:order val="1"/>
          <c:tx>
            <c:strRef>
              <c:f>'Fastest Sector Performance'!$C$3</c:f>
              <c:strCache>
                <c:ptCount val="1"/>
                <c:pt idx="0">
                  <c:v>Average of FastestS2</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'Fastest Sector Performance'!$A$4:$A$49</c:f>
              <c:strCache>
                <c:ptCount val="45"/>
                <c:pt idx="0">
                  <c:v>Pietro Fittipaldi</c:v>
                </c:pt>
                <c:pt idx="1">
                  <c:v>Jack Aitken</c:v>
                </c:pt>
                <c:pt idx="2">
                  <c:v>Sergey Sirotkin</c:v>
                </c:pt>
                <c:pt idx="3">
                  <c:v>Kimi RÃ¤ikkÃ¶nen</c:v>
                </c:pt>
                <c:pt idx="4">
                  <c:v>Daniil Kvyat</c:v>
                </c:pt>
                <c:pt idx="5">
                  <c:v>Franco Colapinto</c:v>
                </c:pt>
                <c:pt idx="6">
                  <c:v>Stoffel Vandoorne</c:v>
                </c:pt>
                <c:pt idx="7">
                  <c:v>Sebastian Vettel</c:v>
                </c:pt>
                <c:pt idx="8">
                  <c:v>Lewis Hamilton</c:v>
                </c:pt>
                <c:pt idx="9">
                  <c:v>Marcus Ericsson</c:v>
                </c:pt>
                <c:pt idx="10">
                  <c:v>Antonio Giovinazzi</c:v>
                </c:pt>
                <c:pt idx="11">
                  <c:v>Carlos Sainz</c:v>
                </c:pt>
                <c:pt idx="12">
                  <c:v>Brendon Hartley</c:v>
                </c:pt>
                <c:pt idx="13">
                  <c:v>Max Verstappen</c:v>
                </c:pt>
                <c:pt idx="14">
                  <c:v>Romain Grosjean</c:v>
                </c:pt>
                <c:pt idx="15">
                  <c:v>Lando Norris</c:v>
                </c:pt>
                <c:pt idx="16">
                  <c:v>Oscar Piastri</c:v>
                </c:pt>
                <c:pt idx="17">
                  <c:v>Robert Kubica</c:v>
                </c:pt>
                <c:pt idx="18">
                  <c:v>Daniel Ricciardo</c:v>
                </c:pt>
                <c:pt idx="19">
                  <c:v>Valtteri Bottas</c:v>
                </c:pt>
                <c:pt idx="20">
                  <c:v>George Russell</c:v>
                </c:pt>
                <c:pt idx="21">
                  <c:v>Pierre Gasly</c:v>
                </c:pt>
                <c:pt idx="22">
                  <c:v>Isack Hadjar</c:v>
                </c:pt>
                <c:pt idx="23">
                  <c:v>Charles Leclerc</c:v>
                </c:pt>
                <c:pt idx="24">
                  <c:v>Sergio Perez</c:v>
                </c:pt>
                <c:pt idx="25">
                  <c:v>Kimi Antonelli</c:v>
                </c:pt>
                <c:pt idx="26">
                  <c:v>Lance Stroll</c:v>
                </c:pt>
                <c:pt idx="27">
                  <c:v>Alexander Albon</c:v>
                </c:pt>
                <c:pt idx="28">
                  <c:v>Mick Schumacher</c:v>
                </c:pt>
                <c:pt idx="29">
                  <c:v>Fernando Alonso</c:v>
                </c:pt>
                <c:pt idx="30">
                  <c:v>Yuki Tsunoda</c:v>
                </c:pt>
                <c:pt idx="31">
                  <c:v>Esteban Ocon</c:v>
                </c:pt>
                <c:pt idx="32">
                  <c:v>Liam Lawson</c:v>
                </c:pt>
                <c:pt idx="33">
                  <c:v>Kevin Magnussen</c:v>
                </c:pt>
                <c:pt idx="34">
                  <c:v>Nicholas Latifi</c:v>
                </c:pt>
                <c:pt idx="35">
                  <c:v>Nico Hulkenberg</c:v>
                </c:pt>
                <c:pt idx="36">
                  <c:v>Nikita Mazepin</c:v>
                </c:pt>
                <c:pt idx="37">
                  <c:v>Gabriel Bortoleto</c:v>
                </c:pt>
                <c:pt idx="38">
                  <c:v>Oliver Bearman</c:v>
                </c:pt>
                <c:pt idx="39">
                  <c:v>Guanyu Zhou</c:v>
                </c:pt>
                <c:pt idx="40">
                  <c:v>Nyck De Vries</c:v>
                </c:pt>
                <c:pt idx="41">
                  <c:v>Arvid Lindblad</c:v>
                </c:pt>
                <c:pt idx="42">
                  <c:v>Logan Sargeant</c:v>
                </c:pt>
                <c:pt idx="43">
                  <c:v>Jack Doohan</c:v>
                </c:pt>
                <c:pt idx="44">
                  <c:v>Andrea Kimi Antonelli</c:v>
                </c:pt>
              </c:strCache>
            </c:strRef>
          </c:cat>
          <c:val>
            <c:numRef>
              <c:f>'Fastest Sector Performance'!$C$4:$C$49</c:f>
              <c:numCache>
                <c:formatCode>General</c:formatCode>
                <c:ptCount val="45"/>
                <c:pt idx="0">
                  <c:v>31.880000000000003</c:v>
                </c:pt>
                <c:pt idx="1">
                  <c:v>20.414999999999999</c:v>
                </c:pt>
                <c:pt idx="2">
                  <c:v>35.933555555555557</c:v>
                </c:pt>
                <c:pt idx="3">
                  <c:v>34.301815789473672</c:v>
                </c:pt>
                <c:pt idx="4">
                  <c:v>34.086631578947369</c:v>
                </c:pt>
                <c:pt idx="5">
                  <c:v>34.087205128205134</c:v>
                </c:pt>
                <c:pt idx="6">
                  <c:v>35.52825</c:v>
                </c:pt>
                <c:pt idx="7">
                  <c:v>34.064877551020409</c:v>
                </c:pt>
                <c:pt idx="8">
                  <c:v>33.504502762430938</c:v>
                </c:pt>
                <c:pt idx="9">
                  <c:v>35.703949999999999</c:v>
                </c:pt>
                <c:pt idx="10">
                  <c:v>34.133258620689659</c:v>
                </c:pt>
                <c:pt idx="11">
                  <c:v>33.975057803468218</c:v>
                </c:pt>
                <c:pt idx="12">
                  <c:v>36.214277777777781</c:v>
                </c:pt>
                <c:pt idx="13">
                  <c:v>33.556914772727268</c:v>
                </c:pt>
                <c:pt idx="14">
                  <c:v>34.649326923076913</c:v>
                </c:pt>
                <c:pt idx="15">
                  <c:v>33.669907407407401</c:v>
                </c:pt>
                <c:pt idx="16">
                  <c:v>33.369900000000008</c:v>
                </c:pt>
                <c:pt idx="17">
                  <c:v>34.968347826086955</c:v>
                </c:pt>
                <c:pt idx="18">
                  <c:v>34.127213114754099</c:v>
                </c:pt>
                <c:pt idx="19">
                  <c:v>34.063892405063292</c:v>
                </c:pt>
                <c:pt idx="20">
                  <c:v>33.645705521472394</c:v>
                </c:pt>
                <c:pt idx="21">
                  <c:v>34.238661016949138</c:v>
                </c:pt>
                <c:pt idx="22">
                  <c:v>33.846117647058826</c:v>
                </c:pt>
                <c:pt idx="23">
                  <c:v>33.889828571428552</c:v>
                </c:pt>
                <c:pt idx="24">
                  <c:v>33.892311688311686</c:v>
                </c:pt>
                <c:pt idx="25">
                  <c:v>33.316000000000003</c:v>
                </c:pt>
                <c:pt idx="26">
                  <c:v>34.104454545454558</c:v>
                </c:pt>
                <c:pt idx="27">
                  <c:v>33.832852941176469</c:v>
                </c:pt>
                <c:pt idx="28">
                  <c:v>34.311439024390246</c:v>
                </c:pt>
                <c:pt idx="29">
                  <c:v>33.922275862068965</c:v>
                </c:pt>
                <c:pt idx="30">
                  <c:v>34.072954128440358</c:v>
                </c:pt>
                <c:pt idx="31">
                  <c:v>34.099012903225791</c:v>
                </c:pt>
                <c:pt idx="32">
                  <c:v>33.532375000000002</c:v>
                </c:pt>
                <c:pt idx="33">
                  <c:v>34.338237288135595</c:v>
                </c:pt>
                <c:pt idx="34">
                  <c:v>34.406568965517245</c:v>
                </c:pt>
                <c:pt idx="35">
                  <c:v>34.385406504065038</c:v>
                </c:pt>
                <c:pt idx="36">
                  <c:v>33.116</c:v>
                </c:pt>
                <c:pt idx="37">
                  <c:v>33.128441176470595</c:v>
                </c:pt>
                <c:pt idx="38">
                  <c:v>33.862000000000002</c:v>
                </c:pt>
                <c:pt idx="39">
                  <c:v>34.53589552238806</c:v>
                </c:pt>
                <c:pt idx="40">
                  <c:v>32.788545454545449</c:v>
                </c:pt>
                <c:pt idx="41">
                  <c:v>33.543692307692311</c:v>
                </c:pt>
                <c:pt idx="42">
                  <c:v>34.345333333333343</c:v>
                </c:pt>
                <c:pt idx="43">
                  <c:v>36.046799999999998</c:v>
                </c:pt>
                <c:pt idx="44">
                  <c:v>18.341000000000001</c:v>
                </c:pt>
              </c:numCache>
            </c:numRef>
          </c:val>
          <c:smooth val="0"/>
          <c:extLst>
            <c:ext xmlns:c16="http://schemas.microsoft.com/office/drawing/2014/chart" uri="{C3380CC4-5D6E-409C-BE32-E72D297353CC}">
              <c16:uniqueId val="{00000001-FFC2-4D8F-B439-771D68E8E2CF}"/>
            </c:ext>
          </c:extLst>
        </c:ser>
        <c:ser>
          <c:idx val="2"/>
          <c:order val="2"/>
          <c:tx>
            <c:strRef>
              <c:f>'Fastest Sector Performance'!$D$3</c:f>
              <c:strCache>
                <c:ptCount val="1"/>
                <c:pt idx="0">
                  <c:v>Average of FastestS3</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'Fastest Sector Performance'!$A$4:$A$49</c:f>
              <c:strCache>
                <c:ptCount val="45"/>
                <c:pt idx="0">
                  <c:v>Pietro Fittipaldi</c:v>
                </c:pt>
                <c:pt idx="1">
                  <c:v>Jack Aitken</c:v>
                </c:pt>
                <c:pt idx="2">
                  <c:v>Sergey Sirotkin</c:v>
                </c:pt>
                <c:pt idx="3">
                  <c:v>Kimi RÃ¤ikkÃ¶nen</c:v>
                </c:pt>
                <c:pt idx="4">
                  <c:v>Daniil Kvyat</c:v>
                </c:pt>
                <c:pt idx="5">
                  <c:v>Franco Colapinto</c:v>
                </c:pt>
                <c:pt idx="6">
                  <c:v>Stoffel Vandoorne</c:v>
                </c:pt>
                <c:pt idx="7">
                  <c:v>Sebastian Vettel</c:v>
                </c:pt>
                <c:pt idx="8">
                  <c:v>Lewis Hamilton</c:v>
                </c:pt>
                <c:pt idx="9">
                  <c:v>Marcus Ericsson</c:v>
                </c:pt>
                <c:pt idx="10">
                  <c:v>Antonio Giovinazzi</c:v>
                </c:pt>
                <c:pt idx="11">
                  <c:v>Carlos Sainz</c:v>
                </c:pt>
                <c:pt idx="12">
                  <c:v>Brendon Hartley</c:v>
                </c:pt>
                <c:pt idx="13">
                  <c:v>Max Verstappen</c:v>
                </c:pt>
                <c:pt idx="14">
                  <c:v>Romain Grosjean</c:v>
                </c:pt>
                <c:pt idx="15">
                  <c:v>Lando Norris</c:v>
                </c:pt>
                <c:pt idx="16">
                  <c:v>Oscar Piastri</c:v>
                </c:pt>
                <c:pt idx="17">
                  <c:v>Robert Kubica</c:v>
                </c:pt>
                <c:pt idx="18">
                  <c:v>Daniel Ricciardo</c:v>
                </c:pt>
                <c:pt idx="19">
                  <c:v>Valtteri Bottas</c:v>
                </c:pt>
                <c:pt idx="20">
                  <c:v>George Russell</c:v>
                </c:pt>
                <c:pt idx="21">
                  <c:v>Pierre Gasly</c:v>
                </c:pt>
                <c:pt idx="22">
                  <c:v>Isack Hadjar</c:v>
                </c:pt>
                <c:pt idx="23">
                  <c:v>Charles Leclerc</c:v>
                </c:pt>
                <c:pt idx="24">
                  <c:v>Sergio Perez</c:v>
                </c:pt>
                <c:pt idx="25">
                  <c:v>Kimi Antonelli</c:v>
                </c:pt>
                <c:pt idx="26">
                  <c:v>Lance Stroll</c:v>
                </c:pt>
                <c:pt idx="27">
                  <c:v>Alexander Albon</c:v>
                </c:pt>
                <c:pt idx="28">
                  <c:v>Mick Schumacher</c:v>
                </c:pt>
                <c:pt idx="29">
                  <c:v>Fernando Alonso</c:v>
                </c:pt>
                <c:pt idx="30">
                  <c:v>Yuki Tsunoda</c:v>
                </c:pt>
                <c:pt idx="31">
                  <c:v>Esteban Ocon</c:v>
                </c:pt>
                <c:pt idx="32">
                  <c:v>Liam Lawson</c:v>
                </c:pt>
                <c:pt idx="33">
                  <c:v>Kevin Magnussen</c:v>
                </c:pt>
                <c:pt idx="34">
                  <c:v>Nicholas Latifi</c:v>
                </c:pt>
                <c:pt idx="35">
                  <c:v>Nico Hulkenberg</c:v>
                </c:pt>
                <c:pt idx="36">
                  <c:v>Nikita Mazepin</c:v>
                </c:pt>
                <c:pt idx="37">
                  <c:v>Gabriel Bortoleto</c:v>
                </c:pt>
                <c:pt idx="38">
                  <c:v>Oliver Bearman</c:v>
                </c:pt>
                <c:pt idx="39">
                  <c:v>Guanyu Zhou</c:v>
                </c:pt>
                <c:pt idx="40">
                  <c:v>Nyck De Vries</c:v>
                </c:pt>
                <c:pt idx="41">
                  <c:v>Arvid Lindblad</c:v>
                </c:pt>
                <c:pt idx="42">
                  <c:v>Logan Sargeant</c:v>
                </c:pt>
                <c:pt idx="43">
                  <c:v>Jack Doohan</c:v>
                </c:pt>
                <c:pt idx="44">
                  <c:v>Andrea Kimi Antonelli</c:v>
                </c:pt>
              </c:strCache>
            </c:strRef>
          </c:cat>
          <c:val>
            <c:numRef>
              <c:f>'Fastest Sector Performance'!$D$4:$D$49</c:f>
              <c:numCache>
                <c:formatCode>General</c:formatCode>
                <c:ptCount val="45"/>
                <c:pt idx="0">
                  <c:v>28.8735</c:v>
                </c:pt>
                <c:pt idx="1">
                  <c:v>16.888999999999999</c:v>
                </c:pt>
                <c:pt idx="2">
                  <c:v>28.357833333333332</c:v>
                </c:pt>
                <c:pt idx="3">
                  <c:v>27.192710526315786</c:v>
                </c:pt>
                <c:pt idx="4">
                  <c:v>27.204973684210525</c:v>
                </c:pt>
                <c:pt idx="5">
                  <c:v>26.660641025641027</c:v>
                </c:pt>
                <c:pt idx="6">
                  <c:v>28.361900000000002</c:v>
                </c:pt>
                <c:pt idx="7">
                  <c:v>27.242204081632647</c:v>
                </c:pt>
                <c:pt idx="8">
                  <c:v>26.615469613259666</c:v>
                </c:pt>
                <c:pt idx="9">
                  <c:v>28.677900000000001</c:v>
                </c:pt>
                <c:pt idx="10">
                  <c:v>26.935206896551723</c:v>
                </c:pt>
                <c:pt idx="11">
                  <c:v>26.778768786127156</c:v>
                </c:pt>
                <c:pt idx="12">
                  <c:v>28.641777777777779</c:v>
                </c:pt>
                <c:pt idx="13">
                  <c:v>26.773090909090921</c:v>
                </c:pt>
                <c:pt idx="14">
                  <c:v>27.623923076923067</c:v>
                </c:pt>
                <c:pt idx="15">
                  <c:v>26.49685802469136</c:v>
                </c:pt>
                <c:pt idx="16">
                  <c:v>26.059524999999997</c:v>
                </c:pt>
                <c:pt idx="17">
                  <c:v>28.49930434782609</c:v>
                </c:pt>
                <c:pt idx="18">
                  <c:v>27.388983606557385</c:v>
                </c:pt>
                <c:pt idx="19">
                  <c:v>27.015411392405071</c:v>
                </c:pt>
                <c:pt idx="20">
                  <c:v>26.787233128834362</c:v>
                </c:pt>
                <c:pt idx="21">
                  <c:v>26.940474576271182</c:v>
                </c:pt>
                <c:pt idx="22">
                  <c:v>26.567735294117639</c:v>
                </c:pt>
                <c:pt idx="23">
                  <c:v>27.042462857142848</c:v>
                </c:pt>
                <c:pt idx="24">
                  <c:v>27.069266233766232</c:v>
                </c:pt>
                <c:pt idx="25">
                  <c:v>26.554444444444442</c:v>
                </c:pt>
                <c:pt idx="26">
                  <c:v>27.178005681818195</c:v>
                </c:pt>
                <c:pt idx="27">
                  <c:v>27.133588235294116</c:v>
                </c:pt>
                <c:pt idx="28">
                  <c:v>27.204707317073172</c:v>
                </c:pt>
                <c:pt idx="29">
                  <c:v>26.942524137931059</c:v>
                </c:pt>
                <c:pt idx="30">
                  <c:v>26.838844036697243</c:v>
                </c:pt>
                <c:pt idx="31">
                  <c:v>26.883329032258079</c:v>
                </c:pt>
                <c:pt idx="32">
                  <c:v>26.752312499999984</c:v>
                </c:pt>
                <c:pt idx="33">
                  <c:v>27.691610169491526</c:v>
                </c:pt>
                <c:pt idx="34">
                  <c:v>26.957293103448283</c:v>
                </c:pt>
                <c:pt idx="35">
                  <c:v>26.993804878048774</c:v>
                </c:pt>
                <c:pt idx="36">
                  <c:v>26.679555555555552</c:v>
                </c:pt>
                <c:pt idx="37">
                  <c:v>26.510588235294112</c:v>
                </c:pt>
                <c:pt idx="38">
                  <c:v>26.831875000000004</c:v>
                </c:pt>
                <c:pt idx="39">
                  <c:v>27.007328358208952</c:v>
                </c:pt>
                <c:pt idx="40">
                  <c:v>26.334363636363637</c:v>
                </c:pt>
                <c:pt idx="41">
                  <c:v>27.104846153846154</c:v>
                </c:pt>
                <c:pt idx="42">
                  <c:v>26.263305555555558</c:v>
                </c:pt>
                <c:pt idx="43">
                  <c:v>29.221999999999998</c:v>
                </c:pt>
                <c:pt idx="44">
                  <c:v>36.834000000000003</c:v>
                </c:pt>
              </c:numCache>
            </c:numRef>
          </c:val>
          <c:smooth val="0"/>
          <c:extLst>
            <c:ext xmlns:c16="http://schemas.microsoft.com/office/drawing/2014/chart" uri="{C3380CC4-5D6E-409C-BE32-E72D297353CC}">
              <c16:uniqueId val="{00000002-FFC2-4D8F-B439-771D68E8E2CF}"/>
            </c:ext>
          </c:extLst>
        </c:ser>
        <c:dLbls>
          <c:showLegendKey val="0"/>
          <c:showVal val="0"/>
          <c:showCatName val="0"/>
          <c:showSerName val="0"/>
          <c:showPercent val="0"/>
          <c:showBubbleSize val="0"/>
        </c:dLbls>
        <c:marker val="1"/>
        <c:smooth val="0"/>
        <c:axId val="1657839536"/>
        <c:axId val="1497875536"/>
      </c:lineChart>
      <c:catAx>
        <c:axId val="16578395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7875536"/>
        <c:crosses val="autoZero"/>
        <c:auto val="1"/>
        <c:lblAlgn val="ctr"/>
        <c:lblOffset val="100"/>
        <c:noMultiLvlLbl val="0"/>
      </c:catAx>
      <c:valAx>
        <c:axId val="1497875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783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[F1_2018_2026_RACE_DATA.csv.xlsx]Weather vs Race Performance!PivotTable5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Race Performance'!$B$4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'Weather vs Race Performance'!$A$5:$A$7</c:f>
              <c:strCache>
                <c:ptCount val="2"/>
                <c:pt idx="0">
                  <c:v>Dry</c:v>
                </c:pt>
                <c:pt idx="1">
                  <c:v>Wet</c:v>
                </c:pt>
              </c:strCache>
            </c:strRef>
          </c:cat>
          <c:val>
            <c:numRef>
              <c:f>'Weather vs Race Performance'!$B$5:$B$7</c:f>
              <c:numCache>
                <c:formatCode>General</c:formatCode>
                <c:ptCount val="2"/>
                <c:pt idx="0">
                  <c:v>10.576259246213455</c:v>
                </c:pt>
                <c:pt idx="1">
                  <c:v>10.548672566371682</c:v>
                </c:pt>
              </c:numCache>
            </c:numRef>
          </c:val>
          <c:extLst>
            <c:ext xmlns:c16="http://schemas.microsoft.com/office/drawing/2014/chart" uri="{C3380CC4-5D6E-409C-BE32-E72D297353CC}">
              <c16:uniqueId val="{00000000-5E19-4BF3-B721-C56BCAB07D62}"/>
            </c:ext>
          </c:extLst>
        </c:ser>
        <c:dLbls>
          <c:showLegendKey val="0"/>
          <c:showVal val="0"/>
          <c:showCatName val="0"/>
          <c:showSerName val="0"/>
          <c:showPercent val="0"/>
          <c:showBubbleSize val="0"/>
        </c:dLbls>
        <c:gapWidth val="100"/>
        <c:overlap val="-24"/>
        <c:axId val="1654597024"/>
        <c:axId val="1497709936"/>
      </c:barChart>
      <c:catAx>
        <c:axId val="16545970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7709936"/>
        <c:crosses val="autoZero"/>
        <c:auto val="1"/>
        <c:lblAlgn val="ctr"/>
        <c:lblOffset val="100"/>
        <c:noMultiLvlLbl val="0"/>
      </c:catAx>
      <c:valAx>
        <c:axId val="14977099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45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[F1_2018_2026_RACE_DATA.csv.xlsx]Constructor Points Comparison!PivotTable2</c:name>
    <c:fmtId val="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'Constructor Points Comparison'!$B$3:$B$4</c:f>
              <c:strCache>
                <c:ptCount val="1"/>
                <c:pt idx="0">
                  <c:v>2018</c:v>
                </c:pt>
              </c:strCache>
            </c:strRef>
          </c:tx>
          <c:spPr>
            <a:solidFill>
              <a:schemeClr val="accent2">
                <a:shade val="44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Comparison'!$B$5:$B$26</c:f>
              <c:numCache>
                <c:formatCode>General</c:formatCode>
                <c:ptCount val="21"/>
                <c:pt idx="3">
                  <c:v>48</c:v>
                </c:pt>
                <c:pt idx="4">
                  <c:v>59</c:v>
                </c:pt>
                <c:pt idx="8">
                  <c:v>33</c:v>
                </c:pt>
                <c:pt idx="10">
                  <c:v>4</c:v>
                </c:pt>
                <c:pt idx="12">
                  <c:v>93</c:v>
                </c:pt>
                <c:pt idx="13">
                  <c:v>38</c:v>
                </c:pt>
                <c:pt idx="14">
                  <c:v>118</c:v>
                </c:pt>
                <c:pt idx="17">
                  <c:v>62</c:v>
                </c:pt>
                <c:pt idx="18">
                  <c:v>541</c:v>
                </c:pt>
                <c:pt idx="19">
                  <c:v>409</c:v>
                </c:pt>
                <c:pt idx="20">
                  <c:v>615</c:v>
                </c:pt>
              </c:numCache>
            </c:numRef>
          </c:val>
          <c:extLst>
            <c:ext xmlns:c16="http://schemas.microsoft.com/office/drawing/2014/chart" uri="{C3380CC4-5D6E-409C-BE32-E72D297353CC}">
              <c16:uniqueId val="{00000028-47C8-46D5-9BD6-4C28034C1CCD}"/>
            </c:ext>
          </c:extLst>
        </c:ser>
        <c:ser>
          <c:idx val="1"/>
          <c:order val="1"/>
          <c:tx>
            <c:strRef>
              <c:f>'Constructor Points Comparison'!$C$3:$C$4</c:f>
              <c:strCache>
                <c:ptCount val="1"/>
                <c:pt idx="0">
                  <c:v>2019</c:v>
                </c:pt>
              </c:strCache>
            </c:strRef>
          </c:tx>
          <c:spPr>
            <a:solidFill>
              <a:schemeClr val="accent2">
                <a:shade val="58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Comparison'!$C$5:$C$26</c:f>
              <c:numCache>
                <c:formatCode>General</c:formatCode>
                <c:ptCount val="21"/>
                <c:pt idx="7">
                  <c:v>57</c:v>
                </c:pt>
                <c:pt idx="8">
                  <c:v>85</c:v>
                </c:pt>
                <c:pt idx="10">
                  <c:v>1</c:v>
                </c:pt>
                <c:pt idx="12">
                  <c:v>28</c:v>
                </c:pt>
                <c:pt idx="13">
                  <c:v>73</c:v>
                </c:pt>
                <c:pt idx="14">
                  <c:v>91</c:v>
                </c:pt>
                <c:pt idx="17">
                  <c:v>145</c:v>
                </c:pt>
                <c:pt idx="18">
                  <c:v>504</c:v>
                </c:pt>
                <c:pt idx="19">
                  <c:v>417</c:v>
                </c:pt>
                <c:pt idx="20">
                  <c:v>739</c:v>
                </c:pt>
              </c:numCache>
            </c:numRef>
          </c:val>
          <c:extLst>
            <c:ext xmlns:c16="http://schemas.microsoft.com/office/drawing/2014/chart" uri="{C3380CC4-5D6E-409C-BE32-E72D297353CC}">
              <c16:uniqueId val="{0000002B-CB5F-481B-9E01-D21F3545FFC0}"/>
            </c:ext>
          </c:extLst>
        </c:ser>
        <c:ser>
          <c:idx val="2"/>
          <c:order val="2"/>
          <c:tx>
            <c:strRef>
              <c:f>'Constructor Points Comparison'!$D$3:$D$4</c:f>
              <c:strCache>
                <c:ptCount val="1"/>
                <c:pt idx="0">
                  <c:v>2020</c:v>
                </c:pt>
              </c:strCache>
            </c:strRef>
          </c:tx>
          <c:spPr>
            <a:solidFill>
              <a:schemeClr val="accent2">
                <a:shade val="72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Comparison'!$D$5:$D$26</c:f>
              <c:numCache>
                <c:formatCode>General</c:formatCode>
                <c:ptCount val="21"/>
                <c:pt idx="7">
                  <c:v>8</c:v>
                </c:pt>
                <c:pt idx="10">
                  <c:v>0</c:v>
                </c:pt>
                <c:pt idx="11">
                  <c:v>107</c:v>
                </c:pt>
                <c:pt idx="12">
                  <c:v>3</c:v>
                </c:pt>
                <c:pt idx="13">
                  <c:v>210</c:v>
                </c:pt>
                <c:pt idx="14">
                  <c:v>181</c:v>
                </c:pt>
                <c:pt idx="17">
                  <c:v>202</c:v>
                </c:pt>
                <c:pt idx="18">
                  <c:v>131</c:v>
                </c:pt>
                <c:pt idx="19">
                  <c:v>319</c:v>
                </c:pt>
                <c:pt idx="20">
                  <c:v>573</c:v>
                </c:pt>
              </c:numCache>
            </c:numRef>
          </c:val>
          <c:extLst>
            <c:ext xmlns:c16="http://schemas.microsoft.com/office/drawing/2014/chart" uri="{C3380CC4-5D6E-409C-BE32-E72D297353CC}">
              <c16:uniqueId val="{00000034-CB5F-481B-9E01-D21F3545FFC0}"/>
            </c:ext>
          </c:extLst>
        </c:ser>
        <c:ser>
          <c:idx val="3"/>
          <c:order val="3"/>
          <c:tx>
            <c:strRef>
              <c:f>'Constructor Points Comparison'!$E$3:$E$4</c:f>
              <c:strCache>
                <c:ptCount val="1"/>
                <c:pt idx="0">
                  <c:v>2021</c:v>
                </c:pt>
              </c:strCache>
            </c:strRef>
          </c:tx>
          <c:spPr>
            <a:solidFill>
              <a:schemeClr val="accent2">
                <a:shade val="86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Comparison'!$E$5:$E$26</c:f>
              <c:numCache>
                <c:formatCode>General</c:formatCode>
                <c:ptCount val="21"/>
                <c:pt idx="7">
                  <c:v>13</c:v>
                </c:pt>
                <c:pt idx="10">
                  <c:v>23</c:v>
                </c:pt>
                <c:pt idx="11">
                  <c:v>142</c:v>
                </c:pt>
                <c:pt idx="12">
                  <c:v>0</c:v>
                </c:pt>
                <c:pt idx="15">
                  <c:v>77</c:v>
                </c:pt>
                <c:pt idx="16">
                  <c:v>155</c:v>
                </c:pt>
                <c:pt idx="17">
                  <c:v>274</c:v>
                </c:pt>
                <c:pt idx="18">
                  <c:v>322.5</c:v>
                </c:pt>
                <c:pt idx="19">
                  <c:v>578.5</c:v>
                </c:pt>
                <c:pt idx="20">
                  <c:v>604.5</c:v>
                </c:pt>
              </c:numCache>
            </c:numRef>
          </c:val>
          <c:extLst>
            <c:ext xmlns:c16="http://schemas.microsoft.com/office/drawing/2014/chart" uri="{C3380CC4-5D6E-409C-BE32-E72D297353CC}">
              <c16:uniqueId val="{00000035-CB5F-481B-9E01-D21F3545FFC0}"/>
            </c:ext>
          </c:extLst>
        </c:ser>
        <c:ser>
          <c:idx val="4"/>
          <c:order val="4"/>
          <c:tx>
            <c:strRef>
              <c:f>'Constructor Points Comparison'!$F$3:$F$4</c:f>
              <c:strCache>
                <c:ptCount val="1"/>
                <c:pt idx="0">
                  <c:v>2022</c:v>
                </c:pt>
              </c:strCache>
            </c:strRef>
          </c:tx>
          <c:spPr>
            <a:solidFill>
              <a:schemeClr val="accent2"/>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Comparison'!$F$5:$F$26</c:f>
              <c:numCache>
                <c:formatCode>General</c:formatCode>
                <c:ptCount val="21"/>
                <c:pt idx="5">
                  <c:v>53</c:v>
                </c:pt>
                <c:pt idx="10">
                  <c:v>8</c:v>
                </c:pt>
                <c:pt idx="11">
                  <c:v>35</c:v>
                </c:pt>
                <c:pt idx="12">
                  <c:v>33</c:v>
                </c:pt>
                <c:pt idx="15">
                  <c:v>55</c:v>
                </c:pt>
                <c:pt idx="16">
                  <c:v>170</c:v>
                </c:pt>
                <c:pt idx="17">
                  <c:v>150</c:v>
                </c:pt>
                <c:pt idx="18">
                  <c:v>519</c:v>
                </c:pt>
                <c:pt idx="19">
                  <c:v>724</c:v>
                </c:pt>
                <c:pt idx="20">
                  <c:v>495</c:v>
                </c:pt>
              </c:numCache>
            </c:numRef>
          </c:val>
          <c:extLst>
            <c:ext xmlns:c16="http://schemas.microsoft.com/office/drawing/2014/chart" uri="{C3380CC4-5D6E-409C-BE32-E72D297353CC}">
              <c16:uniqueId val="{00000036-CB5F-481B-9E01-D21F3545FFC0}"/>
            </c:ext>
          </c:extLst>
        </c:ser>
        <c:ser>
          <c:idx val="5"/>
          <c:order val="5"/>
          <c:tx>
            <c:strRef>
              <c:f>'Constructor Points Comparison'!$G$3:$G$4</c:f>
              <c:strCache>
                <c:ptCount val="1"/>
                <c:pt idx="0">
                  <c:v>2023</c:v>
                </c:pt>
              </c:strCache>
            </c:strRef>
          </c:tx>
          <c:spPr>
            <a:solidFill>
              <a:schemeClr val="accent2">
                <a:tint val="86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Comparison'!$G$5:$G$26</c:f>
              <c:numCache>
                <c:formatCode>General</c:formatCode>
                <c:ptCount val="21"/>
                <c:pt idx="5">
                  <c:v>16</c:v>
                </c:pt>
                <c:pt idx="10">
                  <c:v>26</c:v>
                </c:pt>
                <c:pt idx="11">
                  <c:v>22</c:v>
                </c:pt>
                <c:pt idx="12">
                  <c:v>9</c:v>
                </c:pt>
                <c:pt idx="15">
                  <c:v>266</c:v>
                </c:pt>
                <c:pt idx="16">
                  <c:v>110</c:v>
                </c:pt>
                <c:pt idx="17">
                  <c:v>266</c:v>
                </c:pt>
                <c:pt idx="18">
                  <c:v>363</c:v>
                </c:pt>
                <c:pt idx="19">
                  <c:v>790</c:v>
                </c:pt>
                <c:pt idx="20">
                  <c:v>374</c:v>
                </c:pt>
              </c:numCache>
            </c:numRef>
          </c:val>
          <c:extLst>
            <c:ext xmlns:c16="http://schemas.microsoft.com/office/drawing/2014/chart" uri="{C3380CC4-5D6E-409C-BE32-E72D297353CC}">
              <c16:uniqueId val="{00000037-CB5F-481B-9E01-D21F3545FFC0}"/>
            </c:ext>
          </c:extLst>
        </c:ser>
        <c:ser>
          <c:idx val="6"/>
          <c:order val="6"/>
          <c:tx>
            <c:strRef>
              <c:f>'Constructor Points Comparison'!$H$3:$H$4</c:f>
              <c:strCache>
                <c:ptCount val="1"/>
                <c:pt idx="0">
                  <c:v>2024</c:v>
                </c:pt>
              </c:strCache>
            </c:strRef>
          </c:tx>
          <c:spPr>
            <a:solidFill>
              <a:schemeClr val="accent2">
                <a:tint val="72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Comparison'!$H$5:$H$26</c:f>
              <c:numCache>
                <c:formatCode>General</c:formatCode>
                <c:ptCount val="21"/>
                <c:pt idx="2">
                  <c:v>40</c:v>
                </c:pt>
                <c:pt idx="6">
                  <c:v>4</c:v>
                </c:pt>
                <c:pt idx="10">
                  <c:v>17</c:v>
                </c:pt>
                <c:pt idx="12">
                  <c:v>51</c:v>
                </c:pt>
                <c:pt idx="15">
                  <c:v>94</c:v>
                </c:pt>
                <c:pt idx="16">
                  <c:v>63</c:v>
                </c:pt>
                <c:pt idx="17">
                  <c:v>609</c:v>
                </c:pt>
                <c:pt idx="18">
                  <c:v>595</c:v>
                </c:pt>
                <c:pt idx="19">
                  <c:v>537</c:v>
                </c:pt>
                <c:pt idx="20">
                  <c:v>433</c:v>
                </c:pt>
              </c:numCache>
            </c:numRef>
          </c:val>
          <c:extLst>
            <c:ext xmlns:c16="http://schemas.microsoft.com/office/drawing/2014/chart" uri="{C3380CC4-5D6E-409C-BE32-E72D297353CC}">
              <c16:uniqueId val="{00000038-CB5F-481B-9E01-D21F3545FFC0}"/>
            </c:ext>
          </c:extLst>
        </c:ser>
        <c:ser>
          <c:idx val="7"/>
          <c:order val="7"/>
          <c:tx>
            <c:strRef>
              <c:f>'Constructor Points Comparison'!$I$3:$I$4</c:f>
              <c:strCache>
                <c:ptCount val="1"/>
                <c:pt idx="0">
                  <c:v>2025</c:v>
                </c:pt>
              </c:strCache>
            </c:strRef>
          </c:tx>
          <c:spPr>
            <a:solidFill>
              <a:schemeClr val="accent2">
                <a:tint val="58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Comparison'!$I$5:$I$26</c:f>
              <c:numCache>
                <c:formatCode>General</c:formatCode>
                <c:ptCount val="21"/>
                <c:pt idx="6">
                  <c:v>70</c:v>
                </c:pt>
                <c:pt idx="9">
                  <c:v>88</c:v>
                </c:pt>
                <c:pt idx="10">
                  <c:v>124</c:v>
                </c:pt>
                <c:pt idx="12">
                  <c:v>73</c:v>
                </c:pt>
                <c:pt idx="15">
                  <c:v>80</c:v>
                </c:pt>
                <c:pt idx="16">
                  <c:v>20</c:v>
                </c:pt>
                <c:pt idx="17">
                  <c:v>775</c:v>
                </c:pt>
                <c:pt idx="18">
                  <c:v>360</c:v>
                </c:pt>
                <c:pt idx="19">
                  <c:v>410</c:v>
                </c:pt>
                <c:pt idx="20">
                  <c:v>424</c:v>
                </c:pt>
              </c:numCache>
            </c:numRef>
          </c:val>
          <c:extLst>
            <c:ext xmlns:c16="http://schemas.microsoft.com/office/drawing/2014/chart" uri="{C3380CC4-5D6E-409C-BE32-E72D297353CC}">
              <c16:uniqueId val="{00000039-CB5F-481B-9E01-D21F3545FFC0}"/>
            </c:ext>
          </c:extLst>
        </c:ser>
        <c:ser>
          <c:idx val="8"/>
          <c:order val="8"/>
          <c:tx>
            <c:strRef>
              <c:f>'Constructor Points Comparison'!$J$3:$J$4</c:f>
              <c:strCache>
                <c:ptCount val="1"/>
                <c:pt idx="0">
                  <c:v>2026</c:v>
                </c:pt>
              </c:strCache>
            </c:strRef>
          </c:tx>
          <c:spPr>
            <a:solidFill>
              <a:schemeClr val="accent2">
                <a:tint val="44000"/>
              </a:schemeClr>
            </a:solidFill>
            <a:ln>
              <a:noFill/>
            </a:ln>
            <a:effectLst/>
          </c:spPr>
          <c:invertIfNegative val="0"/>
          <c:cat>
            <c:strRef>
              <c:f>'Constructor Points Comparison'!$A$5:$A$26</c:f>
              <c:strCache>
                <c:ptCount val="21"/>
                <c:pt idx="0">
                  <c:v>Cadillac</c:v>
                </c:pt>
                <c:pt idx="1">
                  <c:v>Audi</c:v>
                </c:pt>
                <c:pt idx="2">
                  <c:v>RB</c:v>
                </c:pt>
                <c:pt idx="3">
                  <c:v>Sauber</c:v>
                </c:pt>
                <c:pt idx="4">
                  <c:v>Force India</c:v>
                </c:pt>
                <c:pt idx="5">
                  <c:v>Alfa Romeo</c:v>
                </c:pt>
                <c:pt idx="6">
                  <c:v>Kick Sauber</c:v>
                </c:pt>
                <c:pt idx="7">
                  <c:v>Alfa Romeo Racing</c:v>
                </c:pt>
                <c:pt idx="8">
                  <c:v>Toro Rosso</c:v>
                </c:pt>
                <c:pt idx="9">
                  <c:v>Racing Bulls</c:v>
                </c:pt>
                <c:pt idx="10">
                  <c:v>Williams</c:v>
                </c:pt>
                <c:pt idx="11">
                  <c:v>AlphaTauri</c:v>
                </c:pt>
                <c:pt idx="12">
                  <c:v>Haas F1 Team</c:v>
                </c:pt>
                <c:pt idx="13">
                  <c:v>Racing Point</c:v>
                </c:pt>
                <c:pt idx="14">
                  <c:v>Renault</c:v>
                </c:pt>
                <c:pt idx="15">
                  <c:v>Aston Martin</c:v>
                </c:pt>
                <c:pt idx="16">
                  <c:v>Alpine</c:v>
                </c:pt>
                <c:pt idx="17">
                  <c:v>McLaren</c:v>
                </c:pt>
                <c:pt idx="18">
                  <c:v>Ferrari</c:v>
                </c:pt>
                <c:pt idx="19">
                  <c:v>Red Bull Racing</c:v>
                </c:pt>
                <c:pt idx="20">
                  <c:v>Mercedes</c:v>
                </c:pt>
              </c:strCache>
            </c:strRef>
          </c:cat>
          <c:val>
            <c:numRef>
              <c:f>'Constructor Points Comparison'!$J$5:$J$26</c:f>
              <c:numCache>
                <c:formatCode>General</c:formatCode>
                <c:ptCount val="21"/>
                <c:pt idx="0">
                  <c:v>0</c:v>
                </c:pt>
                <c:pt idx="1">
                  <c:v>17</c:v>
                </c:pt>
                <c:pt idx="9">
                  <c:v>73</c:v>
                </c:pt>
                <c:pt idx="10">
                  <c:v>11</c:v>
                </c:pt>
                <c:pt idx="12">
                  <c:v>20</c:v>
                </c:pt>
                <c:pt idx="15">
                  <c:v>3</c:v>
                </c:pt>
                <c:pt idx="16">
                  <c:v>66</c:v>
                </c:pt>
                <c:pt idx="17">
                  <c:v>253</c:v>
                </c:pt>
                <c:pt idx="18">
                  <c:v>310</c:v>
                </c:pt>
                <c:pt idx="19">
                  <c:v>218</c:v>
                </c:pt>
                <c:pt idx="20">
                  <c:v>443</c:v>
                </c:pt>
              </c:numCache>
            </c:numRef>
          </c:val>
          <c:extLst>
            <c:ext xmlns:c16="http://schemas.microsoft.com/office/drawing/2014/chart" uri="{C3380CC4-5D6E-409C-BE32-E72D297353CC}">
              <c16:uniqueId val="{0000003A-CB5F-481B-9E01-D21F3545FFC0}"/>
            </c:ext>
          </c:extLst>
        </c:ser>
        <c:dLbls>
          <c:showLegendKey val="0"/>
          <c:showVal val="0"/>
          <c:showCatName val="0"/>
          <c:showSerName val="0"/>
          <c:showPercent val="0"/>
          <c:showBubbleSize val="0"/>
        </c:dLbls>
        <c:gapWidth val="150"/>
        <c:overlap val="100"/>
        <c:axId val="1792233711"/>
        <c:axId val="894680655"/>
      </c:barChart>
      <c:catAx>
        <c:axId val="179223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680655"/>
        <c:crosses val="autoZero"/>
        <c:auto val="1"/>
        <c:lblAlgn val="ctr"/>
        <c:lblOffset val="100"/>
        <c:noMultiLvlLbl val="0"/>
      </c:catAx>
      <c:valAx>
        <c:axId val="894680655"/>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33711"/>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'Finish Vs Starting'!$F$5</c:f>
              <c:strCache>
                <c:ptCount val="1"/>
                <c:pt idx="0">
                  <c:v>Finish Position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'Finish Vs Starting'!$E$6:$E$28</c:f>
              <c:numCache>
                <c:formatCode>General</c:formatCode>
                <c:ptCount val="2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numCache>
            </c:numRef>
          </c:xVal>
          <c:yVal>
            <c:numRef>
              <c:f>'Finish Vs Starting'!$F$6:$F$28</c:f>
              <c:numCache>
                <c:formatCode>General</c:formatCode>
                <c:ptCount val="23"/>
                <c:pt idx="0">
                  <c:v>14.13953488372093</c:v>
                </c:pt>
                <c:pt idx="1">
                  <c:v>3.553763440860215</c:v>
                </c:pt>
                <c:pt idx="2">
                  <c:v>4.064516129032258</c:v>
                </c:pt>
                <c:pt idx="3">
                  <c:v>5.467741935483871</c:v>
                </c:pt>
                <c:pt idx="4">
                  <c:v>5.903225806451613</c:v>
                </c:pt>
                <c:pt idx="5">
                  <c:v>7.263440860215054</c:v>
                </c:pt>
                <c:pt idx="6">
                  <c:v>7.731182795698925</c:v>
                </c:pt>
                <c:pt idx="7">
                  <c:v>8.7297297297297298</c:v>
                </c:pt>
                <c:pt idx="8">
                  <c:v>9.9405405405405407</c:v>
                </c:pt>
                <c:pt idx="9">
                  <c:v>10.32258064516129</c:v>
                </c:pt>
                <c:pt idx="10">
                  <c:v>11.210810810810811</c:v>
                </c:pt>
                <c:pt idx="11">
                  <c:v>11.470270270270269</c:v>
                </c:pt>
                <c:pt idx="12">
                  <c:v>12.053763440860216</c:v>
                </c:pt>
                <c:pt idx="13">
                  <c:v>12.630434782608695</c:v>
                </c:pt>
                <c:pt idx="14">
                  <c:v>13.45945945945946</c:v>
                </c:pt>
                <c:pt idx="15">
                  <c:v>13.416216216216217</c:v>
                </c:pt>
                <c:pt idx="16">
                  <c:v>14.286486486486487</c:v>
                </c:pt>
                <c:pt idx="17">
                  <c:v>14.53225806451613</c:v>
                </c:pt>
                <c:pt idx="18">
                  <c:v>14.972677595628415</c:v>
                </c:pt>
                <c:pt idx="19">
                  <c:v>14.597826086956522</c:v>
                </c:pt>
                <c:pt idx="20">
                  <c:v>14.894736842105264</c:v>
                </c:pt>
                <c:pt idx="21">
                  <c:v>16.571428571428573</c:v>
                </c:pt>
                <c:pt idx="22">
                  <c:v>18.357142857142858</c:v>
                </c:pt>
              </c:numCache>
            </c:numRef>
          </c:yVal>
          <c:smooth val="0"/>
          <c:extLst>
            <c:ext xmlns:c16="http://schemas.microsoft.com/office/drawing/2014/chart" uri="{C3380CC4-5D6E-409C-BE32-E72D297353CC}">
              <c16:uniqueId val="{00000000-04D9-4D5A-9E16-335801C28C1C}"/>
            </c:ext>
          </c:extLst>
        </c:ser>
        <c:dLbls>
          <c:showLegendKey val="0"/>
          <c:showVal val="0"/>
          <c:showCatName val="0"/>
          <c:showSerName val="0"/>
          <c:showPercent val="0"/>
          <c:showBubbleSize val="0"/>
        </c:dLbls>
        <c:axId val="1503956528"/>
        <c:axId val="1497831856"/>
      </c:scatterChart>
      <c:valAx>
        <c:axId val="150395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31856"/>
        <c:crosses val="autoZero"/>
        <c:crossBetween val="midCat"/>
      </c:valAx>
      <c:valAx>
        <c:axId val="149783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956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[F1_2018_2026_RACE_DATA.csv.xlsx]Weather vs Race Performance!PivotTable13</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Race Performance'!$K$7:$K$8</c:f>
              <c:strCache>
                <c:ptCount val="1"/>
                <c:pt idx="0">
                  <c:v>Dry</c:v>
                </c:pt>
              </c:strCache>
            </c:strRef>
          </c:tx>
          <c:spPr>
            <a:solidFill>
              <a:schemeClr val="accent2">
                <a:shade val="76000"/>
              </a:schemeClr>
            </a:solidFill>
            <a:ln>
              <a:noFill/>
            </a:ln>
            <a:effectLst/>
          </c:spPr>
          <c:invertIfNegative val="0"/>
          <c:cat>
            <c:strRef>
              <c:f>'Weather vs Race Performance'!$J$9:$J$18</c:f>
              <c:strCache>
                <c:ptCount val="9"/>
                <c:pt idx="0">
                  <c:v>2018</c:v>
                </c:pt>
                <c:pt idx="1">
                  <c:v>2019</c:v>
                </c:pt>
                <c:pt idx="2">
                  <c:v>2020</c:v>
                </c:pt>
                <c:pt idx="3">
                  <c:v>2021</c:v>
                </c:pt>
                <c:pt idx="4">
                  <c:v>2022</c:v>
                </c:pt>
                <c:pt idx="5">
                  <c:v>2023</c:v>
                </c:pt>
                <c:pt idx="6">
                  <c:v>2024</c:v>
                </c:pt>
                <c:pt idx="7">
                  <c:v>2025</c:v>
                </c:pt>
                <c:pt idx="8">
                  <c:v>2026</c:v>
                </c:pt>
              </c:strCache>
            </c:strRef>
          </c:cat>
          <c:val>
            <c:numRef>
              <c:f>'Weather vs Race Performance'!$K$9:$K$18</c:f>
              <c:numCache>
                <c:formatCode>General</c:formatCode>
                <c:ptCount val="9"/>
                <c:pt idx="0">
                  <c:v>20521.811475999988</c:v>
                </c:pt>
                <c:pt idx="1">
                  <c:v>33017.725941000004</c:v>
                </c:pt>
                <c:pt idx="2">
                  <c:v>21464.969361999989</c:v>
                </c:pt>
                <c:pt idx="3">
                  <c:v>27596.044637000021</c:v>
                </c:pt>
                <c:pt idx="4">
                  <c:v>28094.377015999984</c:v>
                </c:pt>
                <c:pt idx="5">
                  <c:v>30398.501496000001</c:v>
                </c:pt>
                <c:pt idx="6">
                  <c:v>33738.919946000031</c:v>
                </c:pt>
                <c:pt idx="7">
                  <c:v>30450.406478000019</c:v>
                </c:pt>
                <c:pt idx="8">
                  <c:v>22680.457791999994</c:v>
                </c:pt>
              </c:numCache>
            </c:numRef>
          </c:val>
          <c:extLst>
            <c:ext xmlns:c16="http://schemas.microsoft.com/office/drawing/2014/chart" uri="{C3380CC4-5D6E-409C-BE32-E72D297353CC}">
              <c16:uniqueId val="{00000000-E045-4B20-92F5-B4D553B09580}"/>
            </c:ext>
          </c:extLst>
        </c:ser>
        <c:ser>
          <c:idx val="1"/>
          <c:order val="1"/>
          <c:tx>
            <c:strRef>
              <c:f>'Weather vs Race Performance'!$L$7:$L$8</c:f>
              <c:strCache>
                <c:ptCount val="1"/>
                <c:pt idx="0">
                  <c:v>Wet</c:v>
                </c:pt>
              </c:strCache>
            </c:strRef>
          </c:tx>
          <c:spPr>
            <a:solidFill>
              <a:schemeClr val="accent2">
                <a:tint val="77000"/>
              </a:schemeClr>
            </a:solidFill>
            <a:ln>
              <a:noFill/>
            </a:ln>
            <a:effectLst/>
          </c:spPr>
          <c:invertIfNegative val="0"/>
          <c:cat>
            <c:strRef>
              <c:f>'Weather vs Race Performance'!$J$9:$J$18</c:f>
              <c:strCache>
                <c:ptCount val="9"/>
                <c:pt idx="0">
                  <c:v>2018</c:v>
                </c:pt>
                <c:pt idx="1">
                  <c:v>2019</c:v>
                </c:pt>
                <c:pt idx="2">
                  <c:v>2020</c:v>
                </c:pt>
                <c:pt idx="3">
                  <c:v>2021</c:v>
                </c:pt>
                <c:pt idx="4">
                  <c:v>2022</c:v>
                </c:pt>
                <c:pt idx="5">
                  <c:v>2023</c:v>
                </c:pt>
                <c:pt idx="6">
                  <c:v>2024</c:v>
                </c:pt>
                <c:pt idx="7">
                  <c:v>2025</c:v>
                </c:pt>
                <c:pt idx="8">
                  <c:v>2026</c:v>
                </c:pt>
              </c:strCache>
            </c:strRef>
          </c:cat>
          <c:val>
            <c:numRef>
              <c:f>'Weather vs Race Performance'!$L$9:$L$18</c:f>
              <c:numCache>
                <c:formatCode>General</c:formatCode>
                <c:ptCount val="9"/>
                <c:pt idx="0">
                  <c:v>13971.023844999998</c:v>
                </c:pt>
                <c:pt idx="1">
                  <c:v>5182.3854939999992</c:v>
                </c:pt>
                <c:pt idx="2">
                  <c:v>6894.3342059999995</c:v>
                </c:pt>
                <c:pt idx="3">
                  <c:v>7969.8813210000035</c:v>
                </c:pt>
                <c:pt idx="4">
                  <c:v>11313.278344999999</c:v>
                </c:pt>
                <c:pt idx="5">
                  <c:v>8137.3924289999986</c:v>
                </c:pt>
                <c:pt idx="6">
                  <c:v>8119.7046300000011</c:v>
                </c:pt>
                <c:pt idx="7">
                  <c:v>10751.246356999996</c:v>
                </c:pt>
                <c:pt idx="8">
                  <c:v>3651.8949269999998</c:v>
                </c:pt>
              </c:numCache>
            </c:numRef>
          </c:val>
          <c:extLst>
            <c:ext xmlns:c16="http://schemas.microsoft.com/office/drawing/2014/chart" uri="{C3380CC4-5D6E-409C-BE32-E72D297353CC}">
              <c16:uniqueId val="{00000001-1008-4003-90EC-865752A65204}"/>
            </c:ext>
          </c:extLst>
        </c:ser>
        <c:dLbls>
          <c:showLegendKey val="0"/>
          <c:showVal val="0"/>
          <c:showCatName val="0"/>
          <c:showSerName val="0"/>
          <c:showPercent val="0"/>
          <c:showBubbleSize val="0"/>
        </c:dLbls>
        <c:gapWidth val="219"/>
        <c:overlap val="-27"/>
        <c:axId val="2002368671"/>
        <c:axId val="1327376719"/>
      </c:barChart>
      <c:catAx>
        <c:axId val="200236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76719"/>
        <c:crosses val="autoZero"/>
        <c:auto val="1"/>
        <c:lblAlgn val="ctr"/>
        <c:lblOffset val="100"/>
        <c:noMultiLvlLbl val="0"/>
      </c:catAx>
      <c:valAx>
        <c:axId val="132737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6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[F1_2018_2026_RACE_DATA.csv.xlsx]Constructor Points Comparison!PivotTable1</c:name>
    <c:fmtId val="1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hade val="33000"/>
            </a:schemeClr>
          </a:solidFill>
          <a:ln w="19050">
            <a:solidFill>
              <a:schemeClr val="lt1"/>
            </a:solidFill>
          </a:ln>
          <a:effectLst/>
        </c:spPr>
      </c:pivotFmt>
      <c:pivotFmt>
        <c:idx val="49"/>
        <c:spPr>
          <a:solidFill>
            <a:schemeClr val="accent2">
              <a:shade val="36000"/>
            </a:schemeClr>
          </a:solidFill>
          <a:ln w="19050">
            <a:solidFill>
              <a:schemeClr val="lt1"/>
            </a:solidFill>
          </a:ln>
          <a:effectLst/>
        </c:spPr>
      </c:pivotFmt>
      <c:pivotFmt>
        <c:idx val="50"/>
        <c:spPr>
          <a:solidFill>
            <a:schemeClr val="accent2">
              <a:shade val="39000"/>
            </a:schemeClr>
          </a:solidFill>
          <a:ln w="19050">
            <a:solidFill>
              <a:schemeClr val="lt1"/>
            </a:solidFill>
          </a:ln>
          <a:effectLst/>
        </c:spPr>
      </c:pivotFmt>
      <c:pivotFmt>
        <c:idx val="51"/>
        <c:spPr>
          <a:solidFill>
            <a:schemeClr val="accent2">
              <a:shade val="42000"/>
            </a:schemeClr>
          </a:solidFill>
          <a:ln w="19050">
            <a:solidFill>
              <a:schemeClr val="lt1"/>
            </a:solidFill>
          </a:ln>
          <a:effectLst/>
        </c:spPr>
      </c:pivotFmt>
      <c:pivotFmt>
        <c:idx val="52"/>
        <c:spPr>
          <a:solidFill>
            <a:schemeClr val="accent2">
              <a:shade val="45000"/>
            </a:schemeClr>
          </a:solidFill>
          <a:ln w="19050">
            <a:solidFill>
              <a:schemeClr val="lt1"/>
            </a:solidFill>
          </a:ln>
          <a:effectLst/>
        </c:spPr>
      </c:pivotFmt>
      <c:pivotFmt>
        <c:idx val="53"/>
        <c:spPr>
          <a:solidFill>
            <a:schemeClr val="accent2">
              <a:shade val="48000"/>
            </a:schemeClr>
          </a:solidFill>
          <a:ln w="19050">
            <a:solidFill>
              <a:schemeClr val="lt1"/>
            </a:solidFill>
          </a:ln>
          <a:effectLst/>
        </c:spPr>
      </c:pivotFmt>
      <c:pivotFmt>
        <c:idx val="54"/>
        <c:spPr>
          <a:solidFill>
            <a:schemeClr val="accent2">
              <a:shade val="51000"/>
            </a:schemeClr>
          </a:solidFill>
          <a:ln w="19050">
            <a:solidFill>
              <a:schemeClr val="lt1"/>
            </a:solidFill>
          </a:ln>
          <a:effectLst/>
        </c:spPr>
      </c:pivotFmt>
      <c:pivotFmt>
        <c:idx val="55"/>
        <c:spPr>
          <a:solidFill>
            <a:schemeClr val="accent2">
              <a:shade val="54000"/>
            </a:schemeClr>
          </a:solidFill>
          <a:ln w="19050">
            <a:solidFill>
              <a:schemeClr val="lt1"/>
            </a:solidFill>
          </a:ln>
          <a:effectLst/>
        </c:spPr>
      </c:pivotFmt>
      <c:pivotFmt>
        <c:idx val="56"/>
        <c:spPr>
          <a:solidFill>
            <a:schemeClr val="accent2">
              <a:shade val="57000"/>
            </a:schemeClr>
          </a:solidFill>
          <a:ln w="19050">
            <a:solidFill>
              <a:schemeClr val="lt1"/>
            </a:solidFill>
          </a:ln>
          <a:effectLst/>
        </c:spPr>
      </c:pivotFmt>
      <c:pivotFmt>
        <c:idx val="57"/>
        <c:spPr>
          <a:solidFill>
            <a:schemeClr val="accent2">
              <a:shade val="60000"/>
            </a:schemeClr>
          </a:solidFill>
          <a:ln w="19050">
            <a:solidFill>
              <a:schemeClr val="lt1"/>
            </a:solidFill>
          </a:ln>
          <a:effectLst/>
        </c:spPr>
      </c:pivotFmt>
      <c:pivotFmt>
        <c:idx val="58"/>
        <c:spPr>
          <a:solidFill>
            <a:schemeClr val="accent2">
              <a:shade val="63000"/>
            </a:schemeClr>
          </a:solidFill>
          <a:ln w="19050">
            <a:solidFill>
              <a:schemeClr val="lt1"/>
            </a:solidFill>
          </a:ln>
          <a:effectLst/>
        </c:spPr>
      </c:pivotFmt>
      <c:pivotFmt>
        <c:idx val="59"/>
        <c:spPr>
          <a:solidFill>
            <a:schemeClr val="accent2">
              <a:shade val="66000"/>
            </a:schemeClr>
          </a:solidFill>
          <a:ln w="19050">
            <a:solidFill>
              <a:schemeClr val="lt1"/>
            </a:solidFill>
          </a:ln>
          <a:effectLst/>
        </c:spPr>
      </c:pivotFmt>
      <c:pivotFmt>
        <c:idx val="60"/>
        <c:spPr>
          <a:solidFill>
            <a:schemeClr val="accent2">
              <a:shade val="69000"/>
            </a:schemeClr>
          </a:solidFill>
          <a:ln w="19050">
            <a:solidFill>
              <a:schemeClr val="lt1"/>
            </a:solidFill>
          </a:ln>
          <a:effectLst/>
        </c:spPr>
      </c:pivotFmt>
      <c:pivotFmt>
        <c:idx val="61"/>
        <c:spPr>
          <a:solidFill>
            <a:schemeClr val="accent2">
              <a:shade val="72000"/>
            </a:schemeClr>
          </a:solidFill>
          <a:ln w="19050">
            <a:solidFill>
              <a:schemeClr val="lt1"/>
            </a:solidFill>
          </a:ln>
          <a:effectLst/>
        </c:spPr>
      </c:pivotFmt>
      <c:pivotFmt>
        <c:idx val="62"/>
        <c:spPr>
          <a:solidFill>
            <a:schemeClr val="accent2">
              <a:shade val="75000"/>
            </a:schemeClr>
          </a:solidFill>
          <a:ln w="19050">
            <a:solidFill>
              <a:schemeClr val="lt1"/>
            </a:solidFill>
          </a:ln>
          <a:effectLst/>
        </c:spPr>
      </c:pivotFmt>
      <c:pivotFmt>
        <c:idx val="63"/>
        <c:spPr>
          <a:solidFill>
            <a:schemeClr val="accent2">
              <a:shade val="78000"/>
            </a:schemeClr>
          </a:solidFill>
          <a:ln w="19050">
            <a:solidFill>
              <a:schemeClr val="lt1"/>
            </a:solidFill>
          </a:ln>
          <a:effectLst/>
        </c:spPr>
      </c:pivotFmt>
      <c:pivotFmt>
        <c:idx val="64"/>
        <c:spPr>
          <a:solidFill>
            <a:schemeClr val="accent2">
              <a:shade val="81000"/>
            </a:schemeClr>
          </a:solidFill>
          <a:ln w="19050">
            <a:solidFill>
              <a:schemeClr val="lt1"/>
            </a:solidFill>
          </a:ln>
          <a:effectLst/>
        </c:spPr>
      </c:pivotFmt>
      <c:pivotFmt>
        <c:idx val="65"/>
        <c:spPr>
          <a:solidFill>
            <a:schemeClr val="accent2">
              <a:shade val="84000"/>
            </a:schemeClr>
          </a:solidFill>
          <a:ln w="19050">
            <a:solidFill>
              <a:schemeClr val="lt1"/>
            </a:solidFill>
          </a:ln>
          <a:effectLst/>
        </c:spPr>
      </c:pivotFmt>
      <c:pivotFmt>
        <c:idx val="66"/>
        <c:spPr>
          <a:solidFill>
            <a:schemeClr val="accent2">
              <a:shade val="87000"/>
            </a:schemeClr>
          </a:solidFill>
          <a:ln w="19050">
            <a:solidFill>
              <a:schemeClr val="lt1"/>
            </a:solidFill>
          </a:ln>
          <a:effectLst/>
        </c:spPr>
      </c:pivotFmt>
      <c:pivotFmt>
        <c:idx val="67"/>
        <c:spPr>
          <a:solidFill>
            <a:schemeClr val="accent2">
              <a:shade val="90000"/>
            </a:schemeClr>
          </a:solidFill>
          <a:ln w="19050">
            <a:solidFill>
              <a:schemeClr val="lt1"/>
            </a:solidFill>
          </a:ln>
          <a:effectLst/>
        </c:spPr>
      </c:pivotFmt>
      <c:pivotFmt>
        <c:idx val="68"/>
        <c:spPr>
          <a:solidFill>
            <a:schemeClr val="accent2">
              <a:shade val="93000"/>
            </a:schemeClr>
          </a:solidFill>
          <a:ln w="19050">
            <a:solidFill>
              <a:schemeClr val="lt1"/>
            </a:solidFill>
          </a:ln>
          <a:effectLst/>
        </c:spPr>
      </c:pivotFmt>
      <c:pivotFmt>
        <c:idx val="69"/>
        <c:spPr>
          <a:solidFill>
            <a:schemeClr val="accent2">
              <a:shade val="96000"/>
            </a:schemeClr>
          </a:solidFill>
          <a:ln w="19050">
            <a:solidFill>
              <a:schemeClr val="lt1"/>
            </a:solidFill>
          </a:ln>
          <a:effectLst/>
        </c:spPr>
      </c:pivotFmt>
      <c:pivotFmt>
        <c:idx val="70"/>
        <c:spPr>
          <a:solidFill>
            <a:schemeClr val="accent2"/>
          </a:solidFill>
          <a:ln w="19050">
            <a:solidFill>
              <a:schemeClr val="lt1"/>
            </a:solidFill>
          </a:ln>
          <a:effectLst/>
        </c:spPr>
      </c:pivotFmt>
      <c:pivotFmt>
        <c:idx val="71"/>
        <c:spPr>
          <a:solidFill>
            <a:schemeClr val="accent2">
              <a:tint val="97000"/>
            </a:schemeClr>
          </a:solidFill>
          <a:ln w="19050">
            <a:solidFill>
              <a:schemeClr val="lt1"/>
            </a:solidFill>
          </a:ln>
          <a:effectLst/>
        </c:spPr>
      </c:pivotFmt>
      <c:pivotFmt>
        <c:idx val="72"/>
        <c:spPr>
          <a:solidFill>
            <a:schemeClr val="accent2">
              <a:tint val="94000"/>
            </a:schemeClr>
          </a:solidFill>
          <a:ln w="19050">
            <a:solidFill>
              <a:schemeClr val="lt1"/>
            </a:solidFill>
          </a:ln>
          <a:effectLst/>
        </c:spPr>
      </c:pivotFmt>
      <c:pivotFmt>
        <c:idx val="73"/>
        <c:spPr>
          <a:solidFill>
            <a:schemeClr val="accent2">
              <a:tint val="91000"/>
            </a:schemeClr>
          </a:solidFill>
          <a:ln w="19050">
            <a:solidFill>
              <a:schemeClr val="lt1"/>
            </a:solidFill>
          </a:ln>
          <a:effectLst/>
        </c:spPr>
      </c:pivotFmt>
      <c:pivotFmt>
        <c:idx val="74"/>
        <c:spPr>
          <a:solidFill>
            <a:schemeClr val="accent2">
              <a:tint val="88000"/>
            </a:schemeClr>
          </a:solidFill>
          <a:ln w="19050">
            <a:solidFill>
              <a:schemeClr val="lt1"/>
            </a:solidFill>
          </a:ln>
          <a:effectLst/>
        </c:spPr>
      </c:pivotFmt>
      <c:pivotFmt>
        <c:idx val="75"/>
        <c:spPr>
          <a:solidFill>
            <a:schemeClr val="accent2">
              <a:tint val="85000"/>
            </a:schemeClr>
          </a:solidFill>
          <a:ln w="19050">
            <a:solidFill>
              <a:schemeClr val="lt1"/>
            </a:solidFill>
          </a:ln>
          <a:effectLst/>
        </c:spPr>
      </c:pivotFmt>
      <c:pivotFmt>
        <c:idx val="76"/>
        <c:spPr>
          <a:solidFill>
            <a:schemeClr val="accent2">
              <a:tint val="82000"/>
            </a:schemeClr>
          </a:solidFill>
          <a:ln w="19050">
            <a:solidFill>
              <a:schemeClr val="lt1"/>
            </a:solidFill>
          </a:ln>
          <a:effectLst/>
        </c:spPr>
      </c:pivotFmt>
      <c:pivotFmt>
        <c:idx val="77"/>
        <c:spPr>
          <a:solidFill>
            <a:schemeClr val="accent2">
              <a:tint val="79000"/>
            </a:schemeClr>
          </a:solidFill>
          <a:ln w="19050">
            <a:solidFill>
              <a:schemeClr val="lt1"/>
            </a:solidFill>
          </a:ln>
          <a:effectLst/>
        </c:spPr>
      </c:pivotFmt>
      <c:pivotFmt>
        <c:idx val="78"/>
        <c:spPr>
          <a:solidFill>
            <a:schemeClr val="accent2">
              <a:tint val="76000"/>
            </a:schemeClr>
          </a:solidFill>
          <a:ln w="19050">
            <a:solidFill>
              <a:schemeClr val="lt1"/>
            </a:solidFill>
          </a:ln>
          <a:effectLst/>
        </c:spPr>
      </c:pivotFmt>
      <c:pivotFmt>
        <c:idx val="79"/>
        <c:spPr>
          <a:solidFill>
            <a:schemeClr val="accent2">
              <a:tint val="73000"/>
            </a:schemeClr>
          </a:solidFill>
          <a:ln w="19050">
            <a:solidFill>
              <a:schemeClr val="lt1"/>
            </a:solidFill>
          </a:ln>
          <a:effectLst/>
        </c:spPr>
      </c:pivotFmt>
      <c:pivotFmt>
        <c:idx val="80"/>
        <c:spPr>
          <a:solidFill>
            <a:schemeClr val="accent2">
              <a:tint val="70000"/>
            </a:schemeClr>
          </a:solidFill>
          <a:ln w="19050">
            <a:solidFill>
              <a:schemeClr val="lt1"/>
            </a:solidFill>
          </a:ln>
          <a:effectLst/>
        </c:spPr>
      </c:pivotFmt>
      <c:pivotFmt>
        <c:idx val="81"/>
        <c:spPr>
          <a:solidFill>
            <a:schemeClr val="accent2">
              <a:tint val="67000"/>
            </a:schemeClr>
          </a:solidFill>
          <a:ln w="19050">
            <a:solidFill>
              <a:schemeClr val="lt1"/>
            </a:solidFill>
          </a:ln>
          <a:effectLst/>
        </c:spPr>
      </c:pivotFmt>
      <c:pivotFmt>
        <c:idx val="82"/>
        <c:spPr>
          <a:solidFill>
            <a:schemeClr val="accent2">
              <a:tint val="64000"/>
            </a:schemeClr>
          </a:solidFill>
          <a:ln w="19050">
            <a:solidFill>
              <a:schemeClr val="lt1"/>
            </a:solidFill>
          </a:ln>
          <a:effectLst/>
        </c:spPr>
      </c:pivotFmt>
      <c:pivotFmt>
        <c:idx val="83"/>
        <c:spPr>
          <a:solidFill>
            <a:schemeClr val="accent2">
              <a:tint val="61000"/>
            </a:schemeClr>
          </a:solidFill>
          <a:ln w="19050">
            <a:solidFill>
              <a:schemeClr val="lt1"/>
            </a:solidFill>
          </a:ln>
          <a:effectLst/>
        </c:spPr>
      </c:pivotFmt>
      <c:pivotFmt>
        <c:idx val="84"/>
        <c:spPr>
          <a:solidFill>
            <a:schemeClr val="accent2">
              <a:tint val="58000"/>
            </a:schemeClr>
          </a:solidFill>
          <a:ln w="19050">
            <a:solidFill>
              <a:schemeClr val="lt1"/>
            </a:solidFill>
          </a:ln>
          <a:effectLst/>
        </c:spPr>
      </c:pivotFmt>
      <c:pivotFmt>
        <c:idx val="85"/>
        <c:spPr>
          <a:solidFill>
            <a:schemeClr val="accent2">
              <a:tint val="55000"/>
            </a:schemeClr>
          </a:solidFill>
          <a:ln w="19050">
            <a:solidFill>
              <a:schemeClr val="lt1"/>
            </a:solidFill>
          </a:ln>
          <a:effectLst/>
        </c:spPr>
      </c:pivotFmt>
      <c:pivotFmt>
        <c:idx val="86"/>
        <c:spPr>
          <a:solidFill>
            <a:schemeClr val="accent2">
              <a:tint val="52000"/>
            </a:schemeClr>
          </a:solidFill>
          <a:ln w="19050">
            <a:solidFill>
              <a:schemeClr val="lt1"/>
            </a:solidFill>
          </a:ln>
          <a:effectLst/>
        </c:spPr>
      </c:pivotFmt>
      <c:pivotFmt>
        <c:idx val="87"/>
        <c:spPr>
          <a:solidFill>
            <a:schemeClr val="accent2">
              <a:tint val="49000"/>
            </a:schemeClr>
          </a:solidFill>
          <a:ln w="19050">
            <a:solidFill>
              <a:schemeClr val="lt1"/>
            </a:solidFill>
          </a:ln>
          <a:effectLst/>
        </c:spPr>
      </c:pivotFmt>
      <c:pivotFmt>
        <c:idx val="88"/>
        <c:spPr>
          <a:solidFill>
            <a:schemeClr val="accent2">
              <a:tint val="46000"/>
            </a:schemeClr>
          </a:solidFill>
          <a:ln w="19050">
            <a:solidFill>
              <a:schemeClr val="lt1"/>
            </a:solidFill>
          </a:ln>
          <a:effectLst/>
        </c:spPr>
      </c:pivotFmt>
      <c:pivotFmt>
        <c:idx val="89"/>
        <c:spPr>
          <a:solidFill>
            <a:schemeClr val="accent2">
              <a:tint val="43000"/>
            </a:schemeClr>
          </a:solidFill>
          <a:ln w="19050">
            <a:solidFill>
              <a:schemeClr val="lt1"/>
            </a:solidFill>
          </a:ln>
          <a:effectLst/>
        </c:spPr>
      </c:pivotFmt>
      <c:pivotFmt>
        <c:idx val="90"/>
        <c:spPr>
          <a:solidFill>
            <a:schemeClr val="accent2">
              <a:tint val="40000"/>
            </a:schemeClr>
          </a:solidFill>
          <a:ln w="19050">
            <a:solidFill>
              <a:schemeClr val="lt1"/>
            </a:solidFill>
          </a:ln>
          <a:effectLst/>
        </c:spPr>
      </c:pivotFmt>
      <c:pivotFmt>
        <c:idx val="91"/>
        <c:spPr>
          <a:solidFill>
            <a:schemeClr val="accent2">
              <a:tint val="37000"/>
            </a:schemeClr>
          </a:solidFill>
          <a:ln w="19050">
            <a:solidFill>
              <a:schemeClr val="lt1"/>
            </a:solidFill>
          </a:ln>
          <a:effectLst/>
        </c:spPr>
      </c:pivotFmt>
      <c:pivotFmt>
        <c:idx val="92"/>
        <c:spPr>
          <a:solidFill>
            <a:schemeClr val="accent2">
              <a:tint val="34000"/>
            </a:schemeClr>
          </a:solidFill>
          <a:ln w="19050">
            <a:solidFill>
              <a:schemeClr val="lt1"/>
            </a:solidFill>
          </a:ln>
          <a:effectLst/>
        </c:spPr>
      </c:pivotFmt>
    </c:pivotFmts>
    <c:plotArea>
      <c:layout/>
      <c:doughnutChart>
        <c:varyColors val="1"/>
        <c:ser>
          <c:idx val="0"/>
          <c:order val="0"/>
          <c:tx>
            <c:strRef>
              <c:f>'Constructor Points Comparison'!$N$4</c:f>
              <c:strCache>
                <c:ptCount val="1"/>
                <c:pt idx="0">
                  <c:v>Total</c:v>
                </c:pt>
              </c:strCache>
            </c:strRef>
          </c:tx>
          <c:dPt>
            <c:idx val="0"/>
            <c:bubble3D val="0"/>
            <c:spPr>
              <a:solidFill>
                <a:schemeClr val="accent2">
                  <a:shade val="33000"/>
                </a:schemeClr>
              </a:solidFill>
              <a:ln w="19050">
                <a:solidFill>
                  <a:schemeClr val="lt1"/>
                </a:solidFill>
              </a:ln>
              <a:effectLst/>
            </c:spPr>
            <c:extLst>
              <c:ext xmlns:c16="http://schemas.microsoft.com/office/drawing/2014/chart" uri="{C3380CC4-5D6E-409C-BE32-E72D297353CC}">
                <c16:uniqueId val="{00000001-8C84-4027-BD06-3A2C8F06C5E6}"/>
              </c:ext>
            </c:extLst>
          </c:dPt>
          <c:dPt>
            <c:idx val="1"/>
            <c:bubble3D val="0"/>
            <c:spPr>
              <a:solidFill>
                <a:schemeClr val="accent2">
                  <a:shade val="36000"/>
                </a:schemeClr>
              </a:solidFill>
              <a:ln w="19050">
                <a:solidFill>
                  <a:schemeClr val="lt1"/>
                </a:solidFill>
              </a:ln>
              <a:effectLst/>
            </c:spPr>
            <c:extLst>
              <c:ext xmlns:c16="http://schemas.microsoft.com/office/drawing/2014/chart" uri="{C3380CC4-5D6E-409C-BE32-E72D297353CC}">
                <c16:uniqueId val="{00000003-8C84-4027-BD06-3A2C8F06C5E6}"/>
              </c:ext>
            </c:extLst>
          </c:dPt>
          <c:dPt>
            <c:idx val="2"/>
            <c:bubble3D val="0"/>
            <c:spPr>
              <a:solidFill>
                <a:schemeClr val="accent2">
                  <a:shade val="39000"/>
                </a:schemeClr>
              </a:solidFill>
              <a:ln w="19050">
                <a:solidFill>
                  <a:schemeClr val="lt1"/>
                </a:solidFill>
              </a:ln>
              <a:effectLst/>
            </c:spPr>
            <c:extLst>
              <c:ext xmlns:c16="http://schemas.microsoft.com/office/drawing/2014/chart" uri="{C3380CC4-5D6E-409C-BE32-E72D297353CC}">
                <c16:uniqueId val="{00000005-8C84-4027-BD06-3A2C8F06C5E6}"/>
              </c:ext>
            </c:extLst>
          </c:dPt>
          <c:dPt>
            <c:idx val="3"/>
            <c:bubble3D val="0"/>
            <c:spPr>
              <a:solidFill>
                <a:schemeClr val="accent2">
                  <a:shade val="42000"/>
                </a:schemeClr>
              </a:solidFill>
              <a:ln w="19050">
                <a:solidFill>
                  <a:schemeClr val="lt1"/>
                </a:solidFill>
              </a:ln>
              <a:effectLst/>
            </c:spPr>
            <c:extLst>
              <c:ext xmlns:c16="http://schemas.microsoft.com/office/drawing/2014/chart" uri="{C3380CC4-5D6E-409C-BE32-E72D297353CC}">
                <c16:uniqueId val="{00000007-8C84-4027-BD06-3A2C8F06C5E6}"/>
              </c:ext>
            </c:extLst>
          </c:dPt>
          <c:dPt>
            <c:idx val="4"/>
            <c:bubble3D val="0"/>
            <c:spPr>
              <a:solidFill>
                <a:schemeClr val="accent2">
                  <a:shade val="45000"/>
                </a:schemeClr>
              </a:solidFill>
              <a:ln w="19050">
                <a:solidFill>
                  <a:schemeClr val="lt1"/>
                </a:solidFill>
              </a:ln>
              <a:effectLst/>
            </c:spPr>
            <c:extLst>
              <c:ext xmlns:c16="http://schemas.microsoft.com/office/drawing/2014/chart" uri="{C3380CC4-5D6E-409C-BE32-E72D297353CC}">
                <c16:uniqueId val="{00000009-8C84-4027-BD06-3A2C8F06C5E6}"/>
              </c:ext>
            </c:extLst>
          </c:dPt>
          <c:dPt>
            <c:idx val="5"/>
            <c:bubble3D val="0"/>
            <c:spPr>
              <a:solidFill>
                <a:schemeClr val="accent2">
                  <a:shade val="48000"/>
                </a:schemeClr>
              </a:solidFill>
              <a:ln w="19050">
                <a:solidFill>
                  <a:schemeClr val="lt1"/>
                </a:solidFill>
              </a:ln>
              <a:effectLst/>
            </c:spPr>
            <c:extLst>
              <c:ext xmlns:c16="http://schemas.microsoft.com/office/drawing/2014/chart" uri="{C3380CC4-5D6E-409C-BE32-E72D297353CC}">
                <c16:uniqueId val="{0000000B-8C84-4027-BD06-3A2C8F06C5E6}"/>
              </c:ext>
            </c:extLst>
          </c:dPt>
          <c:dPt>
            <c:idx val="6"/>
            <c:bubble3D val="0"/>
            <c:spPr>
              <a:solidFill>
                <a:schemeClr val="accent2">
                  <a:shade val="51000"/>
                </a:schemeClr>
              </a:solidFill>
              <a:ln w="19050">
                <a:solidFill>
                  <a:schemeClr val="lt1"/>
                </a:solidFill>
              </a:ln>
              <a:effectLst/>
            </c:spPr>
            <c:extLst>
              <c:ext xmlns:c16="http://schemas.microsoft.com/office/drawing/2014/chart" uri="{C3380CC4-5D6E-409C-BE32-E72D297353CC}">
                <c16:uniqueId val="{0000000D-8C84-4027-BD06-3A2C8F06C5E6}"/>
              </c:ext>
            </c:extLst>
          </c:dPt>
          <c:dPt>
            <c:idx val="7"/>
            <c:bubble3D val="0"/>
            <c:spPr>
              <a:solidFill>
                <a:schemeClr val="accent2">
                  <a:shade val="54000"/>
                </a:schemeClr>
              </a:solidFill>
              <a:ln w="19050">
                <a:solidFill>
                  <a:schemeClr val="lt1"/>
                </a:solidFill>
              </a:ln>
              <a:effectLst/>
            </c:spPr>
            <c:extLst>
              <c:ext xmlns:c16="http://schemas.microsoft.com/office/drawing/2014/chart" uri="{C3380CC4-5D6E-409C-BE32-E72D297353CC}">
                <c16:uniqueId val="{0000000F-8C84-4027-BD06-3A2C8F06C5E6}"/>
              </c:ext>
            </c:extLst>
          </c:dPt>
          <c:dPt>
            <c:idx val="8"/>
            <c:bubble3D val="0"/>
            <c:spPr>
              <a:solidFill>
                <a:schemeClr val="accent2">
                  <a:shade val="57000"/>
                </a:schemeClr>
              </a:solidFill>
              <a:ln w="19050">
                <a:solidFill>
                  <a:schemeClr val="lt1"/>
                </a:solidFill>
              </a:ln>
              <a:effectLst/>
            </c:spPr>
            <c:extLst>
              <c:ext xmlns:c16="http://schemas.microsoft.com/office/drawing/2014/chart" uri="{C3380CC4-5D6E-409C-BE32-E72D297353CC}">
                <c16:uniqueId val="{00000011-8C84-4027-BD06-3A2C8F06C5E6}"/>
              </c:ext>
            </c:extLst>
          </c:dPt>
          <c:dPt>
            <c:idx val="9"/>
            <c:bubble3D val="0"/>
            <c:spPr>
              <a:solidFill>
                <a:schemeClr val="accent2">
                  <a:shade val="60000"/>
                </a:schemeClr>
              </a:solidFill>
              <a:ln w="19050">
                <a:solidFill>
                  <a:schemeClr val="lt1"/>
                </a:solidFill>
              </a:ln>
              <a:effectLst/>
            </c:spPr>
            <c:extLst>
              <c:ext xmlns:c16="http://schemas.microsoft.com/office/drawing/2014/chart" uri="{C3380CC4-5D6E-409C-BE32-E72D297353CC}">
                <c16:uniqueId val="{00000013-8C84-4027-BD06-3A2C8F06C5E6}"/>
              </c:ext>
            </c:extLst>
          </c:dPt>
          <c:dPt>
            <c:idx val="10"/>
            <c:bubble3D val="0"/>
            <c:spPr>
              <a:solidFill>
                <a:schemeClr val="accent2">
                  <a:shade val="63000"/>
                </a:schemeClr>
              </a:solidFill>
              <a:ln w="19050">
                <a:solidFill>
                  <a:schemeClr val="lt1"/>
                </a:solidFill>
              </a:ln>
              <a:effectLst/>
            </c:spPr>
            <c:extLst>
              <c:ext xmlns:c16="http://schemas.microsoft.com/office/drawing/2014/chart" uri="{C3380CC4-5D6E-409C-BE32-E72D297353CC}">
                <c16:uniqueId val="{00000015-8C84-4027-BD06-3A2C8F06C5E6}"/>
              </c:ext>
            </c:extLst>
          </c:dPt>
          <c:dPt>
            <c:idx val="11"/>
            <c:bubble3D val="0"/>
            <c:spPr>
              <a:solidFill>
                <a:schemeClr val="accent2">
                  <a:shade val="66000"/>
                </a:schemeClr>
              </a:solidFill>
              <a:ln w="19050">
                <a:solidFill>
                  <a:schemeClr val="lt1"/>
                </a:solidFill>
              </a:ln>
              <a:effectLst/>
            </c:spPr>
            <c:extLst>
              <c:ext xmlns:c16="http://schemas.microsoft.com/office/drawing/2014/chart" uri="{C3380CC4-5D6E-409C-BE32-E72D297353CC}">
                <c16:uniqueId val="{00000017-8C84-4027-BD06-3A2C8F06C5E6}"/>
              </c:ext>
            </c:extLst>
          </c:dPt>
          <c:dPt>
            <c:idx val="12"/>
            <c:bubble3D val="0"/>
            <c:spPr>
              <a:solidFill>
                <a:schemeClr val="accent2">
                  <a:shade val="69000"/>
                </a:schemeClr>
              </a:solidFill>
              <a:ln w="19050">
                <a:solidFill>
                  <a:schemeClr val="lt1"/>
                </a:solidFill>
              </a:ln>
              <a:effectLst/>
            </c:spPr>
            <c:extLst>
              <c:ext xmlns:c16="http://schemas.microsoft.com/office/drawing/2014/chart" uri="{C3380CC4-5D6E-409C-BE32-E72D297353CC}">
                <c16:uniqueId val="{00000019-8C84-4027-BD06-3A2C8F06C5E6}"/>
              </c:ext>
            </c:extLst>
          </c:dPt>
          <c:dPt>
            <c:idx val="13"/>
            <c:bubble3D val="0"/>
            <c:spPr>
              <a:solidFill>
                <a:schemeClr val="accent2">
                  <a:shade val="72000"/>
                </a:schemeClr>
              </a:solidFill>
              <a:ln w="19050">
                <a:solidFill>
                  <a:schemeClr val="lt1"/>
                </a:solidFill>
              </a:ln>
              <a:effectLst/>
            </c:spPr>
            <c:extLst>
              <c:ext xmlns:c16="http://schemas.microsoft.com/office/drawing/2014/chart" uri="{C3380CC4-5D6E-409C-BE32-E72D297353CC}">
                <c16:uniqueId val="{0000001B-8C84-4027-BD06-3A2C8F06C5E6}"/>
              </c:ext>
            </c:extLst>
          </c:dPt>
          <c:dPt>
            <c:idx val="14"/>
            <c:bubble3D val="0"/>
            <c:spPr>
              <a:solidFill>
                <a:schemeClr val="accent2">
                  <a:shade val="75000"/>
                </a:schemeClr>
              </a:solidFill>
              <a:ln w="19050">
                <a:solidFill>
                  <a:schemeClr val="lt1"/>
                </a:solidFill>
              </a:ln>
              <a:effectLst/>
            </c:spPr>
            <c:extLst>
              <c:ext xmlns:c16="http://schemas.microsoft.com/office/drawing/2014/chart" uri="{C3380CC4-5D6E-409C-BE32-E72D297353CC}">
                <c16:uniqueId val="{0000001D-8C84-4027-BD06-3A2C8F06C5E6}"/>
              </c:ext>
            </c:extLst>
          </c:dPt>
          <c:dPt>
            <c:idx val="15"/>
            <c:bubble3D val="0"/>
            <c:spPr>
              <a:solidFill>
                <a:schemeClr val="accent2">
                  <a:shade val="78000"/>
                </a:schemeClr>
              </a:solidFill>
              <a:ln w="19050">
                <a:solidFill>
                  <a:schemeClr val="lt1"/>
                </a:solidFill>
              </a:ln>
              <a:effectLst/>
            </c:spPr>
            <c:extLst>
              <c:ext xmlns:c16="http://schemas.microsoft.com/office/drawing/2014/chart" uri="{C3380CC4-5D6E-409C-BE32-E72D297353CC}">
                <c16:uniqueId val="{0000001F-8C84-4027-BD06-3A2C8F06C5E6}"/>
              </c:ext>
            </c:extLst>
          </c:dPt>
          <c:dPt>
            <c:idx val="16"/>
            <c:bubble3D val="0"/>
            <c:spPr>
              <a:solidFill>
                <a:schemeClr val="accent2">
                  <a:shade val="81000"/>
                </a:schemeClr>
              </a:solidFill>
              <a:ln w="19050">
                <a:solidFill>
                  <a:schemeClr val="lt1"/>
                </a:solidFill>
              </a:ln>
              <a:effectLst/>
            </c:spPr>
            <c:extLst>
              <c:ext xmlns:c16="http://schemas.microsoft.com/office/drawing/2014/chart" uri="{C3380CC4-5D6E-409C-BE32-E72D297353CC}">
                <c16:uniqueId val="{00000021-8C84-4027-BD06-3A2C8F06C5E6}"/>
              </c:ext>
            </c:extLst>
          </c:dPt>
          <c:dPt>
            <c:idx val="17"/>
            <c:bubble3D val="0"/>
            <c:spPr>
              <a:solidFill>
                <a:schemeClr val="accent2">
                  <a:shade val="84000"/>
                </a:schemeClr>
              </a:solidFill>
              <a:ln w="19050">
                <a:solidFill>
                  <a:schemeClr val="lt1"/>
                </a:solidFill>
              </a:ln>
              <a:effectLst/>
            </c:spPr>
            <c:extLst>
              <c:ext xmlns:c16="http://schemas.microsoft.com/office/drawing/2014/chart" uri="{C3380CC4-5D6E-409C-BE32-E72D297353CC}">
                <c16:uniqueId val="{00000023-8C84-4027-BD06-3A2C8F06C5E6}"/>
              </c:ext>
            </c:extLst>
          </c:dPt>
          <c:dPt>
            <c:idx val="18"/>
            <c:bubble3D val="0"/>
            <c:spPr>
              <a:solidFill>
                <a:schemeClr val="accent2">
                  <a:shade val="87000"/>
                </a:schemeClr>
              </a:solidFill>
              <a:ln w="19050">
                <a:solidFill>
                  <a:schemeClr val="lt1"/>
                </a:solidFill>
              </a:ln>
              <a:effectLst/>
            </c:spPr>
            <c:extLst>
              <c:ext xmlns:c16="http://schemas.microsoft.com/office/drawing/2014/chart" uri="{C3380CC4-5D6E-409C-BE32-E72D297353CC}">
                <c16:uniqueId val="{00000025-8C84-4027-BD06-3A2C8F06C5E6}"/>
              </c:ext>
            </c:extLst>
          </c:dPt>
          <c:dPt>
            <c:idx val="19"/>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27-8C84-4027-BD06-3A2C8F06C5E6}"/>
              </c:ext>
            </c:extLst>
          </c:dPt>
          <c:dPt>
            <c:idx val="20"/>
            <c:bubble3D val="0"/>
            <c:spPr>
              <a:solidFill>
                <a:schemeClr val="accent2">
                  <a:shade val="93000"/>
                </a:schemeClr>
              </a:solidFill>
              <a:ln w="19050">
                <a:solidFill>
                  <a:schemeClr val="lt1"/>
                </a:solidFill>
              </a:ln>
              <a:effectLst/>
            </c:spPr>
            <c:extLst>
              <c:ext xmlns:c16="http://schemas.microsoft.com/office/drawing/2014/chart" uri="{C3380CC4-5D6E-409C-BE32-E72D297353CC}">
                <c16:uniqueId val="{00000029-8C84-4027-BD06-3A2C8F06C5E6}"/>
              </c:ext>
            </c:extLst>
          </c:dPt>
          <c:dPt>
            <c:idx val="21"/>
            <c:bubble3D val="0"/>
            <c:spPr>
              <a:solidFill>
                <a:schemeClr val="accent2">
                  <a:shade val="96000"/>
                </a:schemeClr>
              </a:solidFill>
              <a:ln w="19050">
                <a:solidFill>
                  <a:schemeClr val="lt1"/>
                </a:solidFill>
              </a:ln>
              <a:effectLst/>
            </c:spPr>
            <c:extLst>
              <c:ext xmlns:c16="http://schemas.microsoft.com/office/drawing/2014/chart" uri="{C3380CC4-5D6E-409C-BE32-E72D297353CC}">
                <c16:uniqueId val="{0000002B-8C84-4027-BD06-3A2C8F06C5E6}"/>
              </c:ext>
            </c:extLst>
          </c:dPt>
          <c:dPt>
            <c:idx val="22"/>
            <c:bubble3D val="0"/>
            <c:spPr>
              <a:solidFill>
                <a:schemeClr val="accent2"/>
              </a:solidFill>
              <a:ln w="19050">
                <a:solidFill>
                  <a:schemeClr val="lt1"/>
                </a:solidFill>
              </a:ln>
              <a:effectLst/>
            </c:spPr>
            <c:extLst>
              <c:ext xmlns:c16="http://schemas.microsoft.com/office/drawing/2014/chart" uri="{C3380CC4-5D6E-409C-BE32-E72D297353CC}">
                <c16:uniqueId val="{0000002D-8C84-4027-BD06-3A2C8F06C5E6}"/>
              </c:ext>
            </c:extLst>
          </c:dPt>
          <c:dPt>
            <c:idx val="23"/>
            <c:bubble3D val="0"/>
            <c:spPr>
              <a:solidFill>
                <a:schemeClr val="accent2">
                  <a:tint val="97000"/>
                </a:schemeClr>
              </a:solidFill>
              <a:ln w="19050">
                <a:solidFill>
                  <a:schemeClr val="lt1"/>
                </a:solidFill>
              </a:ln>
              <a:effectLst/>
            </c:spPr>
            <c:extLst>
              <c:ext xmlns:c16="http://schemas.microsoft.com/office/drawing/2014/chart" uri="{C3380CC4-5D6E-409C-BE32-E72D297353CC}">
                <c16:uniqueId val="{0000002F-8C84-4027-BD06-3A2C8F06C5E6}"/>
              </c:ext>
            </c:extLst>
          </c:dPt>
          <c:dPt>
            <c:idx val="24"/>
            <c:bubble3D val="0"/>
            <c:spPr>
              <a:solidFill>
                <a:schemeClr val="accent2">
                  <a:tint val="94000"/>
                </a:schemeClr>
              </a:solidFill>
              <a:ln w="19050">
                <a:solidFill>
                  <a:schemeClr val="lt1"/>
                </a:solidFill>
              </a:ln>
              <a:effectLst/>
            </c:spPr>
            <c:extLst>
              <c:ext xmlns:c16="http://schemas.microsoft.com/office/drawing/2014/chart" uri="{C3380CC4-5D6E-409C-BE32-E72D297353CC}">
                <c16:uniqueId val="{00000031-8C84-4027-BD06-3A2C8F06C5E6}"/>
              </c:ext>
            </c:extLst>
          </c:dPt>
          <c:dPt>
            <c:idx val="25"/>
            <c:bubble3D val="0"/>
            <c:spPr>
              <a:solidFill>
                <a:schemeClr val="accent2">
                  <a:tint val="91000"/>
                </a:schemeClr>
              </a:solidFill>
              <a:ln w="19050">
                <a:solidFill>
                  <a:schemeClr val="lt1"/>
                </a:solidFill>
              </a:ln>
              <a:effectLst/>
            </c:spPr>
            <c:extLst>
              <c:ext xmlns:c16="http://schemas.microsoft.com/office/drawing/2014/chart" uri="{C3380CC4-5D6E-409C-BE32-E72D297353CC}">
                <c16:uniqueId val="{00000033-8C84-4027-BD06-3A2C8F06C5E6}"/>
              </c:ext>
            </c:extLst>
          </c:dPt>
          <c:dPt>
            <c:idx val="26"/>
            <c:bubble3D val="0"/>
            <c:spPr>
              <a:solidFill>
                <a:schemeClr val="accent2">
                  <a:tint val="88000"/>
                </a:schemeClr>
              </a:solidFill>
              <a:ln w="19050">
                <a:solidFill>
                  <a:schemeClr val="lt1"/>
                </a:solidFill>
              </a:ln>
              <a:effectLst/>
            </c:spPr>
            <c:extLst>
              <c:ext xmlns:c16="http://schemas.microsoft.com/office/drawing/2014/chart" uri="{C3380CC4-5D6E-409C-BE32-E72D297353CC}">
                <c16:uniqueId val="{00000035-8C84-4027-BD06-3A2C8F06C5E6}"/>
              </c:ext>
            </c:extLst>
          </c:dPt>
          <c:dPt>
            <c:idx val="27"/>
            <c:bubble3D val="0"/>
            <c:spPr>
              <a:solidFill>
                <a:schemeClr val="accent2">
                  <a:tint val="85000"/>
                </a:schemeClr>
              </a:solidFill>
              <a:ln w="19050">
                <a:solidFill>
                  <a:schemeClr val="lt1"/>
                </a:solidFill>
              </a:ln>
              <a:effectLst/>
            </c:spPr>
            <c:extLst>
              <c:ext xmlns:c16="http://schemas.microsoft.com/office/drawing/2014/chart" uri="{C3380CC4-5D6E-409C-BE32-E72D297353CC}">
                <c16:uniqueId val="{00000037-8C84-4027-BD06-3A2C8F06C5E6}"/>
              </c:ext>
            </c:extLst>
          </c:dPt>
          <c:dPt>
            <c:idx val="28"/>
            <c:bubble3D val="0"/>
            <c:spPr>
              <a:solidFill>
                <a:schemeClr val="accent2">
                  <a:tint val="82000"/>
                </a:schemeClr>
              </a:solidFill>
              <a:ln w="19050">
                <a:solidFill>
                  <a:schemeClr val="lt1"/>
                </a:solidFill>
              </a:ln>
              <a:effectLst/>
            </c:spPr>
            <c:extLst>
              <c:ext xmlns:c16="http://schemas.microsoft.com/office/drawing/2014/chart" uri="{C3380CC4-5D6E-409C-BE32-E72D297353CC}">
                <c16:uniqueId val="{00000039-8C84-4027-BD06-3A2C8F06C5E6}"/>
              </c:ext>
            </c:extLst>
          </c:dPt>
          <c:dPt>
            <c:idx val="29"/>
            <c:bubble3D val="0"/>
            <c:spPr>
              <a:solidFill>
                <a:schemeClr val="accent2">
                  <a:tint val="79000"/>
                </a:schemeClr>
              </a:solidFill>
              <a:ln w="19050">
                <a:solidFill>
                  <a:schemeClr val="lt1"/>
                </a:solidFill>
              </a:ln>
              <a:effectLst/>
            </c:spPr>
            <c:extLst>
              <c:ext xmlns:c16="http://schemas.microsoft.com/office/drawing/2014/chart" uri="{C3380CC4-5D6E-409C-BE32-E72D297353CC}">
                <c16:uniqueId val="{0000003B-8C84-4027-BD06-3A2C8F06C5E6}"/>
              </c:ext>
            </c:extLst>
          </c:dPt>
          <c:dPt>
            <c:idx val="30"/>
            <c:bubble3D val="0"/>
            <c:spPr>
              <a:solidFill>
                <a:schemeClr val="accent2">
                  <a:tint val="76000"/>
                </a:schemeClr>
              </a:solidFill>
              <a:ln w="19050">
                <a:solidFill>
                  <a:schemeClr val="lt1"/>
                </a:solidFill>
              </a:ln>
              <a:effectLst/>
            </c:spPr>
            <c:extLst>
              <c:ext xmlns:c16="http://schemas.microsoft.com/office/drawing/2014/chart" uri="{C3380CC4-5D6E-409C-BE32-E72D297353CC}">
                <c16:uniqueId val="{0000003D-8C84-4027-BD06-3A2C8F06C5E6}"/>
              </c:ext>
            </c:extLst>
          </c:dPt>
          <c:dPt>
            <c:idx val="31"/>
            <c:bubble3D val="0"/>
            <c:spPr>
              <a:solidFill>
                <a:schemeClr val="accent2">
                  <a:tint val="73000"/>
                </a:schemeClr>
              </a:solidFill>
              <a:ln w="19050">
                <a:solidFill>
                  <a:schemeClr val="lt1"/>
                </a:solidFill>
              </a:ln>
              <a:effectLst/>
            </c:spPr>
            <c:extLst>
              <c:ext xmlns:c16="http://schemas.microsoft.com/office/drawing/2014/chart" uri="{C3380CC4-5D6E-409C-BE32-E72D297353CC}">
                <c16:uniqueId val="{0000003F-8C84-4027-BD06-3A2C8F06C5E6}"/>
              </c:ext>
            </c:extLst>
          </c:dPt>
          <c:dPt>
            <c:idx val="32"/>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41-8C84-4027-BD06-3A2C8F06C5E6}"/>
              </c:ext>
            </c:extLst>
          </c:dPt>
          <c:dPt>
            <c:idx val="33"/>
            <c:bubble3D val="0"/>
            <c:spPr>
              <a:solidFill>
                <a:schemeClr val="accent2">
                  <a:tint val="67000"/>
                </a:schemeClr>
              </a:solidFill>
              <a:ln w="19050">
                <a:solidFill>
                  <a:schemeClr val="lt1"/>
                </a:solidFill>
              </a:ln>
              <a:effectLst/>
            </c:spPr>
            <c:extLst>
              <c:ext xmlns:c16="http://schemas.microsoft.com/office/drawing/2014/chart" uri="{C3380CC4-5D6E-409C-BE32-E72D297353CC}">
                <c16:uniqueId val="{00000043-8C84-4027-BD06-3A2C8F06C5E6}"/>
              </c:ext>
            </c:extLst>
          </c:dPt>
          <c:dPt>
            <c:idx val="34"/>
            <c:bubble3D val="0"/>
            <c:spPr>
              <a:solidFill>
                <a:schemeClr val="accent2">
                  <a:tint val="64000"/>
                </a:schemeClr>
              </a:solidFill>
              <a:ln w="19050">
                <a:solidFill>
                  <a:schemeClr val="lt1"/>
                </a:solidFill>
              </a:ln>
              <a:effectLst/>
            </c:spPr>
            <c:extLst>
              <c:ext xmlns:c16="http://schemas.microsoft.com/office/drawing/2014/chart" uri="{C3380CC4-5D6E-409C-BE32-E72D297353CC}">
                <c16:uniqueId val="{00000045-8C84-4027-BD06-3A2C8F06C5E6}"/>
              </c:ext>
            </c:extLst>
          </c:dPt>
          <c:dPt>
            <c:idx val="35"/>
            <c:bubble3D val="0"/>
            <c:spPr>
              <a:solidFill>
                <a:schemeClr val="accent2">
                  <a:tint val="61000"/>
                </a:schemeClr>
              </a:solidFill>
              <a:ln w="19050">
                <a:solidFill>
                  <a:schemeClr val="lt1"/>
                </a:solidFill>
              </a:ln>
              <a:effectLst/>
            </c:spPr>
            <c:extLst>
              <c:ext xmlns:c16="http://schemas.microsoft.com/office/drawing/2014/chart" uri="{C3380CC4-5D6E-409C-BE32-E72D297353CC}">
                <c16:uniqueId val="{00000047-8C84-4027-BD06-3A2C8F06C5E6}"/>
              </c:ext>
            </c:extLst>
          </c:dPt>
          <c:dPt>
            <c:idx val="36"/>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49-8C84-4027-BD06-3A2C8F06C5E6}"/>
              </c:ext>
            </c:extLst>
          </c:dPt>
          <c:dPt>
            <c:idx val="37"/>
            <c:bubble3D val="0"/>
            <c:spPr>
              <a:solidFill>
                <a:schemeClr val="accent2">
                  <a:tint val="55000"/>
                </a:schemeClr>
              </a:solidFill>
              <a:ln w="19050">
                <a:solidFill>
                  <a:schemeClr val="lt1"/>
                </a:solidFill>
              </a:ln>
              <a:effectLst/>
            </c:spPr>
            <c:extLst>
              <c:ext xmlns:c16="http://schemas.microsoft.com/office/drawing/2014/chart" uri="{C3380CC4-5D6E-409C-BE32-E72D297353CC}">
                <c16:uniqueId val="{0000004B-8C84-4027-BD06-3A2C8F06C5E6}"/>
              </c:ext>
            </c:extLst>
          </c:dPt>
          <c:dPt>
            <c:idx val="38"/>
            <c:bubble3D val="0"/>
            <c:spPr>
              <a:solidFill>
                <a:schemeClr val="accent2">
                  <a:tint val="52000"/>
                </a:schemeClr>
              </a:solidFill>
              <a:ln w="19050">
                <a:solidFill>
                  <a:schemeClr val="lt1"/>
                </a:solidFill>
              </a:ln>
              <a:effectLst/>
            </c:spPr>
            <c:extLst>
              <c:ext xmlns:c16="http://schemas.microsoft.com/office/drawing/2014/chart" uri="{C3380CC4-5D6E-409C-BE32-E72D297353CC}">
                <c16:uniqueId val="{0000004D-8C84-4027-BD06-3A2C8F06C5E6}"/>
              </c:ext>
            </c:extLst>
          </c:dPt>
          <c:dPt>
            <c:idx val="39"/>
            <c:bubble3D val="0"/>
            <c:spPr>
              <a:solidFill>
                <a:schemeClr val="accent2">
                  <a:tint val="49000"/>
                </a:schemeClr>
              </a:solidFill>
              <a:ln w="19050">
                <a:solidFill>
                  <a:schemeClr val="lt1"/>
                </a:solidFill>
              </a:ln>
              <a:effectLst/>
            </c:spPr>
            <c:extLst>
              <c:ext xmlns:c16="http://schemas.microsoft.com/office/drawing/2014/chart" uri="{C3380CC4-5D6E-409C-BE32-E72D297353CC}">
                <c16:uniqueId val="{0000004F-8C84-4027-BD06-3A2C8F06C5E6}"/>
              </c:ext>
            </c:extLst>
          </c:dPt>
          <c:dPt>
            <c:idx val="40"/>
            <c:bubble3D val="0"/>
            <c:spPr>
              <a:solidFill>
                <a:schemeClr val="accent2">
                  <a:tint val="46000"/>
                </a:schemeClr>
              </a:solidFill>
              <a:ln w="19050">
                <a:solidFill>
                  <a:schemeClr val="lt1"/>
                </a:solidFill>
              </a:ln>
              <a:effectLst/>
            </c:spPr>
            <c:extLst>
              <c:ext xmlns:c16="http://schemas.microsoft.com/office/drawing/2014/chart" uri="{C3380CC4-5D6E-409C-BE32-E72D297353CC}">
                <c16:uniqueId val="{00000051-8C84-4027-BD06-3A2C8F06C5E6}"/>
              </c:ext>
            </c:extLst>
          </c:dPt>
          <c:dPt>
            <c:idx val="41"/>
            <c:bubble3D val="0"/>
            <c:spPr>
              <a:solidFill>
                <a:schemeClr val="accent2">
                  <a:tint val="43000"/>
                </a:schemeClr>
              </a:solidFill>
              <a:ln w="19050">
                <a:solidFill>
                  <a:schemeClr val="lt1"/>
                </a:solidFill>
              </a:ln>
              <a:effectLst/>
            </c:spPr>
            <c:extLst>
              <c:ext xmlns:c16="http://schemas.microsoft.com/office/drawing/2014/chart" uri="{C3380CC4-5D6E-409C-BE32-E72D297353CC}">
                <c16:uniqueId val="{00000053-8C84-4027-BD06-3A2C8F06C5E6}"/>
              </c:ext>
            </c:extLst>
          </c:dPt>
          <c:dPt>
            <c:idx val="42"/>
            <c:bubble3D val="0"/>
            <c:spPr>
              <a:solidFill>
                <a:schemeClr val="accent2">
                  <a:tint val="40000"/>
                </a:schemeClr>
              </a:solidFill>
              <a:ln w="19050">
                <a:solidFill>
                  <a:schemeClr val="lt1"/>
                </a:solidFill>
              </a:ln>
              <a:effectLst/>
            </c:spPr>
            <c:extLst>
              <c:ext xmlns:c16="http://schemas.microsoft.com/office/drawing/2014/chart" uri="{C3380CC4-5D6E-409C-BE32-E72D297353CC}">
                <c16:uniqueId val="{00000055-8C84-4027-BD06-3A2C8F06C5E6}"/>
              </c:ext>
            </c:extLst>
          </c:dPt>
          <c:dPt>
            <c:idx val="43"/>
            <c:bubble3D val="0"/>
            <c:spPr>
              <a:solidFill>
                <a:schemeClr val="accent2">
                  <a:tint val="37000"/>
                </a:schemeClr>
              </a:solidFill>
              <a:ln w="19050">
                <a:solidFill>
                  <a:schemeClr val="lt1"/>
                </a:solidFill>
              </a:ln>
              <a:effectLst/>
            </c:spPr>
            <c:extLst>
              <c:ext xmlns:c16="http://schemas.microsoft.com/office/drawing/2014/chart" uri="{C3380CC4-5D6E-409C-BE32-E72D297353CC}">
                <c16:uniqueId val="{00000057-8C84-4027-BD06-3A2C8F06C5E6}"/>
              </c:ext>
            </c:extLst>
          </c:dPt>
          <c:dPt>
            <c:idx val="44"/>
            <c:bubble3D val="0"/>
            <c:spPr>
              <a:solidFill>
                <a:schemeClr val="accent2">
                  <a:tint val="34000"/>
                </a:schemeClr>
              </a:solidFill>
              <a:ln w="19050">
                <a:solidFill>
                  <a:schemeClr val="lt1"/>
                </a:solidFill>
              </a:ln>
              <a:effectLst/>
            </c:spPr>
            <c:extLst>
              <c:ext xmlns:c16="http://schemas.microsoft.com/office/drawing/2014/chart" uri="{C3380CC4-5D6E-409C-BE32-E72D297353CC}">
                <c16:uniqueId val="{00000059-8C84-4027-BD06-3A2C8F06C5E6}"/>
              </c:ext>
            </c:extLst>
          </c:dPt>
          <c:cat>
            <c:strRef>
              <c:f>'Constructor Points Comparison'!$M$5:$M$50</c:f>
              <c:strCache>
                <c:ptCount val="45"/>
                <c:pt idx="0">
                  <c:v>Alexander Albon</c:v>
                </c:pt>
                <c:pt idx="1">
                  <c:v>Andrea Kimi Antonelli</c:v>
                </c:pt>
                <c:pt idx="2">
                  <c:v>Antonio Giovinazzi</c:v>
                </c:pt>
                <c:pt idx="3">
                  <c:v>Arvid Lindblad</c:v>
                </c:pt>
                <c:pt idx="4">
                  <c:v>Brendon Hartley</c:v>
                </c:pt>
                <c:pt idx="5">
                  <c:v>Carlos Sainz</c:v>
                </c:pt>
                <c:pt idx="6">
                  <c:v>Charles Leclerc</c:v>
                </c:pt>
                <c:pt idx="7">
                  <c:v>Daniel Ricciardo</c:v>
                </c:pt>
                <c:pt idx="8">
                  <c:v>Daniil Kvyat</c:v>
                </c:pt>
                <c:pt idx="9">
                  <c:v>Esteban Ocon</c:v>
                </c:pt>
                <c:pt idx="10">
                  <c:v>Fernando Alonso</c:v>
                </c:pt>
                <c:pt idx="11">
                  <c:v>Franco Colapinto</c:v>
                </c:pt>
                <c:pt idx="12">
                  <c:v>Gabriel Bortoleto</c:v>
                </c:pt>
                <c:pt idx="13">
                  <c:v>George Russell</c:v>
                </c:pt>
                <c:pt idx="14">
                  <c:v>Guanyu Zhou</c:v>
                </c:pt>
                <c:pt idx="15">
                  <c:v>Isack Hadjar</c:v>
                </c:pt>
                <c:pt idx="16">
                  <c:v>Jack Aitken</c:v>
                </c:pt>
                <c:pt idx="17">
                  <c:v>Jack Doohan</c:v>
                </c:pt>
                <c:pt idx="18">
                  <c:v>Kevin Magnussen</c:v>
                </c:pt>
                <c:pt idx="19">
                  <c:v>Kimi Antonelli</c:v>
                </c:pt>
                <c:pt idx="20">
                  <c:v>Kimi RÃ¤ikkÃ¶nen</c:v>
                </c:pt>
                <c:pt idx="21">
                  <c:v>Lance Stroll</c:v>
                </c:pt>
                <c:pt idx="22">
                  <c:v>Lando Norris</c:v>
                </c:pt>
                <c:pt idx="23">
                  <c:v>Lewis Hamilton</c:v>
                </c:pt>
                <c:pt idx="24">
                  <c:v>Liam Lawson</c:v>
                </c:pt>
                <c:pt idx="25">
                  <c:v>Logan Sargeant</c:v>
                </c:pt>
                <c:pt idx="26">
                  <c:v>Marcus Ericsson</c:v>
                </c:pt>
                <c:pt idx="27">
                  <c:v>Max Verstappen</c:v>
                </c:pt>
                <c:pt idx="28">
                  <c:v>Mick Schumacher</c:v>
                </c:pt>
                <c:pt idx="29">
                  <c:v>Nicholas Latifi</c:v>
                </c:pt>
                <c:pt idx="30">
                  <c:v>Nico Hulkenberg</c:v>
                </c:pt>
                <c:pt idx="31">
                  <c:v>Nikita Mazepin</c:v>
                </c:pt>
                <c:pt idx="32">
                  <c:v>Nyck De Vries</c:v>
                </c:pt>
                <c:pt idx="33">
                  <c:v>Oliver Bearman</c:v>
                </c:pt>
                <c:pt idx="34">
                  <c:v>Oscar Piastri</c:v>
                </c:pt>
                <c:pt idx="35">
                  <c:v>Pierre Gasly</c:v>
                </c:pt>
                <c:pt idx="36">
                  <c:v>Pietro Fittipaldi</c:v>
                </c:pt>
                <c:pt idx="37">
                  <c:v>Robert Kubica</c:v>
                </c:pt>
                <c:pt idx="38">
                  <c:v>Romain Grosjean</c:v>
                </c:pt>
                <c:pt idx="39">
                  <c:v>Sebastian Vettel</c:v>
                </c:pt>
                <c:pt idx="40">
                  <c:v>Sergey Sirotkin</c:v>
                </c:pt>
                <c:pt idx="41">
                  <c:v>Sergio Perez</c:v>
                </c:pt>
                <c:pt idx="42">
                  <c:v>Stoffel Vandoorne</c:v>
                </c:pt>
                <c:pt idx="43">
                  <c:v>Valtteri Bottas</c:v>
                </c:pt>
                <c:pt idx="44">
                  <c:v>Yuki Tsunoda</c:v>
                </c:pt>
              </c:strCache>
            </c:strRef>
          </c:cat>
          <c:val>
            <c:numRef>
              <c:f>'Constructor Points Comparison'!$N$5:$N$50</c:f>
              <c:numCache>
                <c:formatCode>General</c:formatCode>
                <c:ptCount val="45"/>
                <c:pt idx="0">
                  <c:v>313</c:v>
                </c:pt>
                <c:pt idx="1">
                  <c:v>12</c:v>
                </c:pt>
                <c:pt idx="2">
                  <c:v>21</c:v>
                </c:pt>
                <c:pt idx="3">
                  <c:v>30</c:v>
                </c:pt>
                <c:pt idx="4">
                  <c:v>4</c:v>
                </c:pt>
                <c:pt idx="5">
                  <c:v>1141.5</c:v>
                </c:pt>
                <c:pt idx="6">
                  <c:v>1727</c:v>
                </c:pt>
                <c:pt idx="7">
                  <c:v>504</c:v>
                </c:pt>
                <c:pt idx="8">
                  <c:v>69</c:v>
                </c:pt>
                <c:pt idx="9">
                  <c:v>382</c:v>
                </c:pt>
                <c:pt idx="10">
                  <c:v>534</c:v>
                </c:pt>
                <c:pt idx="11">
                  <c:v>32</c:v>
                </c:pt>
                <c:pt idx="12">
                  <c:v>29</c:v>
                </c:pt>
                <c:pt idx="13">
                  <c:v>1130</c:v>
                </c:pt>
                <c:pt idx="14">
                  <c:v>16</c:v>
                </c:pt>
                <c:pt idx="15">
                  <c:v>121</c:v>
                </c:pt>
                <c:pt idx="16">
                  <c:v>0</c:v>
                </c:pt>
                <c:pt idx="17">
                  <c:v>0</c:v>
                </c:pt>
                <c:pt idx="18">
                  <c:v>115</c:v>
                </c:pt>
                <c:pt idx="19">
                  <c:v>389</c:v>
                </c:pt>
                <c:pt idx="20">
                  <c:v>290</c:v>
                </c:pt>
                <c:pt idx="21">
                  <c:v>273</c:v>
                </c:pt>
                <c:pt idx="22">
                  <c:v>1498</c:v>
                </c:pt>
                <c:pt idx="23">
                  <c:v>2491.5</c:v>
                </c:pt>
                <c:pt idx="24">
                  <c:v>100</c:v>
                </c:pt>
                <c:pt idx="25">
                  <c:v>1</c:v>
                </c:pt>
                <c:pt idx="26">
                  <c:v>9</c:v>
                </c:pt>
                <c:pt idx="27">
                  <c:v>3003.5</c:v>
                </c:pt>
                <c:pt idx="28">
                  <c:v>12</c:v>
                </c:pt>
                <c:pt idx="29">
                  <c:v>9</c:v>
                </c:pt>
                <c:pt idx="30">
                  <c:v>216</c:v>
                </c:pt>
                <c:pt idx="31">
                  <c:v>0</c:v>
                </c:pt>
                <c:pt idx="32">
                  <c:v>2</c:v>
                </c:pt>
                <c:pt idx="33">
                  <c:v>63</c:v>
                </c:pt>
                <c:pt idx="34">
                  <c:v>827</c:v>
                </c:pt>
                <c:pt idx="35">
                  <c:v>485</c:v>
                </c:pt>
                <c:pt idx="36">
                  <c:v>0</c:v>
                </c:pt>
                <c:pt idx="37">
                  <c:v>1</c:v>
                </c:pt>
                <c:pt idx="38">
                  <c:v>47</c:v>
                </c:pt>
                <c:pt idx="39">
                  <c:v>661</c:v>
                </c:pt>
                <c:pt idx="40">
                  <c:v>0</c:v>
                </c:pt>
                <c:pt idx="41">
                  <c:v>1112</c:v>
                </c:pt>
                <c:pt idx="42">
                  <c:v>12</c:v>
                </c:pt>
                <c:pt idx="43">
                  <c:v>1057</c:v>
                </c:pt>
                <c:pt idx="44">
                  <c:v>109</c:v>
                </c:pt>
              </c:numCache>
            </c:numRef>
          </c:val>
          <c:extLst>
            <c:ext xmlns:c16="http://schemas.microsoft.com/office/drawing/2014/chart" uri="{C3380CC4-5D6E-409C-BE32-E72D297353CC}">
              <c16:uniqueId val="{0000005A-8C84-4027-BD06-3A2C8F06C5E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'Finish Vs Starting'!$F$5</c:f>
              <c:strCache>
                <c:ptCount val="1"/>
                <c:pt idx="0">
                  <c:v>Finish Position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'Finish Vs Starting'!$E$6:$E$28</c:f>
              <c:numCache>
                <c:formatCode>General</c:formatCode>
                <c:ptCount val="2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numCache>
            </c:numRef>
          </c:xVal>
          <c:yVal>
            <c:numRef>
              <c:f>'Finish Vs Starting'!$F$6:$F$28</c:f>
              <c:numCache>
                <c:formatCode>General</c:formatCode>
                <c:ptCount val="23"/>
                <c:pt idx="0">
                  <c:v>14.13953488372093</c:v>
                </c:pt>
                <c:pt idx="1">
                  <c:v>3.553763440860215</c:v>
                </c:pt>
                <c:pt idx="2">
                  <c:v>4.064516129032258</c:v>
                </c:pt>
                <c:pt idx="3">
                  <c:v>5.467741935483871</c:v>
                </c:pt>
                <c:pt idx="4">
                  <c:v>5.903225806451613</c:v>
                </c:pt>
                <c:pt idx="5">
                  <c:v>7.263440860215054</c:v>
                </c:pt>
                <c:pt idx="6">
                  <c:v>7.731182795698925</c:v>
                </c:pt>
                <c:pt idx="7">
                  <c:v>8.7297297297297298</c:v>
                </c:pt>
                <c:pt idx="8">
                  <c:v>9.9405405405405407</c:v>
                </c:pt>
                <c:pt idx="9">
                  <c:v>10.32258064516129</c:v>
                </c:pt>
                <c:pt idx="10">
                  <c:v>11.210810810810811</c:v>
                </c:pt>
                <c:pt idx="11">
                  <c:v>11.470270270270269</c:v>
                </c:pt>
                <c:pt idx="12">
                  <c:v>12.053763440860216</c:v>
                </c:pt>
                <c:pt idx="13">
                  <c:v>12.630434782608695</c:v>
                </c:pt>
                <c:pt idx="14">
                  <c:v>13.45945945945946</c:v>
                </c:pt>
                <c:pt idx="15">
                  <c:v>13.416216216216217</c:v>
                </c:pt>
                <c:pt idx="16">
                  <c:v>14.286486486486487</c:v>
                </c:pt>
                <c:pt idx="17">
                  <c:v>14.53225806451613</c:v>
                </c:pt>
                <c:pt idx="18">
                  <c:v>14.972677595628415</c:v>
                </c:pt>
                <c:pt idx="19">
                  <c:v>14.597826086956522</c:v>
                </c:pt>
                <c:pt idx="20">
                  <c:v>14.894736842105264</c:v>
                </c:pt>
                <c:pt idx="21">
                  <c:v>16.571428571428573</c:v>
                </c:pt>
                <c:pt idx="22">
                  <c:v>18.357142857142858</c:v>
                </c:pt>
              </c:numCache>
            </c:numRef>
          </c:yVal>
          <c:smooth val="0"/>
          <c:extLst>
            <c:ext xmlns:c16="http://schemas.microsoft.com/office/drawing/2014/chart" uri="{C3380CC4-5D6E-409C-BE32-E72D297353CC}">
              <c16:uniqueId val="{00000000-228A-4E61-8064-9975C97E54DD}"/>
            </c:ext>
          </c:extLst>
        </c:ser>
        <c:dLbls>
          <c:showLegendKey val="0"/>
          <c:showVal val="0"/>
          <c:showCatName val="0"/>
          <c:showSerName val="0"/>
          <c:showPercent val="0"/>
          <c:showBubbleSize val="0"/>
        </c:dLbls>
        <c:axId val="1503956528"/>
        <c:axId val="1497831856"/>
      </c:scatterChart>
      <c:valAx>
        <c:axId val="150395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31856"/>
        <c:crosses val="autoZero"/>
        <c:crossBetween val="midCat"/>
      </c:valAx>
      <c:valAx>
        <c:axId val="149783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956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[F1_2018_2026_RACE_DATA.csv.xlsx]Driver Championship Points!PivotTable2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'Driver Championship Points'!$F$5:$F$6</c:f>
              <c:strCache>
                <c:ptCount val="1"/>
                <c:pt idx="0">
                  <c:v>Alfa Romeo</c:v>
                </c:pt>
              </c:strCache>
            </c:strRef>
          </c:tx>
          <c:spPr>
            <a:solidFill>
              <a:schemeClr val="accent1"/>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Points'!$F$7:$F$52</c:f>
              <c:numCache>
                <c:formatCode>General</c:formatCode>
                <c:ptCount val="45"/>
                <c:pt idx="7">
                  <c:v>57</c:v>
                </c:pt>
                <c:pt idx="30">
                  <c:v>12</c:v>
                </c:pt>
              </c:numCache>
            </c:numRef>
          </c:val>
          <c:extLst>
            <c:ext xmlns:c16="http://schemas.microsoft.com/office/drawing/2014/chart" uri="{C3380CC4-5D6E-409C-BE32-E72D297353CC}">
              <c16:uniqueId val="{00000000-623A-4965-A40D-20D85365DE8C}"/>
            </c:ext>
          </c:extLst>
        </c:ser>
        <c:ser>
          <c:idx val="1"/>
          <c:order val="1"/>
          <c:tx>
            <c:strRef>
              <c:f>'Driver Championship Points'!$G$5:$G$6</c:f>
              <c:strCache>
                <c:ptCount val="1"/>
                <c:pt idx="0">
                  <c:v>Alfa Romeo Racing</c:v>
                </c:pt>
              </c:strCache>
            </c:strRef>
          </c:tx>
          <c:spPr>
            <a:solidFill>
              <a:schemeClr val="accent2"/>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Points'!$G$7:$G$52</c:f>
              <c:numCache>
                <c:formatCode>General</c:formatCode>
                <c:ptCount val="45"/>
                <c:pt idx="16">
                  <c:v>57</c:v>
                </c:pt>
                <c:pt idx="29">
                  <c:v>21</c:v>
                </c:pt>
                <c:pt idx="38">
                  <c:v>0</c:v>
                </c:pt>
              </c:numCache>
            </c:numRef>
          </c:val>
          <c:extLst>
            <c:ext xmlns:c16="http://schemas.microsoft.com/office/drawing/2014/chart" uri="{C3380CC4-5D6E-409C-BE32-E72D297353CC}">
              <c16:uniqueId val="{00000049-5DB4-4C8B-89FA-D54D4FB25430}"/>
            </c:ext>
          </c:extLst>
        </c:ser>
        <c:ser>
          <c:idx val="2"/>
          <c:order val="2"/>
          <c:tx>
            <c:strRef>
              <c:f>'Driver Championship Points'!$H$5:$H$6</c:f>
              <c:strCache>
                <c:ptCount val="1"/>
                <c:pt idx="0">
                  <c:v>AlphaTauri</c:v>
                </c:pt>
              </c:strCache>
            </c:strRef>
          </c:tx>
          <c:spPr>
            <a:solidFill>
              <a:schemeClr val="accent3"/>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Points'!$H$7:$H$52</c:f>
              <c:numCache>
                <c:formatCode>General</c:formatCode>
                <c:ptCount val="45"/>
                <c:pt idx="11">
                  <c:v>6</c:v>
                </c:pt>
                <c:pt idx="12">
                  <c:v>208</c:v>
                </c:pt>
                <c:pt idx="21">
                  <c:v>58</c:v>
                </c:pt>
                <c:pt idx="22">
                  <c:v>2</c:v>
                </c:pt>
                <c:pt idx="23">
                  <c:v>32</c:v>
                </c:pt>
                <c:pt idx="37">
                  <c:v>0</c:v>
                </c:pt>
              </c:numCache>
            </c:numRef>
          </c:val>
          <c:extLst>
            <c:ext xmlns:c16="http://schemas.microsoft.com/office/drawing/2014/chart" uri="{C3380CC4-5D6E-409C-BE32-E72D297353CC}">
              <c16:uniqueId val="{0000004A-5DB4-4C8B-89FA-D54D4FB25430}"/>
            </c:ext>
          </c:extLst>
        </c:ser>
        <c:ser>
          <c:idx val="3"/>
          <c:order val="3"/>
          <c:tx>
            <c:strRef>
              <c:f>'Driver Championship Points'!$I$5:$I$6</c:f>
              <c:strCache>
                <c:ptCount val="1"/>
                <c:pt idx="0">
                  <c:v>Alpine</c:v>
                </c:pt>
              </c:strCache>
            </c:strRef>
          </c:tx>
          <c:spPr>
            <a:solidFill>
              <a:schemeClr val="accent4"/>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Points'!$I$7:$I$52</c:f>
              <c:numCache>
                <c:formatCode>General</c:formatCode>
                <c:ptCount val="45"/>
                <c:pt idx="10">
                  <c:v>162</c:v>
                </c:pt>
                <c:pt idx="12">
                  <c:v>153</c:v>
                </c:pt>
                <c:pt idx="14">
                  <c:v>242</c:v>
                </c:pt>
                <c:pt idx="26">
                  <c:v>27</c:v>
                </c:pt>
                <c:pt idx="44">
                  <c:v>0</c:v>
                </c:pt>
              </c:numCache>
            </c:numRef>
          </c:val>
          <c:extLst>
            <c:ext xmlns:c16="http://schemas.microsoft.com/office/drawing/2014/chart" uri="{C3380CC4-5D6E-409C-BE32-E72D297353CC}">
              <c16:uniqueId val="{0000004B-5DB4-4C8B-89FA-D54D4FB25430}"/>
            </c:ext>
          </c:extLst>
        </c:ser>
        <c:ser>
          <c:idx val="4"/>
          <c:order val="4"/>
          <c:tx>
            <c:strRef>
              <c:f>'Driver Championship Points'!$J$5:$J$6</c:f>
              <c:strCache>
                <c:ptCount val="1"/>
                <c:pt idx="0">
                  <c:v>Aston Martin</c:v>
                </c:pt>
              </c:strCache>
            </c:strRef>
          </c:tx>
          <c:spPr>
            <a:solidFill>
              <a:schemeClr val="accent5"/>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Points'!$J$7:$J$52</c:f>
              <c:numCache>
                <c:formatCode>General</c:formatCode>
                <c:ptCount val="45"/>
                <c:pt idx="9">
                  <c:v>80</c:v>
                </c:pt>
                <c:pt idx="10">
                  <c:v>322</c:v>
                </c:pt>
                <c:pt idx="17">
                  <c:v>173</c:v>
                </c:pt>
                <c:pt idx="18">
                  <c:v>0</c:v>
                </c:pt>
              </c:numCache>
            </c:numRef>
          </c:val>
          <c:extLst>
            <c:ext xmlns:c16="http://schemas.microsoft.com/office/drawing/2014/chart" uri="{C3380CC4-5D6E-409C-BE32-E72D297353CC}">
              <c16:uniqueId val="{0000004C-5DB4-4C8B-89FA-D54D4FB25430}"/>
            </c:ext>
          </c:extLst>
        </c:ser>
        <c:ser>
          <c:idx val="5"/>
          <c:order val="5"/>
          <c:tx>
            <c:strRef>
              <c:f>'Driver Championship Points'!$K$5:$K$6</c:f>
              <c:strCache>
                <c:ptCount val="1"/>
                <c:pt idx="0">
                  <c:v>Audi</c:v>
                </c:pt>
              </c:strCache>
            </c:strRef>
          </c:tx>
          <c:spPr>
            <a:solidFill>
              <a:schemeClr val="accent6"/>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Points'!$K$7:$K$52</c:f>
              <c:numCache>
                <c:formatCode>General</c:formatCode>
                <c:ptCount val="45"/>
                <c:pt idx="18">
                  <c:v>7</c:v>
                </c:pt>
                <c:pt idx="28">
                  <c:v>10</c:v>
                </c:pt>
              </c:numCache>
            </c:numRef>
          </c:val>
          <c:extLst>
            <c:ext xmlns:c16="http://schemas.microsoft.com/office/drawing/2014/chart" uri="{C3380CC4-5D6E-409C-BE32-E72D297353CC}">
              <c16:uniqueId val="{0000004D-5DB4-4C8B-89FA-D54D4FB25430}"/>
            </c:ext>
          </c:extLst>
        </c:ser>
        <c:ser>
          <c:idx val="6"/>
          <c:order val="6"/>
          <c:tx>
            <c:strRef>
              <c:f>'Driver Championship Points'!$L$5:$L$6</c:f>
              <c:strCache>
                <c:ptCount val="1"/>
                <c:pt idx="0">
                  <c:v>Cadillac</c:v>
                </c:pt>
              </c:strCache>
            </c:strRef>
          </c:tx>
          <c:spPr>
            <a:solidFill>
              <a:schemeClr val="accent1">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Points'!$L$7:$L$52</c:f>
              <c:numCache>
                <c:formatCode>General</c:formatCode>
                <c:ptCount val="45"/>
                <c:pt idx="6">
                  <c:v>0</c:v>
                </c:pt>
                <c:pt idx="7">
                  <c:v>0</c:v>
                </c:pt>
              </c:numCache>
            </c:numRef>
          </c:val>
          <c:extLst>
            <c:ext xmlns:c16="http://schemas.microsoft.com/office/drawing/2014/chart" uri="{C3380CC4-5D6E-409C-BE32-E72D297353CC}">
              <c16:uniqueId val="{0000004E-5DB4-4C8B-89FA-D54D4FB25430}"/>
            </c:ext>
          </c:extLst>
        </c:ser>
        <c:ser>
          <c:idx val="7"/>
          <c:order val="7"/>
          <c:tx>
            <c:strRef>
              <c:f>'Driver Championship Points'!$M$5:$M$6</c:f>
              <c:strCache>
                <c:ptCount val="1"/>
                <c:pt idx="0">
                  <c:v>Ferrari</c:v>
                </c:pt>
              </c:strCache>
            </c:strRef>
          </c:tx>
          <c:spPr>
            <a:solidFill>
              <a:schemeClr val="accent2">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Points'!$M$7:$M$52</c:f>
              <c:numCache>
                <c:formatCode>General</c:formatCode>
                <c:ptCount val="45"/>
                <c:pt idx="1">
                  <c:v>306</c:v>
                </c:pt>
                <c:pt idx="2">
                  <c:v>1688</c:v>
                </c:pt>
                <c:pt idx="4">
                  <c:v>831.5</c:v>
                </c:pt>
                <c:pt idx="9">
                  <c:v>581</c:v>
                </c:pt>
                <c:pt idx="16">
                  <c:v>233</c:v>
                </c:pt>
                <c:pt idx="24">
                  <c:v>6</c:v>
                </c:pt>
              </c:numCache>
            </c:numRef>
          </c:val>
          <c:extLst>
            <c:ext xmlns:c16="http://schemas.microsoft.com/office/drawing/2014/chart" uri="{C3380CC4-5D6E-409C-BE32-E72D297353CC}">
              <c16:uniqueId val="{0000004F-5DB4-4C8B-89FA-D54D4FB25430}"/>
            </c:ext>
          </c:extLst>
        </c:ser>
        <c:ser>
          <c:idx val="8"/>
          <c:order val="8"/>
          <c:tx>
            <c:strRef>
              <c:f>'Driver Championship Points'!$N$5:$N$6</c:f>
              <c:strCache>
                <c:ptCount val="1"/>
                <c:pt idx="0">
                  <c:v>Force India</c:v>
                </c:pt>
              </c:strCache>
            </c:strRef>
          </c:tx>
          <c:spPr>
            <a:solidFill>
              <a:schemeClr val="accent3">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Points'!$N$7:$N$52</c:f>
              <c:numCache>
                <c:formatCode>General</c:formatCode>
                <c:ptCount val="45"/>
                <c:pt idx="6">
                  <c:v>30</c:v>
                </c:pt>
                <c:pt idx="14">
                  <c:v>29</c:v>
                </c:pt>
              </c:numCache>
            </c:numRef>
          </c:val>
          <c:extLst>
            <c:ext xmlns:c16="http://schemas.microsoft.com/office/drawing/2014/chart" uri="{C3380CC4-5D6E-409C-BE32-E72D297353CC}">
              <c16:uniqueId val="{00000050-5DB4-4C8B-89FA-D54D4FB25430}"/>
            </c:ext>
          </c:extLst>
        </c:ser>
        <c:ser>
          <c:idx val="9"/>
          <c:order val="9"/>
          <c:tx>
            <c:strRef>
              <c:f>'Driver Championship Points'!$O$5:$O$6</c:f>
              <c:strCache>
                <c:ptCount val="1"/>
                <c:pt idx="0">
                  <c:v>Haas F1 Team</c:v>
                </c:pt>
              </c:strCache>
            </c:strRef>
          </c:tx>
          <c:spPr>
            <a:solidFill>
              <a:schemeClr val="accent4">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Points'!$O$7:$O$52</c:f>
              <c:numCache>
                <c:formatCode>General</c:formatCode>
                <c:ptCount val="45"/>
                <c:pt idx="14">
                  <c:v>37</c:v>
                </c:pt>
                <c:pt idx="18">
                  <c:v>42</c:v>
                </c:pt>
                <c:pt idx="20">
                  <c:v>115</c:v>
                </c:pt>
                <c:pt idx="24">
                  <c:v>57</c:v>
                </c:pt>
                <c:pt idx="25">
                  <c:v>47</c:v>
                </c:pt>
                <c:pt idx="32">
                  <c:v>12</c:v>
                </c:pt>
                <c:pt idx="40">
                  <c:v>0</c:v>
                </c:pt>
                <c:pt idx="41">
                  <c:v>0</c:v>
                </c:pt>
              </c:numCache>
            </c:numRef>
          </c:val>
          <c:extLst>
            <c:ext xmlns:c16="http://schemas.microsoft.com/office/drawing/2014/chart" uri="{C3380CC4-5D6E-409C-BE32-E72D297353CC}">
              <c16:uniqueId val="{00000051-5DB4-4C8B-89FA-D54D4FB25430}"/>
            </c:ext>
          </c:extLst>
        </c:ser>
        <c:ser>
          <c:idx val="10"/>
          <c:order val="10"/>
          <c:tx>
            <c:strRef>
              <c:f>'Driver Championship Points'!$P$5:$P$6</c:f>
              <c:strCache>
                <c:ptCount val="1"/>
                <c:pt idx="0">
                  <c:v>Kick Sauber</c:v>
                </c:pt>
              </c:strCache>
            </c:strRef>
          </c:tx>
          <c:spPr>
            <a:solidFill>
              <a:schemeClr val="accent5">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Points'!$P$7:$P$52</c:f>
              <c:numCache>
                <c:formatCode>General</c:formatCode>
                <c:ptCount val="45"/>
                <c:pt idx="7">
                  <c:v>0</c:v>
                </c:pt>
                <c:pt idx="18">
                  <c:v>51</c:v>
                </c:pt>
                <c:pt idx="28">
                  <c:v>19</c:v>
                </c:pt>
                <c:pt idx="30">
                  <c:v>4</c:v>
                </c:pt>
              </c:numCache>
            </c:numRef>
          </c:val>
          <c:extLst>
            <c:ext xmlns:c16="http://schemas.microsoft.com/office/drawing/2014/chart" uri="{C3380CC4-5D6E-409C-BE32-E72D297353CC}">
              <c16:uniqueId val="{00000052-5DB4-4C8B-89FA-D54D4FB25430}"/>
            </c:ext>
          </c:extLst>
        </c:ser>
        <c:ser>
          <c:idx val="11"/>
          <c:order val="11"/>
          <c:tx>
            <c:strRef>
              <c:f>'Driver Championship Points'!$Q$5:$Q$6</c:f>
              <c:strCache>
                <c:ptCount val="1"/>
                <c:pt idx="0">
                  <c:v>McLaren</c:v>
                </c:pt>
              </c:strCache>
            </c:strRef>
          </c:tx>
          <c:spPr>
            <a:solidFill>
              <a:schemeClr val="accent6">
                <a:lumMod val="6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Points'!$Q$7:$Q$52</c:f>
              <c:numCache>
                <c:formatCode>General</c:formatCode>
                <c:ptCount val="45"/>
                <c:pt idx="3">
                  <c:v>1498</c:v>
                </c:pt>
                <c:pt idx="4">
                  <c:v>201</c:v>
                </c:pt>
                <c:pt idx="8">
                  <c:v>827</c:v>
                </c:pt>
                <c:pt idx="10">
                  <c:v>50</c:v>
                </c:pt>
                <c:pt idx="11">
                  <c:v>148</c:v>
                </c:pt>
                <c:pt idx="33">
                  <c:v>12</c:v>
                </c:pt>
              </c:numCache>
            </c:numRef>
          </c:val>
          <c:extLst>
            <c:ext xmlns:c16="http://schemas.microsoft.com/office/drawing/2014/chart" uri="{C3380CC4-5D6E-409C-BE32-E72D297353CC}">
              <c16:uniqueId val="{00000053-5DB4-4C8B-89FA-D54D4FB25430}"/>
            </c:ext>
          </c:extLst>
        </c:ser>
        <c:ser>
          <c:idx val="12"/>
          <c:order val="12"/>
          <c:tx>
            <c:strRef>
              <c:f>'Driver Championship Points'!$R$5:$R$6</c:f>
              <c:strCache>
                <c:ptCount val="1"/>
                <c:pt idx="0">
                  <c:v>Mercedes</c:v>
                </c:pt>
              </c:strCache>
            </c:strRef>
          </c:tx>
          <c:spPr>
            <a:solidFill>
              <a:schemeClr val="accent1">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Points'!$R$7:$R$52</c:f>
              <c:numCache>
                <c:formatCode>General</c:formatCode>
                <c:ptCount val="45"/>
                <c:pt idx="1">
                  <c:v>2185.5</c:v>
                </c:pt>
                <c:pt idx="5">
                  <c:v>1114</c:v>
                </c:pt>
                <c:pt idx="7">
                  <c:v>1000</c:v>
                </c:pt>
                <c:pt idx="13">
                  <c:v>389</c:v>
                </c:pt>
                <c:pt idx="31">
                  <c:v>12</c:v>
                </c:pt>
              </c:numCache>
            </c:numRef>
          </c:val>
          <c:extLst>
            <c:ext xmlns:c16="http://schemas.microsoft.com/office/drawing/2014/chart" uri="{C3380CC4-5D6E-409C-BE32-E72D297353CC}">
              <c16:uniqueId val="{00000054-5DB4-4C8B-89FA-D54D4FB25430}"/>
            </c:ext>
          </c:extLst>
        </c:ser>
        <c:ser>
          <c:idx val="13"/>
          <c:order val="13"/>
          <c:tx>
            <c:strRef>
              <c:f>'Driver Championship Points'!$S$5:$S$6</c:f>
              <c:strCache>
                <c:ptCount val="1"/>
                <c:pt idx="0">
                  <c:v>Racing Bulls</c:v>
                </c:pt>
              </c:strCache>
            </c:strRef>
          </c:tx>
          <c:spPr>
            <a:solidFill>
              <a:schemeClr val="accent2">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Points'!$S$7:$S$52</c:f>
              <c:numCache>
                <c:formatCode>General</c:formatCode>
                <c:ptCount val="45"/>
                <c:pt idx="19">
                  <c:v>50</c:v>
                </c:pt>
                <c:pt idx="21">
                  <c:v>1</c:v>
                </c:pt>
                <c:pt idx="22">
                  <c:v>80</c:v>
                </c:pt>
                <c:pt idx="27">
                  <c:v>30</c:v>
                </c:pt>
              </c:numCache>
            </c:numRef>
          </c:val>
          <c:extLst>
            <c:ext xmlns:c16="http://schemas.microsoft.com/office/drawing/2014/chart" uri="{C3380CC4-5D6E-409C-BE32-E72D297353CC}">
              <c16:uniqueId val="{00000055-5DB4-4C8B-89FA-D54D4FB25430}"/>
            </c:ext>
          </c:extLst>
        </c:ser>
        <c:ser>
          <c:idx val="14"/>
          <c:order val="14"/>
          <c:tx>
            <c:strRef>
              <c:f>'Driver Championship Points'!$T$5:$T$6</c:f>
              <c:strCache>
                <c:ptCount val="1"/>
                <c:pt idx="0">
                  <c:v>Racing Point</c:v>
                </c:pt>
              </c:strCache>
            </c:strRef>
          </c:tx>
          <c:spPr>
            <a:solidFill>
              <a:schemeClr val="accent3">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Points'!$T$7:$T$52</c:f>
              <c:numCache>
                <c:formatCode>General</c:formatCode>
                <c:ptCount val="45"/>
                <c:pt idx="6">
                  <c:v>203</c:v>
                </c:pt>
                <c:pt idx="14">
                  <c:v>12</c:v>
                </c:pt>
                <c:pt idx="17">
                  <c:v>96</c:v>
                </c:pt>
                <c:pt idx="18">
                  <c:v>10</c:v>
                </c:pt>
              </c:numCache>
            </c:numRef>
          </c:val>
          <c:extLst>
            <c:ext xmlns:c16="http://schemas.microsoft.com/office/drawing/2014/chart" uri="{C3380CC4-5D6E-409C-BE32-E72D297353CC}">
              <c16:uniqueId val="{00000056-5DB4-4C8B-89FA-D54D4FB25430}"/>
            </c:ext>
          </c:extLst>
        </c:ser>
        <c:ser>
          <c:idx val="15"/>
          <c:order val="15"/>
          <c:tx>
            <c:strRef>
              <c:f>'Driver Championship Points'!$U$5:$U$6</c:f>
              <c:strCache>
                <c:ptCount val="1"/>
                <c:pt idx="0">
                  <c:v>RB</c:v>
                </c:pt>
              </c:strCache>
            </c:strRef>
          </c:tx>
          <c:spPr>
            <a:solidFill>
              <a:schemeClr val="accent4">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Points'!$U$7:$U$52</c:f>
              <c:numCache>
                <c:formatCode>General</c:formatCode>
                <c:ptCount val="45"/>
                <c:pt idx="11">
                  <c:v>7</c:v>
                </c:pt>
                <c:pt idx="21">
                  <c:v>29</c:v>
                </c:pt>
                <c:pt idx="22">
                  <c:v>4</c:v>
                </c:pt>
              </c:numCache>
            </c:numRef>
          </c:val>
          <c:extLst>
            <c:ext xmlns:c16="http://schemas.microsoft.com/office/drawing/2014/chart" uri="{C3380CC4-5D6E-409C-BE32-E72D297353CC}">
              <c16:uniqueId val="{00000057-5DB4-4C8B-89FA-D54D4FB25430}"/>
            </c:ext>
          </c:extLst>
        </c:ser>
        <c:ser>
          <c:idx val="16"/>
          <c:order val="16"/>
          <c:tx>
            <c:strRef>
              <c:f>'Driver Championship Points'!$V$5:$V$6</c:f>
              <c:strCache>
                <c:ptCount val="1"/>
                <c:pt idx="0">
                  <c:v>Red Bull Racing</c:v>
                </c:pt>
              </c:strCache>
            </c:strRef>
          </c:tx>
          <c:spPr>
            <a:solidFill>
              <a:schemeClr val="accent5">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Points'!$V$7:$V$52</c:f>
              <c:numCache>
                <c:formatCode>General</c:formatCode>
                <c:ptCount val="45"/>
                <c:pt idx="0">
                  <c:v>3003.5</c:v>
                </c:pt>
                <c:pt idx="6">
                  <c:v>879</c:v>
                </c:pt>
                <c:pt idx="11">
                  <c:v>170</c:v>
                </c:pt>
                <c:pt idx="12">
                  <c:v>63</c:v>
                </c:pt>
                <c:pt idx="15">
                  <c:v>181</c:v>
                </c:pt>
                <c:pt idx="19">
                  <c:v>71</c:v>
                </c:pt>
                <c:pt idx="21">
                  <c:v>21</c:v>
                </c:pt>
                <c:pt idx="22">
                  <c:v>14</c:v>
                </c:pt>
              </c:numCache>
            </c:numRef>
          </c:val>
          <c:extLst>
            <c:ext xmlns:c16="http://schemas.microsoft.com/office/drawing/2014/chart" uri="{C3380CC4-5D6E-409C-BE32-E72D297353CC}">
              <c16:uniqueId val="{00000058-5DB4-4C8B-89FA-D54D4FB25430}"/>
            </c:ext>
          </c:extLst>
        </c:ser>
        <c:ser>
          <c:idx val="17"/>
          <c:order val="17"/>
          <c:tx>
            <c:strRef>
              <c:f>'Driver Championship Points'!$W$5:$W$6</c:f>
              <c:strCache>
                <c:ptCount val="1"/>
                <c:pt idx="0">
                  <c:v>Renault</c:v>
                </c:pt>
              </c:strCache>
            </c:strRef>
          </c:tx>
          <c:spPr>
            <a:solidFill>
              <a:schemeClr val="accent6">
                <a:lumMod val="80000"/>
                <a:lumOff val="2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Points'!$W$7:$W$52</c:f>
              <c:numCache>
                <c:formatCode>General</c:formatCode>
                <c:ptCount val="45"/>
                <c:pt idx="4">
                  <c:v>49</c:v>
                </c:pt>
                <c:pt idx="11">
                  <c:v>173</c:v>
                </c:pt>
                <c:pt idx="14">
                  <c:v>62</c:v>
                </c:pt>
                <c:pt idx="18">
                  <c:v>106</c:v>
                </c:pt>
              </c:numCache>
            </c:numRef>
          </c:val>
          <c:extLst>
            <c:ext xmlns:c16="http://schemas.microsoft.com/office/drawing/2014/chart" uri="{C3380CC4-5D6E-409C-BE32-E72D297353CC}">
              <c16:uniqueId val="{00000059-5DB4-4C8B-89FA-D54D4FB25430}"/>
            </c:ext>
          </c:extLst>
        </c:ser>
        <c:ser>
          <c:idx val="18"/>
          <c:order val="18"/>
          <c:tx>
            <c:strRef>
              <c:f>'Driver Championship Points'!$X$5:$X$6</c:f>
              <c:strCache>
                <c:ptCount val="1"/>
                <c:pt idx="0">
                  <c:v>Sauber</c:v>
                </c:pt>
              </c:strCache>
            </c:strRef>
          </c:tx>
          <c:spPr>
            <a:solidFill>
              <a:schemeClr val="accent1">
                <a:lumMod val="8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Points'!$X$7:$X$52</c:f>
              <c:numCache>
                <c:formatCode>General</c:formatCode>
                <c:ptCount val="45"/>
                <c:pt idx="2">
                  <c:v>39</c:v>
                </c:pt>
                <c:pt idx="35">
                  <c:v>9</c:v>
                </c:pt>
              </c:numCache>
            </c:numRef>
          </c:val>
          <c:extLst>
            <c:ext xmlns:c16="http://schemas.microsoft.com/office/drawing/2014/chart" uri="{C3380CC4-5D6E-409C-BE32-E72D297353CC}">
              <c16:uniqueId val="{0000005A-5DB4-4C8B-89FA-D54D4FB25430}"/>
            </c:ext>
          </c:extLst>
        </c:ser>
        <c:ser>
          <c:idx val="19"/>
          <c:order val="19"/>
          <c:tx>
            <c:strRef>
              <c:f>'Driver Championship Points'!$Y$5:$Y$6</c:f>
              <c:strCache>
                <c:ptCount val="1"/>
                <c:pt idx="0">
                  <c:v>Toro Rosso</c:v>
                </c:pt>
              </c:strCache>
            </c:strRef>
          </c:tx>
          <c:spPr>
            <a:solidFill>
              <a:schemeClr val="accent2">
                <a:lumMod val="8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Points'!$Y$7:$Y$52</c:f>
              <c:numCache>
                <c:formatCode>General</c:formatCode>
                <c:ptCount val="45"/>
                <c:pt idx="12">
                  <c:v>61</c:v>
                </c:pt>
                <c:pt idx="15">
                  <c:v>16</c:v>
                </c:pt>
                <c:pt idx="23">
                  <c:v>37</c:v>
                </c:pt>
                <c:pt idx="36">
                  <c:v>4</c:v>
                </c:pt>
              </c:numCache>
            </c:numRef>
          </c:val>
          <c:extLst>
            <c:ext xmlns:c16="http://schemas.microsoft.com/office/drawing/2014/chart" uri="{C3380CC4-5D6E-409C-BE32-E72D297353CC}">
              <c16:uniqueId val="{0000005B-5DB4-4C8B-89FA-D54D4FB25430}"/>
            </c:ext>
          </c:extLst>
        </c:ser>
        <c:ser>
          <c:idx val="20"/>
          <c:order val="20"/>
          <c:tx>
            <c:strRef>
              <c:f>'Driver Championship Points'!$Z$5:$Z$6</c:f>
              <c:strCache>
                <c:ptCount val="1"/>
                <c:pt idx="0">
                  <c:v>Williams</c:v>
                </c:pt>
              </c:strCache>
            </c:strRef>
          </c:tx>
          <c:spPr>
            <a:solidFill>
              <a:schemeClr val="accent3">
                <a:lumMod val="80000"/>
              </a:schemeClr>
            </a:solidFill>
            <a:ln>
              <a:noFill/>
            </a:ln>
            <a:effectLst/>
          </c:spPr>
          <c:invertIfNegative val="0"/>
          <c:cat>
            <c:strRef>
              <c:f>'Driver Championship Points'!$E$7:$E$52</c:f>
              <c:strCache>
                <c:ptCount val="45"/>
                <c:pt idx="0">
                  <c:v>Max Verstappen</c:v>
                </c:pt>
                <c:pt idx="1">
                  <c:v>Lewis Hamilton</c:v>
                </c:pt>
                <c:pt idx="2">
                  <c:v>Charles Leclerc</c:v>
                </c:pt>
                <c:pt idx="3">
                  <c:v>Lando Norris</c:v>
                </c:pt>
                <c:pt idx="4">
                  <c:v>Carlos Sainz</c:v>
                </c:pt>
                <c:pt idx="5">
                  <c:v>George Russell</c:v>
                </c:pt>
                <c:pt idx="6">
                  <c:v>Sergio Perez</c:v>
                </c:pt>
                <c:pt idx="7">
                  <c:v>Valtteri Bottas</c:v>
                </c:pt>
                <c:pt idx="8">
                  <c:v>Oscar Piastri</c:v>
                </c:pt>
                <c:pt idx="9">
                  <c:v>Sebastian Vettel</c:v>
                </c:pt>
                <c:pt idx="10">
                  <c:v>Fernando Alonso</c:v>
                </c:pt>
                <c:pt idx="11">
                  <c:v>Daniel Ricciardo</c:v>
                </c:pt>
                <c:pt idx="12">
                  <c:v>Pierre Gasly</c:v>
                </c:pt>
                <c:pt idx="13">
                  <c:v>Kimi Antonelli</c:v>
                </c:pt>
                <c:pt idx="14">
                  <c:v>Esteban Ocon</c:v>
                </c:pt>
                <c:pt idx="15">
                  <c:v>Alexander Albon</c:v>
                </c:pt>
                <c:pt idx="16">
                  <c:v>Kimi RÃ¤ikkÃ¶nen</c:v>
                </c:pt>
                <c:pt idx="17">
                  <c:v>Lance Stroll</c:v>
                </c:pt>
                <c:pt idx="18">
                  <c:v>Nico Hulkenberg</c:v>
                </c:pt>
                <c:pt idx="19">
                  <c:v>Isack Hadjar</c:v>
                </c:pt>
                <c:pt idx="20">
                  <c:v>Kevin Magnussen</c:v>
                </c:pt>
                <c:pt idx="21">
                  <c:v>Yuki Tsunoda</c:v>
                </c:pt>
                <c:pt idx="22">
                  <c:v>Liam Lawson</c:v>
                </c:pt>
                <c:pt idx="23">
                  <c:v>Daniil Kvyat</c:v>
                </c:pt>
                <c:pt idx="24">
                  <c:v>Oliver Bearman</c:v>
                </c:pt>
                <c:pt idx="25">
                  <c:v>Romain Grosjean</c:v>
                </c:pt>
                <c:pt idx="26">
                  <c:v>Franco Colapinto</c:v>
                </c:pt>
                <c:pt idx="27">
                  <c:v>Arvid Lindblad</c:v>
                </c:pt>
                <c:pt idx="28">
                  <c:v>Gabriel Bortoleto</c:v>
                </c:pt>
                <c:pt idx="29">
                  <c:v>Antonio Giovinazzi</c:v>
                </c:pt>
                <c:pt idx="30">
                  <c:v>Guanyu Zhou</c:v>
                </c:pt>
                <c:pt idx="31">
                  <c:v>Andrea Kimi Antonelli</c:v>
                </c:pt>
                <c:pt idx="32">
                  <c:v>Mick Schumacher</c:v>
                </c:pt>
                <c:pt idx="33">
                  <c:v>Stoffel Vandoorne</c:v>
                </c:pt>
                <c:pt idx="34">
                  <c:v>Nicholas Latifi</c:v>
                </c:pt>
                <c:pt idx="35">
                  <c:v>Marcus Ericsson</c:v>
                </c:pt>
                <c:pt idx="36">
                  <c:v>Brendon Hartley</c:v>
                </c:pt>
                <c:pt idx="37">
                  <c:v>Nyck De Vries</c:v>
                </c:pt>
                <c:pt idx="38">
                  <c:v>Robert Kubica</c:v>
                </c:pt>
                <c:pt idx="39">
                  <c:v>Logan Sargeant</c:v>
                </c:pt>
                <c:pt idx="40">
                  <c:v>Pietro Fittipaldi</c:v>
                </c:pt>
                <c:pt idx="41">
                  <c:v>Nikita Mazepin</c:v>
                </c:pt>
                <c:pt idx="42">
                  <c:v>Sergey Sirotkin</c:v>
                </c:pt>
                <c:pt idx="43">
                  <c:v>Jack Aitken</c:v>
                </c:pt>
                <c:pt idx="44">
                  <c:v>Jack Doohan</c:v>
                </c:pt>
              </c:strCache>
            </c:strRef>
          </c:cat>
          <c:val>
            <c:numRef>
              <c:f>'Driver Championship Points'!$Z$7:$Z$52</c:f>
              <c:numCache>
                <c:formatCode>General</c:formatCode>
                <c:ptCount val="45"/>
                <c:pt idx="4">
                  <c:v>60</c:v>
                </c:pt>
                <c:pt idx="5">
                  <c:v>16</c:v>
                </c:pt>
                <c:pt idx="15">
                  <c:v>116</c:v>
                </c:pt>
                <c:pt idx="17">
                  <c:v>4</c:v>
                </c:pt>
                <c:pt idx="26">
                  <c:v>5</c:v>
                </c:pt>
                <c:pt idx="34">
                  <c:v>9</c:v>
                </c:pt>
                <c:pt idx="37">
                  <c:v>2</c:v>
                </c:pt>
                <c:pt idx="38">
                  <c:v>1</c:v>
                </c:pt>
                <c:pt idx="39">
                  <c:v>1</c:v>
                </c:pt>
                <c:pt idx="42">
                  <c:v>0</c:v>
                </c:pt>
                <c:pt idx="43">
                  <c:v>0</c:v>
                </c:pt>
              </c:numCache>
            </c:numRef>
          </c:val>
          <c:extLst>
            <c:ext xmlns:c16="http://schemas.microsoft.com/office/drawing/2014/chart" uri="{C3380CC4-5D6E-409C-BE32-E72D297353CC}">
              <c16:uniqueId val="{0000005C-5DB4-4C8B-89FA-D54D4FB25430}"/>
            </c:ext>
          </c:extLst>
        </c:ser>
        <c:dLbls>
          <c:showLegendKey val="0"/>
          <c:showVal val="0"/>
          <c:showCatName val="0"/>
          <c:showSerName val="0"/>
          <c:showPercent val="0"/>
          <c:showBubbleSize val="0"/>
        </c:dLbls>
        <c:gapWidth val="150"/>
        <c:overlap val="100"/>
        <c:axId val="1792233711"/>
        <c:axId val="894680655"/>
      </c:barChart>
      <c:catAx>
        <c:axId val="179223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680655"/>
        <c:crosses val="autoZero"/>
        <c:auto val="1"/>
        <c:lblAlgn val="ctr"/>
        <c:lblOffset val="100"/>
        <c:noMultiLvlLbl val="0"/>
      </c:catAx>
      <c:valAx>
        <c:axId val="89468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3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33847</xdr:colOff>
      <xdr:row>19</xdr:row>
      <xdr:rowOff>46075</xdr:rowOff>
    </xdr:from>
    <xdr:to>
      <xdr:col>12</xdr:col>
      <xdr:colOff>78504</xdr:colOff>
      <xdr:row>33</xdr:row>
      <xdr:rowOff>150628</xdr:rowOff>
    </xdr:to>
    <xdr:graphicFrame macro="">
      <xdr:nvGraphicFramePr>
        <xdr:cNvPr id="5" name="Chart 4">
          <a:extLst>
            <a:ext uri="{FF2B5EF4-FFF2-40B4-BE49-F238E27FC236}">
              <a16:creationId xmlns:a16="http://schemas.microsoft.com/office/drawing/2014/main" id="{0CC3DCAC-D4BD-493B-B692-39E1BBF5F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xdr:colOff>
      <xdr:row>19</xdr:row>
      <xdr:rowOff>0</xdr:rowOff>
    </xdr:from>
    <xdr:to>
      <xdr:col>21</xdr:col>
      <xdr:colOff>0</xdr:colOff>
      <xdr:row>33</xdr:row>
      <xdr:rowOff>144780</xdr:rowOff>
    </xdr:to>
    <xdr:graphicFrame macro="">
      <xdr:nvGraphicFramePr>
        <xdr:cNvPr id="11" name="Chart 10">
          <a:extLst>
            <a:ext uri="{FF2B5EF4-FFF2-40B4-BE49-F238E27FC236}">
              <a16:creationId xmlns:a16="http://schemas.microsoft.com/office/drawing/2014/main" id="{6970D00E-6E9D-9450-C099-B95DC601F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33</xdr:row>
      <xdr:rowOff>144780</xdr:rowOff>
    </xdr:from>
    <xdr:to>
      <xdr:col>21</xdr:col>
      <xdr:colOff>0</xdr:colOff>
      <xdr:row>52</xdr:row>
      <xdr:rowOff>22860</xdr:rowOff>
    </xdr:to>
    <xdr:graphicFrame macro="">
      <xdr:nvGraphicFramePr>
        <xdr:cNvPr id="12" name="Chart 11">
          <a:extLst>
            <a:ext uri="{FF2B5EF4-FFF2-40B4-BE49-F238E27FC236}">
              <a16:creationId xmlns:a16="http://schemas.microsoft.com/office/drawing/2014/main" id="{9BA6E786-F0A5-63D1-D2D0-00083EFB0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15193</xdr:colOff>
      <xdr:row>4</xdr:row>
      <xdr:rowOff>7620</xdr:rowOff>
    </xdr:from>
    <xdr:to>
      <xdr:col>12</xdr:col>
      <xdr:colOff>26581</xdr:colOff>
      <xdr:row>19</xdr:row>
      <xdr:rowOff>38100</xdr:rowOff>
    </xdr:to>
    <xdr:graphicFrame macro="">
      <xdr:nvGraphicFramePr>
        <xdr:cNvPr id="14" name="Chart 13">
          <a:extLst>
            <a:ext uri="{FF2B5EF4-FFF2-40B4-BE49-F238E27FC236}">
              <a16:creationId xmlns:a16="http://schemas.microsoft.com/office/drawing/2014/main" id="{C3C9D75A-393A-1ECB-39E2-91D7828D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47</xdr:row>
      <xdr:rowOff>53341</xdr:rowOff>
    </xdr:from>
    <xdr:to>
      <xdr:col>2</xdr:col>
      <xdr:colOff>307636</xdr:colOff>
      <xdr:row>52</xdr:row>
      <xdr:rowOff>38101</xdr:rowOff>
    </xdr:to>
    <mc:AlternateContent xmlns:mc="http://schemas.openxmlformats.org/markup-compatibility/2006" xmlns:a14="http://schemas.microsoft.com/office/drawing/2010/main">
      <mc:Choice Requires="a14">
        <xdr:graphicFrame macro="">
          <xdr:nvGraphicFramePr>
            <xdr:cNvPr id="16" name="Weather 1">
              <a:extLst>
                <a:ext uri="{FF2B5EF4-FFF2-40B4-BE49-F238E27FC236}">
                  <a16:creationId xmlns:a16="http://schemas.microsoft.com/office/drawing/2014/main" id="{39A68B52-5A0E-499A-8680-7C81BD432F59}"/>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0" y="8549641"/>
              <a:ext cx="15240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30422</xdr:rowOff>
    </xdr:from>
    <xdr:to>
      <xdr:col>2</xdr:col>
      <xdr:colOff>307636</xdr:colOff>
      <xdr:row>25</xdr:row>
      <xdr:rowOff>83819</xdr:rowOff>
    </xdr:to>
    <mc:AlternateContent xmlns:mc="http://schemas.openxmlformats.org/markup-compatibility/2006" xmlns:a14="http://schemas.microsoft.com/office/drawing/2010/main">
      <mc:Choice Requires="a14">
        <xdr:graphicFrame macro="">
          <xdr:nvGraphicFramePr>
            <xdr:cNvPr id="17" name="Team 1">
              <a:extLst>
                <a:ext uri="{FF2B5EF4-FFF2-40B4-BE49-F238E27FC236}">
                  <a16:creationId xmlns:a16="http://schemas.microsoft.com/office/drawing/2014/main" id="{794BA66A-5E7C-4C67-9592-BD01278B8F3E}"/>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0" y="2407862"/>
              <a:ext cx="1524000" cy="2065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68607</xdr:rowOff>
    </xdr:from>
    <xdr:to>
      <xdr:col>2</xdr:col>
      <xdr:colOff>315256</xdr:colOff>
      <xdr:row>47</xdr:row>
      <xdr:rowOff>68580</xdr:rowOff>
    </xdr:to>
    <mc:AlternateContent xmlns:mc="http://schemas.openxmlformats.org/markup-compatibility/2006" xmlns:a14="http://schemas.microsoft.com/office/drawing/2010/main">
      <mc:Choice Requires="a14">
        <xdr:graphicFrame macro="">
          <xdr:nvGraphicFramePr>
            <xdr:cNvPr id="18" name="Driver 1">
              <a:extLst>
                <a:ext uri="{FF2B5EF4-FFF2-40B4-BE49-F238E27FC236}">
                  <a16:creationId xmlns:a16="http://schemas.microsoft.com/office/drawing/2014/main" id="{8AD8E443-480A-403D-B90C-1036E7DD0EF2}"/>
                </a:ext>
              </a:extLst>
            </xdr:cNvPr>
            <xdr:cNvGraphicFramePr/>
          </xdr:nvGraphicFramePr>
          <xdr:xfrm>
            <a:off x="0" y="0"/>
            <a:ext cx="0" cy="0"/>
          </xdr:xfrm>
          <a:graphic>
            <a:graphicData uri="http://schemas.microsoft.com/office/drawing/2010/slicer">
              <sle:slicer xmlns:sle="http://schemas.microsoft.com/office/drawing/2010/slicer" name="Driver 1"/>
            </a:graphicData>
          </a:graphic>
        </xdr:graphicFrame>
      </mc:Choice>
      <mc:Fallback xmlns="">
        <xdr:sp macro="" textlink="">
          <xdr:nvSpPr>
            <xdr:cNvPr id="0" name=""/>
            <xdr:cNvSpPr>
              <a:spLocks noTextEdit="1"/>
            </xdr:cNvSpPr>
          </xdr:nvSpPr>
          <xdr:spPr>
            <a:xfrm>
              <a:off x="0" y="6553227"/>
              <a:ext cx="1531620" cy="2011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68580</xdr:rowOff>
    </xdr:from>
    <xdr:to>
      <xdr:col>3</xdr:col>
      <xdr:colOff>3899</xdr:colOff>
      <xdr:row>36</xdr:row>
      <xdr:rowOff>53340</xdr:rowOff>
    </xdr:to>
    <mc:AlternateContent xmlns:mc="http://schemas.openxmlformats.org/markup-compatibility/2006" xmlns:a14="http://schemas.microsoft.com/office/drawing/2010/main">
      <mc:Choice Requires="a14">
        <xdr:graphicFrame macro="">
          <xdr:nvGraphicFramePr>
            <xdr:cNvPr id="19" name="Race 1">
              <a:extLst>
                <a:ext uri="{FF2B5EF4-FFF2-40B4-BE49-F238E27FC236}">
                  <a16:creationId xmlns:a16="http://schemas.microsoft.com/office/drawing/2014/main" id="{5E42A0BB-5DDA-4C3F-BBE9-AB009AEFFE57}"/>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0" y="4457700"/>
              <a:ext cx="153924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160021</xdr:rowOff>
    </xdr:from>
    <xdr:to>
      <xdr:col>3</xdr:col>
      <xdr:colOff>19139</xdr:colOff>
      <xdr:row>14</xdr:row>
      <xdr:rowOff>30480</xdr:rowOff>
    </xdr:to>
    <mc:AlternateContent xmlns:mc="http://schemas.openxmlformats.org/markup-compatibility/2006" xmlns:a14="http://schemas.microsoft.com/office/drawing/2010/main">
      <mc:Choice Requires="a14">
        <xdr:graphicFrame macro="">
          <xdr:nvGraphicFramePr>
            <xdr:cNvPr id="20" name="Season 1">
              <a:extLst>
                <a:ext uri="{FF2B5EF4-FFF2-40B4-BE49-F238E27FC236}">
                  <a16:creationId xmlns:a16="http://schemas.microsoft.com/office/drawing/2014/main" id="{7EDA4BB7-7EB1-49B0-BA61-FD9FEF42CEA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0" y="525781"/>
              <a:ext cx="1554480" cy="1882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44302</xdr:colOff>
      <xdr:row>4</xdr:row>
      <xdr:rowOff>0</xdr:rowOff>
    </xdr:from>
    <xdr:to>
      <xdr:col>21</xdr:col>
      <xdr:colOff>17720</xdr:colOff>
      <xdr:row>19</xdr:row>
      <xdr:rowOff>0</xdr:rowOff>
    </xdr:to>
    <xdr:graphicFrame macro="">
      <xdr:nvGraphicFramePr>
        <xdr:cNvPr id="2" name="Chart 1">
          <a:extLst>
            <a:ext uri="{FF2B5EF4-FFF2-40B4-BE49-F238E27FC236}">
              <a16:creationId xmlns:a16="http://schemas.microsoft.com/office/drawing/2014/main" id="{D8A119F5-FFF8-46EC-97BA-08A249403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318976</xdr:colOff>
      <xdr:row>34</xdr:row>
      <xdr:rowOff>0</xdr:rowOff>
    </xdr:from>
    <xdr:to>
      <xdr:col>11</xdr:col>
      <xdr:colOff>611371</xdr:colOff>
      <xdr:row>52</xdr:row>
      <xdr:rowOff>44302</xdr:rowOff>
    </xdr:to>
    <xdr:graphicFrame macro="">
      <xdr:nvGraphicFramePr>
        <xdr:cNvPr id="4" name="Chart 3">
          <a:extLst>
            <a:ext uri="{FF2B5EF4-FFF2-40B4-BE49-F238E27FC236}">
              <a16:creationId xmlns:a16="http://schemas.microsoft.com/office/drawing/2014/main" id="{B063E64B-662A-463A-AC89-984A18138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478466</xdr:colOff>
      <xdr:row>5</xdr:row>
      <xdr:rowOff>53163</xdr:rowOff>
    </xdr:from>
    <xdr:to>
      <xdr:col>7</xdr:col>
      <xdr:colOff>186070</xdr:colOff>
      <xdr:row>13</xdr:row>
      <xdr:rowOff>182525</xdr:rowOff>
    </xdr:to>
    <xdr:graphicFrame macro="">
      <xdr:nvGraphicFramePr>
        <xdr:cNvPr id="6" name="Chart 5">
          <a:extLst>
            <a:ext uri="{FF2B5EF4-FFF2-40B4-BE49-F238E27FC236}">
              <a16:creationId xmlns:a16="http://schemas.microsoft.com/office/drawing/2014/main" id="{93B96F0D-7ABC-4623-B602-D8DC8B0AD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266700</xdr:colOff>
      <xdr:row>9</xdr:row>
      <xdr:rowOff>41910</xdr:rowOff>
    </xdr:from>
    <xdr:to>
      <xdr:col>15</xdr:col>
      <xdr:colOff>160020</xdr:colOff>
      <xdr:row>24</xdr:row>
      <xdr:rowOff>41910</xdr:rowOff>
    </xdr:to>
    <xdr:graphicFrame macro="">
      <xdr:nvGraphicFramePr>
        <xdr:cNvPr id="3" name="Chart 2">
          <a:extLst>
            <a:ext uri="{FF2B5EF4-FFF2-40B4-BE49-F238E27FC236}">
              <a16:creationId xmlns:a16="http://schemas.microsoft.com/office/drawing/2014/main" id="{02CD2D28-E0F1-13EA-CF0E-84383117C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1172308</xdr:colOff>
      <xdr:row>17</xdr:row>
      <xdr:rowOff>22609</xdr:rowOff>
    </xdr:from>
    <xdr:to>
      <xdr:col>11</xdr:col>
      <xdr:colOff>175847</xdr:colOff>
      <xdr:row>32</xdr:row>
      <xdr:rowOff>2512</xdr:rowOff>
    </xdr:to>
    <xdr:graphicFrame macro="">
      <xdr:nvGraphicFramePr>
        <xdr:cNvPr id="4" name="Chart 3">
          <a:extLst>
            <a:ext uri="{FF2B5EF4-FFF2-40B4-BE49-F238E27FC236}">
              <a16:creationId xmlns:a16="http://schemas.microsoft.com/office/drawing/2014/main" id="{2FE3D27D-7EEA-A4DB-031D-542D68342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war" refreshedDate="46290.756805324076" createdVersion="8" refreshedVersion="8" minRefreshableVersion="3" recordCount="3746" xr:uid="{0C80104F-3B25-4D42-BAE3-A96A1C3A229B}">
  <cacheSource type="worksheet">
    <worksheetSource name="Table1"/>
  </cacheSource>
  <cacheFields count="19">
    <cacheField name="Season" numFmtId="0">
      <sharedItems containsSemiMixedTypes="0" containsString="0" containsNumber="1" containsInteger="1" minValue="2018" maxValue="2026" count="9">
        <n v="2018"/>
        <n v="2019"/>
        <n v="2020"/>
        <n v="2021"/>
        <n v="2022"/>
        <n v="2023"/>
        <n v="2024"/>
        <n v="2025"/>
        <n v="2026"/>
      </sharedItems>
    </cacheField>
    <cacheField name="Round" numFmtId="0">
      <sharedItems containsSemiMixedTypes="0" containsString="0" containsNumber="1" containsInteger="1" minValue="1" maxValue="24" count="24">
        <n v="1"/>
        <n v="2"/>
        <n v="3"/>
        <n v="4"/>
        <n v="5"/>
        <n v="6"/>
        <n v="7"/>
        <n v="8"/>
        <n v="9"/>
        <n v="10"/>
        <n v="11"/>
        <n v="12"/>
        <n v="13"/>
        <n v="15"/>
        <n v="16"/>
        <n v="17"/>
        <n v="18"/>
        <n v="19"/>
        <n v="20"/>
        <n v="21"/>
        <n v="14"/>
        <n v="22"/>
        <n v="23"/>
        <n v="24"/>
      </sharedItems>
    </cacheField>
    <cacheField name="Race" numFmtId="0">
      <sharedItems count="37">
        <s v="Australian Grand Prix"/>
        <s v="Bahrain Grand Prix"/>
        <s v="Chinese Grand Prix"/>
        <s v="Azerbaijan Grand Prix"/>
        <s v="Spanish Grand Prix"/>
        <s v="Monaco Grand Prix"/>
        <s v="Canadian Grand Prix"/>
        <s v="French Grand Prix"/>
        <s v="Austrian Grand Prix"/>
        <s v="British Grand Prix"/>
        <s v="German Grand Prix"/>
        <s v="Hungarian Grand Prix"/>
        <s v="Belgian Grand Prix"/>
        <s v="Singapore Grand Prix"/>
        <s v="Russian Grand Prix"/>
        <s v="Japanese Grand Prix"/>
        <s v="United States Grand Prix"/>
        <s v="Mexican Grand Prix"/>
        <s v="Brazilian Grand Prix"/>
        <s v="Abu Dhabi Grand Prix"/>
        <s v="Italian Grand Prix"/>
        <s v="Styrian Grand Prix"/>
        <s v="70th Anniversary Grand Prix"/>
        <s v="Tuscan Grand Prix"/>
        <s v="Eifel Grand Prix"/>
        <s v="Portuguese Grand Prix"/>
        <s v="Emilia Romagna Grand Prix"/>
        <s v="Turkish Grand Prix"/>
        <s v="Sakhir Grand Prix"/>
        <s v="Dutch Grand Prix"/>
        <s v="Mexico City Grand Prix"/>
        <s v="SÃ£o Paulo Grand Prix"/>
        <s v="Qatar Grand Prix"/>
        <s v="Saudi Arabian Grand Prix"/>
        <s v="Miami Grand Prix"/>
        <s v="Las Vegas Grand Prix"/>
        <s v="Barcelona Grand Prix"/>
      </sharedItems>
    </cacheField>
    <cacheField name="Driver" numFmtId="0">
      <sharedItems count="45">
        <s v="Sebastian Vettel"/>
        <s v="Lewis Hamilton"/>
        <s v="Kimi RÃ¤ikkÃ¶nen"/>
        <s v="Daniel Ricciardo"/>
        <s v="Fernando Alonso"/>
        <s v="Max Verstappen"/>
        <s v="Nico Hulkenberg"/>
        <s v="Valtteri Bottas"/>
        <s v="Stoffel Vandoorne"/>
        <s v="Carlos Sainz"/>
        <s v="Sergio Perez"/>
        <s v="Esteban Ocon"/>
        <s v="Charles Leclerc"/>
        <s v="Lance Stroll"/>
        <s v="Brendon Hartley"/>
        <s v="Romain Grosjean"/>
        <s v="Kevin Magnussen"/>
        <s v="Pierre Gasly"/>
        <s v="Marcus Ericsson"/>
        <s v="Sergey Sirotkin"/>
        <s v="Daniil Kvyat"/>
        <s v="Lando Norris"/>
        <s v="Alexander Albon"/>
        <s v="Antonio Giovinazzi"/>
        <s v="George Russell"/>
        <s v="Robert Kubica"/>
        <s v="Nicholas Latifi"/>
        <s v="Jack Aitken"/>
        <s v="Pietro Fittipaldi"/>
        <s v="Yuki Tsunoda"/>
        <s v="Mick Schumacher"/>
        <s v="Nikita Mazepin"/>
        <s v="Guanyu Zhou"/>
        <s v="Nyck De Vries"/>
        <s v="Logan Sargeant"/>
        <s v="Oscar Piastri"/>
        <s v="Liam Lawson"/>
        <s v="Oliver Bearman"/>
        <s v="Franco Colapinto"/>
        <s v="Jack Doohan"/>
        <s v="Andrea Kimi Antonelli"/>
        <s v="Gabriel Bortoleto"/>
        <s v="Isack Hadjar"/>
        <s v="Kimi Antonelli"/>
        <s v="Arvid Lindblad"/>
      </sharedItems>
    </cacheField>
    <cacheField name="Abbreviation" numFmtId="0">
      <sharedItems/>
    </cacheField>
    <cacheField name="Team" numFmtId="0">
      <sharedItems count="21">
        <s v="Ferrari"/>
        <s v="Mercedes"/>
        <s v="Red Bull Racing"/>
        <s v="McLaren"/>
        <s v="Renault"/>
        <s v="Force India"/>
        <s v="Sauber"/>
        <s v="Williams"/>
        <s v="Toro Rosso"/>
        <s v="Haas F1 Team"/>
        <s v="Racing Point"/>
        <s v="Alfa Romeo Racing"/>
        <s v="AlphaTauri"/>
        <s v="Aston Martin"/>
        <s v="Alpine"/>
        <s v="Alfa Romeo"/>
        <s v="Kick Sauber"/>
        <s v="RB"/>
        <s v="Racing Bulls"/>
        <s v="Audi"/>
        <s v="Cadillac"/>
      </sharedItems>
    </cacheField>
    <cacheField name="StartPosition" numFmtId="0">
      <sharedItems containsString="0" containsBlank="1" containsNumber="1" containsInteger="1" minValue="0" maxValue="22" count="24">
        <n v="3"/>
        <n v="1"/>
        <n v="2"/>
        <n v="8"/>
        <n v="10"/>
        <n v="4"/>
        <n v="7"/>
        <n v="15"/>
        <n v="11"/>
        <n v="9"/>
        <n v="12"/>
        <n v="14"/>
        <n v="18"/>
        <n v="13"/>
        <n v="16"/>
        <n v="6"/>
        <n v="5"/>
        <n v="20"/>
        <n v="17"/>
        <n v="19"/>
        <n v="0"/>
        <m/>
        <n v="21"/>
        <n v="22"/>
      </sharedItems>
    </cacheField>
    <cacheField name="FinishPosition" numFmtId="0">
      <sharedItems containsString="0" containsBlank="1" containsNumber="1" containsInteger="1" minValue="1" maxValue="22" count="23">
        <n v="1"/>
        <n v="2"/>
        <n v="3"/>
        <n v="4"/>
        <n v="5"/>
        <n v="6"/>
        <n v="7"/>
        <n v="8"/>
        <n v="9"/>
        <n v="10"/>
        <n v="11"/>
        <n v="12"/>
        <n v="13"/>
        <n v="14"/>
        <n v="15"/>
        <n v="16"/>
        <n v="17"/>
        <n v="18"/>
        <n v="19"/>
        <n v="20"/>
        <m/>
        <n v="21"/>
        <n v="22"/>
      </sharedItems>
    </cacheField>
    <cacheField name="RacePoints" numFmtId="0">
      <sharedItems containsSemiMixedTypes="0" containsString="0" containsNumber="1" minValue="0" maxValue="26"/>
    </cacheField>
    <cacheField name="Podium" numFmtId="0">
      <sharedItems count="2">
        <s v="Yes"/>
        <s v="No"/>
      </sharedItems>
    </cacheField>
    <cacheField name="Status" numFmtId="0">
      <sharedItems count="54">
        <s v="Finished"/>
        <s v="+1 Lap"/>
        <s v="Wheel"/>
        <s v="Engine"/>
        <s v="Steering"/>
        <s v="Brakes"/>
        <s v="Puncture"/>
        <s v="Electrical"/>
        <s v="Collision damage"/>
        <s v="Accident"/>
        <s v="Collision"/>
        <s v="+2 Laps"/>
        <s v="+3 Laps"/>
        <s v="Gearbox"/>
        <s v="Oil leak"/>
        <s v="Turbo"/>
        <s v="Exhaust"/>
        <s v="Fuel pressure"/>
        <s v="Hydraulics"/>
        <s v="Tyre"/>
        <s v="Power Unit"/>
        <s v="Retired"/>
        <s v="Power loss"/>
        <s v="Suspension"/>
        <s v="Mechanical"/>
        <s v="Battery"/>
        <s v="Disqualified"/>
        <s v="Overheating"/>
        <s v="Damage"/>
        <s v="Out of fuel"/>
        <s v="Transmission"/>
        <s v="Spun off"/>
        <s v="Water pressure"/>
        <s v="Withdrew"/>
        <s v="Electronics"/>
        <s v="+5 Laps"/>
        <s v="Debris"/>
        <s v="Radiator"/>
        <s v="Illness"/>
        <s v="Wheel nut"/>
        <s v="Driveshaft"/>
        <s v="Rear wing"/>
        <s v="Cooling system"/>
        <s v="Water pump"/>
        <s v="Fuel leak"/>
        <s v="Front wing"/>
        <s v="Water leak"/>
        <s v="Vibrations"/>
        <s v="Fuel pump"/>
        <s v="Undertray"/>
        <s v="+6 Laps"/>
        <s v="Differential"/>
        <s v="Lapped"/>
        <s v="Did not start"/>
      </sharedItems>
    </cacheField>
    <cacheField name="TotalLaps" numFmtId="0">
      <sharedItems containsString="0" containsBlank="1" containsNumber="1" containsInteger="1" minValue="1" maxValue="87" count="78">
        <n v="58"/>
        <n v="57"/>
        <n v="24"/>
        <n v="22"/>
        <n v="14"/>
        <n v="6"/>
        <n v="5"/>
        <n v="56"/>
        <n v="34"/>
        <n v="4"/>
        <n v="2"/>
        <n v="51"/>
        <n v="49"/>
        <n v="43"/>
        <n v="40"/>
        <n v="11"/>
        <n v="1"/>
        <n v="66"/>
        <n v="65"/>
        <n v="64"/>
        <n v="63"/>
        <n v="46"/>
        <n v="39"/>
        <n v="25"/>
        <n v="78"/>
        <n v="77"/>
        <n v="76"/>
        <n v="71"/>
        <n v="53"/>
        <n v="70"/>
        <n v="69"/>
        <n v="68"/>
        <n v="41"/>
        <n v="52"/>
        <n v="28"/>
        <n v="55"/>
        <n v="54"/>
        <n v="12"/>
        <n v="47"/>
        <n v="38"/>
        <n v="32"/>
        <n v="18"/>
        <n v="67"/>
        <n v="50"/>
        <n v="44"/>
        <n v="8"/>
        <n v="61"/>
        <n v="60"/>
        <n v="59"/>
        <n v="37"/>
        <n v="31"/>
        <n v="9"/>
        <n v="62"/>
        <n v="29"/>
        <n v="20"/>
        <n v="45"/>
        <n v="7"/>
        <n v="30"/>
        <n v="10"/>
        <n v="16"/>
        <n v="33"/>
        <n v="17"/>
        <n v="19"/>
        <n v="27"/>
        <n v="35"/>
        <n v="26"/>
        <n v="48"/>
        <n v="15"/>
        <m/>
        <n v="23"/>
        <n v="13"/>
        <n v="3"/>
        <n v="87"/>
        <n v="75"/>
        <n v="36"/>
        <n v="72"/>
        <n v="42"/>
        <n v="21"/>
      </sharedItems>
    </cacheField>
    <cacheField name="FastestLap" numFmtId="0">
      <sharedItems containsString="0" containsBlank="1" containsNumber="1" minValue="55.404000000000003" maxValue="125.58499999999999"/>
    </cacheField>
    <cacheField name="AverageLapTime" numFmtId="0">
      <sharedItems containsString="0" containsBlank="1" containsNumber="1" minValue="57.596719999999998" maxValue="127.0968" count="3589">
        <n v="87.894914"/>
        <n v="87.817532999999997"/>
        <n v="87.897510999999994"/>
        <n v="88.466166000000001"/>
        <n v="89.019833000000006"/>
        <n v="88.975910999999996"/>
        <n v="89.073477999999994"/>
        <n v="89.266914"/>
        <n v="89.294042000000005"/>
        <n v="89.356510999999998"/>
        <n v="89.530956000000003"/>
        <n v="89.874065999999999"/>
        <n v="90.349554999999995"/>
        <n v="90.460340000000002"/>
        <n v="90.385317999999998"/>
        <n v="90.128263000000004"/>
        <n v="90.256352000000007"/>
        <n v="91.997111000000004"/>
        <n v="92.289000000000001"/>
        <m/>
        <n v="95.375420000000005"/>
        <n v="95.325620000000001"/>
        <n v="95.256680000000003"/>
        <n v="95.908332999999999"/>
        <n v="96.149665999999996"/>
        <n v="96.615658999999994"/>
        <n v="96.580129999999997"/>
        <n v="96.682744"/>
        <n v="97.149957999999998"/>
        <n v="96.944716999999997"/>
        <n v="96.987369000000001"/>
        <n v="97.187729000000004"/>
        <n v="96.58484"/>
        <n v="97.384978000000004"/>
        <n v="97.487695000000002"/>
        <n v="97.025318999999996"/>
        <n v="96.752673000000001"/>
        <n v="95.499184999999997"/>
        <n v="96.938362999999995"/>
        <n v="97.544135999999995"/>
        <n v="97.396771999999999"/>
        <n v="97.839363000000006"/>
        <n v="97.484954000000002"/>
        <n v="97.900181000000003"/>
        <n v="98.218903999999995"/>
        <n v="98.696135999999996"/>
        <n v="98.511044999999996"/>
        <n v="98.732363000000007"/>
        <n v="98.849953999999997"/>
        <n v="98.850772000000006"/>
        <n v="99.110652000000002"/>
        <n v="99.364520999999996"/>
        <n v="99.373000000000005"/>
        <n v="99.109189999999998"/>
        <n v="98.720399999999998"/>
        <n v="99.578564999999998"/>
        <n v="100.137636"/>
        <n v="100.97518700000001"/>
        <n v="106.98216600000001"/>
        <n v="108.507578"/>
        <n v="108.786342"/>
        <n v="107.127666"/>
        <n v="108.472228"/>
        <n v="108.92108500000001"/>
        <n v="109.708394"/>
        <n v="109.014777"/>
        <n v="110.52072699999999"/>
        <n v="110.755411"/>
        <n v="110.945187"/>
        <n v="110.78322799999999"/>
        <n v="111.04555499999999"/>
        <n v="107.11051399999999"/>
        <n v="109.019882"/>
        <n v="108.010312"/>
        <n v="107.958406"/>
        <n v="111.7814"/>
        <n v="80.728836000000001"/>
        <n v="81.054034999999999"/>
        <n v="81.135409999999993"/>
        <n v="80.953214000000003"/>
        <n v="81.373490000000004"/>
        <n v="82.369980999999996"/>
        <n v="83.019907000000003"/>
        <n v="83.113527000000005"/>
        <n v="83.260666000000001"/>
        <n v="83.663685000000001"/>
        <n v="83.688129000000004"/>
        <n v="83.688415000000006"/>
        <n v="83.921132"/>
        <n v="84.412234999999995"/>
        <n v="84.336646999999999"/>
        <n v="83.998500000000007"/>
        <n v="82.630722000000006"/>
        <n v="78.437246000000002"/>
        <n v="78.460290999999998"/>
        <n v="78.588069000000004"/>
        <n v="78.598888000000002"/>
        <n v="78.589402000000007"/>
        <n v="78.580568999999997"/>
        <n v="78.594847000000001"/>
        <n v="78.606235999999996"/>
        <n v="78.571957999999995"/>
        <n v="79.220917"/>
        <n v="79.158178000000007"/>
        <n v="79.167602000000002"/>
        <n v="79.179027000000005"/>
        <n v="79.111943999999994"/>
        <n v="79.244213999999999"/>
        <n v="79.241838000000001"/>
        <n v="79.004088999999993"/>
        <n v="79.165119000000004"/>
        <n v="79.164985000000001"/>
        <n v="79.110836000000006"/>
        <n v="75.147687000000005"/>
        <n v="75.227687000000003"/>
        <n v="75.203359000000006"/>
        <n v="75.390625"/>
        <n v="75.429968000000002"/>
        <n v="75.516795999999999"/>
        <n v="76.640062999999998"/>
        <n v="76.695094999999995"/>
        <n v="76.706539000000006"/>
        <n v="76.849030999999997"/>
        <n v="76.913141999999993"/>
        <n v="76.899760999999998"/>
        <n v="76.991395999999995"/>
        <n v="76.677918000000005"/>
        <n v="77.872234000000006"/>
        <n v="77.631805999999997"/>
        <n v="77.943934999999996"/>
        <n v="77.173940999999999"/>
        <n v="96.101703999999998"/>
        <n v="96.198227000000003"/>
        <n v="96.604794999999996"/>
        <n v="96.791635999999997"/>
        <n v="97.126339999999999"/>
        <n v="97.735203999999996"/>
        <n v="97.592909000000006"/>
        <n v="97.901839999999893"/>
        <n v="97.995385999999996"/>
        <n v="98.084226999999998"/>
        <n v="98.309237999999993"/>
        <n v="98.685929999999999"/>
        <n v="99.206812999999997"/>
        <n v="99.177905999999993"/>
        <n v="99.865510999999998"/>
        <n v="99.550094999999999"/>
        <n v="99.800790000000006"/>
        <n v="99.453181000000001"/>
        <n v="68.520366999999993"/>
        <n v="68.526484999999994"/>
        <n v="68.479426000000004"/>
        <n v="69.778597000000005"/>
        <n v="69.640984000000003"/>
        <n v="69.962610999999995"/>
        <n v="69.819230000000005"/>
        <n v="70.070575000000005"/>
        <n v="70.032670999999993"/>
        <n v="70.080171000000007"/>
        <n v="70.291666000000006"/>
        <n v="70.024327999999997"/>
        <n v="70.429918000000001"/>
        <n v="70.580904000000004"/>
        <n v="70.620534000000006"/>
        <n v="68.660235999999998"/>
        <n v="70.91198"/>
        <n v="68.862125000000006"/>
        <n v="69.454415999999995"/>
        <n v="71.200199999999995"/>
        <n v="92.927525000000003"/>
        <n v="93.149024999999995"/>
        <n v="93.008099999999999"/>
        <n v="93.189300000000003"/>
        <n v="93.314235999999994"/>
        <n v="95.007947999999999"/>
        <n v="95.059434999999993"/>
        <n v="95.016229999999993"/>
        <n v="95.133666000000005"/>
        <n v="94.963999999999999"/>
        <n v="95.454108000000005"/>
        <n v="96.239230000000006"/>
        <n v="95.186819999999997"/>
        <n v="96.539871000000005"/>
        <n v="94.011499999999998"/>
        <n v="95.633213999999995"/>
        <n v="95.484785000000002"/>
        <n v="95.681892000000005"/>
        <n v="95.560374999999993"/>
        <n v="77.879322000000002"/>
        <n v="78.197500000000005"/>
        <n v="78.645212000000001"/>
        <n v="78.202332999999996"/>
        <n v="79.840727000000001"/>
        <n v="79.766999999999996"/>
        <n v="80.121786999999998"/>
        <n v="79.928666000000007"/>
        <n v="80.137870000000007"/>
        <n v="80.455063999999993"/>
        <n v="80.157696000000001"/>
        <n v="79.629593"/>
        <n v="80.940765999999996"/>
        <n v="81.139464000000004"/>
        <n v="80.072665999999998"/>
        <n v="81.206708000000006"/>
        <n v="80.441999999999993"/>
        <n v="79.078173000000007"/>
        <n v="81.150761000000003"/>
        <n v="82.383491000000006"/>
        <n v="82.578676999999999"/>
        <n v="82.209104999999994"/>
        <n v="82.663915000000003"/>
        <n v="83.193898000000004"/>
        <n v="83.305813000000001"/>
        <n v="83.466826999999995"/>
        <n v="83.941568000000004"/>
        <n v="84.297826999999998"/>
        <n v="84.156051000000005"/>
        <n v="84.283827000000002"/>
        <n v="84.129517000000007"/>
        <n v="84.312809999999999"/>
        <n v="84.491778999999994"/>
        <n v="85.298271"/>
        <n v="85.417614"/>
        <n v="85.413156999999998"/>
        <n v="84.314149999999998"/>
        <n v="107.885947"/>
        <n v="108.142736"/>
        <n v="108.62697300000001"/>
        <n v="109.350657"/>
        <n v="109.588447"/>
        <n v="109.790868"/>
        <n v="109.938394"/>
        <n v="109.953157"/>
        <n v="110.416026"/>
        <n v="110.647621"/>
        <n v="110.924243"/>
        <n v="111.05081"/>
        <n v="111.062648"/>
        <n v="111.339054"/>
        <n v="111.61627"/>
        <n v="110.854"/>
        <n v="114.848"/>
        <n v="105.42729"/>
        <n v="105.57"/>
        <n v="106.185818"/>
        <n v="106.330472"/>
        <n v="106.320527"/>
        <n v="106.2634"/>
        <n v="107.103418"/>
        <n v="107.569444"/>
        <n v="107.8325"/>
        <n v="108.029185"/>
        <n v="108.28329600000001"/>
        <n v="108.245203"/>
        <n v="108.417092"/>
        <n v="108.44423999999999"/>
        <n v="108.40987"/>
        <n v="107.77970000000001"/>
        <n v="108.66674999999999"/>
        <n v="108.511897"/>
        <n v="110.400547"/>
        <n v="98.383840000000006"/>
        <n v="98.476960000000005"/>
        <n v="98.553960000000004"/>
        <n v="98.693460000000002"/>
        <n v="98.819000000000003"/>
        <n v="99.621880000000004"/>
        <n v="100.19996"/>
        <n v="100.518428"/>
        <n v="100.589979"/>
        <n v="100.655632"/>
        <n v="100.80444799999999"/>
        <n v="101.037102"/>
        <n v="100.938361"/>
        <n v="101.608959"/>
        <n v="101.599326"/>
        <n v="102.17281199999999"/>
        <n v="102.414125"/>
        <n v="102.24477"/>
        <n v="104.977"/>
        <n v="105.852"/>
        <n v="94.350658999999993"/>
        <n v="94.642863000000006"/>
        <n v="94.501476999999994"/>
        <n v="94.770465999999999"/>
        <n v="95.433021999999994"/>
        <n v="95.831613000000004"/>
        <n v="96.056272000000007"/>
        <n v="96.192136000000005"/>
        <n v="96.243954000000002"/>
        <n v="96.608581000000001"/>
        <n v="96.886441000000005"/>
        <n v="97.667287999999999"/>
        <n v="97.405254999999997"/>
        <n v="97.327116000000004"/>
        <n v="97.368204000000006"/>
        <n v="97.361181000000002"/>
        <n v="96.846720000000005"/>
        <n v="97.720387000000002"/>
        <n v="97.762793000000002"/>
        <n v="99.755509000000004"/>
        <n v="99.694220000000001"/>
        <n v="99.635580000000004"/>
        <n v="99.858819999999994"/>
        <n v="100.23287999999999"/>
        <n v="101.2351"/>
        <n v="101.32404"/>
        <n v="101.504"/>
        <n v="102.0642"/>
        <n v="102.06088"/>
        <n v="101.97304"/>
        <n v="102.3533"/>
        <n v="102.68164"/>
        <n v="102.687521"/>
        <n v="103.11469200000001"/>
        <n v="101.313714"/>
        <n v="101.46321500000001"/>
        <n v="101.499686"/>
        <n v="80.914169000000001"/>
        <n v="81.151212999999998"/>
        <n v="81.849644999999995"/>
        <n v="82.098639000000006"/>
        <n v="81.924327000000005"/>
        <n v="84.005166000000003"/>
        <n v="84.175015999999999"/>
        <n v="84.348416"/>
        <n v="84.490049999999997"/>
        <n v="84.235812999999993"/>
        <n v="84.490183000000002"/>
        <n v="84.365948000000003"/>
        <n v="84.693650000000005"/>
        <n v="84.400999999999996"/>
        <n v="84.902687999999998"/>
        <n v="84.699166000000005"/>
        <n v="81.596689999999995"/>
        <n v="84.774636000000001"/>
        <n v="84.141790999999998"/>
        <n v="84.620500000000007"/>
        <n v="73.304778999999996"/>
        <n v="73.261279000000002"/>
        <n v="73.330175999999994"/>
        <n v="73.282572999999999"/>
        <n v="73.331181000000001"/>
        <n v="73.391636000000005"/>
        <n v="73.854249999999993"/>
        <n v="73.964822999999996"/>
        <n v="73.964969999999994"/>
        <n v="74.371238000000005"/>
        <n v="75.107760999999996"/>
        <n v="74.812737999999996"/>
        <n v="75.193179000000001"/>
        <n v="75.168402"/>
        <n v="74.733569000000003"/>
        <n v="75.550787"/>
        <n v="75.083608999999996"/>
        <n v="75.487077999999997"/>
        <n v="75.366928000000001"/>
        <n v="76.489311999999998"/>
        <n v="103.699775"/>
        <n v="103.410319"/>
        <n v="103.65831900000001"/>
        <n v="103.787808"/>
        <n v="104.03348800000001"/>
        <n v="104.83634000000001"/>
        <n v="105.449693"/>
        <n v="105.18027600000001"/>
        <n v="106.204458"/>
        <n v="106.046434"/>
        <n v="106.04202100000001"/>
        <n v="106.83262499999999"/>
        <n v="106.52363"/>
        <n v="106.460869"/>
        <n v="106.767239"/>
        <n v="106.300578"/>
        <n v="106.069333"/>
        <n v="107.282944"/>
        <n v="110.29"/>
        <n v="87.884671999999995"/>
        <n v="88.210963000000007"/>
        <n v="88.253309000000002"/>
        <n v="88.881618000000003"/>
        <n v="88.842129"/>
        <n v="89.318745000000007"/>
        <n v="89.458370000000002"/>
        <n v="89.405462"/>
        <n v="89.448074000000005"/>
        <n v="89.418259000000006"/>
        <n v="89.428906999999995"/>
        <n v="90.190629000000001"/>
        <n v="90.157240000000002"/>
        <n v="90.216517999999994"/>
        <n v="90.418666000000002"/>
        <n v="91.304686000000004"/>
        <n v="92.149979000000002"/>
        <n v="90.353307000000001"/>
        <n v="90.497076000000007"/>
        <n v="91.466250000000002"/>
        <n v="96.488243999999995"/>
        <n v="96.804122000000007"/>
        <n v="96.979733999999993"/>
        <n v="96.878203999999997"/>
        <n v="96.504382000000007"/>
        <n v="97.604916000000003"/>
        <n v="97.617958000000002"/>
        <n v="97.616186999999996"/>
        <n v="97.911582999999993"/>
        <n v="97.950125"/>
        <n v="98.037979000000007"/>
        <n v="97.801895000000002"/>
        <n v="98.567228999999998"/>
        <n v="98.448346000000001"/>
        <n v="99.528701999999996"/>
        <n v="100.148872"/>
        <n v="97.517478999999994"/>
        <n v="98.202839999999995"/>
        <n v="97.690310999999994"/>
        <n v="98.531075999999999"/>
        <n v="97.467100000000002"/>
        <n v="97.595339999999993"/>
        <n v="97.650800000000004"/>
        <n v="97.895300000000006"/>
        <n v="97.944180000000003"/>
        <n v="98.616874999999993"/>
        <n v="99.837273999999994"/>
        <n v="99.842607000000001"/>
        <n v="99.925822999999994"/>
        <n v="100.10086200000001"/>
        <n v="99.753305999999995"/>
        <n v="99.879000000000005"/>
        <n v="99.911080999999996"/>
        <n v="99.665980000000005"/>
        <n v="99.971080999999998"/>
        <n v="101.448562"/>
        <n v="101.92798000000001"/>
        <n v="99.897092999999998"/>
        <n v="99.926906000000002"/>
        <n v="100.719818"/>
        <n v="106.392239"/>
        <n v="106.367695"/>
        <n v="106.58956499999999"/>
        <n v="106.662043"/>
        <n v="107.23106900000001"/>
        <n v="107.85423900000001"/>
        <n v="107.987478"/>
        <n v="108.002"/>
        <n v="108.22336900000001"/>
        <n v="108.53322199999999"/>
        <n v="108.749911"/>
        <n v="108.728044"/>
        <n v="109.167222"/>
        <n v="109.341195"/>
        <n v="110.63915900000001"/>
        <n v="110.801475"/>
        <n v="107.943432"/>
        <n v="110.633352"/>
        <n v="110.370034"/>
        <n v="109.091111"/>
        <n v="81.611177999999995"/>
        <n v="81.761200000000002"/>
        <n v="81.873295999999996"/>
        <n v="81.952721999999994"/>
        <n v="82.225695999999999"/>
        <n v="82.625659999999996"/>
        <n v="83.172781000000001"/>
        <n v="83.474418"/>
        <n v="83.153471999999994"/>
        <n v="83.067599999999999"/>
        <n v="83.286671999999996"/>
        <n v="83.552509000000001"/>
        <n v="83.800580999999994"/>
        <n v="83.927526999999998"/>
        <n v="83.800980999999993"/>
        <n v="84.653980000000004"/>
        <n v="85.720166000000006"/>
        <n v="86.096962000000005"/>
        <n v="84.232755999999995"/>
        <n v="84.243390000000005"/>
        <n v="77.633135999999993"/>
        <n v="77.666465000000002"/>
        <n v="77.651561000000001"/>
        <n v="77.642286999999996"/>
        <n v="77.515351999999993"/>
        <n v="78.448241999999993"/>
        <n v="78.445899999999995"/>
        <n v="78.464228000000006"/>
        <n v="78.704026999999996"/>
        <n v="78.451757000000001"/>
        <n v="78.688699999999997"/>
        <n v="79.154308999999998"/>
        <n v="79.082414"/>
        <n v="79.060153999999997"/>
        <n v="79.389787999999996"/>
        <n v="79.308942000000002"/>
        <n v="79.382159000000001"/>
        <n v="79.861304000000004"/>
        <n v="79.817132000000001"/>
        <n v="82.850125000000006"/>
        <n v="76.016238000000001"/>
        <n v="76.012253000000001"/>
        <n v="76.045401999999996"/>
        <n v="76.453829999999996"/>
        <n v="76.787164000000004"/>
        <n v="77.148786999999999"/>
        <n v="77.136166000000003"/>
        <n v="77.296059999999997"/>
        <n v="77.506484"/>
        <n v="77.534256999999997"/>
        <n v="77.558530000000005"/>
        <n v="77.671878000000007"/>
        <n v="77.991029999999995"/>
        <n v="77.923409000000007"/>
        <n v="77.677358999999996"/>
        <n v="78.899075999999994"/>
        <n v="78.998800000000003"/>
        <n v="79.377677000000006"/>
        <n v="78.549595999999994"/>
        <n v="79.740857000000005"/>
        <n v="94.893645000000006"/>
        <n v="95.172325999999998"/>
        <n v="95.193020000000004"/>
        <n v="95.463325999999995"/>
        <n v="95.435085000000001"/>
        <n v="96.65925"/>
        <n v="96.875530999999995"/>
        <n v="96.832148000000004"/>
        <n v="96.857339999999994"/>
        <n v="96.931893000000002"/>
        <n v="96.819765000000004"/>
        <n v="96.887270000000001"/>
        <n v="96.994311999999994"/>
        <n v="97.161790999999994"/>
        <n v="97.247645000000006"/>
        <n v="97.194520999999995"/>
        <n v="97.756062"/>
        <n v="99.170574000000002"/>
        <n v="98.604354999999998"/>
        <n v="97.796097000000003"/>
        <n v="68.926044000000005"/>
        <n v="69.017557999999994"/>
        <n v="69.245750000000001"/>
        <n v="68.820738000000006"/>
        <n v="69.148588000000004"/>
        <n v="69.920327999999998"/>
        <n v="70.006656000000007"/>
        <n v="70.135597000000004"/>
        <n v="70.229776000000001"/>
        <n v="70.216626000000005"/>
        <n v="70.237880000000004"/>
        <n v="70.214641"/>
        <n v="70.286507"/>
        <n v="70.380566999999999"/>
        <n v="70.361655999999996"/>
        <n v="70.468686000000005"/>
        <n v="70.747416999999999"/>
        <n v="71.085786999999996"/>
        <n v="70.867596000000006"/>
        <n v="72.142476000000002"/>
        <n v="89.895510000000002"/>
        <n v="89.975976000000003"/>
        <n v="90.644999999999996"/>
        <n v="90.848155000000006"/>
        <n v="90.861465999999993"/>
        <n v="91.602170000000001"/>
        <n v="91.433154999999999"/>
        <n v="91.944511000000006"/>
        <n v="91.889043999999998"/>
        <n v="91.939421999999993"/>
        <n v="91.512208999999999"/>
        <n v="91.986110999999994"/>
        <n v="91.758045999999993"/>
        <n v="93.219565000000003"/>
        <n v="93.563064999999995"/>
        <n v="90.972204000000005"/>
        <n v="91.800725"/>
        <n v="93.440293999999994"/>
        <n v="95.169832999999997"/>
        <n v="99.087333000000001"/>
        <n v="86.191749999999999"/>
        <n v="87.782224999999997"/>
        <n v="88.346682000000001"/>
        <n v="87.778762999999998"/>
        <n v="88.748761000000002"/>
        <n v="87.980046999999999"/>
        <n v="88.919145999999998"/>
        <n v="88.471675000000005"/>
        <n v="87.742199999999997"/>
        <n v="89.996793999999994"/>
        <n v="90.055705000000003"/>
        <n v="88.1524"/>
        <n v="88.460609000000005"/>
        <n v="89.070526000000001"/>
        <n v="88.012944000000005"/>
        <n v="91.892769000000001"/>
        <n v="91.287149999999997"/>
        <n v="93.061312000000001"/>
        <n v="95.132887999999994"/>
        <n v="80.808706999999998"/>
        <n v="81.025199999999998"/>
        <n v="81.879357999999996"/>
        <n v="81.991551999999999"/>
        <n v="82.617484000000005"/>
        <n v="82.630030000000005"/>
        <n v="82.662983999999994"/>
        <n v="82.228686999999994"/>
        <n v="82.666923999999995"/>
        <n v="83.133135999999993"/>
        <n v="83.328833000000003"/>
        <n v="83.341635999999994"/>
        <n v="83.328106000000005"/>
        <n v="83.307636000000002"/>
        <n v="83.447338000000002"/>
        <n v="84.301260999999997"/>
        <n v="84.046603000000005"/>
        <n v="84.42783"/>
        <n v="84.725875000000002"/>
        <n v="84.014066"/>
        <n v="108.351868"/>
        <n v="108.326526"/>
        <n v="108.643947"/>
        <n v="108.522777"/>
        <n v="110.258921"/>
        <n v="110.32678900000001"/>
        <n v="110.526"/>
        <n v="110.41027699999999"/>
        <n v="111.051605"/>
        <n v="110.53180500000001"/>
        <n v="109.933378"/>
        <n v="111.25981"/>
        <n v="111.434162"/>
        <n v="111.99056400000001"/>
        <n v="111.720055"/>
        <n v="111.919837"/>
        <n v="112.18708100000001"/>
        <n v="110.711861"/>
        <n v="84.168082999999996"/>
        <n v="84.204499999999996"/>
        <n v="84.397260000000003"/>
        <n v="85.186693000000005"/>
        <n v="85.214540999999997"/>
        <n v="85.032829000000007"/>
        <n v="85.475166000000002"/>
        <n v="84.739659000000003"/>
        <n v="85.725933999999995"/>
        <n v="85.694282000000001"/>
        <n v="85.878489000000002"/>
        <n v="85.676333"/>
        <n v="84.767185999999995"/>
        <n v="86.518062999999998"/>
        <n v="86.309931000000006"/>
        <n v="86.770455999999996"/>
        <n v="87.352688000000001"/>
        <n v="86.113911000000002"/>
        <n v="86.293423000000004"/>
        <n v="86.13064"/>
        <n v="107.377978"/>
        <n v="107.547787"/>
        <n v="107.605446"/>
        <n v="107.85995699999999"/>
        <n v="108.044957"/>
        <n v="108.165234"/>
        <n v="108.261489"/>
        <n v="108.484319"/>
        <n v="108.387604"/>
        <n v="108.849659"/>
        <n v="109.42886900000001"/>
        <n v="109.42650999999999"/>
        <n v="108.86411099999999"/>
        <n v="109.250872"/>
        <n v="108.971553"/>
        <n v="110.243847"/>
        <n v="109.18519999999999"/>
        <n v="109.01094500000001"/>
        <n v="109.10979399999999"/>
        <n v="109.165843"/>
        <n v="98.042000000000002"/>
        <n v="98.370333000000002"/>
        <n v="97.977603999999999"/>
        <n v="99.123465999999993"/>
        <n v="100.168295"/>
        <n v="100.078428"/>
        <n v="100.211285"/>
        <n v="100.450523"/>
        <n v="100.49675000000001"/>
        <n v="100.36619"/>
        <n v="100.64345400000001"/>
        <n v="100.813545"/>
        <n v="100.885238"/>
        <n v="101.09330199999999"/>
        <n v="101.384818"/>
        <n v="103.874304"/>
        <n v="102.571"/>
        <n v="98.899681000000001"/>
        <n v="102.63294999999999"/>
        <n v="93.564207999999994"/>
        <n v="93.642104000000003"/>
        <n v="93.647499999999994"/>
        <n v="94.590708000000006"/>
        <n v="95.131739999999994"/>
        <n v="94.748711"/>
        <n v="96.169020000000003"/>
        <n v="95.682520999999994"/>
        <n v="96.204857000000004"/>
        <n v="96.078918000000002"/>
        <n v="95.845212000000004"/>
        <n v="96.117659000000003"/>
        <n v="96.811367000000004"/>
        <n v="96.637106000000003"/>
        <n v="96.655106000000004"/>
        <n v="97.439499999999995"/>
        <n v="98.573955999999995"/>
        <n v="97.617750000000001"/>
        <n v="95.735979"/>
        <n v="96.167407999999995"/>
        <n v="80.820302999999996"/>
        <n v="80.896938000000006"/>
        <n v="80.802272000000002"/>
        <n v="80.602452999999997"/>
        <n v="80.770953000000006"/>
        <n v="81.36806"/>
        <n v="81.805059999999997"/>
        <n v="81.827529999999996"/>
        <n v="81.967031000000006"/>
        <n v="82.322338000000002"/>
        <n v="81.904317000000006"/>
        <n v="82.399600000000007"/>
        <n v="82.069014999999993"/>
        <n v="82.388937999999996"/>
        <n v="83.120092999999997"/>
        <n v="83.732234000000005"/>
        <n v="83.802374999999998"/>
        <n v="83.658000000000001"/>
        <n v="82.679519999999997"/>
        <n v="83.165214000000006"/>
        <n v="99.910921000000002"/>
        <n v="100.26230099999999"/>
        <n v="99.973078000000001"/>
        <n v="100.570764"/>
        <n v="100.61288"/>
        <n v="101.786603"/>
        <n v="101.35438000000001"/>
        <n v="102.143461"/>
        <n v="101.8378"/>
        <n v="102.25473"/>
        <n v="101.95632000000001"/>
        <n v="101.76008"/>
        <n v="102.25156"/>
        <n v="102.53485999999999"/>
        <n v="103.131788"/>
        <n v="102.281081"/>
        <n v="103.785"/>
        <n v="102.800212"/>
        <n v="105.18803699999999"/>
        <n v="102.74033300000001"/>
        <n v="72.673552999999998"/>
        <n v="74.186471999999995"/>
        <n v="74.656718999999995"/>
        <n v="74.370053999999996"/>
        <n v="74.444289999999995"/>
        <n v="74.207654000000005"/>
        <n v="72.865339000000006"/>
        <n v="74.735763000000006"/>
        <n v="74.519745"/>
        <n v="74.683089999999893"/>
        <n v="75.001869999999997"/>
        <n v="75.918107000000006"/>
        <n v="74.889660000000006"/>
        <n v="73.584599999999995"/>
        <n v="74.870444000000006"/>
        <n v="76.495093999999995"/>
        <n v="73.139277000000007"/>
        <n v="73.666290000000004"/>
        <n v="74.847562999999994"/>
        <n v="73.574543000000006"/>
        <n v="102.186173"/>
        <n v="102.449038"/>
        <n v="102.57156000000001"/>
        <n v="102.86648"/>
        <n v="102.8082"/>
        <n v="103.379384"/>
        <n v="104.465058"/>
        <n v="104.45228"/>
        <n v="104.46745"/>
        <n v="104.226541"/>
        <n v="104.22214200000001"/>
        <n v="104.589215"/>
        <n v="104.69864699999999"/>
        <n v="105.05439200000001"/>
        <n v="105.259274"/>
        <n v="105.13473399999999"/>
        <n v="105.72780299999999"/>
        <n v="104.92229399999999"/>
        <n v="106.31846"/>
        <n v="105.45548700000001"/>
        <n v="72.097354999999993"/>
        <n v="71.141975000000002"/>
        <n v="71.160169999999994"/>
        <n v="72.304738"/>
        <n v="70.772120999999999"/>
        <n v="72.486092999999997"/>
        <n v="72.331744"/>
        <n v="73.010750000000002"/>
        <n v="73.055704000000006"/>
        <n v="70.919072999999997"/>
        <n v="71.994784999999993"/>
        <n v="71.399692000000002"/>
        <n v="71.685388000000003"/>
        <n v="70.616111000000004"/>
        <n v="70.908861000000002"/>
        <n v="73.877419000000003"/>
        <n v="71.446588000000006"/>
        <n v="71.457583"/>
        <n v="70.961555000000004"/>
        <n v="69.507625000000004"/>
        <n v="68.210924000000006"/>
        <n v="68.382378000000003"/>
        <n v="68.403874999999999"/>
        <n v="68.810015000000007"/>
        <n v="69.034559999999999"/>
        <n v="69.049030000000002"/>
        <n v="69.088499999999996"/>
        <n v="69.108333000000002"/>
        <n v="69.142697999999996"/>
        <n v="69.593123000000006"/>
        <n v="69.696460999999999"/>
        <n v="69.736599999999996"/>
        <n v="69.680537999999999"/>
        <n v="69.793846000000002"/>
        <n v="69.725792999999996"/>
        <n v="70.123793000000006"/>
        <n v="70.260887999999994"/>
        <n v="70.119476000000006"/>
        <n v="80.981268999999998"/>
        <n v="81.437753000000001"/>
        <n v="80.990333000000007"/>
        <n v="81.687760999999995"/>
        <n v="82.234076000000002"/>
        <n v="82.373062000000004"/>
        <n v="82.446405999999996"/>
        <n v="82.529875000000004"/>
        <n v="82.658078000000003"/>
        <n v="83.073408999999998"/>
        <n v="82.912452999999999"/>
        <n v="82.989923000000005"/>
        <n v="83.008109000000005"/>
        <n v="83.000249999999994"/>
        <n v="82.942031"/>
        <n v="83.493318000000002"/>
        <n v="82.932500000000005"/>
        <n v="83.107758000000004"/>
        <n v="84.773381000000001"/>
        <n v="87.029818000000006"/>
        <n v="90.681341000000003"/>
        <n v="90.318078"/>
        <n v="91.346299999999999"/>
        <n v="91.464250000000007"/>
        <n v="91.549774999999997"/>
        <n v="91.676699999999997"/>
        <n v="91.783850000000001"/>
        <n v="90.779860999999997"/>
        <n v="91.921949999999995"/>
        <n v="92.066974999999999"/>
        <n v="90.198974000000007"/>
        <n v="92.301500000000004"/>
        <n v="91.493183999999999"/>
        <n v="92.251724999999993"/>
        <n v="92.370625000000004"/>
        <n v="91.724656999999993"/>
        <n v="92.819215999999997"/>
        <n v="93.649000000000001"/>
        <n v="91.152254999999997"/>
        <n v="91.410936000000007"/>
        <n v="91.582361000000006"/>
        <n v="91.942978999999994"/>
        <n v="91.788658999999996"/>
        <n v="92.010765000000006"/>
        <n v="91.898354999999995"/>
        <n v="92.689325999999994"/>
        <n v="92.267467999999994"/>
        <n v="92.375425000000007"/>
        <n v="92.386148000000006"/>
        <n v="92.418531000000002"/>
        <n v="92.355744000000001"/>
        <n v="92.667794999999998"/>
        <n v="93.614895000000004"/>
        <n v="93.192064999999999"/>
        <n v="93.414716999999996"/>
        <n v="93.065363000000005"/>
        <n v="93.112181000000007"/>
        <n v="93.970782999999997"/>
        <n v="82.669867999999994"/>
        <n v="83.070195999999996"/>
        <n v="83.024880999999993"/>
        <n v="84.252499999999998"/>
        <n v="84.545612000000006"/>
        <n v="84.296515999999997"/>
        <n v="84.772000000000006"/>
        <n v="84.540716000000003"/>
        <n v="84.512699999999995"/>
        <n v="84.532449999999997"/>
        <n v="84.801612000000006"/>
        <n v="84.468232999999998"/>
        <n v="84.975595999999996"/>
        <n v="84.735215999999994"/>
        <n v="85.144564000000003"/>
        <n v="84.865832999999995"/>
        <n v="85.095950000000002"/>
        <n v="85.106254000000007"/>
        <n v="85.292983000000007"/>
        <n v="86.988851999999994"/>
        <n v="108.938461"/>
        <n v="109.159589"/>
        <n v="109.409871"/>
        <n v="109.634564"/>
        <n v="110.20228899999999"/>
        <n v="110.285"/>
        <n v="110.420368"/>
        <n v="110.037055"/>
        <n v="110.588368"/>
        <n v="110.231222"/>
        <n v="111.115289"/>
        <n v="111.202263"/>
        <n v="111.247421"/>
        <n v="110.820666"/>
        <n v="111.375105"/>
        <n v="111.103416"/>
        <n v="111.220055"/>
        <n v="112.675625"/>
        <n v="112.78175"/>
        <n v="86.471408999999994"/>
        <n v="86.074265999999994"/>
        <n v="86.511200000000002"/>
        <n v="86.272110999999995"/>
        <n v="86.296266000000003"/>
        <n v="86.214332999999996"/>
        <n v="84.399906000000001"/>
        <n v="86.402908999999994"/>
        <n v="86.499771999999993"/>
        <n v="86.316477000000006"/>
        <n v="87.264380000000003"/>
        <n v="86.827340000000007"/>
        <n v="87.328348000000005"/>
        <n v="86.946954000000005"/>
        <n v="86.792771999999999"/>
        <n v="86.040594999999996"/>
        <n v="88.243285"/>
        <n v="86.645937000000004"/>
        <n v="86.206333000000001"/>
        <n v="87.751499999999993"/>
        <n v="82.182522000000006"/>
        <n v="82.367818"/>
        <n v="82.890726999999998"/>
        <n v="82.944453999999993"/>
        <n v="83.310045000000002"/>
        <n v="83.423317999999995"/>
        <n v="83.721953999999997"/>
        <n v="83.770976000000005"/>
        <n v="84.193093000000005"/>
        <n v="84.311340000000001"/>
        <n v="84.338499999999996"/>
        <n v="85.119394999999997"/>
        <n v="83.601419000000007"/>
        <n v="99.320976999999999"/>
        <n v="99.486333000000002"/>
        <n v="99.593377000000004"/>
        <n v="99.959154999999996"/>
        <n v="100.21545399999999"/>
        <n v="100.628159"/>
        <n v="100.77327200000001"/>
        <n v="100.768772"/>
        <n v="100.80568100000001"/>
        <n v="101.214111"/>
        <n v="101.66079499999999"/>
        <n v="101.68788600000001"/>
        <n v="101.715521999999"/>
        <n v="101.676613"/>
        <n v="101.86513600000001"/>
        <n v="102.457386"/>
        <n v="101.942604"/>
        <n v="102.54497600000001"/>
        <n v="90.654371999999995"/>
        <n v="90.972627000000003"/>
        <n v="92.137196000000003"/>
        <n v="92.289119999999997"/>
        <n v="92.503119999999996"/>
        <n v="92.962599999999995"/>
        <n v="92.733041"/>
        <n v="93.259140000000002"/>
        <n v="93.460920000000002"/>
        <n v="93.290978999999993"/>
        <n v="93.261255000000006"/>
        <n v="93.477877000000007"/>
        <n v="93.351708000000002"/>
        <n v="93.596145000000007"/>
        <n v="93.486223999999893"/>
        <n v="93.503421000000003"/>
        <n v="93.691833000000003"/>
        <n v="94.022473000000005"/>
        <n v="92.056272000000007"/>
        <n v="95.281110999999996"/>
        <n v="81.068173999999999"/>
        <n v="81.488237999999996"/>
        <n v="81.619809000000004"/>
        <n v="82.097412000000006"/>
        <n v="82.582950999999994"/>
        <n v="82.649305999999996"/>
        <n v="82.199933999999999"/>
        <n v="82.671790000000001"/>
        <n v="82.688838000000004"/>
        <n v="82.653564000000003"/>
        <n v="82.761806000000007"/>
        <n v="82.490566000000001"/>
        <n v="82.533000000000001"/>
        <n v="83.113450999999998"/>
        <n v="83.409548000000001"/>
        <n v="83.422032000000002"/>
        <n v="83.398724999999999"/>
        <n v="83.670638999999994"/>
        <n v="83.353813000000002"/>
        <n v="83.315911"/>
        <n v="78.364320000000006"/>
        <n v="78.900019"/>
        <n v="79.593941999999998"/>
        <n v="79.532803000000001"/>
        <n v="79.677615000000003"/>
        <n v="79.510825999999994"/>
        <n v="79.650273999999996"/>
        <n v="79.683430999999999"/>
        <n v="80.02149"/>
        <n v="80.116380000000007"/>
        <n v="80.174763999999996"/>
        <n v="79.93047"/>
        <n v="79.799881999999997"/>
        <n v="80.253399999999999"/>
        <n v="79.619916000000003"/>
        <n v="80.009431000000006"/>
        <n v="78.879260000000002"/>
        <n v="80.334475999999995"/>
        <n v="80.746958000000006"/>
        <n v="80.855000000000004"/>
        <n v="103.993711"/>
        <n v="104.85767300000001"/>
        <n v="104.30104"/>
        <n v="104.125607"/>
        <n v="104.40031999999999"/>
        <n v="104.268145"/>
        <n v="104.69184300000001"/>
        <n v="104.796294"/>
        <n v="105.30706000000001"/>
        <n v="105.4967"/>
        <n v="105.105509"/>
        <n v="105.959192"/>
        <n v="105.89185999999999"/>
        <n v="106.3338"/>
        <n v="106.40447899999999"/>
        <n v="107.67446"/>
        <n v="106.391893"/>
        <n v="109.466292"/>
        <n v="112.49525"/>
        <n v="117.81925"/>
        <n v="93.990166000000002"/>
        <n v="93.901076000000003"/>
        <n v="94.937511999999998"/>
        <n v="95.142511999999996"/>
        <n v="95.284800000000004"/>
        <n v="96.016999999999996"/>
        <n v="95.502195"/>
        <n v="95.535121000000004"/>
        <n v="95.787170000000003"/>
        <n v="96.098560000000006"/>
        <n v="96.2714"/>
        <n v="96.771150000000006"/>
        <n v="96.807474999999997"/>
        <n v="97.049850000000006"/>
        <n v="96.853350000000006"/>
        <n v="97.267332999999994"/>
        <n v="97.845904000000004"/>
        <n v="94.876390000000001"/>
        <n v="58.020142"/>
        <n v="58.255927999999997"/>
        <n v="58.268928000000002"/>
        <n v="58.150984999999999"/>
        <n v="58.195942000000002"/>
        <n v="58.335709999999999"/>
        <n v="58.189234999999996"/>
        <n v="57.950767999999997"/>
        <n v="57.596719999999998"/>
        <n v="58.472543999999999"/>
        <n v="58.307865"/>
        <n v="58.592028999999997"/>
        <n v="58.731661000000003"/>
        <n v="58.873410999999997"/>
        <n v="59.008411000000002"/>
        <n v="58.980910000000002"/>
        <n v="59.416656000000003"/>
        <n v="59.202500000000001"/>
        <n v="101.65186"/>
        <n v="101.99039999999999"/>
        <n v="102.09926"/>
        <n v="102.18971999999999"/>
        <n v="103.09926"/>
        <n v="103.19934000000001"/>
        <n v="103.017937"/>
        <n v="103.70304"/>
        <n v="103.99088"/>
        <n v="103.94904"/>
        <n v="104.091224"/>
        <n v="104.209857"/>
        <n v="103.895404"/>
        <n v="104.14031900000001"/>
        <n v="104.801104"/>
        <n v="104.42872300000001"/>
        <n v="104.692565"/>
        <n v="105.166"/>
        <n v="105.414"/>
        <n v="104.917142"/>
        <n v="95.063000000000002"/>
        <n v="95.129105999999993"/>
        <n v="95.118532999999999"/>
        <n v="95.838679999999997"/>
        <n v="95.777935999999997"/>
        <n v="96.165807999999998"/>
        <n v="96.240360999999993"/>
        <n v="96.227339999999998"/>
        <n v="96.439276000000007"/>
        <n v="96.606425000000002"/>
        <n v="96.621340000000004"/>
        <n v="96.715456000000003"/>
        <n v="97.099652000000006"/>
        <n v="97.052891000000002"/>
        <n v="97.754019999999997"/>
        <n v="97.881890999999996"/>
        <n v="96.412785"/>
        <n v="98.435096999999999"/>
        <n v="97.786862999999997"/>
        <n v="82.937769000000003"/>
        <n v="83.340783999999999"/>
        <n v="84.195254000000006"/>
        <n v="83.755287999999993"/>
        <n v="84.344862000000006"/>
        <n v="84.932843000000005"/>
        <n v="85.337625000000003"/>
        <n v="85.388999999999996"/>
        <n v="85.943783999999994"/>
        <n v="86.143180000000001"/>
        <n v="84.817784000000003"/>
        <n v="85.78398"/>
        <n v="85.685078000000004"/>
        <n v="86.072040999999999"/>
        <n v="85.806754999999995"/>
        <n v="86.497856999999996"/>
        <n v="88.403782000000007"/>
        <n v="92.166544999999999"/>
        <n v="92.182317999999995"/>
        <n v="82.046154999999999"/>
        <n v="82.123125000000002"/>
        <n v="82.170303000000004"/>
        <n v="82.642758000000001"/>
        <n v="82.883826999999997"/>
        <n v="82.941723999999994"/>
        <n v="83.057637"/>
        <n v="83.066068000000001"/>
        <n v="83.246137000000004"/>
        <n v="83.295636999999999"/>
        <n v="83.382603000000003"/>
        <n v="83.418700999999999"/>
        <n v="83.563315000000003"/>
        <n v="83.555824000000001"/>
        <n v="83.798421000000005"/>
        <n v="84.554122000000007"/>
        <n v="84.917445999999998"/>
        <n v="85.001891999999998"/>
        <n v="85.406813999999997"/>
        <n v="82.197000000000003"/>
        <n v="82.374189000000001"/>
        <n v="82.710948000000002"/>
        <n v="83.163326999999995"/>
        <n v="83.313361999999998"/>
        <n v="83.469050999999993"/>
        <n v="83.540689"/>
        <n v="84.117157000000006"/>
        <n v="84.666932000000003"/>
        <n v="84.184701000000004"/>
        <n v="84.475420999999997"/>
        <n v="84.762490999999997"/>
        <n v="84.503438000000003"/>
        <n v="85.158118000000002"/>
        <n v="84.753744999999995"/>
        <n v="84.918210000000002"/>
        <n v="84.765473"/>
        <n v="85.197714000000005"/>
        <n v="85.995410000000007"/>
        <n v="86.127200000000002"/>
        <n v="75.758080000000007"/>
        <n v="75.828532999999993"/>
        <n v="75.968199999999996"/>
        <n v="75.939385999999999"/>
        <n v="76.373720000000006"/>
        <n v="76.379973000000007"/>
        <n v="76.388109"/>
        <n v="76.749851000000007"/>
        <n v="77.230472000000006"/>
        <n v="77.202269999999999"/>
        <n v="77.197958999999997"/>
        <n v="77.193282999999994"/>
        <n v="77.218863999999996"/>
        <n v="77.513405000000006"/>
        <n v="77.534634999999994"/>
        <n v="77.574324000000004"/>
        <n v="79.133832999999996"/>
        <n v="79.118360999999993"/>
        <n v="76.570785000000001"/>
        <n v="106.266846"/>
        <n v="106.93194800000001"/>
        <n v="106.991923"/>
        <n v="107.184743"/>
        <n v="108.2895"/>
        <n v="108.895307"/>
        <n v="107.14112799999999"/>
        <n v="107.37681499999999"/>
        <n v="108.573825"/>
        <n v="108.951025"/>
        <n v="108.76161500000001"/>
        <n v="108.23455"/>
        <n v="109.048783"/>
        <n v="110.063444"/>
        <n v="106.476102"/>
        <n v="108.814179"/>
        <n v="108.340131"/>
        <n v="106.119378"/>
        <n v="107.536035"/>
        <n v="110.85"/>
        <n v="98.003"/>
        <n v="98.465159999999997"/>
        <n v="98.527379999999994"/>
        <n v="98.683819999999997"/>
        <n v="99.493039999999993"/>
        <n v="99.764279999999999"/>
        <n v="99.778940000000006"/>
        <n v="99.784360000000007"/>
        <n v="99.811480000000003"/>
        <n v="99.994739999999993"/>
        <n v="100.24852"/>
        <n v="100.334836"/>
        <n v="100.336122"/>
        <n v="100.45087700000001"/>
        <n v="100.52597900000001"/>
        <n v="100.202127"/>
        <n v="100.632122"/>
        <n v="100.640224"/>
        <n v="101.120938"/>
        <n v="101.399387"/>
        <n v="69.217984999999999"/>
        <n v="69.407121000000004"/>
        <n v="69.856632000000005"/>
        <n v="69.540953999999999"/>
        <n v="70.233940000000004"/>
        <n v="70.311985000000007"/>
        <n v="70.121938999999998"/>
        <n v="71.890274000000005"/>
        <n v="70.744134000000003"/>
        <n v="70.745716000000002"/>
        <n v="70.763328000000001"/>
        <n v="70.855431999999993"/>
        <n v="70.864164000000002"/>
        <n v="70.889849999999996"/>
        <n v="70.923327999999998"/>
        <n v="71.753651000000005"/>
        <n v="71.400374999999997"/>
        <n v="72.332691999999994"/>
        <n v="71.465935000000002"/>
        <n v="68.787780999999995"/>
        <n v="69.312438999999998"/>
        <n v="69.278727000000003"/>
        <n v="69.441249999999997"/>
        <n v="69.875984000000003"/>
        <n v="69.783226999999997"/>
        <n v="69.94453"/>
        <n v="69.960832999999994"/>
        <n v="69.640140000000002"/>
        <n v="70.194523000000004"/>
        <n v="70.328875999999994"/>
        <n v="70.027221999999995"/>
        <n v="70.181411999999995"/>
        <n v="70.482029999999995"/>
        <n v="70.723091999999994"/>
        <n v="70.675184000000002"/>
        <n v="70.064338000000006"/>
        <n v="71.162734"/>
        <n v="71.583321999999995"/>
        <n v="91.671260000000004"/>
        <n v="92.057085999999998"/>
        <n v="92.131173000000004"/>
        <n v="92.479129999999998"/>
        <n v="92.767759999999996"/>
        <n v="93.662063000000003"/>
        <n v="94.447318999999993"/>
        <n v="94.242255"/>
        <n v="94.315275999999997"/>
        <n v="94.075021000000007"/>
        <n v="94.026177000000004"/>
        <n v="94.431912999999994"/>
        <n v="94.579607999999993"/>
        <n v="94.361542999999998"/>
        <n v="94.940847000000005"/>
        <n v="93.399928000000003"/>
        <n v="95.326933999999994"/>
        <n v="95.678933999999998"/>
        <n v="93.915211999999997"/>
        <n v="82.719967999999994"/>
        <n v="82.159441999999999"/>
        <n v="82.864828000000003"/>
        <n v="82.865453000000002"/>
        <n v="83.196353999999999"/>
        <n v="83.805436999999998"/>
        <n v="83.815405999999996"/>
        <n v="83.789625000000001"/>
        <n v="83.503208999999998"/>
        <n v="83.548294999999996"/>
        <n v="84.292300999999995"/>
        <n v="84.375793000000002"/>
        <n v="83.915754000000007"/>
        <n v="82.752734000000004"/>
        <n v="74.452252999999999"/>
        <n v="74.412814999999995"/>
        <n v="75.090328"/>
        <n v="75.921705000000003"/>
        <n v="75.940366999999995"/>
        <n v="76.356984999999995"/>
        <n v="76.362514000000004"/>
        <n v="75.907257000000001"/>
        <n v="76.428175999999993"/>
        <n v="76.404808000000003"/>
        <n v="76.599073000000004"/>
        <n v="77.030834999999996"/>
        <n v="76.739583999999994"/>
        <n v="76.855475999999996"/>
        <n v="77.591804999999994"/>
        <n v="77.528745999999998"/>
        <n v="76.984812000000005"/>
        <n v="78.034750000000003"/>
        <n v="77.356181000000007"/>
        <n v="78.364783000000003"/>
        <n v="86.190651000000003"/>
        <n v="86.315325000000001"/>
        <n v="86.485347000000004"/>
        <n v="86.497310999999996"/>
        <n v="86.441488000000007"/>
        <n v="86.805755000000005"/>
        <n v="86.987318000000002"/>
        <n v="87.051930999999996"/>
        <n v="87.198933999999994"/>
        <n v="87.207155"/>
        <n v="87.200339999999997"/>
        <n v="87.215534000000005"/>
        <n v="86.999295000000004"/>
        <n v="87.490455999999995"/>
        <n v="88.284284999999997"/>
        <n v="88.770837999999998"/>
        <n v="86.728181000000006"/>
        <n v="86.611333000000002"/>
        <n v="89.004999999999995"/>
        <n v="101.317104"/>
        <n v="102.154354"/>
        <n v="102.229354"/>
        <n v="102.177041"/>
        <n v="102.652083"/>
        <n v="102.270979"/>
        <n v="101.488208"/>
        <n v="102.916062"/>
        <n v="102.234145"/>
        <n v="103.22152"/>
        <n v="102.719916"/>
        <n v="102.32289299999999"/>
        <n v="102.623446"/>
        <n v="102.771574"/>
        <n v="102.464553"/>
        <n v="103.46414799999999"/>
        <n v="102.718622"/>
        <n v="105.19654300000001"/>
        <n v="101.843813"/>
        <n v="103.167464"/>
        <n v="93.815836000000004"/>
        <n v="94.100981000000004"/>
        <n v="94.368345000000005"/>
        <n v="94.392818000000005"/>
        <n v="94.477526999999995"/>
        <n v="94.424999999999997"/>
        <n v="94.546654000000004"/>
        <n v="94.407653999999994"/>
        <n v="94.927436"/>
        <n v="95.883731999999995"/>
        <n v="95.552758999999995"/>
        <n v="95.646388000000002"/>
        <n v="95.666276999999994"/>
        <n v="95.759388000000001"/>
        <n v="95.772054999999995"/>
        <n v="95.703350999999998"/>
        <n v="95.644018000000003"/>
        <n v="95.167698000000001"/>
        <n v="97.395697999999996"/>
        <n v="97.774905000000004"/>
        <n v="100.44123999999999"/>
        <n v="100.42095999999999"/>
        <n v="101.04883599999999"/>
        <n v="101.30030600000001"/>
        <n v="101.75404"/>
        <n v="101.82523999999999"/>
        <n v="101.8539"/>
        <n v="101.82098000000001"/>
        <n v="102.733408"/>
        <n v="102.759142"/>
        <n v="102.98076"/>
        <n v="103.170224"/>
        <n v="103.085875"/>
        <n v="103.301489"/>
        <n v="103.71959099999999"/>
        <n v="104.119361"/>
        <n v="105.180829"/>
        <n v="102.74195"/>
        <n v="103.677454"/>
        <n v="104.2052"/>
        <n v="80.695691999999994"/>
        <n v="80.893523000000002"/>
        <n v="80.941368999999995"/>
        <n v="81.60463"/>
        <n v="81.861446000000001"/>
        <n v="81.908843000000005"/>
        <n v="82.022155999999995"/>
        <n v="82.076561999999996"/>
        <n v="82.154889999999995"/>
        <n v="82.187640000000002"/>
        <n v="82.764234000000002"/>
        <n v="82.688765000000004"/>
        <n v="82.909280999999993"/>
        <n v="82.695228999999998"/>
        <n v="82.584863999999996"/>
        <n v="83.703840999999997"/>
        <n v="83.509"/>
        <n v="84.683915999999996"/>
        <n v="73.594631000000007"/>
        <n v="73.775981999999999"/>
        <n v="73.986999999999995"/>
        <n v="73.861126999999996"/>
        <n v="74.448016999999993"/>
        <n v="74.467636999999996"/>
        <n v="74.955982000000006"/>
        <n v="75.579333000000005"/>
        <n v="75.549745000000001"/>
        <n v="75.458245000000005"/>
        <n v="75.250228000000007"/>
        <n v="75.323876999999996"/>
        <n v="76.241643999999994"/>
        <n v="75.880172000000002"/>
        <n v="75.936368000000002"/>
        <n v="76.018863999999994"/>
        <n v="77.012465000000006"/>
        <n v="76.452859000000004"/>
        <n v="75.534368000000001"/>
        <n v="76.419942000000006"/>
        <n v="87.248896999999999"/>
        <n v="87.26276"/>
        <n v="88.814705000000004"/>
        <n v="88.423816000000002"/>
        <n v="89.159509"/>
        <n v="89.113470000000007"/>
        <n v="89.154861999999994"/>
        <n v="89.027744999999996"/>
        <n v="88.934875000000005"/>
        <n v="89.294259999999994"/>
        <n v="88.992653000000004"/>
        <n v="89.831999999999994"/>
        <n v="89.301265000000001"/>
        <n v="89.390243999999996"/>
        <n v="89.848145000000002"/>
        <n v="90.269499999999994"/>
        <n v="90.030749999999998"/>
        <n v="91.520920000000004"/>
        <n v="90.387062999999998"/>
        <n v="89.131287999999998"/>
        <n v="92.587611999999993"/>
        <n v="92.896218000000005"/>
        <n v="94.933966999999996"/>
        <n v="93.651600000000002"/>
        <n v="94.053566000000004"/>
        <n v="95.584874999999997"/>
        <n v="94.929030999999995"/>
        <n v="95.310311999999996"/>
        <n v="95.801030999999995"/>
        <n v="94.728705000000005"/>
        <n v="95.622423999999995"/>
        <n v="95.939818000000002"/>
        <n v="96.423066000000006"/>
        <n v="95.279200000000003"/>
        <n v="96.283600000000007"/>
        <n v="97.138768999999996"/>
        <n v="94.559375000000003"/>
        <n v="97.983714000000006"/>
        <n v="97.156284999999997"/>
        <n v="97.310570999999996"/>
        <n v="87.861853999999994"/>
        <n v="87.944828999999999"/>
        <n v="89.204892999999998"/>
        <n v="89.322913"/>
        <n v="89.617270000000005"/>
        <n v="89.317913000000004"/>
        <n v="89.275295"/>
        <n v="89.904894999999996"/>
        <n v="89.760194999999996"/>
        <n v="89.608434000000003"/>
        <n v="89.979804000000001"/>
        <n v="89.825999999999993"/>
        <n v="90.174260000000004"/>
        <n v="90.816211999999993"/>
        <n v="88.284723"/>
        <n v="90.871666000000005"/>
        <n v="90.554965999999993"/>
        <n v="91.747874999999993"/>
        <n v="91.162428000000006"/>
        <n v="97.573020999999997"/>
        <n v="97.978954999999999"/>
        <n v="98.278999999999996"/>
        <n v="98.639021"/>
        <n v="99.062847000000005"/>
        <n v="99.373542999999998"/>
        <n v="99.275886"/>
        <n v="99.411287999999999"/>
        <n v="99.535839999999993"/>
        <n v="99.505347"/>
        <n v="100.128152"/>
        <n v="100.334377"/>
        <n v="100.529355"/>
        <n v="100.51815499999999"/>
        <n v="100.784066"/>
        <n v="100.890755"/>
        <n v="100.91626599999999"/>
        <n v="98.107302000000004"/>
        <n v="97.847145999999995"/>
        <n v="99.527692000000002"/>
        <n v="93.654399999999995"/>
        <n v="93.608074999999999"/>
        <n v="93.794674999999998"/>
        <n v="93.710205000000002"/>
        <n v="94.608633999999995"/>
        <n v="95.508902000000006"/>
        <n v="95.659194999999997"/>
        <n v="95.729174999999998"/>
        <n v="95.266400000000004"/>
        <n v="95.390349999999998"/>
        <n v="95.913842000000002"/>
        <n v="96.268150000000006"/>
        <n v="97.219577999999998"/>
        <n v="96.590472000000005"/>
        <n v="95.998463999999998"/>
        <n v="95.873862000000003"/>
        <n v="96.121776999999994"/>
        <n v="98.299153000000004"/>
        <n v="82.594543000000002"/>
        <n v="83.319355000000002"/>
        <n v="83.571254999999994"/>
        <n v="83.558520999999999"/>
        <n v="84.170933000000005"/>
        <n v="84.189222000000001"/>
        <n v="84.381354999999999"/>
        <n v="84.618129999999994"/>
        <n v="84.770977000000002"/>
        <n v="84.873688000000001"/>
        <n v="84.942910999999995"/>
        <n v="85.199828999999994"/>
        <n v="84.972250000000003"/>
        <n v="84.966847000000001"/>
        <n v="85.114249999999998"/>
        <n v="85.288658999999996"/>
        <n v="84.920113000000001"/>
        <n v="83.684776999999997"/>
        <n v="86.562175999999994"/>
        <n v="83.397000000000006"/>
        <n v="83.597981000000004"/>
        <n v="84.379614000000004"/>
        <n v="84.441104999999993"/>
        <n v="84.278298000000007"/>
        <n v="83.627225999999993"/>
        <n v="84.666421"/>
        <n v="84.861718999999994"/>
        <n v="84.887227999999993"/>
        <n v="85.238124999999997"/>
        <n v="85.334446"/>
        <n v="85.355339000000001"/>
        <n v="85.280445999999998"/>
        <n v="85.287321000000006"/>
        <n v="85.364695999999995"/>
        <n v="85.456142"/>
        <n v="85.414129000000003"/>
        <n v="85.625240000000005"/>
        <n v="99.685000000000002"/>
        <n v="93.189436999999998"/>
        <n v="93.358144999999993"/>
        <n v="93.726229000000004"/>
        <n v="94.000893000000005"/>
        <n v="94.652265"/>
        <n v="94.450957000000002"/>
        <n v="94.535467999999995"/>
        <n v="95.254509999999996"/>
        <n v="95.221041999999997"/>
        <n v="95.421937999999997"/>
        <n v="94.974404000000007"/>
        <n v="95.393913999999995"/>
        <n v="95.422723000000005"/>
        <n v="96.298978000000005"/>
        <n v="95.095444000000001"/>
        <n v="95.292021000000005"/>
        <n v="95.507176999999999"/>
        <n v="95.421750000000003"/>
        <n v="95.327972000000003"/>
        <n v="96.456999999999994"/>
        <n v="87.505236999999994"/>
        <n v="87.626254000000003"/>
        <n v="88.018812999999994"/>
        <n v="88.089253999999997"/>
        <n v="87.835482999999996"/>
        <n v="88.626163000000005"/>
        <n v="88.531694000000002"/>
        <n v="88.632305000000002"/>
        <n v="88.741189000000006"/>
        <n v="88.838499999999996"/>
        <n v="89.440732999999994"/>
        <n v="89.311965000000001"/>
        <n v="89.230620000000002"/>
        <n v="89.746099999999998"/>
        <n v="89.377826999999996"/>
        <n v="90.092490999999995"/>
        <n v="89.901283000000006"/>
        <n v="90.467454000000004"/>
        <n v="90.085125000000005"/>
        <n v="88.038651999999999"/>
        <n v="84.679395999999997"/>
        <n v="85.237387999999996"/>
        <n v="84.798402999999993"/>
        <n v="84.704288000000005"/>
        <n v="85.498462000000004"/>
        <n v="84.894859999999994"/>
        <n v="86.249887999999999"/>
        <n v="85.992018999999999"/>
        <n v="86.716184999999996"/>
        <n v="86.004846000000001"/>
        <n v="85.913697999999997"/>
        <n v="86.558684999999997"/>
        <n v="86.754165999999998"/>
        <n v="85.948648000000006"/>
        <n v="86.316269000000005"/>
        <n v="87.372112999999999"/>
        <n v="86.664243999999997"/>
        <n v="89.530637999999996"/>
        <n v="95.942443999999995"/>
        <n v="99.262293999999997"/>
        <n v="107.67965100000001"/>
        <n v="108.01741800000001"/>
        <n v="108.771933"/>
        <n v="109.28275499999999"/>
        <n v="109.632977"/>
        <n v="109.802577"/>
        <n v="109.600409"/>
        <n v="109.90330400000001"/>
        <n v="109.64425"/>
        <n v="110.246347"/>
        <n v="110.352"/>
        <n v="109.845595"/>
        <n v="109.56990399999999"/>
        <n v="110.382785"/>
        <n v="111.304875"/>
        <n v="110.753"/>
        <n v="110.544464"/>
        <n v="110.477526"/>
        <n v="108.376375"/>
        <n v="109.15528500000001"/>
        <n v="77.262122000000005"/>
        <n v="77.346660999999997"/>
        <n v="77.645297999999997"/>
        <n v="77.775718999999995"/>
        <n v="78.389250000000004"/>
        <n v="78.504254000000003"/>
        <n v="78.783287999999999"/>
        <n v="78.841620000000006"/>
        <n v="78.489862000000002"/>
        <n v="79.136491000000007"/>
        <n v="79.139033999999995"/>
        <n v="78.933217999999997"/>
        <n v="79.268648999999996"/>
        <n v="79.062773000000007"/>
        <n v="79.174660000000003"/>
        <n v="79.941963000000001"/>
        <n v="79.484767000000005"/>
        <n v="79.345169999999996"/>
        <n v="79.507532999999995"/>
        <n v="79.725333000000006"/>
        <n v="92.654465000000002"/>
        <n v="94.217568"/>
        <n v="93.887477000000004"/>
        <n v="94.008044999999996"/>
        <n v="94.631568000000001"/>
        <n v="94.733545000000007"/>
        <n v="93.968450000000004"/>
        <n v="94.974930000000001"/>
        <n v="94.925839999999994"/>
        <n v="95.397232000000002"/>
        <n v="95.168836999999996"/>
        <n v="95.879441"/>
        <n v="95.533169999999998"/>
        <n v="96.427604000000002"/>
        <n v="95.788030000000006"/>
        <n v="97.400666000000001"/>
        <n v="97.688351999999995"/>
        <n v="69.94538"/>
        <n v="69.981639999999999"/>
        <n v="70.595825000000005"/>
        <n v="70.677587000000003"/>
        <n v="71.049587000000002"/>
        <n v="71.107387000000003"/>
        <n v="71.087629000000007"/>
        <n v="71.228999999999999"/>
        <n v="71.335677000000004"/>
        <n v="71.168390000000002"/>
        <n v="71.254467000000005"/>
        <n v="71.423725000000005"/>
        <n v="71.480824999999996"/>
        <n v="71.328777000000002"/>
        <n v="71.417745999999994"/>
        <n v="71.615317000000005"/>
        <n v="71.592237999999995"/>
        <n v="70.355999999999995"/>
        <n v="72.316404000000006"/>
        <n v="73.050951999999995"/>
        <n v="98.280804000000003"/>
        <n v="98.679311999999996"/>
        <n v="98.795424999999994"/>
        <n v="98.803190999999998"/>
        <n v="98.653755000000004"/>
        <n v="99.517936000000006"/>
        <n v="99.795126999999994"/>
        <n v="99.897851000000003"/>
        <n v="100.084659"/>
        <n v="100.085787"/>
        <n v="100.117829"/>
        <n v="100.275127"/>
        <n v="100.298191"/>
        <n v="100.06826599999999"/>
        <n v="100.365533"/>
        <n v="100.66517899999999"/>
        <n v="100.679411"/>
        <n v="100.218064"/>
        <n v="98.849436999999995"/>
        <n v="101.24850000000001"/>
        <n v="83.618031999999999"/>
        <n v="83.691605999999993"/>
        <n v="83.860294999999994"/>
        <n v="83.834901000000002"/>
        <n v="83.719015999999996"/>
        <n v="83.501525000000001"/>
        <n v="84.721688"/>
        <n v="85.284790000000001"/>
        <n v="85.308402999999998"/>
        <n v="84.870766000000003"/>
        <n v="84.927266000000003"/>
        <n v="85.122583000000006"/>
        <n v="85.095215999999994"/>
        <n v="85.265016000000003"/>
        <n v="85.207766000000007"/>
        <n v="85.369135"/>
        <n v="85.373733000000001"/>
        <n v="85.379671999999999"/>
        <n v="85.944877000000005"/>
        <n v="85.397499999999994"/>
        <n v="112.38475"/>
        <n v="112.844444"/>
        <n v="113.030361"/>
        <n v="113.095916"/>
        <n v="114.149027"/>
        <n v="113.913444"/>
        <n v="114.182361"/>
        <n v="114.247666"/>
        <n v="114.52419399999999"/>
        <n v="114.803861"/>
        <n v="114.809444"/>
        <n v="114.861611"/>
        <n v="114.707583"/>
        <n v="114.91152700000001"/>
        <n v="115.058277"/>
        <n v="115.079971"/>
        <n v="115.09217099999999"/>
        <n v="115.263485"/>
        <n v="75.692098000000001"/>
        <n v="75.888638999999998"/>
        <n v="76.102964999999998"/>
        <n v="76.039967000000004"/>
        <n v="76.285576000000006"/>
        <n v="76.696282999999994"/>
        <n v="76.705100000000002"/>
        <n v="76.433322000000004"/>
        <n v="76.935682999999997"/>
        <n v="76.687206000000003"/>
        <n v="77.054586"/>
        <n v="77.380279999999999"/>
        <n v="77.181258"/>
        <n v="77.279947000000007"/>
        <n v="77.432136999999997"/>
        <n v="77.465858999999995"/>
        <n v="77.454637000000005"/>
        <n v="78.275577999999996"/>
        <n v="77.850386"/>
        <n v="77.751710000000003"/>
        <n v="85.377499999999998"/>
        <n v="85.391119000000003"/>
        <n v="86.076560000000001"/>
        <n v="86.174475999999999"/>
        <n v="86.685570999999996"/>
        <n v="86.370615000000001"/>
        <n v="86.783595000000005"/>
        <n v="87.353238000000005"/>
        <n v="87.328333000000001"/>
        <n v="87.325023000000002"/>
        <n v="87.376689999999996"/>
        <n v="87.475357000000002"/>
        <n v="87.507706999999996"/>
        <n v="87.472713999999996"/>
        <n v="87.676284999999993"/>
        <n v="87.926901999999998"/>
        <n v="87.337389999999999"/>
        <n v="87.937617000000003"/>
        <n v="87.701606999999996"/>
        <n v="88.191888000000006"/>
        <n v="114.96460399999999"/>
        <n v="115.13428500000001"/>
        <n v="115.76773799999999"/>
        <n v="116.56954500000001"/>
        <n v="118.086288"/>
        <n v="117.93961299999999"/>
        <n v="116.56178"/>
        <n v="117.728953"/>
        <n v="117.16975600000001"/>
        <n v="117.92597600000001"/>
        <n v="118.82565099999999"/>
        <n v="118.542"/>
        <n v="118.8925"/>
        <n v="119.606189"/>
        <n v="122.314391"/>
        <n v="123.329947"/>
        <n v="124.276944"/>
        <n v="122.00024999999999"/>
        <n v="127.0968"/>
        <n v="127.0898"/>
        <n v="107.24985700000001"/>
        <n v="108.332095"/>
        <n v="108.40557099999999"/>
        <n v="108.86823800000001"/>
        <n v="108.833761"/>
        <n v="108.804227"/>
        <n v="108.254631"/>
        <n v="108.853857"/>
        <n v="109.778909"/>
        <n v="109.70885699999999"/>
        <n v="110.177904"/>
        <n v="109.213578"/>
        <n v="109.235"/>
        <n v="110.57033300000001"/>
        <n v="110.269571"/>
        <n v="109.57542100000001"/>
        <n v="111.046476"/>
        <n v="109.45684199999999"/>
        <n v="101.18251100000001"/>
        <n v="101.528953"/>
        <n v="101.88075499999999"/>
        <n v="101.680976"/>
        <n v="101.982829"/>
        <n v="103.08151100000001"/>
        <n v="103.519936"/>
        <n v="102.915177"/>
        <n v="103.98155300000001"/>
        <n v="103.44060399999999"/>
        <n v="103.58828800000001"/>
        <n v="103.8978"/>
        <n v="103.947911"/>
        <n v="103.283232"/>
        <n v="103.82771099999999"/>
        <n v="103.935069"/>
        <n v="104.493666"/>
        <n v="104.01464199999999"/>
        <n v="104.20192299999999"/>
        <n v="82.747893000000005"/>
        <n v="82.921195999999995"/>
        <n v="82.929378"/>
        <n v="82.973061999999999"/>
        <n v="83.493194000000003"/>
        <n v="83.655118999999999"/>
        <n v="84.193922999999998"/>
        <n v="84.354383999999996"/>
        <n v="84.409768999999997"/>
        <n v="84.421969000000004"/>
        <n v="84.349090000000004"/>
        <n v="84.436938999999995"/>
        <n v="84.627574999999993"/>
        <n v="84.684635999999998"/>
        <n v="84.484264999999994"/>
        <n v="84.937106"/>
        <n v="84.948229999999995"/>
        <n v="85.498205999999996"/>
        <n v="84.425432999999998"/>
        <n v="84.553259999999995"/>
        <n v="75.676574000000002"/>
        <n v="75.837406999999999"/>
        <n v="75.753962000000001"/>
        <n v="75.913137000000006"/>
        <n v="76.316678999999993"/>
        <n v="75.991803000000004"/>
        <n v="76.112313999999998"/>
        <n v="76.771528000000004"/>
        <n v="76.824055999999999"/>
        <n v="77.151452000000006"/>
        <n v="76.917772999999997"/>
        <n v="77.184471000000002"/>
        <n v="77.188715999999999"/>
        <n v="77.011037000000002"/>
        <n v="77.594470999999999"/>
        <n v="77.660452000000006"/>
        <n v="77.467810999999998"/>
        <n v="77.285899999999998"/>
        <n v="90.336108999999993"/>
        <n v="90.468254000000002"/>
        <n v="90.083451999999994"/>
        <n v="90.349149999999995"/>
        <n v="90.397000000000006"/>
        <n v="90.887056000000001"/>
        <n v="90.876075"/>
        <n v="91.207886000000002"/>
        <n v="91.66489"/>
        <n v="91.697817999999998"/>
        <n v="91.407602999999995"/>
        <n v="91.718326000000005"/>
        <n v="91.771692000000002"/>
        <n v="92.159222"/>
        <n v="92.279240000000001"/>
        <n v="92.126441999999997"/>
        <n v="92.723091999999994"/>
        <n v="90.764979999999994"/>
        <n v="92.375468999999995"/>
        <n v="92.027782000000002"/>
        <n v="97.465419999999995"/>
        <n v="97.697059999999993"/>
        <n v="98.145214999999993"/>
        <n v="98.325704999999999"/>
        <n v="98.347862000000006"/>
        <n v="98.411919999999995"/>
        <n v="98.397599999999997"/>
        <n v="98.714939999999999"/>
        <n v="98.308679999999995"/>
        <n v="98.706959999999995"/>
        <n v="98.65128"/>
        <n v="98.893938000000006"/>
        <n v="99.090224000000006"/>
        <n v="99.435937999999993"/>
        <n v="98.877692999999994"/>
        <n v="99.246723000000003"/>
        <n v="98.464242999999996"/>
        <n v="99.317593000000002"/>
        <n v="98.360293999999996"/>
        <n v="101.11818100000001"/>
        <n v="93.459716999999998"/>
        <n v="93.845847000000006"/>
        <n v="94.035826"/>
        <n v="94.278869"/>
        <n v="94.632520999999997"/>
        <n v="94.525767000000002"/>
        <n v="94.689840000000004"/>
        <n v="95.059818000000007"/>
        <n v="95.104626999999994"/>
        <n v="95.307883000000004"/>
        <n v="95.512044000000003"/>
        <n v="95.525999999999996"/>
        <n v="95.518952999999996"/>
        <n v="95.847311000000005"/>
        <n v="95.656068000000005"/>
        <n v="96.063576999999995"/>
        <n v="95.717603999999994"/>
        <n v="96.445774999999998"/>
        <n v="96.849523000000005"/>
        <n v="95.787923000000006"/>
        <n v="81.994710999999995"/>
        <n v="83.007043999999993"/>
        <n v="82.231843999999995"/>
        <n v="82.446710999999993"/>
        <n v="82.457465999999997"/>
        <n v="82.680199999999999"/>
        <n v="82.744466000000003"/>
        <n v="83.085821999999993"/>
        <n v="83.42559"/>
        <n v="83.536385999999993"/>
        <n v="83.785180999999994"/>
        <n v="82.246955"/>
        <n v="82.438777000000002"/>
        <n v="82.800376999999997"/>
        <n v="84.151403999999999"/>
        <n v="83.924619000000007"/>
        <n v="83.366112999999999"/>
        <n v="84.859635999999995"/>
        <n v="83.771665999999996"/>
        <n v="105.666659"/>
        <n v="105.68489099999999"/>
        <n v="106.208106"/>
        <n v="106.261297"/>
        <n v="106.72236100000001"/>
        <n v="106.68855499999999"/>
        <n v="106.89534"/>
        <n v="106.9182"/>
        <n v="107.510311"/>
        <n v="107.60250000000001"/>
        <n v="107.694295"/>
        <n v="107.729727"/>
        <n v="107.810847"/>
        <n v="107.271333"/>
        <n v="107.71299999999999"/>
        <n v="108.044068"/>
        <n v="108.00286"/>
        <n v="108.15043900000001"/>
        <n v="108.66883300000001"/>
        <n v="109.32325"/>
        <n v="91.750703000000001"/>
        <n v="91.902685000000005"/>
        <n v="92.277129000000002"/>
        <n v="92.342665999999994"/>
        <n v="92.478313999999997"/>
        <n v="92.633685"/>
        <n v="92.684314000000001"/>
        <n v="92.753555000000006"/>
        <n v="92.795240000000007"/>
        <n v="92.856202999999994"/>
        <n v="92.838740000000001"/>
        <n v="92.832981000000004"/>
        <n v="92.971444000000005"/>
        <n v="92.979776999999999"/>
        <n v="92.999425000000002"/>
        <n v="93.060518000000002"/>
        <n v="93.127796000000004"/>
        <n v="93.149480999999994"/>
        <n v="93.717112999999998"/>
        <n v="93.378679000000005"/>
        <n v="82.813919999999996"/>
        <n v="82.822931999999994"/>
        <n v="83.444492999999994"/>
        <n v="83.480560999999994"/>
        <n v="83.460373000000004"/>
        <n v="83.527438000000004"/>
        <n v="83.659903999999997"/>
        <n v="83.450698000000003"/>
        <n v="83.679777000000001"/>
        <n v="83.986270000000005"/>
        <n v="84.625527000000005"/>
        <n v="84.718851000000001"/>
        <n v="84.867917000000006"/>
        <n v="85.039361"/>
        <n v="85.226178000000004"/>
        <n v="83.826727000000005"/>
        <n v="84.483599999999996"/>
        <n v="85.935956000000004"/>
        <n v="85.944671"/>
        <n v="79.70438"/>
        <n v="79.207459"/>
        <n v="79.512786000000006"/>
        <n v="79.649180000000001"/>
        <n v="79.694721000000001"/>
        <n v="79.854622000000006"/>
        <n v="80.078310999999999"/>
        <n v="80.121015999999997"/>
        <n v="80.174098000000001"/>
        <n v="80.145114000000007"/>
        <n v="80.143754000000001"/>
        <n v="80.120327000000003"/>
        <n v="80.156704000000005"/>
        <n v="80.398266000000007"/>
        <n v="80.383915999999999"/>
        <n v="80.171223999999995"/>
        <n v="80.653350000000003"/>
        <n v="80.223405999999997"/>
        <n v="80.458085999999994"/>
        <n v="80.970100000000002"/>
        <n v="81.006182999999993"/>
        <n v="76.601720999999998"/>
        <n v="76.776933999999997"/>
        <n v="76.842556999999999"/>
        <n v="77.061524000000006"/>
        <n v="77.055499999999995"/>
        <n v="77.233034000000004"/>
        <n v="77.973789999999994"/>
        <n v="77.647524000000004"/>
        <n v="77.639610000000005"/>
        <n v="77.792983000000007"/>
        <n v="77.748458999999997"/>
        <n v="77.607982000000007"/>
        <n v="77.754097999999999"/>
        <n v="77.686881"/>
        <n v="78.236931999999996"/>
        <n v="78.172847000000004"/>
        <n v="78.030525999999995"/>
        <n v="79.228189"/>
        <n v="78.029978"/>
        <n v="79.407799999999995"/>
        <n v="69.308508000000003"/>
        <n v="69.859078999999994"/>
        <n v="69.836900999999997"/>
        <n v="70.143698000000001"/>
        <n v="70.162587000000002"/>
        <n v="69.908856999999998"/>
        <n v="70.464421000000002"/>
        <n v="70.265221999999994"/>
        <n v="70.199262000000004"/>
        <n v="70.471649999999997"/>
        <n v="70.716812000000004"/>
        <n v="70.958245000000005"/>
        <n v="70.986238"/>
        <n v="70.838618999999994"/>
        <n v="71.055183"/>
        <n v="71.001311000000001"/>
        <n v="71.083803000000003"/>
        <n v="71.685730000000007"/>
        <n v="71.157133000000002"/>
        <n v="71.516428000000005"/>
        <n v="92.063643999999996"/>
        <n v="92.351133000000004"/>
        <n v="92.576818000000003"/>
        <n v="92.420975999999996"/>
        <n v="92.569333"/>
        <n v="92.743641999999994"/>
        <n v="92.967180999999997"/>
        <n v="93.064931000000001"/>
        <n v="92.731976000000003"/>
        <n v="92.807070999999993"/>
        <n v="93.332308999999995"/>
        <n v="93.558295000000001"/>
        <n v="93.315237999999994"/>
        <n v="93.277883000000003"/>
        <n v="93.489547000000002"/>
        <n v="93.387595000000005"/>
        <n v="93.567618999999993"/>
        <n v="93.401387999999997"/>
        <n v="94.337800000000001"/>
        <n v="94.284142000000003"/>
        <n v="83.425092000000006"/>
        <n v="83.952968999999996"/>
        <n v="83.930569000000006"/>
        <n v="83.938445999999999"/>
        <n v="84.360322999999994"/>
        <n v="84.310153"/>
        <n v="84.302814999999995"/>
        <n v="84.403092000000001"/>
        <n v="84.429952999999998"/>
        <n v="84.750936999999993"/>
        <n v="84.981264999999993"/>
        <n v="84.967889999999997"/>
        <n v="85.033828"/>
        <n v="85.348343"/>
        <n v="85.246250000000003"/>
        <n v="85.295936999999995"/>
        <n v="85.779139999999998"/>
        <n v="85.286049000000006"/>
        <n v="111.64543500000001"/>
        <n v="112.162564"/>
        <n v="112.433435"/>
        <n v="112.33627"/>
        <n v="112.754333"/>
        <n v="113.209146"/>
        <n v="113.093256"/>
        <n v="113.18194800000001"/>
        <n v="113.472487"/>
        <n v="113.367743"/>
        <n v="113.658536"/>
        <n v="113.453076"/>
        <n v="113.661871"/>
        <n v="113.28327"/>
        <n v="113.807051"/>
        <n v="113.519538"/>
        <n v="113.541594"/>
        <n v="114.005461"/>
        <n v="116.026578"/>
        <n v="77.163376999999997"/>
        <n v="77.456282999999999"/>
        <n v="78.176055000000005"/>
        <n v="78.028480999999999"/>
        <n v="77.992999999999995"/>
        <n v="78.550659999999993"/>
        <n v="78.482754"/>
        <n v="79.868297999999996"/>
        <n v="80.049588999999997"/>
        <n v="78.117283"/>
        <n v="79.477565999999996"/>
        <n v="80.597052000000005"/>
        <n v="79.467258999999999"/>
        <n v="80.976191999999998"/>
        <n v="79.278535000000005"/>
        <n v="79.083832999999998"/>
        <n v="78.783264000000003"/>
        <n v="78.197644999999994"/>
        <n v="80.168865999999994"/>
        <n v="92.508152999999993"/>
        <n v="86.181854000000001"/>
        <n v="86.275812000000002"/>
        <n v="86.386353999999997"/>
        <n v="86.391000000000005"/>
        <n v="86.513270000000006"/>
        <n v="86.825103999999996"/>
        <n v="86.990791000000002"/>
        <n v="87.023957999999993"/>
        <n v="86.967665999999994"/>
        <n v="87.317553000000004"/>
        <n v="86.957465999999997"/>
        <n v="86.798000000000002"/>
        <n v="87.476147999999995"/>
        <n v="87.094977"/>
        <n v="87.060755"/>
        <n v="87.640084999999999"/>
        <n v="87.319265999999999"/>
        <n v="87.446955000000003"/>
        <n v="87.766885000000002"/>
        <n v="99.607338999999996"/>
        <n v="99.669124999999994"/>
        <n v="99.366889999999998"/>
        <n v="100.008054"/>
        <n v="99.656904999999995"/>
        <n v="100.488927"/>
        <n v="100.54689"/>
        <n v="100.326622"/>
        <n v="100.962036"/>
        <n v="100.67783900000001"/>
        <n v="100.81569"/>
        <n v="101.07835799999999"/>
        <n v="101.29369"/>
        <n v="100.229181"/>
        <n v="100.542981"/>
        <n v="99.374780999999999"/>
        <n v="101.14330200000001"/>
        <n v="100.83750000000001"/>
        <n v="97.216727000000006"/>
        <n v="97.536681000000002"/>
        <n v="98.111932999999993"/>
        <n v="98.186863000000002"/>
        <n v="98.198113000000006"/>
        <n v="98.302795000000003"/>
        <n v="98.880413000000004"/>
        <n v="98.770302000000001"/>
        <n v="99.211421999999999"/>
        <n v="98.786000000000001"/>
        <n v="99.270332999999994"/>
        <n v="99.326738000000006"/>
        <n v="99.281833000000006"/>
        <n v="98.823499999999996"/>
        <n v="99.367418000000001"/>
        <n v="100.485894"/>
        <n v="100.462833"/>
        <n v="99.910166000000004"/>
        <n v="100.384"/>
        <n v="122.755"/>
        <n v="87.238041999999993"/>
        <n v="87.219275999999994"/>
        <n v="87.310021000000006"/>
        <n v="87.870489000000006"/>
        <n v="87.885786999999993"/>
        <n v="88.092062999999996"/>
        <n v="88.278191000000007"/>
        <n v="88.879204000000001"/>
        <n v="88.622510000000005"/>
        <n v="88.429468"/>
        <n v="88.966693000000006"/>
        <n v="88.338234"/>
        <n v="88.606573999999995"/>
        <n v="89.345249999999993"/>
        <n v="89.037260000000003"/>
        <n v="88.741956000000002"/>
        <n v="89.821145000000001"/>
        <n v="89.731708999999995"/>
        <n v="101.345294"/>
        <n v="101.63545000000001"/>
        <n v="101.66519599999999"/>
        <n v="101.644588"/>
        <n v="101.760823"/>
        <n v="102.181725"/>
        <n v="102.097803"/>
        <n v="102.297918"/>
        <n v="102.747196"/>
        <n v="102.79486199999999"/>
        <n v="102.809372"/>
        <n v="103.021156"/>
        <n v="103.12206"/>
        <n v="103.20641999999999"/>
        <n v="103.24512"/>
        <n v="102.549511"/>
        <n v="103.138125"/>
        <n v="107.53925"/>
        <n v="101.35701899999999"/>
        <n v="102.19015"/>
        <n v="82.711015000000003"/>
        <n v="83.150983999999994"/>
        <n v="83.275857000000002"/>
        <n v="83.434920000000005"/>
        <n v="84.307777000000002"/>
        <n v="84.596577999999994"/>
        <n v="83.696222000000006"/>
        <n v="84.692561999999995"/>
        <n v="84.913060999999999"/>
        <n v="85.160437000000002"/>
        <n v="85.060952999999998"/>
        <n v="85.166697999999997"/>
        <n v="85.348031000000006"/>
        <n v="85.296919000000003"/>
        <n v="85.212491999999997"/>
        <n v="85.075049000000007"/>
        <n v="85.094232000000005"/>
        <n v="85.862647999999993"/>
        <n v="84.973652999999999"/>
        <n v="76.200295999999994"/>
        <n v="76.250811999999996"/>
        <n v="76.498906000000005"/>
        <n v="76.362875000000003"/>
        <n v="76.581609"/>
        <n v="76.562467999999996"/>
        <n v="76.114750000000001"/>
        <n v="76.936374999999998"/>
        <n v="76.275092999999998"/>
        <n v="76.274557000000001"/>
        <n v="76.778063000000003"/>
        <n v="76.813316999999998"/>
        <n v="76.134840999999994"/>
        <n v="76.272886999999997"/>
        <n v="77.395325999999997"/>
        <n v="77.178483999999997"/>
        <n v="77.404812000000007"/>
        <n v="97.676000000000002"/>
        <n v="97.798896999999997"/>
        <n v="97.931389999999993"/>
        <n v="98.448666000000003"/>
        <n v="98.608804000000006"/>
        <n v="98.709609"/>
        <n v="98.394306999999998"/>
        <n v="98.256871000000004"/>
        <n v="98.888803999999993"/>
        <n v="98.106971999999999"/>
        <n v="98.828947999999997"/>
        <n v="99.099588999999995"/>
        <n v="99.268461000000002"/>
        <n v="99.553717000000006"/>
        <n v="99.678804"/>
        <n v="99.315101999999996"/>
        <n v="100.841897"/>
        <n v="100.034121"/>
        <n v="99.469294000000005"/>
        <n v="89.209942999999996"/>
        <n v="89.517452000000006"/>
        <n v="89.545226"/>
        <n v="89.434112999999996"/>
        <n v="89.582319999999996"/>
        <n v="89.774546999999998"/>
        <n v="89.818528000000001"/>
        <n v="90.314654000000004"/>
        <n v="89.91"/>
        <n v="90.146584000000004"/>
        <n v="90.057226"/>
        <n v="90.663962999999995"/>
        <n v="90.308867000000006"/>
        <n v="90.329055999999994"/>
        <n v="90.564414999999997"/>
        <n v="90.545471000000006"/>
        <n v="90.584018"/>
        <n v="90.501999999999995"/>
        <n v="91.251018000000002"/>
        <n v="90.871556999999996"/>
        <n v="95.654403000000002"/>
        <n v="96.039845999999997"/>
        <n v="96.103076000000001"/>
        <n v="96.368307000000001"/>
        <n v="96.474134000000006"/>
        <n v="96.463519000000005"/>
        <n v="96.495000000000005"/>
        <n v="96.537672999999998"/>
        <n v="96.939903000000001"/>
        <n v="97.124364999999997"/>
        <n v="97.407293999999993"/>
        <n v="97.465078000000005"/>
        <n v="97.428646999999998"/>
        <n v="97.485508999999993"/>
        <n v="97.534567999999993"/>
        <n v="96.854680000000002"/>
        <n v="97.810725000000005"/>
        <n v="97.304570999999996"/>
        <n v="97.719449999999995"/>
        <n v="97.564644999999999"/>
        <n v="92.929804000000004"/>
        <n v="93.126390999999998"/>
        <n v="93.377086000000006"/>
        <n v="93.675738999999993"/>
        <n v="93.769172999999995"/>
        <n v="93.888216999999997"/>
        <n v="94.031694999999999"/>
        <n v="93.607044999999999"/>
        <n v="93.712772000000001"/>
        <n v="94.426500000000004"/>
        <n v="95.021259999999998"/>
        <n v="94.965826000000007"/>
        <n v="95.334866000000005"/>
        <n v="95.372866000000002"/>
        <n v="95.286732999999998"/>
        <n v="95.632777000000004"/>
        <n v="95.271534000000003"/>
        <n v="94.988208999999998"/>
        <n v="95.794749999999993"/>
        <n v="81.458332999999996"/>
        <n v="81.491060000000004"/>
        <n v="81.55198"/>
        <n v="81.798612000000006"/>
        <n v="81.976794999999996"/>
        <n v="82.540734"/>
        <n v="82.609285"/>
        <n v="82.431783999999993"/>
        <n v="82.864215000000002"/>
        <n v="82.887439999999998"/>
        <n v="82.968580000000003"/>
        <n v="82.88982"/>
        <n v="83.146420000000006"/>
        <n v="82.811312000000001"/>
        <n v="82.971121999999994"/>
        <n v="82.897144999999995"/>
        <n v="82.370305999999999"/>
        <n v="83.309665999999893"/>
        <n v="83.606999999999999"/>
        <n v="96.028238999999999"/>
        <n v="96.309455999999997"/>
        <n v="96.441478000000004"/>
        <n v="96.91825"/>
        <n v="96.579108000000005"/>
        <n v="96.910477999999998"/>
        <n v="96.937717000000006"/>
        <n v="96.909477999999993"/>
        <n v="97.006912999999997"/>
        <n v="97.915777000000006"/>
        <n v="97.916043999999999"/>
        <n v="97.715254999999999"/>
        <n v="99.312749999999994"/>
        <n v="99.270651999999998"/>
        <n v="99.645413000000005"/>
        <n v="99.824217000000004"/>
        <n v="98.727000000000004"/>
        <n v="103.96083299999999"/>
        <n v="99.778744000000003"/>
        <n v="100.64609"/>
        <n v="100.43847599999999"/>
        <n v="100.979159"/>
        <n v="101.203"/>
        <n v="101.189547"/>
        <n v="100.771225"/>
        <n v="101.639523"/>
        <n v="101.888238"/>
        <n v="101.85426099999999"/>
        <n v="101.94035700000001"/>
        <n v="102.15371399999999"/>
        <n v="101.526425"/>
        <n v="101.7766"/>
        <n v="101.364825"/>
        <n v="102.578738"/>
        <n v="102.64097599999999"/>
        <n v="102.90077700000001"/>
        <n v="102.91647"/>
        <n v="102.586125"/>
        <n v="92.129840000000002"/>
        <n v="92.197958999999997"/>
        <n v="92.244791000000006"/>
        <n v="92.420978000000005"/>
        <n v="92.323652999999993"/>
        <n v="92.744394999999997"/>
        <n v="93.059427999999997"/>
        <n v="93.108999999999995"/>
        <n v="93.371183000000002"/>
        <n v="93.339408000000006"/>
        <n v="93.239659000000003"/>
        <n v="93.328106000000005"/>
        <n v="92.471594999999994"/>
        <n v="93.605774999999994"/>
        <n v="93.676835999999994"/>
        <n v="93.465126999999995"/>
        <n v="93.254892999999996"/>
        <n v="93.438687999999999"/>
        <n v="93.393265"/>
        <n v="94.053363000000004"/>
        <n v="80.875950000000003"/>
        <n v="80.856882999999996"/>
        <n v="80.959316000000001"/>
        <n v="81.069565999999995"/>
        <n v="81.199166000000005"/>
        <n v="81.393732999999997"/>
        <n v="81.120740999999995"/>
        <n v="81.664715999999999"/>
        <n v="82.060100000000006"/>
        <n v="82.448982999999998"/>
        <n v="82.566880999999995"/>
        <n v="82.476693999999995"/>
        <n v="82.571117999999998"/>
        <n v="82.810237000000001"/>
        <n v="82.759422999999998"/>
        <n v="82.433649000000003"/>
        <n v="82.827117999999999"/>
        <n v="82.986795999999998"/>
        <n v="82.289199999999994"/>
        <n v="82.078119000000001"/>
        <n v="78.439038999999994"/>
        <n v="78.524144000000007"/>
        <n v="78.523077999999998"/>
        <n v="78.532842000000002"/>
        <n v="78.589644000000007"/>
        <n v="78.383662000000001"/>
        <n v="78.363985999999997"/>
        <n v="79.975399999999993"/>
        <n v="80.167119999999997"/>
        <n v="80.246426"/>
        <n v="80.562877999999998"/>
        <n v="80.568959000000007"/>
        <n v="80.333680000000001"/>
        <n v="79.942442"/>
        <n v="80.401832999999996"/>
        <n v="80.919957999999994"/>
        <n v="84.710402999999999"/>
        <n v="84.738403000000005"/>
        <n v="84.921666000000002"/>
        <n v="85.107122000000004"/>
        <n v="84.941017000000002"/>
        <n v="85.858999999999995"/>
        <n v="86.418857000000003"/>
        <n v="86.451106999999993"/>
        <n v="86.491463999999993"/>
        <n v="86.661356999999995"/>
        <n v="86.396300999999994"/>
        <n v="86.167444000000003"/>
        <n v="87.005726999999993"/>
        <n v="87.048589000000007"/>
        <n v="88.160702999999998"/>
        <n v="88.825408999999993"/>
        <n v="88.808909"/>
        <n v="89.168953000000002"/>
        <n v="91.262311999999994"/>
        <n v="93.037908999999999"/>
        <n v="79.574229000000003"/>
        <n v="79.598737"/>
        <n v="79.834999999999994"/>
        <n v="79.846754000000004"/>
        <n v="79.876016000000007"/>
        <n v="79.989408999999995"/>
        <n v="79.981162999999995"/>
        <n v="80.072507999999999"/>
        <n v="80.399327"/>
        <n v="80.596605999999994"/>
        <n v="80.567278000000002"/>
        <n v="80.902782999999999"/>
        <n v="80.881732999999997"/>
        <n v="81.061599999999999"/>
        <n v="81.333282999999994"/>
        <n v="81.563115999999994"/>
        <n v="81.414983000000007"/>
        <n v="81.567549999999997"/>
        <n v="81.312861999999996"/>
        <n v="82.053693999999993"/>
        <n v="70.427507000000006"/>
        <n v="70.462215"/>
        <n v="70.487384000000006"/>
        <n v="70.697625000000002"/>
        <n v="70.080380000000005"/>
        <n v="71.124578"/>
        <n v="71.056781000000001"/>
        <n v="71.252734000000004"/>
        <n v="71.258750000000006"/>
        <n v="71.262389999999996"/>
        <n v="70.566967000000005"/>
        <n v="71.364645999999993"/>
        <n v="71.526124999999993"/>
        <n v="71.519546000000005"/>
        <n v="71.508077999999998"/>
        <n v="71.628827999999999"/>
        <n v="71.947174000000004"/>
        <n v="71.488"/>
        <n v="72.037628999999995"/>
        <n v="70.237826999999996"/>
        <n v="93.837594999999993"/>
        <n v="93.976147999999995"/>
        <n v="94.041531000000006"/>
        <n v="93.947999999999993"/>
        <n v="94.577732999999995"/>
        <n v="95.002786999999998"/>
        <n v="95.070936000000003"/>
        <n v="94.878808000000006"/>
        <n v="94.938807999999995"/>
        <n v="95.241956999999999"/>
        <n v="95.339425000000006"/>
        <n v="95.126339999999999"/>
        <n v="95.714543000000006"/>
        <n v="95.829863000000003"/>
        <n v="96.153803999999994"/>
        <n v="96.487145999999996"/>
        <n v="96.800218999999998"/>
        <n v="97.555779999999999"/>
        <n v="94.420862"/>
        <n v="83.363568999999998"/>
        <n v="83.402614999999997"/>
        <n v="83.543306999999999"/>
        <n v="83.591092000000003"/>
        <n v="83.698907000000005"/>
        <n v="83.625045999999998"/>
        <n v="83.817537999999999"/>
        <n v="83.925275999999997"/>
        <n v="84.691954999999993"/>
        <n v="84.385046000000003"/>
        <n v="84.537953000000002"/>
        <n v="84.814702999999994"/>
        <n v="84.976703000000001"/>
        <n v="85.055593000000002"/>
        <n v="85.178889999999996"/>
        <n v="85.157328000000007"/>
        <n v="84.952516000000003"/>
        <n v="85.043080000000003"/>
        <n v="85.374812000000006"/>
        <n v="85.615965000000003"/>
        <n v="108.01023000000001"/>
        <n v="108.036641"/>
        <n v="108.271512"/>
        <n v="108.182666"/>
        <n v="108.293102"/>
        <n v="108.488282"/>
        <n v="108.522864"/>
        <n v="109.55558499999999"/>
        <n v="109.16564099999999"/>
        <n v="109.10881999999999"/>
        <n v="109.771585"/>
        <n v="109.41938399999999"/>
        <n v="109.378461"/>
        <n v="109.853292"/>
        <n v="109.621641"/>
        <n v="110.021658"/>
        <n v="109.790538"/>
        <n v="109.916051"/>
        <n v="112.2375"/>
        <n v="108.418756"/>
        <n v="75.221013999999997"/>
        <n v="75.565738999999994"/>
        <n v="75.571738999999994"/>
        <n v="75.596419999999995"/>
        <n v="75.617260000000002"/>
        <n v="75.716086000000004"/>
        <n v="75.538925000000006"/>
        <n v="75.537761000000003"/>
        <n v="76.345602"/>
        <n v="76.419749999999993"/>
        <n v="76.496426"/>
        <n v="76.486632"/>
        <n v="76.541573"/>
        <n v="76.478211999999999"/>
        <n v="76.874572999999998"/>
        <n v="77.079352"/>
        <n v="76.833226999999994"/>
        <n v="77.078351999999995"/>
        <n v="77.013630000000006"/>
        <n v="77.420738"/>
        <n v="83.949359999999999"/>
        <n v="83.542000000000002"/>
        <n v="83.607603999999995"/>
        <n v="84.236080000000001"/>
        <n v="83.897270000000006"/>
        <n v="84.124375000000001"/>
        <n v="83.983665999999999"/>
        <n v="84.499207999999996"/>
        <n v="85.174980000000005"/>
        <n v="84.962639999999993"/>
        <n v="84.740125000000006"/>
        <n v="85.372159999999994"/>
        <n v="85.238500000000002"/>
        <n v="85.765039999999999"/>
        <n v="85.323936000000003"/>
        <n v="86.024019999999993"/>
        <n v="85.057744"/>
        <n v="86.181101999999996"/>
        <n v="85.270311000000007"/>
        <n v="88.222999999999999"/>
        <n v="107.97885100000001"/>
        <n v="108.023869"/>
        <n v="108.21217300000001"/>
        <n v="108.270391"/>
        <n v="108.346288"/>
        <n v="108.81730399999999"/>
        <n v="108.830652"/>
        <n v="109.041826"/>
        <n v="108.854434"/>
        <n v="109.011804"/>
        <n v="108.89313"/>
        <n v="109.589562"/>
        <n v="109.909617"/>
        <n v="109.935108"/>
        <n v="110.44857399999999"/>
        <n v="110.09439999999999"/>
        <n v="108.022021"/>
        <n v="107.992739"/>
        <n v="109.4663"/>
        <n v="111.9859"/>
        <n v="97.062134999999998"/>
        <n v="97.376965999999996"/>
        <n v="97.714915000000005"/>
        <n v="98.064830000000001"/>
        <n v="98.028118000000006"/>
        <n v="98.466898"/>
        <n v="98.560507999999999"/>
        <n v="98.614913000000001"/>
        <n v="98.617188999999996"/>
        <n v="98.696395999999993"/>
        <n v="98.641913000000002"/>
        <n v="98.679275000000004"/>
        <n v="99.241016999999999"/>
        <n v="99.281086000000002"/>
        <n v="99.440172000000004"/>
        <n v="99.462500000000006"/>
        <n v="99.409327000000005"/>
        <n v="99.055961999999994"/>
        <n v="99.179587999999995"/>
        <n v="99.269272000000001"/>
        <n v="98.941140000000004"/>
        <n v="99.108080000000001"/>
        <n v="99.301779999999994"/>
        <n v="99.203360000000004"/>
        <n v="99.355720000000005"/>
        <n v="99.897419999999997"/>
        <n v="100.07646"/>
        <n v="100.09376"/>
        <n v="100.2788"/>
        <n v="100.31712"/>
        <n v="100.1155"/>
        <n v="100.49984000000001"/>
        <n v="100.900346"/>
        <n v="100.884367"/>
        <n v="101.14601999999999"/>
        <n v="101.19259099999999"/>
        <n v="101.496979"/>
        <n v="101.010723"/>
        <n v="101.27895700000001"/>
        <n v="81.081665999999998"/>
        <n v="81.128506999999999"/>
        <n v="81.238754"/>
        <n v="81.700698000000003"/>
        <n v="81.762062999999998"/>
        <n v="81.680031"/>
        <n v="81.975396000000003"/>
        <n v="81.968999999999994"/>
        <n v="82.321419000000006"/>
        <n v="82.546306000000001"/>
        <n v="82.641193000000001"/>
        <n v="82.634289999999993"/>
        <n v="82.802209000000005"/>
        <n v="82.895466999999996"/>
        <n v="83.158434999999997"/>
        <n v="82.711215999999993"/>
        <n v="82.586482000000004"/>
        <n v="83.507428000000004"/>
        <n v="84.017758000000001"/>
        <n v="84.312861999999996"/>
        <n v="84.582655000000003"/>
        <n v="84.126534000000007"/>
        <n v="84.651838999999995"/>
        <n v="84.298688999999996"/>
        <n v="84.761578"/>
        <n v="84.947430999999995"/>
        <n v="85.132192000000003"/>
        <n v="85.566964999999996"/>
        <n v="85.479275000000001"/>
        <n v="85.899154999999993"/>
        <n v="86.164758000000006"/>
        <n v="85.916240999999999"/>
        <n v="86.341770999999994"/>
        <n v="87.082096000000007"/>
        <n v="85.797708"/>
        <n v="85.136391000000003"/>
        <n v="97.591093000000001"/>
        <n v="97.578158999999999"/>
        <n v="97.703636000000003"/>
        <n v="97.771603999999996"/>
        <n v="97.783681000000001"/>
        <n v="98.025713999999994"/>
        <n v="98.345226999999994"/>
        <n v="98.589888000000002"/>
        <n v="98.659355000000005"/>
        <n v="98.506643999999994"/>
        <n v="98.723177000000007"/>
        <n v="99.108616999999995"/>
        <n v="98.758088000000001"/>
        <n v="98.858554999999996"/>
        <n v="98.670243999999997"/>
        <n v="99.223116000000005"/>
        <n v="99.147441000000001"/>
        <n v="99.480879999999999"/>
        <n v="99.433952000000005"/>
        <n v="99.767635999999996"/>
        <n v="84.673377000000002"/>
        <n v="85.060288"/>
        <n v="85.034567999999993"/>
        <n v="85.287767000000002"/>
        <n v="85.965311"/>
        <n v="85.385000000000005"/>
        <n v="86.196066000000002"/>
        <n v="86.288088000000002"/>
        <n v="86.318813000000006"/>
        <n v="84.818068999999994"/>
        <n v="87.280737999999999"/>
        <n v="86.064261000000002"/>
        <n v="87.406822000000005"/>
        <n v="87.4756"/>
        <n v="87.389261000000005"/>
        <n v="87.579407000000003"/>
        <n v="86.293132999999997"/>
        <n v="92.228999999999999"/>
        <n v="88.517112999999995"/>
        <n v="88.587924000000001"/>
        <n v="88.944433000000004"/>
        <n v="88.960547000000005"/>
        <n v="89.105490000000003"/>
        <n v="89.043149999999997"/>
        <n v="89.759338999999997"/>
        <n v="89.785509000000005"/>
        <n v="89.420351999999994"/>
        <n v="89.047371999999996"/>
        <n v="90.100211000000002"/>
        <n v="90.128634000000005"/>
        <n v="89.613699999999994"/>
        <n v="89.774900000000002"/>
        <n v="90.319902999999996"/>
        <n v="89.869617000000005"/>
        <n v="89.919764999999998"/>
        <n v="90.182416000000003"/>
        <n v="90.453619000000003"/>
        <n v="89.787457000000003"/>
        <n v="90.314777000000007"/>
        <n v="91.073588000000001"/>
        <n v="91.734381999999997"/>
        <n v="91.847147000000007"/>
        <n v="92.324146999999996"/>
        <n v="92.528205"/>
        <n v="91.704387999999994"/>
        <n v="90.220382000000001"/>
        <n v="92.102805000000004"/>
        <n v="92.140342000000004"/>
        <n v="92.391971999999996"/>
        <n v="93.678314"/>
        <n v="93.241029999999995"/>
        <n v="93.040766000000005"/>
        <n v="92.693073999999996"/>
        <n v="92.502319999999997"/>
        <n v="96.915583999999996"/>
        <n v="97.105283"/>
        <n v="97.142622000000003"/>
        <n v="97.199451999999994"/>
        <n v="97.754414999999995"/>
        <n v="97.820527999999996"/>
        <n v="97.796547000000004"/>
        <n v="97.923829999999995"/>
        <n v="98.144433000000006"/>
        <n v="98.162357999999998"/>
        <n v="97.893843000000004"/>
        <n v="97.823666000000003"/>
        <n v="98.231206999999998"/>
        <n v="98.133234999999999"/>
        <n v="98.889556999999996"/>
        <n v="97.802937"/>
        <n v="99.423500000000004"/>
        <n v="97.329753999999994"/>
        <n v="96.951881999999998"/>
        <n v="98.049319999999994"/>
        <n v="92.459199999999996"/>
        <n v="92.456280000000007"/>
        <n v="92.484719999999996"/>
        <n v="92.733500000000006"/>
        <n v="92.753839999999997"/>
        <n v="92.714119999999994"/>
        <n v="92.946759999999998"/>
        <n v="93.047780000000003"/>
        <n v="93.077619999999996"/>
        <n v="93.387799999999999"/>
        <n v="93.363699999999994"/>
        <n v="93.430940000000007"/>
        <n v="93.393420000000006"/>
        <n v="93.753839999999997"/>
        <n v="93.823419999999999"/>
        <n v="93.877499999999998"/>
        <n v="93.911259999999999"/>
        <n v="93.893780000000007"/>
        <n v="93.836439999999996"/>
        <n v="93.857743999999997"/>
        <n v="97.180419999999998"/>
        <n v="98.081132999999994"/>
        <n v="97.568280000000001"/>
        <n v="97.678600000000003"/>
        <n v="97.990340000000003"/>
        <n v="98.083375000000004"/>
        <n v="98.106875000000002"/>
        <n v="98.298186999999999"/>
        <n v="98.596919999999997"/>
        <n v="98.695319999999995"/>
        <n v="98.362645000000001"/>
        <n v="98.65652"/>
        <n v="98.801665999999997"/>
        <n v="98.605290999999994"/>
        <n v="99.040679999999995"/>
        <n v="98.87236"/>
        <n v="99.241600000000005"/>
        <n v="99.341399999999993"/>
        <n v="99.145860999999996"/>
        <n v="98.82"/>
        <n v="93.232111000000003"/>
        <n v="93.191066000000006"/>
        <n v="93.418666000000002"/>
        <n v="93.428600000000003"/>
        <n v="93.833376999999999"/>
        <n v="93.909844000000007"/>
        <n v="94.020622000000003"/>
        <n v="94.497444000000002"/>
        <n v="94.566599999999994"/>
        <n v="94.656443999999993"/>
        <n v="94.784333000000004"/>
        <n v="94.630733000000006"/>
        <n v="94.817887999999996"/>
        <n v="95.682126999999994"/>
        <n v="95.345454000000004"/>
        <n v="95.318250000000006"/>
        <n v="95.573659000000006"/>
        <n v="96.003043000000005"/>
        <n v="91.112939999999995"/>
        <n v="91.202820000000003"/>
        <n v="91.789078000000003"/>
        <n v="91.751290999999995"/>
        <n v="91.823447999999999"/>
        <n v="91.945244000000002"/>
        <n v="91.993705000000006"/>
        <n v="92.037215000000003"/>
        <n v="91.982427999999999"/>
        <n v="92.132816000000005"/>
        <n v="92.149540999999999"/>
        <n v="92.317812000000004"/>
        <n v="92.582480000000004"/>
        <n v="92.527041999999994"/>
        <n v="93.002673000000001"/>
        <n v="92.947318999999993"/>
        <n v="94.111964"/>
        <n v="94.304130000000001"/>
        <n v="93.562124999999995"/>
        <n v="80.305176000000003"/>
        <n v="80.488939999999999"/>
        <n v="80.543488999999994"/>
        <n v="81.226704999999995"/>
        <n v="81.241508999999994"/>
        <n v="80.871448000000001"/>
        <n v="81.190366999999995"/>
        <n v="81.332244000000003"/>
        <n v="81.541509000000005"/>
        <n v="81.917822999999999"/>
        <n v="81.882644999999997"/>
        <n v="82.021199999999993"/>
        <n v="81.71002"/>
        <n v="81.748061000000007"/>
        <n v="82.014812000000006"/>
        <n v="82.034999999999997"/>
        <n v="81.630897000000004"/>
        <n v="81.866061000000002"/>
        <n v="81.92165"/>
        <n v="82.454040000000006"/>
        <n v="75.655327999999997"/>
        <n v="75.658327999999997"/>
        <n v="75.640270999999998"/>
        <n v="75.852114"/>
        <n v="76.221528000000006"/>
        <n v="77.525651999999994"/>
        <n v="77.489390999999998"/>
        <n v="77.504608000000005"/>
        <n v="77.778602000000006"/>
        <n v="77.880514000000005"/>
        <n v="77.985409000000004"/>
        <n v="78.131384999999995"/>
        <n v="78.328073000000003"/>
        <n v="77.996294000000006"/>
        <n v="78.502926000000002"/>
        <n v="78.612881999999999"/>
        <n v="78.761499999999998"/>
        <n v="78.903462000000005"/>
        <n v="77.612032999999997"/>
        <n v="78.726665999999994"/>
        <n v="79.720854000000003"/>
        <n v="79.781289999999998"/>
        <n v="80.151544999999999"/>
        <n v="80.325980999999999"/>
        <n v="81.230407"/>
        <n v="80.436780999999996"/>
        <n v="81.051091999999997"/>
        <n v="81.439333000000005"/>
        <n v="81.470370000000003"/>
        <n v="79.654830000000004"/>
        <n v="81.528239999999997"/>
        <n v="81.752981000000005"/>
        <n v="81.179096000000001"/>
        <n v="81.449202999999997"/>
        <n v="82.122500000000002"/>
        <n v="81.751851000000002"/>
        <n v="81.614407"/>
        <n v="81.075270000000003"/>
        <n v="82.125135999999998"/>
        <n v="75.529131000000007"/>
        <n v="75.547278000000006"/>
        <n v="75.570376999999993"/>
        <n v="75.601229000000004"/>
        <n v="75.859295000000003"/>
        <n v="76.175899999999999"/>
        <n v="76.594865999999996"/>
        <n v="76.881547999999995"/>
        <n v="77.044499999999999"/>
        <n v="77.091111999999995"/>
        <n v="77.199532000000005"/>
        <n v="77.323419000000001"/>
        <n v="77.349902999999998"/>
        <n v="77.375450999999998"/>
        <n v="77.360579999999999"/>
        <n v="77.388129000000006"/>
        <n v="76.959066000000007"/>
        <n v="75.602491000000001"/>
        <n v="77.764259999999993"/>
        <n v="77.571371999999997"/>
        <n v="69.674761000000004"/>
        <n v="69.700554999999994"/>
        <n v="69.945158000000006"/>
        <n v="70.122253000000001"/>
        <n v="70.598840999999993"/>
        <n v="70.942092000000002"/>
        <n v="71.018015000000005"/>
        <n v="70.685596000000004"/>
        <n v="70.780887000000007"/>
        <n v="70.790822000000006"/>
        <n v="71.076386999999997"/>
        <n v="71.392796000000004"/>
        <n v="71.175548000000006"/>
        <n v="71.135531999999998"/>
        <n v="71.218725000000006"/>
        <n v="71.092236999999997"/>
        <n v="71.197444000000004"/>
        <n v="99.588424000000003"/>
        <n v="99.408665999999997"/>
        <n v="100.30993700000001"/>
        <n v="100.236"/>
        <n v="100.95005999999999"/>
        <n v="100.917968"/>
        <n v="100.845843"/>
        <n v="101.483666"/>
        <n v="100.790656"/>
        <n v="100.84699999999999"/>
        <n v="101.345636"/>
        <n v="101.482406"/>
        <n v="101.886117"/>
        <n v="101.16357499999999"/>
        <n v="102.637322"/>
        <n v="109.13124999999999"/>
        <n v="106.83625000000001"/>
        <n v="109.28060499999999"/>
        <n v="109.444552"/>
        <n v="109.633"/>
        <n v="109.66271"/>
        <n v="110.04470999999999"/>
        <n v="110.198973"/>
        <n v="109.933026"/>
        <n v="110.418736"/>
        <n v="110.535394"/>
        <n v="110.784184"/>
        <n v="110.93323599999999"/>
        <n v="110.518833"/>
        <n v="111.138789"/>
        <n v="111.105947"/>
        <n v="111.268078"/>
        <n v="110.93077700000001"/>
        <n v="110.782833"/>
        <n v="110.898027"/>
        <n v="111.216666"/>
        <n v="112.001514"/>
        <n v="81.277388000000002"/>
        <n v="81.052953000000002"/>
        <n v="81.343446"/>
        <n v="81.627060999999998"/>
        <n v="82.128253000000001"/>
        <n v="82.257148999999998"/>
        <n v="82.268955000000005"/>
        <n v="82.275775999999993"/>
        <n v="82.065307000000004"/>
        <n v="82.498559999999998"/>
        <n v="82.591847999999999"/>
        <n v="82.554000000000002"/>
        <n v="82.406828000000004"/>
        <n v="82.661467999999999"/>
        <n v="82.654859000000002"/>
        <n v="83.068241999999998"/>
        <n v="82.743577999999999"/>
        <n v="82.569968000000003"/>
        <n v="83.091363000000001"/>
        <n v="83.416658999999996"/>
        <n v="74.481660000000005"/>
        <n v="75.104875000000007"/>
        <n v="75.201927999999995"/>
        <n v="75.559910000000002"/>
        <n v="75.758285000000001"/>
        <n v="76.447500000000005"/>
        <n v="76.148584"/>
        <n v="76.107673000000005"/>
        <n v="76.378259"/>
        <n v="76.607326999999998"/>
        <n v="76.469074000000006"/>
        <n v="75.942660000000004"/>
        <n v="75.917152999999999"/>
        <n v="76.598415000000003"/>
        <n v="76.759735000000006"/>
        <n v="75.635259000000005"/>
        <n v="76.733535000000003"/>
        <n v="74.665288000000004"/>
        <n v="75.645255000000006"/>
        <n v="76.306713999999999"/>
        <n v="82.547700000000006"/>
        <n v="82.876580000000004"/>
        <n v="82.993459999999999"/>
        <n v="83.033540000000002"/>
        <n v="83.123159999999999"/>
        <n v="83.226560000000006"/>
        <n v="83.458320000000001"/>
        <n v="83.543880000000001"/>
        <n v="83.514120000000005"/>
        <n v="83.640079999999998"/>
        <n v="83.69426"/>
        <n v="83.749939999999995"/>
        <n v="83.993560000000002"/>
        <n v="83.983000000000004"/>
        <n v="83.976815999999999"/>
        <n v="84.154652999999996"/>
        <n v="84.166387"/>
        <n v="83.971611999999993"/>
        <n v="84.539100000000005"/>
        <n v="105.152466"/>
        <n v="105.491"/>
        <n v="105.523444"/>
        <n v="105.54595500000001"/>
        <n v="105.81059999999999"/>
        <n v="105.834333"/>
        <n v="105.8458"/>
        <n v="105.90424400000001"/>
        <n v="105.861"/>
        <n v="105.945266"/>
        <n v="106.499111"/>
        <n v="106.50568800000001"/>
        <n v="106.36831100000001"/>
        <n v="107.122361"/>
        <n v="106.62224399999999"/>
        <n v="106.77584400000001"/>
        <n v="107.075644"/>
        <n v="107.42449999999999"/>
        <n v="107.2075"/>
        <n v="96.647220000000004"/>
        <n v="96.721812999999997"/>
        <n v="96.749422999999993"/>
        <n v="96.689117999999993"/>
        <n v="97.141169000000005"/>
        <n v="97.343016000000006"/>
        <n v="97.711966000000004"/>
        <n v="97.604806999999994"/>
        <n v="98.097559000000004"/>
        <n v="98.272293000000005"/>
        <n v="98.438740999999993"/>
        <n v="98.350550999999996"/>
        <n v="98.498154999999997"/>
        <n v="98.377758"/>
        <n v="98.535274999999999"/>
        <n v="98.863119999999995"/>
        <n v="98.736327000000003"/>
        <n v="98.871396000000004"/>
        <n v="98.458624999999998"/>
        <n v="98.156053"/>
        <n v="99.206419999999994"/>
        <n v="99.290940000000006"/>
        <n v="99.441379999999995"/>
        <n v="99.681200000000004"/>
        <n v="99.695700000000002"/>
        <n v="99.807430999999994"/>
        <n v="100.076176"/>
        <n v="100.169156"/>
        <n v="100.390058"/>
        <n v="100.37846999999999"/>
        <n v="100.461274"/>
        <n v="100.463098"/>
        <n v="100.511039"/>
        <n v="100.238803"/>
        <n v="100.606647"/>
        <n v="100.78825399999999"/>
        <n v="100.98352"/>
        <n v="100.633104"/>
        <n v="101.06001999999999"/>
        <n v="100.76725"/>
        <n v="82.033545000000004"/>
        <n v="82.449939000000001"/>
        <n v="82.448272000000003"/>
        <n v="82.315093000000005"/>
        <n v="82.291796000000005"/>
        <n v="82.376765000000006"/>
        <n v="82.466967999999994"/>
        <n v="82.308374999999998"/>
        <n v="83.065848000000003"/>
        <n v="83.113257000000004"/>
        <n v="83.006439"/>
        <n v="83.186784000000003"/>
        <n v="83.259260999999995"/>
        <n v="82.857619"/>
        <n v="83.773399999999995"/>
        <n v="83.732506999999998"/>
        <n v="82.622583000000006"/>
        <n v="83.481233000000003"/>
        <n v="84.407391000000004"/>
        <n v="85.123999999999995"/>
        <n v="74.145332999999994"/>
        <n v="74.287165999999999"/>
        <n v="74.181749999999994"/>
        <n v="74.425415999999998"/>
        <n v="74.230565999999996"/>
        <n v="74.59675"/>
        <n v="75.327918999999994"/>
        <n v="74.971000000000004"/>
        <n v="75.318854000000002"/>
        <n v="75.016865999999993"/>
        <n v="75.022015999999994"/>
        <n v="74.936064999999999"/>
        <n v="74.999865999999997"/>
        <n v="74.998982999999996"/>
        <n v="74.979365999999999"/>
        <n v="74.826457000000005"/>
        <n v="74.837965999999994"/>
        <n v="75.552279999999996"/>
        <n v="95.209812999999997"/>
        <n v="95.714279000000005"/>
        <n v="95.699888000000001"/>
        <n v="95.677882999999994"/>
        <n v="95.822558000000001"/>
        <n v="96.035347999999999"/>
        <n v="96.101557999999997"/>
        <n v="96.243022999999994"/>
        <n v="96.237071"/>
        <n v="96.520231999999993"/>
        <n v="96.919635999999997"/>
        <n v="96.402348000000003"/>
        <n v="96.945755000000005"/>
        <n v="96.553476000000003"/>
        <n v="97.243094999999997"/>
        <n v="96.572147999999999"/>
        <n v="95.589580999999995"/>
        <n v="95.673045999999999"/>
        <n v="85.300340000000006"/>
        <n v="84.904769999999999"/>
        <n v="85.760480000000001"/>
        <n v="85.242644999999996"/>
        <n v="85.810320000000004"/>
        <n v="86.237179999999995"/>
        <n v="86.347179999999994"/>
        <n v="86.438239999999993"/>
        <n v="86.486959999999996"/>
        <n v="86.535920000000004"/>
        <n v="86.646320000000003"/>
        <n v="86.847700000000003"/>
        <n v="86.998999999999995"/>
        <n v="87.099958999999998"/>
        <n v="87.073550999999995"/>
        <n v="86.944489000000004"/>
        <n v="86.781355000000005"/>
        <n v="86.395871999999997"/>
        <n v="87.269374999999997"/>
        <n v="88.403999999999996"/>
        <n v="88.645527000000001"/>
        <n v="88.837581"/>
        <n v="88.485150000000004"/>
        <n v="88.594376999999994"/>
        <n v="89.437180999999995"/>
        <n v="89.761363000000003"/>
        <n v="89.771163000000001"/>
        <n v="89.432905000000005"/>
        <n v="89.538622000000004"/>
        <n v="89.828762999999995"/>
        <n v="90.019217999999995"/>
        <n v="89.860489999999999"/>
        <n v="89.960162999999994"/>
        <n v="89.943017999999995"/>
        <n v="89.956417999999999"/>
        <n v="89.645509000000004"/>
        <n v="90.169092000000006"/>
        <n v="90.009777"/>
        <n v="89.726173000000003"/>
        <n v="89.852441999999996"/>
        <n v="83.412999999999997"/>
        <n v="83.299693000000005"/>
        <n v="83.512728999999993"/>
        <n v="83.431708"/>
        <n v="83.862692999999993"/>
        <n v="83.830875000000006"/>
        <n v="84.982979"/>
        <n v="85.136915999999999"/>
        <n v="84.828387000000006"/>
        <n v="85.420938000000007"/>
        <n v="85.448325999999994"/>
        <n v="85.655958999999996"/>
        <n v="85.430999999999997"/>
        <n v="85.760777000000004"/>
        <n v="86.043717000000001"/>
        <n v="87.807044000000005"/>
        <n v="87.213206"/>
        <n v="87.301811999999998"/>
        <n v="88.713635999999994"/>
        <n v="85.497665999999995"/>
        <n v="96.493058000000005"/>
        <n v="96.565843000000001"/>
        <n v="97.073763999999997"/>
        <n v="97.110568000000001"/>
        <n v="97.853900999999993"/>
        <n v="97.752861999999993"/>
        <n v="98.272480000000002"/>
        <n v="98.234039999999993"/>
        <n v="98.921000000000006"/>
        <n v="98.270686999999995"/>
        <n v="98.304208000000003"/>
        <n v="98.701415999999995"/>
        <n v="100.00498"/>
        <n v="98.494065000000006"/>
        <n v="100.34444000000001"/>
        <n v="98.098921000000004"/>
        <n v="100.73452"/>
        <n v="101.30725"/>
        <n v="93.874977999999999"/>
        <n v="94.113135999999997"/>
        <n v="94.199180999999996"/>
        <n v="94.162844000000007"/>
        <n v="94.353886000000003"/>
        <n v="94.507803999999993"/>
        <n v="94.845868999999993"/>
        <n v="94.890217000000007"/>
        <n v="95.597999999999999"/>
        <n v="95.468324999999993"/>
        <n v="95.592564999999993"/>
        <n v="95.687465000000003"/>
        <n v="95.822608000000002"/>
        <n v="95.714674000000002"/>
        <n v="96.019478000000007"/>
        <n v="95.839208999999997"/>
        <n v="97.018332999999998"/>
        <n v="97.868295000000003"/>
        <n v="98.117833000000005"/>
        <n v="96.316867999999999"/>
        <n v="98.285666000000006"/>
        <n v="96.689941000000005"/>
        <n v="92.703500000000005"/>
        <n v="92.720229000000003"/>
        <n v="93.208540999999997"/>
        <n v="93.558769999999996"/>
        <n v="93.811440000000005"/>
        <n v="93.740937000000002"/>
        <n v="93.924082999999996"/>
        <n v="93.573353999999995"/>
        <n v="94.425854000000001"/>
        <n v="94.602500000000006"/>
        <n v="94.815467999999996"/>
        <n v="94.845326"/>
        <n v="94.945381999999995"/>
        <n v="95.602130000000002"/>
        <n v="96.201065"/>
        <n v="96.286500000000004"/>
        <n v="95.974045000000004"/>
        <n v="97.758651"/>
        <n v="94.726500000000001"/>
        <n v="95.692333000000005"/>
        <n v="95.159333000000004"/>
        <n v="95.363"/>
        <n v="75.882273999999995"/>
        <n v="76.068600000000004"/>
        <n v="76.079966999999996"/>
        <n v="76.494490999999996"/>
        <n v="76.403223999999994"/>
        <n v="77.314677000000003"/>
        <n v="77.547762000000006"/>
        <n v="77.563660999999996"/>
        <n v="77.295135000000002"/>
        <n v="77.723770000000002"/>
        <n v="77.251908999999998"/>
        <n v="77.745554999999996"/>
        <n v="77.616906999999998"/>
        <n v="78.708051999999995"/>
        <n v="80.818906999999996"/>
        <n v="80.191113000000001"/>
        <n v="78.788934999999995"/>
        <n v="77.259533000000005"/>
        <n v="76.538892000000004"/>
        <n v="80.668999999999997"/>
        <n v="79.748999999999995"/>
        <n v="76.417295999999993"/>
        <n v="76.947828000000001"/>
        <n v="78.144903999999997"/>
        <n v="78.235776999999999"/>
        <n v="78.706269000000006"/>
        <n v="79.714045999999996"/>
        <n v="78.404681999999994"/>
        <n v="79.529257999999999"/>
        <n v="79.708450999999997"/>
        <n v="79.767966999999999"/>
        <n v="79.894649999999999"/>
        <n v="78.053278000000006"/>
        <n v="79.64358"/>
        <n v="79.820611999999997"/>
        <n v="79.956355000000002"/>
        <n v="79.656684999999996"/>
        <n v="77.044357000000005"/>
        <n v="79.812017999999995"/>
        <n v="78.716189999999997"/>
        <n v="80.426119999999997"/>
        <n v="81.603153000000006"/>
        <n v="81.642285000000001"/>
        <n v="82.265671999999995"/>
        <n v="82.257758999999993"/>
        <n v="82.224677999999997"/>
        <n v="82.734606999999997"/>
        <n v="83.232056999999998"/>
        <n v="84.181552999999994"/>
        <n v="84.296165999999999"/>
        <n v="84.455054000000004"/>
        <n v="84.327814000000004"/>
        <n v="84.487410999999994"/>
        <n v="84.602626999999998"/>
        <n v="85.054383999999999"/>
        <n v="85.703924000000001"/>
        <n v="82.543689999999998"/>
        <n v="82.236791999999994"/>
        <n v="84.942239999999998"/>
        <n v="85.004908999999998"/>
        <n v="86.620616999999996"/>
        <n v="84.651480000000006"/>
        <n v="87.222915999999998"/>
        <n v="86.211665999999994"/>
        <n v="71.756838000000002"/>
        <n v="71.743661000000003"/>
        <n v="71.765234000000007"/>
        <n v="72.025195999999994"/>
        <n v="71.962644999999995"/>
        <n v="72.182754000000003"/>
        <n v="72.159693000000004"/>
        <n v="71.990233000000003"/>
        <n v="72.991232999999994"/>
        <n v="73.062282999999994"/>
        <n v="73.214399999999998"/>
        <n v="73.363033000000001"/>
        <n v="73.113650000000007"/>
        <n v="73.864174000000006"/>
        <n v="73.678032000000002"/>
        <n v="74.209050000000005"/>
        <n v="74.277766"/>
        <n v="75.058841000000001"/>
        <n v="75.380950999999996"/>
        <n v="74.550250000000005"/>
        <n v="74.861500000000007"/>
        <n v="93.779976000000005"/>
        <n v="94.012769000000006"/>
        <n v="94.066559999999996"/>
        <n v="94.340400000000002"/>
        <n v="94.520205000000004"/>
        <n v="95.170450000000002"/>
        <n v="95.180640999999994"/>
        <n v="95.292563999999999"/>
        <n v="95.643535999999997"/>
        <n v="95.557524999999998"/>
        <n v="94.868127999999999"/>
        <n v="96.469384000000005"/>
        <n v="96.321250000000006"/>
        <n v="96.966200000000001"/>
        <n v="93.947215999999997"/>
        <n v="97.590665999999999"/>
        <n v="96.380571000000003"/>
        <n v="98.539559999999994"/>
        <n v="98.688128000000006"/>
        <n v="94.073724999999996"/>
        <n v="96.727800000000002"/>
        <n v="96.029499999999999"/>
        <n v="110.209611"/>
        <n v="110.417918"/>
        <n v="110.423777"/>
        <n v="110.52761099999999"/>
        <n v="110.874702"/>
        <n v="110.71367499999999"/>
        <n v="110.538742"/>
        <n v="111.609729"/>
        <n v="111.3398"/>
        <n v="112.026555"/>
        <n v="112.005942"/>
        <n v="112.108028"/>
        <n v="112.18953999999999"/>
        <n v="112.350972"/>
        <n v="112.802297"/>
        <n v="112.372029"/>
        <n v="112.748555"/>
        <n v="114.289342"/>
        <n v="116.05618699999999"/>
        <n v="115.86806199999999"/>
        <n v="114.446285"/>
        <n v="84.417681999999999"/>
        <n v="84.824062999999995"/>
        <n v="84.872491999999994"/>
        <n v="84.736268999999993"/>
        <n v="84.707222000000002"/>
        <n v="85.369249999999994"/>
        <n v="85.327312000000006"/>
        <n v="86.260015999999993"/>
        <n v="86.304338000000001"/>
        <n v="86.918000000000006"/>
        <n v="86.894655999999998"/>
        <n v="86.333387000000002"/>
        <n v="86.706258000000005"/>
        <n v="86.833031000000005"/>
        <n v="87.118031999999999"/>
        <n v="87.256229000000005"/>
        <n v="87.939808999999997"/>
        <n v="87.643326999999999"/>
        <n v="87.912918000000005"/>
        <n v="85.009839999999997"/>
        <n v="88.882333000000003"/>
        <n v="89.037333000000004"/>
        <n v="77.352400000000003"/>
        <n v="77.286699999999996"/>
        <n v="77.538983000000002"/>
        <n v="77.479049000000003"/>
        <n v="77.219237000000007"/>
        <n v="77.502508000000006"/>
        <n v="77.479388999999998"/>
        <n v="78.049205999999998"/>
        <n v="78.508633000000003"/>
        <n v="78.278516999999994"/>
        <n v="78.321136999999993"/>
        <n v="78.465534000000005"/>
        <n v="78.339775000000003"/>
        <n v="78.654818000000006"/>
        <n v="80.721812999999997"/>
        <n v="79.314499999999995"/>
        <n v="79.402754000000002"/>
        <n v="80.025734"/>
        <n v="79.004022000000006"/>
        <n v="79.311277000000004"/>
        <n v="86.410552999999993"/>
        <n v="85.702759999999998"/>
        <n v="85.621869000000004"/>
        <n v="85.974564999999998"/>
        <n v="86.042304000000001"/>
        <n v="86.130673000000002"/>
        <n v="86.232826000000003"/>
        <n v="86.545368999999994"/>
        <n v="86.492934000000005"/>
        <n v="87.869872000000001"/>
        <n v="88.209297000000007"/>
        <n v="87.792404000000005"/>
        <n v="87.780893000000006"/>
        <n v="87.476977000000005"/>
        <n v="87.239260000000002"/>
        <n v="87.144510999999994"/>
        <n v="88.289203999999998"/>
        <n v="89.375152"/>
        <n v="89.927288000000004"/>
        <n v="91.3215"/>
        <n v="90.795665999999997"/>
        <n v="98.265111000000005"/>
        <n v="98.386961999999997"/>
        <n v="98.001244999999997"/>
        <n v="98.511133999999998"/>
        <n v="98.332250000000002"/>
        <n v="99.534384000000003"/>
        <n v="99.879759000000007"/>
        <n v="99.638480000000001"/>
        <n v="100.166792"/>
        <n v="100.177415"/>
        <n v="100.219792"/>
        <n v="100.043705"/>
        <n v="100.182098"/>
        <n v="100.776607"/>
        <n v="101.515547"/>
        <n v="100.816061"/>
        <n v="101.66030000000001"/>
        <n v="103.88851"/>
        <n v="102.8746"/>
        <n v="103.381888"/>
        <n v="104.341818"/>
        <n v="103.95274999999999"/>
      </sharedItems>
    </cacheField>
    <cacheField name="FastestS1" numFmtId="0">
      <sharedItems containsString="0" containsBlank="1" containsNumber="1" minValue="16.36" maxValue="42.151000000000003"/>
    </cacheField>
    <cacheField name="FastestS2" numFmtId="0">
      <sharedItems containsString="0" containsBlank="1" containsNumber="1" minValue="17.38" maxValue="66.534000000000006"/>
    </cacheField>
    <cacheField name="FastestS3" numFmtId="0">
      <sharedItems containsString="0" containsBlank="1" containsNumber="1" minValue="16.027999999999999" maxValue="44.332999999999998"/>
    </cacheField>
    <cacheField name="PitStopLaps" numFmtId="0">
      <sharedItems containsBlank="1" containsMixedTypes="1" containsNumber="1" containsInteger="1" minValue="1" maxValue="64"/>
    </cacheField>
    <cacheField name="Weather" numFmtId="0">
      <sharedItems count="2">
        <s v="Wet"/>
        <s v="Dry"/>
      </sharedItems>
    </cacheField>
  </cacheFields>
  <extLst>
    <ext xmlns:x14="http://schemas.microsoft.com/office/spreadsheetml/2009/9/main" uri="{725AE2AE-9491-48be-B2B4-4EB974FC3084}">
      <x14:pivotCacheDefinition pivotCacheId="1934135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6">
  <r>
    <x v="0"/>
    <x v="0"/>
    <x v="0"/>
    <x v="0"/>
    <s v="VET"/>
    <x v="0"/>
    <x v="0"/>
    <x v="0"/>
    <n v="25"/>
    <x v="0"/>
    <x v="0"/>
    <x v="0"/>
    <n v="86.468999999999994"/>
    <x v="0"/>
    <n v="28.890999999999998"/>
    <n v="23.198"/>
    <n v="34.334000000000003"/>
    <n v="26"/>
    <x v="0"/>
  </r>
  <r>
    <x v="0"/>
    <x v="0"/>
    <x v="0"/>
    <x v="1"/>
    <s v="HAM"/>
    <x v="1"/>
    <x v="1"/>
    <x v="1"/>
    <n v="18"/>
    <x v="0"/>
    <x v="0"/>
    <x v="0"/>
    <n v="86.444000000000003"/>
    <x v="1"/>
    <n v="28.76"/>
    <n v="23.091999999999999"/>
    <n v="34.247"/>
    <n v="19"/>
    <x v="0"/>
  </r>
  <r>
    <x v="0"/>
    <x v="0"/>
    <x v="0"/>
    <x v="2"/>
    <s v="RAI"/>
    <x v="0"/>
    <x v="2"/>
    <x v="2"/>
    <n v="15"/>
    <x v="0"/>
    <x v="0"/>
    <x v="0"/>
    <n v="86.373000000000005"/>
    <x v="2"/>
    <n v="28.698"/>
    <n v="23.100999999999999"/>
    <n v="34.347000000000001"/>
    <n v="18"/>
    <x v="0"/>
  </r>
  <r>
    <x v="0"/>
    <x v="0"/>
    <x v="0"/>
    <x v="3"/>
    <s v="RIC"/>
    <x v="2"/>
    <x v="3"/>
    <x v="3"/>
    <n v="12"/>
    <x v="1"/>
    <x v="0"/>
    <x v="0"/>
    <n v="85.944999999999993"/>
    <x v="3"/>
    <n v="28.651"/>
    <n v="23.044"/>
    <n v="34.088999999999999"/>
    <n v="26"/>
    <x v="0"/>
  </r>
  <r>
    <x v="0"/>
    <x v="0"/>
    <x v="0"/>
    <x v="4"/>
    <s v="ALO"/>
    <x v="3"/>
    <x v="4"/>
    <x v="4"/>
    <n v="10"/>
    <x v="1"/>
    <x v="0"/>
    <x v="0"/>
    <n v="86.977999999999994"/>
    <x v="4"/>
    <n v="28.975999999999999"/>
    <n v="23.405999999999999"/>
    <n v="34.454000000000001"/>
    <n v="26"/>
    <x v="0"/>
  </r>
  <r>
    <x v="0"/>
    <x v="0"/>
    <x v="0"/>
    <x v="5"/>
    <s v="VER"/>
    <x v="2"/>
    <x v="5"/>
    <x v="5"/>
    <n v="8"/>
    <x v="1"/>
    <x v="0"/>
    <x v="0"/>
    <n v="86.88"/>
    <x v="5"/>
    <n v="28.940999999999999"/>
    <n v="23.251000000000001"/>
    <n v="34.463999999999999"/>
    <n v="21"/>
    <x v="0"/>
  </r>
  <r>
    <x v="0"/>
    <x v="0"/>
    <x v="0"/>
    <x v="6"/>
    <s v="HUL"/>
    <x v="4"/>
    <x v="6"/>
    <x v="6"/>
    <n v="6"/>
    <x v="1"/>
    <x v="0"/>
    <x v="0"/>
    <n v="87.081000000000003"/>
    <x v="6"/>
    <n v="28.989000000000001"/>
    <n v="23.404"/>
    <n v="34.548999999999999"/>
    <n v="24"/>
    <x v="0"/>
  </r>
  <r>
    <x v="0"/>
    <x v="0"/>
    <x v="0"/>
    <x v="7"/>
    <s v="BOT"/>
    <x v="1"/>
    <x v="7"/>
    <x v="7"/>
    <n v="4"/>
    <x v="1"/>
    <x v="0"/>
    <x v="0"/>
    <n v="87.019000000000005"/>
    <x v="7"/>
    <n v="28.893000000000001"/>
    <n v="23.277999999999999"/>
    <n v="34.53"/>
    <n v="25"/>
    <x v="0"/>
  </r>
  <r>
    <x v="0"/>
    <x v="0"/>
    <x v="0"/>
    <x v="8"/>
    <s v="VAN"/>
    <x v="3"/>
    <x v="8"/>
    <x v="8"/>
    <n v="2"/>
    <x v="1"/>
    <x v="0"/>
    <x v="0"/>
    <n v="86.957999999999998"/>
    <x v="8"/>
    <n v="28.902000000000001"/>
    <n v="23.454999999999998"/>
    <n v="34.493000000000002"/>
    <n v="25"/>
    <x v="0"/>
  </r>
  <r>
    <x v="0"/>
    <x v="0"/>
    <x v="0"/>
    <x v="9"/>
    <s v="SAI"/>
    <x v="4"/>
    <x v="9"/>
    <x v="9"/>
    <n v="1"/>
    <x v="1"/>
    <x v="0"/>
    <x v="0"/>
    <n v="87.944000000000003"/>
    <x v="9"/>
    <n v="29.315000000000001"/>
    <n v="23.61"/>
    <n v="34.811"/>
    <n v="22"/>
    <x v="0"/>
  </r>
  <r>
    <x v="0"/>
    <x v="0"/>
    <x v="0"/>
    <x v="10"/>
    <s v="PER"/>
    <x v="5"/>
    <x v="10"/>
    <x v="10"/>
    <n v="0"/>
    <x v="1"/>
    <x v="0"/>
    <x v="0"/>
    <n v="87.632999999999996"/>
    <x v="10"/>
    <n v="29.173999999999999"/>
    <n v="23.556999999999999"/>
    <n v="34.877000000000002"/>
    <n v="24"/>
    <x v="0"/>
  </r>
  <r>
    <x v="0"/>
    <x v="0"/>
    <x v="0"/>
    <x v="11"/>
    <s v="OCO"/>
    <x v="5"/>
    <x v="11"/>
    <x v="11"/>
    <n v="0"/>
    <x v="1"/>
    <x v="0"/>
    <x v="0"/>
    <n v="87.6"/>
    <x v="11"/>
    <n v="29.097000000000001"/>
    <n v="23.494"/>
    <n v="34.996000000000002"/>
    <n v="23"/>
    <x v="0"/>
  </r>
  <r>
    <x v="0"/>
    <x v="0"/>
    <x v="0"/>
    <x v="12"/>
    <s v="LEC"/>
    <x v="6"/>
    <x v="12"/>
    <x v="12"/>
    <n v="0"/>
    <x v="1"/>
    <x v="0"/>
    <x v="0"/>
    <n v="88.759"/>
    <x v="12"/>
    <n v="29.506"/>
    <n v="23.818000000000001"/>
    <n v="35.256"/>
    <s v="20,27"/>
    <x v="0"/>
  </r>
  <r>
    <x v="0"/>
    <x v="0"/>
    <x v="0"/>
    <x v="13"/>
    <s v="STR"/>
    <x v="7"/>
    <x v="13"/>
    <x v="13"/>
    <n v="0"/>
    <x v="1"/>
    <x v="0"/>
    <x v="0"/>
    <n v="88.510999999999996"/>
    <x v="13"/>
    <n v="29.369"/>
    <n v="23.571999999999999"/>
    <n v="35.274000000000001"/>
    <s v="25,29"/>
    <x v="0"/>
  </r>
  <r>
    <x v="0"/>
    <x v="0"/>
    <x v="0"/>
    <x v="14"/>
    <s v="HAR"/>
    <x v="8"/>
    <x v="14"/>
    <x v="14"/>
    <n v="0"/>
    <x v="1"/>
    <x v="1"/>
    <x v="1"/>
    <n v="88.176000000000002"/>
    <x v="14"/>
    <n v="29.27"/>
    <n v="23.587"/>
    <n v="35.180999999999997"/>
    <s v="1,22"/>
    <x v="0"/>
  </r>
  <r>
    <x v="0"/>
    <x v="0"/>
    <x v="0"/>
    <x v="15"/>
    <s v="GRO"/>
    <x v="9"/>
    <x v="15"/>
    <x v="15"/>
    <n v="0"/>
    <x v="1"/>
    <x v="2"/>
    <x v="2"/>
    <n v="88.805000000000007"/>
    <x v="15"/>
    <n v="29.64"/>
    <n v="23.791"/>
    <n v="35.374000000000002"/>
    <n v="24"/>
    <x v="0"/>
  </r>
  <r>
    <x v="0"/>
    <x v="0"/>
    <x v="0"/>
    <x v="16"/>
    <s v="MAG"/>
    <x v="9"/>
    <x v="16"/>
    <x v="16"/>
    <n v="0"/>
    <x v="1"/>
    <x v="2"/>
    <x v="3"/>
    <n v="89.534000000000006"/>
    <x v="16"/>
    <n v="29.873000000000001"/>
    <n v="23.821999999999999"/>
    <n v="35.838999999999999"/>
    <n v="22"/>
    <x v="0"/>
  </r>
  <r>
    <x v="0"/>
    <x v="0"/>
    <x v="0"/>
    <x v="17"/>
    <s v="GAS"/>
    <x v="8"/>
    <x v="17"/>
    <x v="17"/>
    <n v="0"/>
    <x v="1"/>
    <x v="3"/>
    <x v="4"/>
    <n v="90.649000000000001"/>
    <x v="17"/>
    <n v="30.140999999999998"/>
    <n v="24.245000000000001"/>
    <n v="36.209000000000003"/>
    <n v="14"/>
    <x v="0"/>
  </r>
  <r>
    <x v="0"/>
    <x v="0"/>
    <x v="0"/>
    <x v="18"/>
    <s v="ERI"/>
    <x v="6"/>
    <x v="18"/>
    <x v="18"/>
    <n v="0"/>
    <x v="1"/>
    <x v="4"/>
    <x v="5"/>
    <n v="92.289000000000001"/>
    <x v="18"/>
    <n v="30.731999999999999"/>
    <n v="24.545999999999999"/>
    <n v="37.011000000000003"/>
    <n v="6"/>
    <x v="0"/>
  </r>
  <r>
    <x v="0"/>
    <x v="0"/>
    <x v="0"/>
    <x v="19"/>
    <s v="SIR"/>
    <x v="7"/>
    <x v="19"/>
    <x v="19"/>
    <n v="0"/>
    <x v="1"/>
    <x v="5"/>
    <x v="6"/>
    <m/>
    <x v="19"/>
    <m/>
    <m/>
    <m/>
    <m/>
    <x v="0"/>
  </r>
  <r>
    <x v="0"/>
    <x v="1"/>
    <x v="1"/>
    <x v="0"/>
    <s v="VET"/>
    <x v="0"/>
    <x v="1"/>
    <x v="0"/>
    <n v="25"/>
    <x v="0"/>
    <x v="0"/>
    <x v="1"/>
    <n v="94.453000000000003"/>
    <x v="20"/>
    <n v="29.933"/>
    <n v="40.926000000000002"/>
    <n v="23.356999999999999"/>
    <n v="17"/>
    <x v="1"/>
  </r>
  <r>
    <x v="0"/>
    <x v="1"/>
    <x v="1"/>
    <x v="7"/>
    <s v="BOT"/>
    <x v="1"/>
    <x v="0"/>
    <x v="1"/>
    <n v="18"/>
    <x v="0"/>
    <x v="0"/>
    <x v="1"/>
    <n v="93.74"/>
    <x v="21"/>
    <n v="29.826000000000001"/>
    <n v="40.676000000000002"/>
    <n v="23.14"/>
    <n v="19"/>
    <x v="1"/>
  </r>
  <r>
    <x v="0"/>
    <x v="1"/>
    <x v="1"/>
    <x v="1"/>
    <s v="HAM"/>
    <x v="1"/>
    <x v="9"/>
    <x v="2"/>
    <n v="15"/>
    <x v="0"/>
    <x v="0"/>
    <x v="1"/>
    <n v="93.953000000000003"/>
    <x v="22"/>
    <n v="29.751000000000001"/>
    <n v="40.771999999999998"/>
    <n v="23.12"/>
    <n v="25"/>
    <x v="1"/>
  </r>
  <r>
    <x v="0"/>
    <x v="1"/>
    <x v="1"/>
    <x v="17"/>
    <s v="GAS"/>
    <x v="8"/>
    <x v="16"/>
    <x v="3"/>
    <n v="12"/>
    <x v="1"/>
    <x v="0"/>
    <x v="1"/>
    <n v="94.863"/>
    <x v="23"/>
    <n v="30.318999999999999"/>
    <n v="40.911999999999999"/>
    <n v="23.34"/>
    <s v="15,34"/>
    <x v="1"/>
  </r>
  <r>
    <x v="0"/>
    <x v="1"/>
    <x v="1"/>
    <x v="16"/>
    <s v="MAG"/>
    <x v="9"/>
    <x v="15"/>
    <x v="4"/>
    <n v="10"/>
    <x v="1"/>
    <x v="0"/>
    <x v="1"/>
    <n v="94.326999999999998"/>
    <x v="24"/>
    <n v="30.015000000000001"/>
    <n v="40.796999999999997"/>
    <n v="23.41"/>
    <s v="13,27"/>
    <x v="1"/>
  </r>
  <r>
    <x v="0"/>
    <x v="1"/>
    <x v="1"/>
    <x v="6"/>
    <s v="HUL"/>
    <x v="4"/>
    <x v="6"/>
    <x v="5"/>
    <n v="8"/>
    <x v="1"/>
    <x v="0"/>
    <x v="1"/>
    <n v="94.667000000000002"/>
    <x v="25"/>
    <n v="29.922999999999998"/>
    <n v="40.908000000000001"/>
    <n v="23.276"/>
    <s v="15,39"/>
    <x v="1"/>
  </r>
  <r>
    <x v="0"/>
    <x v="1"/>
    <x v="1"/>
    <x v="4"/>
    <s v="ALO"/>
    <x v="3"/>
    <x v="13"/>
    <x v="6"/>
    <n v="6"/>
    <x v="1"/>
    <x v="1"/>
    <x v="7"/>
    <n v="94.168000000000006"/>
    <x v="26"/>
    <n v="30.163"/>
    <n v="40.566000000000003"/>
    <n v="23.343"/>
    <s v="14,39"/>
    <x v="1"/>
  </r>
  <r>
    <x v="0"/>
    <x v="1"/>
    <x v="1"/>
    <x v="8"/>
    <s v="VAN"/>
    <x v="3"/>
    <x v="11"/>
    <x v="7"/>
    <n v="4"/>
    <x v="1"/>
    <x v="1"/>
    <x v="7"/>
    <n v="95.131"/>
    <x v="27"/>
    <n v="30.236000000000001"/>
    <n v="41.021000000000001"/>
    <n v="23.452999999999999"/>
    <s v="10,28"/>
    <x v="1"/>
  </r>
  <r>
    <x v="0"/>
    <x v="1"/>
    <x v="1"/>
    <x v="18"/>
    <s v="ERI"/>
    <x v="6"/>
    <x v="18"/>
    <x v="8"/>
    <n v="2"/>
    <x v="1"/>
    <x v="1"/>
    <x v="7"/>
    <n v="95.093000000000004"/>
    <x v="28"/>
    <n v="30.138000000000002"/>
    <n v="41.222999999999999"/>
    <n v="23.66"/>
    <n v="23"/>
    <x v="1"/>
  </r>
  <r>
    <x v="0"/>
    <x v="1"/>
    <x v="1"/>
    <x v="11"/>
    <s v="OCO"/>
    <x v="5"/>
    <x v="3"/>
    <x v="9"/>
    <n v="1"/>
    <x v="1"/>
    <x v="1"/>
    <x v="7"/>
    <n v="95.043000000000006"/>
    <x v="29"/>
    <n v="30.201000000000001"/>
    <n v="41.155999999999999"/>
    <n v="23.488"/>
    <s v="15,35"/>
    <x v="1"/>
  </r>
  <r>
    <x v="0"/>
    <x v="1"/>
    <x v="1"/>
    <x v="9"/>
    <s v="SAI"/>
    <x v="4"/>
    <x v="4"/>
    <x v="10"/>
    <n v="0"/>
    <x v="1"/>
    <x v="1"/>
    <x v="7"/>
    <n v="95.534999999999997"/>
    <x v="30"/>
    <n v="30.251999999999999"/>
    <n v="41.502000000000002"/>
    <n v="23.619"/>
    <s v="16,26"/>
    <x v="1"/>
  </r>
  <r>
    <x v="0"/>
    <x v="1"/>
    <x v="1"/>
    <x v="12"/>
    <s v="LEC"/>
    <x v="6"/>
    <x v="19"/>
    <x v="11"/>
    <n v="0"/>
    <x v="1"/>
    <x v="1"/>
    <x v="7"/>
    <n v="95.058000000000007"/>
    <x v="31"/>
    <n v="30.324999999999999"/>
    <n v="41.100999999999999"/>
    <n v="23.463000000000001"/>
    <s v="3,34"/>
    <x v="1"/>
  </r>
  <r>
    <x v="0"/>
    <x v="1"/>
    <x v="1"/>
    <x v="15"/>
    <s v="GRO"/>
    <x v="9"/>
    <x v="14"/>
    <x v="12"/>
    <n v="0"/>
    <x v="1"/>
    <x v="1"/>
    <x v="7"/>
    <n v="94.052999999999997"/>
    <x v="32"/>
    <n v="29.93"/>
    <n v="40.695999999999998"/>
    <n v="23.396999999999998"/>
    <s v="18,30,45"/>
    <x v="1"/>
  </r>
  <r>
    <x v="0"/>
    <x v="1"/>
    <x v="1"/>
    <x v="13"/>
    <s v="STR"/>
    <x v="7"/>
    <x v="17"/>
    <x v="13"/>
    <n v="0"/>
    <x v="1"/>
    <x v="1"/>
    <x v="7"/>
    <n v="95.266000000000005"/>
    <x v="33"/>
    <n v="30.387"/>
    <n v="41.088000000000001"/>
    <n v="23.677"/>
    <s v="10,29"/>
    <x v="1"/>
  </r>
  <r>
    <x v="0"/>
    <x v="1"/>
    <x v="1"/>
    <x v="19"/>
    <s v="SIR"/>
    <x v="7"/>
    <x v="12"/>
    <x v="14"/>
    <n v="0"/>
    <x v="1"/>
    <x v="1"/>
    <x v="7"/>
    <n v="94.563000000000002"/>
    <x v="34"/>
    <n v="30.263000000000002"/>
    <n v="40.929000000000002"/>
    <n v="23.364000000000001"/>
    <s v="22,40"/>
    <x v="1"/>
  </r>
  <r>
    <x v="0"/>
    <x v="1"/>
    <x v="1"/>
    <x v="10"/>
    <s v="PER"/>
    <x v="5"/>
    <x v="10"/>
    <x v="15"/>
    <n v="0"/>
    <x v="1"/>
    <x v="1"/>
    <x v="7"/>
    <n v="95.075000000000003"/>
    <x v="35"/>
    <n v="30.213999999999999"/>
    <n v="41.341999999999999"/>
    <n v="23.411000000000001"/>
    <s v="9,32"/>
    <x v="1"/>
  </r>
  <r>
    <x v="0"/>
    <x v="1"/>
    <x v="1"/>
    <x v="14"/>
    <s v="HAR"/>
    <x v="8"/>
    <x v="8"/>
    <x v="16"/>
    <n v="0"/>
    <x v="1"/>
    <x v="1"/>
    <x v="7"/>
    <n v="94.688999999999993"/>
    <x v="36"/>
    <n v="30.195"/>
    <n v="41.084000000000003"/>
    <n v="23.277000000000001"/>
    <s v="20,42"/>
    <x v="1"/>
  </r>
  <r>
    <x v="0"/>
    <x v="1"/>
    <x v="1"/>
    <x v="2"/>
    <s v="RAI"/>
    <x v="0"/>
    <x v="2"/>
    <x v="17"/>
    <n v="0"/>
    <x v="1"/>
    <x v="2"/>
    <x v="8"/>
    <n v="94.337000000000003"/>
    <x v="37"/>
    <n v="30.077999999999999"/>
    <n v="40.850999999999999"/>
    <n v="23.317"/>
    <s v="18,34"/>
    <x v="1"/>
  </r>
  <r>
    <x v="0"/>
    <x v="1"/>
    <x v="1"/>
    <x v="5"/>
    <s v="VER"/>
    <x v="2"/>
    <x v="7"/>
    <x v="18"/>
    <n v="0"/>
    <x v="1"/>
    <x v="6"/>
    <x v="9"/>
    <m/>
    <x v="19"/>
    <m/>
    <m/>
    <m/>
    <n v="2"/>
    <x v="1"/>
  </r>
  <r>
    <x v="0"/>
    <x v="1"/>
    <x v="1"/>
    <x v="3"/>
    <s v="RIC"/>
    <x v="2"/>
    <x v="5"/>
    <x v="19"/>
    <n v="0"/>
    <x v="1"/>
    <x v="7"/>
    <x v="10"/>
    <m/>
    <x v="19"/>
    <m/>
    <m/>
    <m/>
    <m/>
    <x v="1"/>
  </r>
  <r>
    <x v="0"/>
    <x v="2"/>
    <x v="2"/>
    <x v="3"/>
    <s v="RIC"/>
    <x v="2"/>
    <x v="15"/>
    <x v="0"/>
    <n v="25"/>
    <x v="0"/>
    <x v="0"/>
    <x v="7"/>
    <n v="95.784999999999997"/>
    <x v="38"/>
    <n v="25.606000000000002"/>
    <n v="28.43"/>
    <n v="41.706000000000003"/>
    <s v="17,31"/>
    <x v="0"/>
  </r>
  <r>
    <x v="0"/>
    <x v="2"/>
    <x v="2"/>
    <x v="7"/>
    <s v="BOT"/>
    <x v="1"/>
    <x v="0"/>
    <x v="1"/>
    <n v="18"/>
    <x v="0"/>
    <x v="0"/>
    <x v="7"/>
    <n v="96.986999999999995"/>
    <x v="39"/>
    <n v="25.878"/>
    <n v="28.913"/>
    <n v="41.917000000000002"/>
    <n v="19"/>
    <x v="0"/>
  </r>
  <r>
    <x v="0"/>
    <x v="2"/>
    <x v="2"/>
    <x v="2"/>
    <s v="RAI"/>
    <x v="0"/>
    <x v="2"/>
    <x v="2"/>
    <n v="15"/>
    <x v="0"/>
    <x v="0"/>
    <x v="7"/>
    <n v="96.456000000000003"/>
    <x v="40"/>
    <n v="25.649000000000001"/>
    <n v="28.838999999999999"/>
    <n v="41.756"/>
    <n v="27"/>
    <x v="0"/>
  </r>
  <r>
    <x v="0"/>
    <x v="2"/>
    <x v="2"/>
    <x v="1"/>
    <s v="HAM"/>
    <x v="1"/>
    <x v="5"/>
    <x v="3"/>
    <n v="12"/>
    <x v="1"/>
    <x v="0"/>
    <x v="7"/>
    <n v="96.977999999999994"/>
    <x v="41"/>
    <n v="25.968"/>
    <n v="28.873999999999999"/>
    <n v="41.942999999999998"/>
    <n v="18"/>
    <x v="0"/>
  </r>
  <r>
    <x v="0"/>
    <x v="2"/>
    <x v="2"/>
    <x v="5"/>
    <s v="VER"/>
    <x v="2"/>
    <x v="16"/>
    <x v="4"/>
    <n v="10"/>
    <x v="1"/>
    <x v="0"/>
    <x v="7"/>
    <n v="96.206000000000003"/>
    <x v="42"/>
    <n v="25.547000000000001"/>
    <n v="28.748999999999999"/>
    <n v="41.593000000000004"/>
    <s v="17,31"/>
    <x v="0"/>
  </r>
  <r>
    <x v="0"/>
    <x v="2"/>
    <x v="2"/>
    <x v="6"/>
    <s v="HUL"/>
    <x v="4"/>
    <x v="6"/>
    <x v="5"/>
    <n v="8"/>
    <x v="1"/>
    <x v="0"/>
    <x v="7"/>
    <n v="96.881"/>
    <x v="43"/>
    <n v="25.838999999999999"/>
    <n v="28.966000000000001"/>
    <n v="42.009"/>
    <s v="13,31"/>
    <x v="0"/>
  </r>
  <r>
    <x v="0"/>
    <x v="2"/>
    <x v="2"/>
    <x v="4"/>
    <s v="ALO"/>
    <x v="3"/>
    <x v="13"/>
    <x v="6"/>
    <n v="6"/>
    <x v="1"/>
    <x v="0"/>
    <x v="7"/>
    <n v="97.233999999999995"/>
    <x v="44"/>
    <n v="25.774000000000001"/>
    <n v="28.882999999999999"/>
    <n v="42.164000000000001"/>
    <n v="29"/>
    <x v="0"/>
  </r>
  <r>
    <x v="0"/>
    <x v="2"/>
    <x v="2"/>
    <x v="0"/>
    <s v="VET"/>
    <x v="0"/>
    <x v="1"/>
    <x v="7"/>
    <n v="4"/>
    <x v="1"/>
    <x v="0"/>
    <x v="7"/>
    <n v="97.489000000000004"/>
    <x v="45"/>
    <n v="26.04"/>
    <n v="29.132000000000001"/>
    <n v="42.061"/>
    <n v="20"/>
    <x v="0"/>
  </r>
  <r>
    <x v="0"/>
    <x v="2"/>
    <x v="2"/>
    <x v="9"/>
    <s v="SAI"/>
    <x v="4"/>
    <x v="9"/>
    <x v="8"/>
    <n v="2"/>
    <x v="1"/>
    <x v="0"/>
    <x v="7"/>
    <n v="97.754000000000005"/>
    <x v="46"/>
    <n v="26.053999999999998"/>
    <n v="29.15"/>
    <n v="41.811999999999998"/>
    <s v="12,31"/>
    <x v="0"/>
  </r>
  <r>
    <x v="0"/>
    <x v="2"/>
    <x v="2"/>
    <x v="16"/>
    <s v="MAG"/>
    <x v="9"/>
    <x v="8"/>
    <x v="9"/>
    <n v="1"/>
    <x v="1"/>
    <x v="0"/>
    <x v="7"/>
    <n v="98.152000000000001"/>
    <x v="47"/>
    <n v="26.059000000000001"/>
    <n v="29.364000000000001"/>
    <n v="42.506999999999998"/>
    <n v="24"/>
    <x v="0"/>
  </r>
  <r>
    <x v="0"/>
    <x v="2"/>
    <x v="2"/>
    <x v="11"/>
    <s v="OCO"/>
    <x v="5"/>
    <x v="10"/>
    <x v="10"/>
    <n v="0"/>
    <x v="1"/>
    <x v="0"/>
    <x v="7"/>
    <n v="97.984999999999999"/>
    <x v="48"/>
    <n v="26.109000000000002"/>
    <n v="29.233000000000001"/>
    <n v="42.389000000000003"/>
    <s v="11,31"/>
    <x v="0"/>
  </r>
  <r>
    <x v="0"/>
    <x v="2"/>
    <x v="2"/>
    <x v="10"/>
    <s v="PER"/>
    <x v="5"/>
    <x v="3"/>
    <x v="11"/>
    <n v="0"/>
    <x v="1"/>
    <x v="0"/>
    <x v="7"/>
    <n v="97.673000000000002"/>
    <x v="49"/>
    <n v="25.824999999999999"/>
    <n v="29.13"/>
    <n v="42.11"/>
    <s v="12,32"/>
    <x v="0"/>
  </r>
  <r>
    <x v="0"/>
    <x v="2"/>
    <x v="2"/>
    <x v="8"/>
    <s v="VAN"/>
    <x v="3"/>
    <x v="11"/>
    <x v="12"/>
    <n v="0"/>
    <x v="1"/>
    <x v="0"/>
    <x v="7"/>
    <n v="98.137"/>
    <x v="50"/>
    <n v="26.154"/>
    <n v="29.311"/>
    <n v="42.494999999999997"/>
    <n v="22"/>
    <x v="0"/>
  </r>
  <r>
    <x v="0"/>
    <x v="2"/>
    <x v="2"/>
    <x v="13"/>
    <s v="STR"/>
    <x v="7"/>
    <x v="12"/>
    <x v="13"/>
    <n v="0"/>
    <x v="1"/>
    <x v="0"/>
    <x v="7"/>
    <n v="98.5"/>
    <x v="51"/>
    <n v="26.218"/>
    <n v="29.422000000000001"/>
    <n v="42.697000000000003"/>
    <n v="23"/>
    <x v="0"/>
  </r>
  <r>
    <x v="0"/>
    <x v="2"/>
    <x v="2"/>
    <x v="19"/>
    <s v="SIR"/>
    <x v="7"/>
    <x v="14"/>
    <x v="14"/>
    <n v="0"/>
    <x v="1"/>
    <x v="0"/>
    <x v="7"/>
    <n v="98.623999999999995"/>
    <x v="52"/>
    <n v="26.224"/>
    <n v="29.45"/>
    <n v="42.637"/>
    <s v="28,33"/>
    <x v="0"/>
  </r>
  <r>
    <x v="0"/>
    <x v="2"/>
    <x v="2"/>
    <x v="18"/>
    <s v="ERI"/>
    <x v="6"/>
    <x v="17"/>
    <x v="15"/>
    <n v="0"/>
    <x v="1"/>
    <x v="0"/>
    <x v="7"/>
    <n v="98.385999999999996"/>
    <x v="53"/>
    <n v="26.321999999999999"/>
    <n v="29.335999999999999"/>
    <n v="42.603000000000002"/>
    <n v="29"/>
    <x v="0"/>
  </r>
  <r>
    <x v="0"/>
    <x v="2"/>
    <x v="2"/>
    <x v="15"/>
    <s v="GRO"/>
    <x v="9"/>
    <x v="4"/>
    <x v="16"/>
    <n v="0"/>
    <x v="1"/>
    <x v="0"/>
    <x v="7"/>
    <n v="97.41"/>
    <x v="54"/>
    <n v="25.988"/>
    <n v="28.890999999999998"/>
    <n v="42.292999999999999"/>
    <s v="16,46"/>
    <x v="0"/>
  </r>
  <r>
    <x v="0"/>
    <x v="2"/>
    <x v="2"/>
    <x v="17"/>
    <s v="GAS"/>
    <x v="8"/>
    <x v="18"/>
    <x v="17"/>
    <n v="0"/>
    <x v="1"/>
    <x v="0"/>
    <x v="7"/>
    <n v="98.367000000000004"/>
    <x v="55"/>
    <n v="26.222999999999999"/>
    <n v="29.401"/>
    <n v="42.585999999999999"/>
    <s v="20,31"/>
    <x v="0"/>
  </r>
  <r>
    <x v="0"/>
    <x v="2"/>
    <x v="2"/>
    <x v="12"/>
    <s v="LEC"/>
    <x v="6"/>
    <x v="19"/>
    <x v="18"/>
    <n v="0"/>
    <x v="1"/>
    <x v="0"/>
    <x v="7"/>
    <n v="99.628"/>
    <x v="56"/>
    <n v="26.562000000000001"/>
    <n v="29.792000000000002"/>
    <n v="43.042000000000002"/>
    <n v="21"/>
    <x v="0"/>
  </r>
  <r>
    <x v="0"/>
    <x v="2"/>
    <x v="2"/>
    <x v="14"/>
    <s v="HAR"/>
    <x v="8"/>
    <x v="7"/>
    <x v="19"/>
    <n v="0"/>
    <x v="1"/>
    <x v="8"/>
    <x v="11"/>
    <n v="99.376000000000005"/>
    <x v="57"/>
    <n v="26.443000000000001"/>
    <n v="30.027999999999999"/>
    <n v="42.838999999999999"/>
    <s v="10,30,51"/>
    <x v="0"/>
  </r>
  <r>
    <x v="0"/>
    <x v="3"/>
    <x v="3"/>
    <x v="1"/>
    <s v="HAM"/>
    <x v="1"/>
    <x v="2"/>
    <x v="0"/>
    <n v="25"/>
    <x v="0"/>
    <x v="0"/>
    <x v="11"/>
    <n v="105.41200000000001"/>
    <x v="58"/>
    <n v="37.017000000000003"/>
    <n v="42.396000000000001"/>
    <n v="25.562999999999999"/>
    <s v="22,40"/>
    <x v="1"/>
  </r>
  <r>
    <x v="0"/>
    <x v="3"/>
    <x v="3"/>
    <x v="2"/>
    <s v="RAI"/>
    <x v="0"/>
    <x v="15"/>
    <x v="1"/>
    <n v="18"/>
    <x v="0"/>
    <x v="0"/>
    <x v="11"/>
    <n v="106.523"/>
    <x v="59"/>
    <n v="37.548999999999999"/>
    <n v="42.633000000000003"/>
    <n v="25.516999999999999"/>
    <s v="1,40"/>
    <x v="1"/>
  </r>
  <r>
    <x v="0"/>
    <x v="3"/>
    <x v="3"/>
    <x v="10"/>
    <s v="PER"/>
    <x v="5"/>
    <x v="3"/>
    <x v="2"/>
    <n v="15"/>
    <x v="0"/>
    <x v="0"/>
    <x v="11"/>
    <n v="106.206"/>
    <x v="60"/>
    <n v="37.555999999999997"/>
    <n v="42.945999999999998"/>
    <n v="25.437000000000001"/>
    <s v="2,40"/>
    <x v="1"/>
  </r>
  <r>
    <x v="0"/>
    <x v="3"/>
    <x v="3"/>
    <x v="0"/>
    <s v="VET"/>
    <x v="0"/>
    <x v="1"/>
    <x v="3"/>
    <n v="12"/>
    <x v="1"/>
    <x v="0"/>
    <x v="11"/>
    <n v="105.53"/>
    <x v="61"/>
    <n v="37.101999999999997"/>
    <n v="42.411999999999999"/>
    <n v="25.538"/>
    <s v="30,40"/>
    <x v="1"/>
  </r>
  <r>
    <x v="0"/>
    <x v="3"/>
    <x v="3"/>
    <x v="9"/>
    <s v="SAI"/>
    <x v="4"/>
    <x v="9"/>
    <x v="4"/>
    <n v="10"/>
    <x v="1"/>
    <x v="0"/>
    <x v="11"/>
    <n v="106.85599999999999"/>
    <x v="62"/>
    <n v="37.658999999999999"/>
    <n v="43.091999999999999"/>
    <n v="25.292000000000002"/>
    <s v="15,40"/>
    <x v="1"/>
  </r>
  <r>
    <x v="0"/>
    <x v="3"/>
    <x v="3"/>
    <x v="12"/>
    <s v="LEC"/>
    <x v="6"/>
    <x v="13"/>
    <x v="5"/>
    <n v="8"/>
    <x v="1"/>
    <x v="0"/>
    <x v="11"/>
    <n v="107.40300000000001"/>
    <x v="63"/>
    <n v="37.837000000000003"/>
    <n v="43.052999999999997"/>
    <n v="25.603999999999999"/>
    <s v="24,40"/>
    <x v="1"/>
  </r>
  <r>
    <x v="0"/>
    <x v="3"/>
    <x v="3"/>
    <x v="4"/>
    <s v="ALO"/>
    <x v="3"/>
    <x v="10"/>
    <x v="6"/>
    <n v="6"/>
    <x v="1"/>
    <x v="0"/>
    <x v="11"/>
    <n v="107.449"/>
    <x v="64"/>
    <n v="37.847999999999999"/>
    <n v="43.281999999999996"/>
    <n v="25.631"/>
    <s v="1,40"/>
    <x v="1"/>
  </r>
  <r>
    <x v="0"/>
    <x v="3"/>
    <x v="3"/>
    <x v="13"/>
    <s v="STR"/>
    <x v="7"/>
    <x v="4"/>
    <x v="7"/>
    <n v="4"/>
    <x v="1"/>
    <x v="0"/>
    <x v="11"/>
    <n v="106.815"/>
    <x v="65"/>
    <n v="37.779000000000003"/>
    <n v="42.994"/>
    <n v="25.222999999999999"/>
    <s v="23,40"/>
    <x v="1"/>
  </r>
  <r>
    <x v="0"/>
    <x v="3"/>
    <x v="3"/>
    <x v="8"/>
    <s v="VAN"/>
    <x v="3"/>
    <x v="14"/>
    <x v="8"/>
    <n v="2"/>
    <x v="1"/>
    <x v="0"/>
    <x v="11"/>
    <n v="107.666"/>
    <x v="66"/>
    <n v="38.064999999999998"/>
    <n v="43.351999999999997"/>
    <n v="25.818999999999999"/>
    <s v="17,25,39,46"/>
    <x v="1"/>
  </r>
  <r>
    <x v="0"/>
    <x v="3"/>
    <x v="3"/>
    <x v="14"/>
    <s v="HAR"/>
    <x v="8"/>
    <x v="19"/>
    <x v="9"/>
    <n v="1"/>
    <x v="1"/>
    <x v="0"/>
    <x v="11"/>
    <n v="108.288"/>
    <x v="67"/>
    <n v="37.982999999999997"/>
    <n v="43.555"/>
    <n v="25.876000000000001"/>
    <s v="1,22,39"/>
    <x v="1"/>
  </r>
  <r>
    <x v="0"/>
    <x v="3"/>
    <x v="3"/>
    <x v="18"/>
    <s v="ERI"/>
    <x v="6"/>
    <x v="12"/>
    <x v="10"/>
    <n v="0"/>
    <x v="1"/>
    <x v="0"/>
    <x v="11"/>
    <n v="107.925"/>
    <x v="68"/>
    <n v="38.298000000000002"/>
    <n v="43.798999999999999"/>
    <n v="25.75"/>
    <s v="1,18,36,39"/>
    <x v="1"/>
  </r>
  <r>
    <x v="0"/>
    <x v="3"/>
    <x v="3"/>
    <x v="17"/>
    <s v="GAS"/>
    <x v="8"/>
    <x v="18"/>
    <x v="11"/>
    <n v="0"/>
    <x v="1"/>
    <x v="0"/>
    <x v="11"/>
    <n v="108.035"/>
    <x v="69"/>
    <n v="38.009"/>
    <n v="43.292999999999999"/>
    <n v="26.408000000000001"/>
    <s v="12,39"/>
    <x v="1"/>
  </r>
  <r>
    <x v="0"/>
    <x v="3"/>
    <x v="3"/>
    <x v="16"/>
    <s v="MAG"/>
    <x v="9"/>
    <x v="7"/>
    <x v="12"/>
    <n v="0"/>
    <x v="1"/>
    <x v="0"/>
    <x v="11"/>
    <n v="108.155"/>
    <x v="70"/>
    <n v="37.851999999999997"/>
    <n v="43.606000000000002"/>
    <n v="26.097000000000001"/>
    <s v="1,39"/>
    <x v="1"/>
  </r>
  <r>
    <x v="0"/>
    <x v="3"/>
    <x v="3"/>
    <x v="7"/>
    <s v="BOT"/>
    <x v="1"/>
    <x v="0"/>
    <x v="13"/>
    <n v="0"/>
    <x v="1"/>
    <x v="6"/>
    <x v="12"/>
    <n v="105.149"/>
    <x v="71"/>
    <n v="36.994999999999997"/>
    <n v="42.390999999999998"/>
    <n v="25.593"/>
    <n v="40"/>
    <x v="1"/>
  </r>
  <r>
    <x v="0"/>
    <x v="3"/>
    <x v="3"/>
    <x v="15"/>
    <s v="GRO"/>
    <x v="9"/>
    <x v="17"/>
    <x v="14"/>
    <n v="0"/>
    <x v="1"/>
    <x v="9"/>
    <x v="13"/>
    <n v="106.88"/>
    <x v="72"/>
    <n v="37.847000000000001"/>
    <n v="42.997999999999998"/>
    <n v="25.722000000000001"/>
    <s v="2,40"/>
    <x v="1"/>
  </r>
  <r>
    <x v="0"/>
    <x v="3"/>
    <x v="3"/>
    <x v="5"/>
    <s v="VER"/>
    <x v="2"/>
    <x v="16"/>
    <x v="15"/>
    <n v="0"/>
    <x v="1"/>
    <x v="10"/>
    <x v="14"/>
    <n v="105.771"/>
    <x v="73"/>
    <n v="37.51"/>
    <n v="42.317"/>
    <n v="25.606000000000002"/>
    <n v="38"/>
    <x v="1"/>
  </r>
  <r>
    <x v="0"/>
    <x v="3"/>
    <x v="3"/>
    <x v="3"/>
    <s v="RIC"/>
    <x v="2"/>
    <x v="5"/>
    <x v="16"/>
    <n v="0"/>
    <x v="1"/>
    <x v="10"/>
    <x v="14"/>
    <n v="105.419"/>
    <x v="74"/>
    <n v="37.42"/>
    <n v="42.38"/>
    <n v="25.158000000000001"/>
    <n v="37"/>
    <x v="1"/>
  </r>
  <r>
    <x v="0"/>
    <x v="3"/>
    <x v="3"/>
    <x v="6"/>
    <s v="HUL"/>
    <x v="4"/>
    <x v="11"/>
    <x v="17"/>
    <n v="0"/>
    <x v="1"/>
    <x v="9"/>
    <x v="15"/>
    <n v="108.867"/>
    <x v="75"/>
    <n v="38.639000000000003"/>
    <n v="43.927"/>
    <n v="25.201000000000001"/>
    <m/>
    <x v="1"/>
  </r>
  <r>
    <x v="0"/>
    <x v="3"/>
    <x v="3"/>
    <x v="11"/>
    <s v="OCO"/>
    <x v="5"/>
    <x v="6"/>
    <x v="18"/>
    <n v="0"/>
    <x v="1"/>
    <x v="10"/>
    <x v="16"/>
    <m/>
    <x v="19"/>
    <m/>
    <m/>
    <m/>
    <m/>
    <x v="1"/>
  </r>
  <r>
    <x v="0"/>
    <x v="3"/>
    <x v="3"/>
    <x v="19"/>
    <s v="SIR"/>
    <x v="7"/>
    <x v="8"/>
    <x v="19"/>
    <n v="0"/>
    <x v="1"/>
    <x v="10"/>
    <x v="16"/>
    <m/>
    <x v="19"/>
    <m/>
    <m/>
    <m/>
    <m/>
    <x v="1"/>
  </r>
  <r>
    <x v="0"/>
    <x v="4"/>
    <x v="4"/>
    <x v="1"/>
    <s v="HAM"/>
    <x v="1"/>
    <x v="1"/>
    <x v="0"/>
    <n v="25"/>
    <x v="0"/>
    <x v="0"/>
    <x v="17"/>
    <n v="79.132999999999996"/>
    <x v="76"/>
    <n v="22.422999999999998"/>
    <n v="29.597999999999999"/>
    <n v="26.852"/>
    <n v="25"/>
    <x v="0"/>
  </r>
  <r>
    <x v="0"/>
    <x v="4"/>
    <x v="4"/>
    <x v="7"/>
    <s v="BOT"/>
    <x v="1"/>
    <x v="2"/>
    <x v="1"/>
    <n v="18"/>
    <x v="0"/>
    <x v="0"/>
    <x v="17"/>
    <n v="79.477999999999994"/>
    <x v="77"/>
    <n v="22.178999999999998"/>
    <n v="29.587"/>
    <n v="27.187000000000001"/>
    <n v="19"/>
    <x v="0"/>
  </r>
  <r>
    <x v="0"/>
    <x v="4"/>
    <x v="4"/>
    <x v="5"/>
    <s v="VER"/>
    <x v="2"/>
    <x v="16"/>
    <x v="2"/>
    <n v="15"/>
    <x v="0"/>
    <x v="0"/>
    <x v="17"/>
    <n v="79.421999999999997"/>
    <x v="78"/>
    <n v="22.497"/>
    <n v="29.76"/>
    <n v="26.84"/>
    <n v="34"/>
    <x v="0"/>
  </r>
  <r>
    <x v="0"/>
    <x v="4"/>
    <x v="4"/>
    <x v="0"/>
    <s v="VET"/>
    <x v="0"/>
    <x v="0"/>
    <x v="3"/>
    <n v="12"/>
    <x v="1"/>
    <x v="0"/>
    <x v="17"/>
    <n v="79.128"/>
    <x v="79"/>
    <n v="22.167000000000002"/>
    <n v="29.452999999999999"/>
    <n v="27.172000000000001"/>
    <s v="17,41"/>
    <x v="0"/>
  </r>
  <r>
    <x v="0"/>
    <x v="4"/>
    <x v="4"/>
    <x v="3"/>
    <s v="RIC"/>
    <x v="2"/>
    <x v="15"/>
    <x v="4"/>
    <n v="10"/>
    <x v="1"/>
    <x v="0"/>
    <x v="17"/>
    <n v="78.441000000000003"/>
    <x v="80"/>
    <n v="22.111000000000001"/>
    <n v="29.486000000000001"/>
    <n v="26.788"/>
    <n v="33"/>
    <x v="0"/>
  </r>
  <r>
    <x v="0"/>
    <x v="4"/>
    <x v="4"/>
    <x v="16"/>
    <s v="MAG"/>
    <x v="9"/>
    <x v="6"/>
    <x v="5"/>
    <n v="8"/>
    <x v="1"/>
    <x v="1"/>
    <x v="18"/>
    <n v="80.245999999999995"/>
    <x v="81"/>
    <n v="22.716999999999999"/>
    <n v="30.001000000000001"/>
    <n v="27.42"/>
    <n v="32"/>
    <x v="0"/>
  </r>
  <r>
    <x v="0"/>
    <x v="4"/>
    <x v="4"/>
    <x v="9"/>
    <s v="SAI"/>
    <x v="4"/>
    <x v="9"/>
    <x v="6"/>
    <n v="6"/>
    <x v="1"/>
    <x v="1"/>
    <x v="18"/>
    <n v="81.323999999999998"/>
    <x v="82"/>
    <n v="23.236000000000001"/>
    <n v="30.233000000000001"/>
    <n v="27.489000000000001"/>
    <n v="25"/>
    <x v="0"/>
  </r>
  <r>
    <x v="0"/>
    <x v="4"/>
    <x v="4"/>
    <x v="4"/>
    <s v="ALO"/>
    <x v="3"/>
    <x v="3"/>
    <x v="7"/>
    <n v="4"/>
    <x v="1"/>
    <x v="1"/>
    <x v="18"/>
    <n v="80.727000000000004"/>
    <x v="83"/>
    <n v="22.904"/>
    <n v="30.027999999999999"/>
    <n v="27.613"/>
    <n v="21"/>
    <x v="0"/>
  </r>
  <r>
    <x v="0"/>
    <x v="4"/>
    <x v="4"/>
    <x v="10"/>
    <s v="PER"/>
    <x v="5"/>
    <x v="7"/>
    <x v="8"/>
    <n v="2"/>
    <x v="1"/>
    <x v="11"/>
    <x v="19"/>
    <n v="81.128"/>
    <x v="84"/>
    <n v="22.559000000000001"/>
    <n v="30.515999999999998"/>
    <n v="27.715"/>
    <s v="26,40"/>
    <x v="0"/>
  </r>
  <r>
    <x v="0"/>
    <x v="4"/>
    <x v="4"/>
    <x v="12"/>
    <s v="LEC"/>
    <x v="6"/>
    <x v="11"/>
    <x v="9"/>
    <n v="1"/>
    <x v="1"/>
    <x v="11"/>
    <x v="19"/>
    <n v="82.122"/>
    <x v="85"/>
    <n v="23.23"/>
    <n v="30.762"/>
    <n v="27.977"/>
    <n v="20"/>
    <x v="0"/>
  </r>
  <r>
    <x v="0"/>
    <x v="4"/>
    <x v="4"/>
    <x v="13"/>
    <s v="STR"/>
    <x v="7"/>
    <x v="12"/>
    <x v="10"/>
    <n v="0"/>
    <x v="1"/>
    <x v="11"/>
    <x v="19"/>
    <n v="82.094999999999999"/>
    <x v="86"/>
    <n v="23.221"/>
    <n v="30.786999999999999"/>
    <n v="27.981999999999999"/>
    <n v="20"/>
    <x v="0"/>
  </r>
  <r>
    <x v="0"/>
    <x v="4"/>
    <x v="4"/>
    <x v="14"/>
    <s v="HAR"/>
    <x v="8"/>
    <x v="17"/>
    <x v="11"/>
    <n v="0"/>
    <x v="1"/>
    <x v="11"/>
    <x v="19"/>
    <n v="81.438999999999993"/>
    <x v="87"/>
    <n v="23.045999999999999"/>
    <n v="30.456"/>
    <n v="27.867999999999999"/>
    <s v="1,33"/>
    <x v="0"/>
  </r>
  <r>
    <x v="0"/>
    <x v="4"/>
    <x v="4"/>
    <x v="18"/>
    <s v="ERI"/>
    <x v="6"/>
    <x v="18"/>
    <x v="12"/>
    <n v="0"/>
    <x v="1"/>
    <x v="11"/>
    <x v="19"/>
    <n v="82.486999999999995"/>
    <x v="88"/>
    <n v="23.283000000000001"/>
    <n v="30.751999999999999"/>
    <n v="28.201000000000001"/>
    <n v="35"/>
    <x v="0"/>
  </r>
  <r>
    <x v="0"/>
    <x v="4"/>
    <x v="4"/>
    <x v="19"/>
    <s v="SIR"/>
    <x v="7"/>
    <x v="19"/>
    <x v="13"/>
    <n v="0"/>
    <x v="1"/>
    <x v="12"/>
    <x v="20"/>
    <n v="82.68"/>
    <x v="89"/>
    <n v="23.274999999999999"/>
    <n v="30.885999999999999"/>
    <n v="28.262"/>
    <s v="1,24,41"/>
    <x v="0"/>
  </r>
  <r>
    <x v="0"/>
    <x v="4"/>
    <x v="4"/>
    <x v="8"/>
    <s v="VAN"/>
    <x v="3"/>
    <x v="8"/>
    <x v="14"/>
    <n v="0"/>
    <x v="1"/>
    <x v="13"/>
    <x v="21"/>
    <n v="82.593999999999994"/>
    <x v="90"/>
    <n v="23.183"/>
    <n v="30.780999999999999"/>
    <n v="28.306000000000001"/>
    <s v="34,46"/>
    <x v="0"/>
  </r>
  <r>
    <x v="0"/>
    <x v="4"/>
    <x v="4"/>
    <x v="11"/>
    <s v="OCO"/>
    <x v="5"/>
    <x v="13"/>
    <x v="15"/>
    <n v="0"/>
    <x v="1"/>
    <x v="14"/>
    <x v="22"/>
    <n v="82.117000000000004"/>
    <x v="91"/>
    <n v="22.966000000000001"/>
    <n v="30.974"/>
    <n v="27.888999999999999"/>
    <n v="29"/>
    <x v="0"/>
  </r>
  <r>
    <x v="0"/>
    <x v="4"/>
    <x v="4"/>
    <x v="2"/>
    <s v="RAI"/>
    <x v="0"/>
    <x v="5"/>
    <x v="16"/>
    <n v="0"/>
    <x v="1"/>
    <x v="15"/>
    <x v="23"/>
    <n v="81.531000000000006"/>
    <x v="92"/>
    <n v="23.201000000000001"/>
    <n v="30.597999999999999"/>
    <n v="27.695"/>
    <n v="25"/>
    <x v="0"/>
  </r>
  <r>
    <x v="0"/>
    <x v="4"/>
    <x v="4"/>
    <x v="15"/>
    <s v="GRO"/>
    <x v="9"/>
    <x v="4"/>
    <x v="17"/>
    <n v="0"/>
    <x v="1"/>
    <x v="10"/>
    <x v="16"/>
    <m/>
    <x v="19"/>
    <m/>
    <m/>
    <m/>
    <m/>
    <x v="0"/>
  </r>
  <r>
    <x v="0"/>
    <x v="4"/>
    <x v="4"/>
    <x v="17"/>
    <s v="GAS"/>
    <x v="8"/>
    <x v="10"/>
    <x v="18"/>
    <n v="0"/>
    <x v="1"/>
    <x v="10"/>
    <x v="16"/>
    <m/>
    <x v="19"/>
    <m/>
    <m/>
    <m/>
    <m/>
    <x v="0"/>
  </r>
  <r>
    <x v="0"/>
    <x v="4"/>
    <x v="4"/>
    <x v="6"/>
    <s v="HUL"/>
    <x v="4"/>
    <x v="14"/>
    <x v="19"/>
    <n v="0"/>
    <x v="1"/>
    <x v="10"/>
    <x v="16"/>
    <m/>
    <x v="19"/>
    <m/>
    <m/>
    <m/>
    <m/>
    <x v="0"/>
  </r>
  <r>
    <x v="0"/>
    <x v="5"/>
    <x v="5"/>
    <x v="3"/>
    <s v="RIC"/>
    <x v="2"/>
    <x v="1"/>
    <x v="0"/>
    <n v="25"/>
    <x v="0"/>
    <x v="0"/>
    <x v="24"/>
    <n v="75.561999999999998"/>
    <x v="93"/>
    <n v="20.100999999999999"/>
    <n v="35.292000000000002"/>
    <n v="20.149000000000001"/>
    <n v="17"/>
    <x v="0"/>
  </r>
  <r>
    <x v="0"/>
    <x v="5"/>
    <x v="5"/>
    <x v="0"/>
    <s v="VET"/>
    <x v="0"/>
    <x v="2"/>
    <x v="1"/>
    <n v="18"/>
    <x v="0"/>
    <x v="0"/>
    <x v="24"/>
    <n v="76.064999999999998"/>
    <x v="94"/>
    <n v="19.977"/>
    <n v="35.685000000000002"/>
    <n v="20.396000000000001"/>
    <n v="16"/>
    <x v="0"/>
  </r>
  <r>
    <x v="0"/>
    <x v="5"/>
    <x v="5"/>
    <x v="1"/>
    <s v="HAM"/>
    <x v="1"/>
    <x v="0"/>
    <x v="2"/>
    <n v="15"/>
    <x v="0"/>
    <x v="0"/>
    <x v="24"/>
    <n v="76.27"/>
    <x v="95"/>
    <n v="19.96"/>
    <n v="35.479999999999997"/>
    <n v="20.321000000000002"/>
    <n v="12"/>
    <x v="0"/>
  </r>
  <r>
    <x v="0"/>
    <x v="5"/>
    <x v="5"/>
    <x v="2"/>
    <s v="RAI"/>
    <x v="0"/>
    <x v="5"/>
    <x v="3"/>
    <n v="12"/>
    <x v="1"/>
    <x v="0"/>
    <x v="24"/>
    <n v="76.391999999999996"/>
    <x v="96"/>
    <n v="19.942"/>
    <n v="35.890999999999998"/>
    <n v="20.484999999999999"/>
    <n v="17"/>
    <x v="0"/>
  </r>
  <r>
    <x v="0"/>
    <x v="5"/>
    <x v="5"/>
    <x v="7"/>
    <s v="BOT"/>
    <x v="1"/>
    <x v="16"/>
    <x v="4"/>
    <n v="10"/>
    <x v="1"/>
    <x v="0"/>
    <x v="24"/>
    <n v="76.311999999999998"/>
    <x v="97"/>
    <n v="20.041"/>
    <n v="35.863"/>
    <n v="20.302"/>
    <n v="17"/>
    <x v="0"/>
  </r>
  <r>
    <x v="0"/>
    <x v="5"/>
    <x v="5"/>
    <x v="11"/>
    <s v="OCO"/>
    <x v="5"/>
    <x v="15"/>
    <x v="5"/>
    <n v="8"/>
    <x v="1"/>
    <x v="0"/>
    <x v="24"/>
    <n v="77.027000000000001"/>
    <x v="98"/>
    <n v="20.364999999999998"/>
    <n v="35.936999999999998"/>
    <n v="20.640999999999998"/>
    <n v="23"/>
    <x v="0"/>
  </r>
  <r>
    <x v="0"/>
    <x v="5"/>
    <x v="5"/>
    <x v="17"/>
    <s v="GAS"/>
    <x v="8"/>
    <x v="4"/>
    <x v="6"/>
    <n v="6"/>
    <x v="1"/>
    <x v="0"/>
    <x v="24"/>
    <n v="77.099000000000004"/>
    <x v="99"/>
    <n v="20.119"/>
    <n v="35.997"/>
    <n v="20.751000000000001"/>
    <n v="37"/>
    <x v="0"/>
  </r>
  <r>
    <x v="0"/>
    <x v="5"/>
    <x v="5"/>
    <x v="6"/>
    <s v="HUL"/>
    <x v="4"/>
    <x v="8"/>
    <x v="7"/>
    <n v="4"/>
    <x v="1"/>
    <x v="0"/>
    <x v="24"/>
    <n v="76.061000000000007"/>
    <x v="100"/>
    <n v="20.004999999999999"/>
    <n v="35.42"/>
    <n v="20.295999999999999"/>
    <n v="50"/>
    <x v="0"/>
  </r>
  <r>
    <x v="0"/>
    <x v="5"/>
    <x v="5"/>
    <x v="5"/>
    <s v="VER"/>
    <x v="2"/>
    <x v="17"/>
    <x v="8"/>
    <n v="2"/>
    <x v="1"/>
    <x v="0"/>
    <x v="24"/>
    <n v="74.260000000000005"/>
    <x v="101"/>
    <n v="19.734000000000002"/>
    <n v="34.651000000000003"/>
    <n v="19.875"/>
    <n v="47"/>
    <x v="0"/>
  </r>
  <r>
    <x v="0"/>
    <x v="5"/>
    <x v="5"/>
    <x v="9"/>
    <s v="SAI"/>
    <x v="4"/>
    <x v="3"/>
    <x v="9"/>
    <n v="1"/>
    <x v="1"/>
    <x v="0"/>
    <x v="24"/>
    <n v="77.491"/>
    <x v="102"/>
    <n v="20.411999999999999"/>
    <n v="36.11"/>
    <n v="20.87"/>
    <n v="16"/>
    <x v="0"/>
  </r>
  <r>
    <x v="0"/>
    <x v="5"/>
    <x v="5"/>
    <x v="18"/>
    <s v="ERI"/>
    <x v="6"/>
    <x v="14"/>
    <x v="10"/>
    <n v="0"/>
    <x v="1"/>
    <x v="0"/>
    <x v="24"/>
    <n v="76.936000000000007"/>
    <x v="103"/>
    <n v="20.43"/>
    <n v="35.887"/>
    <n v="20.619"/>
    <n v="17"/>
    <x v="0"/>
  </r>
  <r>
    <x v="0"/>
    <x v="5"/>
    <x v="5"/>
    <x v="10"/>
    <s v="PER"/>
    <x v="5"/>
    <x v="9"/>
    <x v="11"/>
    <n v="0"/>
    <x v="1"/>
    <x v="0"/>
    <x v="24"/>
    <n v="77.546000000000006"/>
    <x v="104"/>
    <n v="20.411999999999999"/>
    <n v="36.31"/>
    <n v="20.745999999999999"/>
    <n v="21"/>
    <x v="0"/>
  </r>
  <r>
    <x v="0"/>
    <x v="5"/>
    <x v="5"/>
    <x v="16"/>
    <s v="MAG"/>
    <x v="9"/>
    <x v="19"/>
    <x v="12"/>
    <n v="0"/>
    <x v="1"/>
    <x v="0"/>
    <x v="24"/>
    <n v="77.475999999999999"/>
    <x v="105"/>
    <n v="20.536999999999999"/>
    <n v="36.131999999999998"/>
    <n v="20.673999999999999"/>
    <n v="17"/>
    <x v="0"/>
  </r>
  <r>
    <x v="0"/>
    <x v="5"/>
    <x v="5"/>
    <x v="8"/>
    <s v="VAN"/>
    <x v="3"/>
    <x v="10"/>
    <x v="13"/>
    <n v="0"/>
    <x v="1"/>
    <x v="1"/>
    <x v="25"/>
    <n v="76.864000000000004"/>
    <x v="106"/>
    <n v="20.202999999999999"/>
    <n v="35.918999999999997"/>
    <n v="20.341000000000001"/>
    <s v="20,72"/>
    <x v="0"/>
  </r>
  <r>
    <x v="0"/>
    <x v="5"/>
    <x v="5"/>
    <x v="15"/>
    <s v="GRO"/>
    <x v="9"/>
    <x v="12"/>
    <x v="14"/>
    <n v="0"/>
    <x v="1"/>
    <x v="1"/>
    <x v="25"/>
    <n v="74.822000000000003"/>
    <x v="107"/>
    <n v="19.859000000000002"/>
    <n v="34.835000000000001"/>
    <n v="20.016999999999999"/>
    <s v="15,68"/>
    <x v="0"/>
  </r>
  <r>
    <x v="0"/>
    <x v="5"/>
    <x v="5"/>
    <x v="19"/>
    <s v="SIR"/>
    <x v="7"/>
    <x v="13"/>
    <x v="15"/>
    <n v="0"/>
    <x v="1"/>
    <x v="1"/>
    <x v="25"/>
    <n v="75.325000000000003"/>
    <x v="108"/>
    <n v="19.867000000000001"/>
    <n v="35.28"/>
    <n v="20.117000000000001"/>
    <s v="7,19,49"/>
    <x v="0"/>
  </r>
  <r>
    <x v="0"/>
    <x v="5"/>
    <x v="5"/>
    <x v="13"/>
    <s v="STR"/>
    <x v="7"/>
    <x v="18"/>
    <x v="16"/>
    <n v="0"/>
    <x v="1"/>
    <x v="11"/>
    <x v="26"/>
    <n v="74.944000000000003"/>
    <x v="109"/>
    <n v="19.920999999999999"/>
    <n v="35.130000000000003"/>
    <n v="19.870999999999999"/>
    <s v="9,34,59"/>
    <x v="0"/>
  </r>
  <r>
    <x v="0"/>
    <x v="5"/>
    <x v="5"/>
    <x v="12"/>
    <s v="LEC"/>
    <x v="6"/>
    <x v="11"/>
    <x v="17"/>
    <n v="0"/>
    <x v="1"/>
    <x v="10"/>
    <x v="27"/>
    <n v="77.709999999999994"/>
    <x v="110"/>
    <n v="20.468"/>
    <n v="36.201000000000001"/>
    <n v="20.745999999999999"/>
    <n v="14"/>
    <x v="0"/>
  </r>
  <r>
    <x v="0"/>
    <x v="5"/>
    <x v="5"/>
    <x v="14"/>
    <s v="HAR"/>
    <x v="8"/>
    <x v="7"/>
    <x v="18"/>
    <n v="0"/>
    <x v="1"/>
    <x v="10"/>
    <x v="27"/>
    <n v="77.171999999999997"/>
    <x v="111"/>
    <n v="20.321000000000002"/>
    <n v="36.06"/>
    <n v="20.765000000000001"/>
    <s v="13,71"/>
    <x v="0"/>
  </r>
  <r>
    <x v="0"/>
    <x v="5"/>
    <x v="5"/>
    <x v="4"/>
    <s v="ALO"/>
    <x v="3"/>
    <x v="6"/>
    <x v="19"/>
    <n v="0"/>
    <x v="1"/>
    <x v="13"/>
    <x v="28"/>
    <n v="77.018000000000001"/>
    <x v="112"/>
    <n v="20.239999999999998"/>
    <n v="36.158999999999999"/>
    <n v="20.619"/>
    <n v="19"/>
    <x v="0"/>
  </r>
  <r>
    <x v="0"/>
    <x v="6"/>
    <x v="6"/>
    <x v="0"/>
    <s v="VET"/>
    <x v="0"/>
    <x v="1"/>
    <x v="0"/>
    <n v="25"/>
    <x v="0"/>
    <x v="0"/>
    <x v="29"/>
    <n v="73.963999999999999"/>
    <x v="113"/>
    <n v="20.431000000000001"/>
    <n v="23.706"/>
    <n v="29.74"/>
    <n v="37"/>
    <x v="1"/>
  </r>
  <r>
    <x v="0"/>
    <x v="6"/>
    <x v="6"/>
    <x v="7"/>
    <s v="BOT"/>
    <x v="1"/>
    <x v="2"/>
    <x v="1"/>
    <n v="18"/>
    <x v="0"/>
    <x v="0"/>
    <x v="29"/>
    <n v="73.992000000000004"/>
    <x v="114"/>
    <n v="20.344000000000001"/>
    <n v="23.513999999999999"/>
    <n v="29.925000000000001"/>
    <n v="36"/>
    <x v="1"/>
  </r>
  <r>
    <x v="0"/>
    <x v="6"/>
    <x v="6"/>
    <x v="5"/>
    <s v="VER"/>
    <x v="2"/>
    <x v="0"/>
    <x v="2"/>
    <n v="15"/>
    <x v="0"/>
    <x v="0"/>
    <x v="29"/>
    <n v="73.864000000000004"/>
    <x v="115"/>
    <n v="20.382999999999999"/>
    <n v="23.535"/>
    <n v="29.831"/>
    <n v="16"/>
    <x v="1"/>
  </r>
  <r>
    <x v="0"/>
    <x v="6"/>
    <x v="6"/>
    <x v="3"/>
    <s v="RIC"/>
    <x v="2"/>
    <x v="15"/>
    <x v="3"/>
    <n v="12"/>
    <x v="1"/>
    <x v="0"/>
    <x v="29"/>
    <n v="73.834999999999994"/>
    <x v="116"/>
    <n v="20.266999999999999"/>
    <n v="23.606999999999999"/>
    <n v="29.774000000000001"/>
    <n v="17"/>
    <x v="1"/>
  </r>
  <r>
    <x v="0"/>
    <x v="6"/>
    <x v="6"/>
    <x v="1"/>
    <s v="HAM"/>
    <x v="1"/>
    <x v="5"/>
    <x v="4"/>
    <n v="10"/>
    <x v="1"/>
    <x v="0"/>
    <x v="29"/>
    <n v="74.183000000000007"/>
    <x v="117"/>
    <n v="20.503"/>
    <n v="23.581"/>
    <n v="29.783000000000001"/>
    <n v="16"/>
    <x v="1"/>
  </r>
  <r>
    <x v="0"/>
    <x v="6"/>
    <x v="6"/>
    <x v="2"/>
    <s v="RAI"/>
    <x v="0"/>
    <x v="16"/>
    <x v="5"/>
    <n v="8"/>
    <x v="1"/>
    <x v="0"/>
    <x v="29"/>
    <n v="74.075000000000003"/>
    <x v="118"/>
    <n v="20.648"/>
    <n v="23.606999999999999"/>
    <n v="29.771000000000001"/>
    <n v="32"/>
    <x v="1"/>
  </r>
  <r>
    <x v="0"/>
    <x v="6"/>
    <x v="6"/>
    <x v="6"/>
    <s v="HUL"/>
    <x v="4"/>
    <x v="6"/>
    <x v="6"/>
    <n v="6"/>
    <x v="1"/>
    <x v="1"/>
    <x v="30"/>
    <n v="75.488"/>
    <x v="119"/>
    <n v="20.93"/>
    <n v="24.05"/>
    <n v="30.198"/>
    <n v="13"/>
    <x v="1"/>
  </r>
  <r>
    <x v="0"/>
    <x v="6"/>
    <x v="6"/>
    <x v="9"/>
    <s v="SAI"/>
    <x v="4"/>
    <x v="9"/>
    <x v="7"/>
    <n v="4"/>
    <x v="1"/>
    <x v="1"/>
    <x v="30"/>
    <n v="75.665999999999997"/>
    <x v="120"/>
    <n v="20.986000000000001"/>
    <n v="24.081"/>
    <n v="30.266999999999999"/>
    <n v="14"/>
    <x v="1"/>
  </r>
  <r>
    <x v="0"/>
    <x v="6"/>
    <x v="6"/>
    <x v="11"/>
    <s v="OCO"/>
    <x v="5"/>
    <x v="3"/>
    <x v="8"/>
    <n v="2"/>
    <x v="1"/>
    <x v="1"/>
    <x v="30"/>
    <n v="75.498000000000005"/>
    <x v="121"/>
    <n v="20.977"/>
    <n v="24.113"/>
    <n v="30.254999999999999"/>
    <n v="11"/>
    <x v="1"/>
  </r>
  <r>
    <x v="0"/>
    <x v="6"/>
    <x v="6"/>
    <x v="12"/>
    <s v="LEC"/>
    <x v="6"/>
    <x v="13"/>
    <x v="9"/>
    <n v="1"/>
    <x v="1"/>
    <x v="1"/>
    <x v="30"/>
    <n v="75.350999999999999"/>
    <x v="122"/>
    <n v="20.882999999999999"/>
    <n v="24.053999999999998"/>
    <n v="30.289000000000001"/>
    <n v="19"/>
    <x v="1"/>
  </r>
  <r>
    <x v="0"/>
    <x v="6"/>
    <x v="6"/>
    <x v="17"/>
    <s v="GAS"/>
    <x v="8"/>
    <x v="14"/>
    <x v="10"/>
    <n v="0"/>
    <x v="1"/>
    <x v="1"/>
    <x v="30"/>
    <n v="75.698999999999998"/>
    <x v="123"/>
    <n v="21.048999999999999"/>
    <n v="24.116"/>
    <n v="30.257000000000001"/>
    <n v="23"/>
    <x v="1"/>
  </r>
  <r>
    <x v="0"/>
    <x v="6"/>
    <x v="6"/>
    <x v="15"/>
    <s v="GRO"/>
    <x v="9"/>
    <x v="17"/>
    <x v="11"/>
    <n v="0"/>
    <x v="1"/>
    <x v="1"/>
    <x v="30"/>
    <n v="75.47"/>
    <x v="124"/>
    <n v="20.751000000000001"/>
    <n v="23.984000000000002"/>
    <n v="30.206"/>
    <n v="48"/>
    <x v="1"/>
  </r>
  <r>
    <x v="0"/>
    <x v="6"/>
    <x v="6"/>
    <x v="16"/>
    <s v="MAG"/>
    <x v="9"/>
    <x v="8"/>
    <x v="12"/>
    <n v="0"/>
    <x v="1"/>
    <x v="1"/>
    <x v="30"/>
    <n v="75.400999999999996"/>
    <x v="125"/>
    <n v="20.792000000000002"/>
    <n v="24.024999999999999"/>
    <n v="30.364999999999998"/>
    <n v="22"/>
    <x v="1"/>
  </r>
  <r>
    <x v="0"/>
    <x v="6"/>
    <x v="6"/>
    <x v="10"/>
    <s v="PER"/>
    <x v="5"/>
    <x v="4"/>
    <x v="13"/>
    <n v="0"/>
    <x v="1"/>
    <x v="1"/>
    <x v="30"/>
    <n v="75.099999999999994"/>
    <x v="126"/>
    <n v="20.838999999999999"/>
    <n v="24.065999999999999"/>
    <n v="30.085999999999999"/>
    <s v="9,44"/>
    <x v="1"/>
  </r>
  <r>
    <x v="0"/>
    <x v="6"/>
    <x v="6"/>
    <x v="18"/>
    <s v="ERI"/>
    <x v="6"/>
    <x v="19"/>
    <x v="14"/>
    <n v="0"/>
    <x v="1"/>
    <x v="11"/>
    <x v="31"/>
    <n v="76.403000000000006"/>
    <x v="127"/>
    <n v="21.2"/>
    <n v="24.344000000000001"/>
    <n v="30.734999999999999"/>
    <n v="1"/>
    <x v="1"/>
  </r>
  <r>
    <x v="0"/>
    <x v="6"/>
    <x v="6"/>
    <x v="8"/>
    <s v="VAN"/>
    <x v="3"/>
    <x v="7"/>
    <x v="15"/>
    <n v="0"/>
    <x v="1"/>
    <x v="11"/>
    <x v="31"/>
    <n v="75.765000000000001"/>
    <x v="128"/>
    <n v="20.88"/>
    <n v="24.253"/>
    <n v="30.457000000000001"/>
    <s v="1,48"/>
    <x v="1"/>
  </r>
  <r>
    <x v="0"/>
    <x v="6"/>
    <x v="6"/>
    <x v="19"/>
    <s v="SIR"/>
    <x v="7"/>
    <x v="12"/>
    <x v="16"/>
    <n v="0"/>
    <x v="1"/>
    <x v="11"/>
    <x v="31"/>
    <n v="75.924000000000007"/>
    <x v="129"/>
    <n v="21.094000000000001"/>
    <n v="24.257000000000001"/>
    <n v="30.501999999999999"/>
    <n v="26"/>
    <x v="1"/>
  </r>
  <r>
    <x v="0"/>
    <x v="6"/>
    <x v="6"/>
    <x v="4"/>
    <s v="ALO"/>
    <x v="3"/>
    <x v="11"/>
    <x v="17"/>
    <n v="0"/>
    <x v="1"/>
    <x v="16"/>
    <x v="32"/>
    <n v="76.180000000000007"/>
    <x v="130"/>
    <n v="21.036000000000001"/>
    <n v="24.416"/>
    <n v="30.635999999999999"/>
    <s v="18,41"/>
    <x v="1"/>
  </r>
  <r>
    <x v="0"/>
    <x v="6"/>
    <x v="6"/>
    <x v="14"/>
    <s v="HAR"/>
    <x v="8"/>
    <x v="10"/>
    <x v="18"/>
    <n v="0"/>
    <x v="1"/>
    <x v="10"/>
    <x v="16"/>
    <m/>
    <x v="19"/>
    <m/>
    <m/>
    <m/>
    <m/>
    <x v="1"/>
  </r>
  <r>
    <x v="0"/>
    <x v="6"/>
    <x v="6"/>
    <x v="13"/>
    <s v="STR"/>
    <x v="7"/>
    <x v="18"/>
    <x v="19"/>
    <n v="0"/>
    <x v="1"/>
    <x v="10"/>
    <x v="16"/>
    <m/>
    <x v="19"/>
    <m/>
    <m/>
    <m/>
    <m/>
    <x v="1"/>
  </r>
  <r>
    <x v="0"/>
    <x v="7"/>
    <x v="7"/>
    <x v="1"/>
    <s v="HAM"/>
    <x v="1"/>
    <x v="1"/>
    <x v="0"/>
    <n v="25"/>
    <x v="0"/>
    <x v="0"/>
    <x v="28"/>
    <n v="94.509"/>
    <x v="131"/>
    <n v="23.62"/>
    <n v="29.03"/>
    <n v="41.664000000000001"/>
    <n v="33"/>
    <x v="0"/>
  </r>
  <r>
    <x v="0"/>
    <x v="7"/>
    <x v="7"/>
    <x v="5"/>
    <s v="VER"/>
    <x v="2"/>
    <x v="5"/>
    <x v="1"/>
    <n v="18"/>
    <x v="0"/>
    <x v="0"/>
    <x v="28"/>
    <n v="94.275000000000006"/>
    <x v="132"/>
    <n v="23.608000000000001"/>
    <n v="28.896000000000001"/>
    <n v="41.7"/>
    <n v="25"/>
    <x v="0"/>
  </r>
  <r>
    <x v="0"/>
    <x v="7"/>
    <x v="7"/>
    <x v="2"/>
    <s v="RAI"/>
    <x v="0"/>
    <x v="15"/>
    <x v="2"/>
    <n v="15"/>
    <x v="0"/>
    <x v="0"/>
    <x v="28"/>
    <n v="94.397999999999996"/>
    <x v="133"/>
    <n v="23.515000000000001"/>
    <n v="28.803999999999998"/>
    <n v="41.664999999999999"/>
    <n v="34"/>
    <x v="0"/>
  </r>
  <r>
    <x v="0"/>
    <x v="7"/>
    <x v="7"/>
    <x v="3"/>
    <s v="RIC"/>
    <x v="2"/>
    <x v="16"/>
    <x v="3"/>
    <n v="12"/>
    <x v="1"/>
    <x v="0"/>
    <x v="28"/>
    <n v="95.382000000000005"/>
    <x v="134"/>
    <n v="23.728999999999999"/>
    <n v="29.132999999999999"/>
    <n v="42.226999999999997"/>
    <n v="28"/>
    <x v="0"/>
  </r>
  <r>
    <x v="0"/>
    <x v="7"/>
    <x v="7"/>
    <x v="0"/>
    <s v="VET"/>
    <x v="0"/>
    <x v="0"/>
    <x v="4"/>
    <n v="10"/>
    <x v="1"/>
    <x v="0"/>
    <x v="28"/>
    <n v="94.484999999999999"/>
    <x v="135"/>
    <n v="23.456"/>
    <n v="28.568000000000001"/>
    <n v="41.695"/>
    <s v="1,40"/>
    <x v="0"/>
  </r>
  <r>
    <x v="0"/>
    <x v="7"/>
    <x v="7"/>
    <x v="16"/>
    <s v="MAG"/>
    <x v="9"/>
    <x v="9"/>
    <x v="5"/>
    <n v="8"/>
    <x v="1"/>
    <x v="0"/>
    <x v="28"/>
    <n v="95.424999999999997"/>
    <x v="136"/>
    <n v="23.859000000000002"/>
    <n v="29.19"/>
    <n v="41.917000000000002"/>
    <n v="28"/>
    <x v="0"/>
  </r>
  <r>
    <x v="0"/>
    <x v="7"/>
    <x v="7"/>
    <x v="7"/>
    <s v="BOT"/>
    <x v="1"/>
    <x v="2"/>
    <x v="6"/>
    <n v="6"/>
    <x v="1"/>
    <x v="0"/>
    <x v="28"/>
    <n v="94.224999999999994"/>
    <x v="137"/>
    <n v="23.71"/>
    <n v="28.725999999999999"/>
    <n v="41.789000000000001"/>
    <s v="1,39"/>
    <x v="0"/>
  </r>
  <r>
    <x v="0"/>
    <x v="7"/>
    <x v="7"/>
    <x v="9"/>
    <s v="SAI"/>
    <x v="4"/>
    <x v="6"/>
    <x v="7"/>
    <n v="4"/>
    <x v="1"/>
    <x v="0"/>
    <x v="28"/>
    <n v="95.638000000000005"/>
    <x v="138"/>
    <n v="23.925000000000001"/>
    <n v="29.224"/>
    <n v="42.277999999999999"/>
    <n v="26"/>
    <x v="0"/>
  </r>
  <r>
    <x v="0"/>
    <x v="7"/>
    <x v="7"/>
    <x v="6"/>
    <s v="HUL"/>
    <x v="4"/>
    <x v="10"/>
    <x v="8"/>
    <n v="2"/>
    <x v="1"/>
    <x v="0"/>
    <x v="28"/>
    <n v="95.873000000000005"/>
    <x v="139"/>
    <n v="23.843"/>
    <n v="29.265000000000001"/>
    <n v="42.442"/>
    <n v="37"/>
    <x v="0"/>
  </r>
  <r>
    <x v="0"/>
    <x v="7"/>
    <x v="7"/>
    <x v="12"/>
    <s v="LEC"/>
    <x v="6"/>
    <x v="3"/>
    <x v="9"/>
    <n v="1"/>
    <x v="1"/>
    <x v="0"/>
    <x v="28"/>
    <n v="95.977000000000004"/>
    <x v="140"/>
    <n v="24.071999999999999"/>
    <n v="29.22"/>
    <n v="42.411999999999999"/>
    <n v="31"/>
    <x v="0"/>
  </r>
  <r>
    <x v="0"/>
    <x v="7"/>
    <x v="7"/>
    <x v="15"/>
    <s v="GRO"/>
    <x v="9"/>
    <x v="4"/>
    <x v="10"/>
    <n v="0"/>
    <x v="1"/>
    <x v="1"/>
    <x v="33"/>
    <n v="95.694999999999993"/>
    <x v="141"/>
    <n v="23.995999999999999"/>
    <n v="29.349"/>
    <n v="42.168999999999997"/>
    <n v="34"/>
    <x v="0"/>
  </r>
  <r>
    <x v="0"/>
    <x v="7"/>
    <x v="7"/>
    <x v="8"/>
    <s v="VAN"/>
    <x v="3"/>
    <x v="18"/>
    <x v="11"/>
    <n v="0"/>
    <x v="1"/>
    <x v="1"/>
    <x v="33"/>
    <n v="96.674999999999997"/>
    <x v="142"/>
    <n v="24.469000000000001"/>
    <n v="29.372"/>
    <n v="42.445999999999998"/>
    <n v="40"/>
    <x v="0"/>
  </r>
  <r>
    <x v="0"/>
    <x v="7"/>
    <x v="7"/>
    <x v="18"/>
    <s v="ERI"/>
    <x v="6"/>
    <x v="7"/>
    <x v="12"/>
    <n v="0"/>
    <x v="1"/>
    <x v="1"/>
    <x v="33"/>
    <n v="96.494"/>
    <x v="143"/>
    <n v="24.181999999999999"/>
    <n v="29.35"/>
    <n v="42.893000000000001"/>
    <n v="35"/>
    <x v="0"/>
  </r>
  <r>
    <x v="0"/>
    <x v="7"/>
    <x v="7"/>
    <x v="14"/>
    <s v="HAR"/>
    <x v="8"/>
    <x v="17"/>
    <x v="13"/>
    <n v="0"/>
    <x v="1"/>
    <x v="1"/>
    <x v="33"/>
    <n v="96.838999999999999"/>
    <x v="144"/>
    <n v="24.212"/>
    <n v="29.454999999999998"/>
    <n v="42.859000000000002"/>
    <n v="38"/>
    <x v="0"/>
  </r>
  <r>
    <x v="0"/>
    <x v="7"/>
    <x v="7"/>
    <x v="19"/>
    <s v="SIR"/>
    <x v="7"/>
    <x v="12"/>
    <x v="14"/>
    <n v="0"/>
    <x v="1"/>
    <x v="1"/>
    <x v="33"/>
    <n v="98.3"/>
    <x v="145"/>
    <n v="24.721"/>
    <n v="29.792000000000002"/>
    <n v="43.743000000000002"/>
    <n v="1"/>
    <x v="0"/>
  </r>
  <r>
    <x v="0"/>
    <x v="7"/>
    <x v="7"/>
    <x v="4"/>
    <s v="ALO"/>
    <x v="3"/>
    <x v="14"/>
    <x v="15"/>
    <n v="0"/>
    <x v="1"/>
    <x v="2"/>
    <x v="11"/>
    <n v="95.132999999999996"/>
    <x v="146"/>
    <n v="23.95"/>
    <n v="29.178999999999998"/>
    <n v="42.003999999999998"/>
    <s v="1,46,51"/>
    <x v="0"/>
  </r>
  <r>
    <x v="0"/>
    <x v="7"/>
    <x v="7"/>
    <x v="13"/>
    <s v="STR"/>
    <x v="7"/>
    <x v="19"/>
    <x v="16"/>
    <n v="0"/>
    <x v="1"/>
    <x v="6"/>
    <x v="12"/>
    <n v="98.319000000000003"/>
    <x v="147"/>
    <n v="24.693000000000001"/>
    <n v="30.024000000000001"/>
    <n v="43.536999999999999"/>
    <n v="1"/>
    <x v="0"/>
  </r>
  <r>
    <x v="0"/>
    <x v="7"/>
    <x v="7"/>
    <x v="10"/>
    <s v="PER"/>
    <x v="5"/>
    <x v="13"/>
    <x v="17"/>
    <n v="0"/>
    <x v="1"/>
    <x v="3"/>
    <x v="34"/>
    <n v="98.319000000000003"/>
    <x v="148"/>
    <n v="24.837"/>
    <n v="29.866"/>
    <n v="43.5"/>
    <n v="28"/>
    <x v="0"/>
  </r>
  <r>
    <x v="0"/>
    <x v="7"/>
    <x v="7"/>
    <x v="11"/>
    <s v="OCO"/>
    <x v="5"/>
    <x v="8"/>
    <x v="18"/>
    <n v="0"/>
    <x v="1"/>
    <x v="10"/>
    <x v="16"/>
    <m/>
    <x v="19"/>
    <m/>
    <m/>
    <m/>
    <m/>
    <x v="0"/>
  </r>
  <r>
    <x v="0"/>
    <x v="7"/>
    <x v="7"/>
    <x v="17"/>
    <s v="GAS"/>
    <x v="8"/>
    <x v="11"/>
    <x v="19"/>
    <n v="0"/>
    <x v="1"/>
    <x v="10"/>
    <x v="16"/>
    <m/>
    <x v="19"/>
    <m/>
    <m/>
    <m/>
    <m/>
    <x v="0"/>
  </r>
  <r>
    <x v="0"/>
    <x v="8"/>
    <x v="8"/>
    <x v="5"/>
    <s v="VER"/>
    <x v="2"/>
    <x v="5"/>
    <x v="0"/>
    <n v="25"/>
    <x v="0"/>
    <x v="0"/>
    <x v="27"/>
    <n v="67.441999999999993"/>
    <x v="149"/>
    <n v="16.946000000000002"/>
    <n v="29.802"/>
    <n v="20.521000000000001"/>
    <n v="15"/>
    <x v="1"/>
  </r>
  <r>
    <x v="0"/>
    <x v="8"/>
    <x v="8"/>
    <x v="2"/>
    <s v="RAI"/>
    <x v="0"/>
    <x v="0"/>
    <x v="1"/>
    <n v="18"/>
    <x v="0"/>
    <x v="0"/>
    <x v="27"/>
    <n v="66.956999999999994"/>
    <x v="150"/>
    <n v="16.809000000000001"/>
    <n v="29.706"/>
    <n v="20.259"/>
    <n v="15"/>
    <x v="1"/>
  </r>
  <r>
    <x v="0"/>
    <x v="8"/>
    <x v="8"/>
    <x v="0"/>
    <s v="VET"/>
    <x v="0"/>
    <x v="15"/>
    <x v="2"/>
    <n v="15"/>
    <x v="0"/>
    <x v="0"/>
    <x v="27"/>
    <n v="67.081999999999994"/>
    <x v="151"/>
    <n v="16.846"/>
    <n v="29.766999999999999"/>
    <n v="20.271999999999998"/>
    <n v="15"/>
    <x v="1"/>
  </r>
  <r>
    <x v="0"/>
    <x v="8"/>
    <x v="8"/>
    <x v="15"/>
    <s v="GRO"/>
    <x v="9"/>
    <x v="16"/>
    <x v="3"/>
    <n v="12"/>
    <x v="1"/>
    <x v="1"/>
    <x v="29"/>
    <n v="69.070999999999998"/>
    <x v="152"/>
    <n v="17.353999999999999"/>
    <n v="30.417000000000002"/>
    <n v="20.984000000000002"/>
    <n v="15"/>
    <x v="1"/>
  </r>
  <r>
    <x v="0"/>
    <x v="8"/>
    <x v="8"/>
    <x v="16"/>
    <s v="MAG"/>
    <x v="9"/>
    <x v="3"/>
    <x v="4"/>
    <n v="10"/>
    <x v="1"/>
    <x v="1"/>
    <x v="29"/>
    <n v="68.475999999999999"/>
    <x v="153"/>
    <n v="17.120999999999999"/>
    <n v="30.263999999999999"/>
    <n v="20.78"/>
    <n v="28"/>
    <x v="1"/>
  </r>
  <r>
    <x v="0"/>
    <x v="8"/>
    <x v="8"/>
    <x v="11"/>
    <s v="OCO"/>
    <x v="5"/>
    <x v="8"/>
    <x v="5"/>
    <n v="8"/>
    <x v="1"/>
    <x v="1"/>
    <x v="29"/>
    <n v="68.849999999999994"/>
    <x v="154"/>
    <n v="17.100999999999999"/>
    <n v="30.54"/>
    <n v="20.922000000000001"/>
    <n v="15"/>
    <x v="1"/>
  </r>
  <r>
    <x v="0"/>
    <x v="8"/>
    <x v="8"/>
    <x v="10"/>
    <s v="PER"/>
    <x v="5"/>
    <x v="14"/>
    <x v="6"/>
    <n v="6"/>
    <x v="1"/>
    <x v="1"/>
    <x v="29"/>
    <n v="68.504000000000005"/>
    <x v="155"/>
    <n v="16.835000000000001"/>
    <n v="30.393000000000001"/>
    <n v="20.945"/>
    <n v="27"/>
    <x v="1"/>
  </r>
  <r>
    <x v="0"/>
    <x v="8"/>
    <x v="8"/>
    <x v="4"/>
    <s v="ALO"/>
    <x v="3"/>
    <x v="13"/>
    <x v="7"/>
    <n v="4"/>
    <x v="1"/>
    <x v="1"/>
    <x v="29"/>
    <n v="68.661000000000001"/>
    <x v="156"/>
    <n v="16.96"/>
    <n v="30.516999999999999"/>
    <n v="20.606999999999999"/>
    <n v="15"/>
    <x v="1"/>
  </r>
  <r>
    <x v="0"/>
    <x v="8"/>
    <x v="8"/>
    <x v="12"/>
    <s v="LEC"/>
    <x v="6"/>
    <x v="12"/>
    <x v="8"/>
    <n v="2"/>
    <x v="1"/>
    <x v="1"/>
    <x v="29"/>
    <n v="69.006"/>
    <x v="157"/>
    <n v="17.050999999999998"/>
    <n v="30.486000000000001"/>
    <n v="20.96"/>
    <n v="15"/>
    <x v="1"/>
  </r>
  <r>
    <x v="0"/>
    <x v="8"/>
    <x v="8"/>
    <x v="18"/>
    <s v="ERI"/>
    <x v="6"/>
    <x v="17"/>
    <x v="9"/>
    <n v="1"/>
    <x v="1"/>
    <x v="1"/>
    <x v="29"/>
    <n v="68.215999999999994"/>
    <x v="158"/>
    <n v="16.866"/>
    <n v="30.266999999999999"/>
    <n v="20.677"/>
    <n v="45"/>
    <x v="1"/>
  </r>
  <r>
    <x v="0"/>
    <x v="8"/>
    <x v="8"/>
    <x v="17"/>
    <s v="GAS"/>
    <x v="8"/>
    <x v="10"/>
    <x v="10"/>
    <n v="0"/>
    <x v="1"/>
    <x v="1"/>
    <x v="29"/>
    <n v="69.295000000000002"/>
    <x v="159"/>
    <n v="17.077999999999999"/>
    <n v="30.431999999999999"/>
    <n v="21.172999999999998"/>
    <n v="15"/>
    <x v="1"/>
  </r>
  <r>
    <x v="0"/>
    <x v="8"/>
    <x v="8"/>
    <x v="9"/>
    <s v="SAI"/>
    <x v="4"/>
    <x v="9"/>
    <x v="11"/>
    <n v="0"/>
    <x v="1"/>
    <x v="1"/>
    <x v="29"/>
    <n v="68.766000000000005"/>
    <x v="160"/>
    <n v="16.975000000000001"/>
    <n v="30.562999999999999"/>
    <n v="20.99"/>
    <s v="15,34"/>
    <x v="1"/>
  </r>
  <r>
    <x v="0"/>
    <x v="8"/>
    <x v="8"/>
    <x v="19"/>
    <s v="SIR"/>
    <x v="7"/>
    <x v="18"/>
    <x v="12"/>
    <n v="0"/>
    <x v="1"/>
    <x v="11"/>
    <x v="30"/>
    <n v="68.971000000000004"/>
    <x v="161"/>
    <n v="17.157"/>
    <n v="30.562000000000001"/>
    <n v="21.085000000000001"/>
    <s v="24,60"/>
    <x v="1"/>
  </r>
  <r>
    <x v="0"/>
    <x v="8"/>
    <x v="8"/>
    <x v="13"/>
    <s v="STR"/>
    <x v="7"/>
    <x v="11"/>
    <x v="13"/>
    <n v="0"/>
    <x v="1"/>
    <x v="11"/>
    <x v="30"/>
    <n v="69.203000000000003"/>
    <x v="162"/>
    <n v="16.954999999999998"/>
    <n v="30.675000000000001"/>
    <n v="21.114999999999998"/>
    <s v="15,65"/>
    <x v="1"/>
  </r>
  <r>
    <x v="0"/>
    <x v="8"/>
    <x v="8"/>
    <x v="8"/>
    <s v="VAN"/>
    <x v="3"/>
    <x v="7"/>
    <x v="14"/>
    <n v="0"/>
    <x v="1"/>
    <x v="8"/>
    <x v="18"/>
    <n v="68.894000000000005"/>
    <x v="163"/>
    <n v="17.096"/>
    <n v="30.495000000000001"/>
    <n v="20.960999999999999"/>
    <s v="1,40,65"/>
    <x v="1"/>
  </r>
  <r>
    <x v="0"/>
    <x v="8"/>
    <x v="8"/>
    <x v="1"/>
    <s v="HAM"/>
    <x v="1"/>
    <x v="2"/>
    <x v="15"/>
    <n v="0"/>
    <x v="1"/>
    <x v="17"/>
    <x v="20"/>
    <n v="67.241"/>
    <x v="164"/>
    <n v="16.667999999999999"/>
    <n v="29.85"/>
    <n v="20.463999999999999"/>
    <s v="25,52"/>
    <x v="1"/>
  </r>
  <r>
    <x v="0"/>
    <x v="8"/>
    <x v="8"/>
    <x v="14"/>
    <s v="HAR"/>
    <x v="8"/>
    <x v="19"/>
    <x v="16"/>
    <n v="0"/>
    <x v="1"/>
    <x v="18"/>
    <x v="35"/>
    <n v="69.171000000000006"/>
    <x v="165"/>
    <n v="17.143000000000001"/>
    <n v="30.558"/>
    <n v="21.161000000000001"/>
    <m/>
    <x v="1"/>
  </r>
  <r>
    <x v="0"/>
    <x v="8"/>
    <x v="8"/>
    <x v="3"/>
    <s v="RIC"/>
    <x v="2"/>
    <x v="6"/>
    <x v="17"/>
    <n v="0"/>
    <x v="1"/>
    <x v="16"/>
    <x v="36"/>
    <n v="67.590999999999994"/>
    <x v="166"/>
    <n v="17.010999999999999"/>
    <n v="29.835000000000001"/>
    <n v="20.512"/>
    <s v="15,38"/>
    <x v="1"/>
  </r>
  <r>
    <x v="0"/>
    <x v="8"/>
    <x v="8"/>
    <x v="7"/>
    <s v="BOT"/>
    <x v="1"/>
    <x v="1"/>
    <x v="18"/>
    <n v="0"/>
    <x v="1"/>
    <x v="18"/>
    <x v="4"/>
    <n v="69.043999999999997"/>
    <x v="167"/>
    <n v="17.231000000000002"/>
    <n v="30.64"/>
    <n v="21.021999999999998"/>
    <m/>
    <x v="1"/>
  </r>
  <r>
    <x v="0"/>
    <x v="8"/>
    <x v="8"/>
    <x v="6"/>
    <s v="HUL"/>
    <x v="4"/>
    <x v="4"/>
    <x v="19"/>
    <n v="0"/>
    <x v="1"/>
    <x v="3"/>
    <x v="37"/>
    <n v="70.38"/>
    <x v="168"/>
    <n v="17.123999999999999"/>
    <n v="31.033000000000001"/>
    <n v="21.57"/>
    <m/>
    <x v="1"/>
  </r>
  <r>
    <x v="0"/>
    <x v="9"/>
    <x v="9"/>
    <x v="0"/>
    <s v="VET"/>
    <x v="0"/>
    <x v="2"/>
    <x v="0"/>
    <n v="25"/>
    <x v="0"/>
    <x v="0"/>
    <x v="33"/>
    <n v="90.695999999999998"/>
    <x v="169"/>
    <n v="28.658999999999999"/>
    <n v="37.064"/>
    <n v="24.706"/>
    <s v="20,33"/>
    <x v="1"/>
  </r>
  <r>
    <x v="0"/>
    <x v="9"/>
    <x v="9"/>
    <x v="1"/>
    <s v="HAM"/>
    <x v="1"/>
    <x v="1"/>
    <x v="1"/>
    <n v="18"/>
    <x v="0"/>
    <x v="0"/>
    <x v="33"/>
    <n v="91.245000000000005"/>
    <x v="170"/>
    <n v="29.027000000000001"/>
    <n v="36.973999999999997"/>
    <n v="24.864000000000001"/>
    <n v="25"/>
    <x v="1"/>
  </r>
  <r>
    <x v="0"/>
    <x v="9"/>
    <x v="9"/>
    <x v="2"/>
    <s v="RAI"/>
    <x v="0"/>
    <x v="0"/>
    <x v="2"/>
    <n v="15"/>
    <x v="0"/>
    <x v="0"/>
    <x v="33"/>
    <n v="90.795000000000002"/>
    <x v="171"/>
    <n v="28.824000000000002"/>
    <n v="36.938000000000002"/>
    <n v="24.641999999999999"/>
    <s v="13,33"/>
    <x v="1"/>
  </r>
  <r>
    <x v="0"/>
    <x v="9"/>
    <x v="9"/>
    <x v="7"/>
    <s v="BOT"/>
    <x v="1"/>
    <x v="5"/>
    <x v="3"/>
    <n v="12"/>
    <x v="1"/>
    <x v="0"/>
    <x v="33"/>
    <n v="91.376999999999995"/>
    <x v="172"/>
    <n v="29.234999999999999"/>
    <n v="37.049999999999997"/>
    <n v="24.934000000000001"/>
    <n v="21"/>
    <x v="1"/>
  </r>
  <r>
    <x v="0"/>
    <x v="9"/>
    <x v="9"/>
    <x v="3"/>
    <s v="RIC"/>
    <x v="2"/>
    <x v="15"/>
    <x v="4"/>
    <n v="10"/>
    <x v="1"/>
    <x v="0"/>
    <x v="33"/>
    <n v="91.588999999999999"/>
    <x v="173"/>
    <n v="29.018999999999998"/>
    <n v="37.249000000000002"/>
    <n v="25.009"/>
    <s v="18,30"/>
    <x v="1"/>
  </r>
  <r>
    <x v="0"/>
    <x v="9"/>
    <x v="9"/>
    <x v="6"/>
    <s v="HUL"/>
    <x v="4"/>
    <x v="8"/>
    <x v="5"/>
    <n v="8"/>
    <x v="1"/>
    <x v="0"/>
    <x v="33"/>
    <n v="93.405000000000001"/>
    <x v="174"/>
    <n v="29.814"/>
    <n v="38.070999999999998"/>
    <n v="25.472999999999999"/>
    <n v="20"/>
    <x v="1"/>
  </r>
  <r>
    <x v="0"/>
    <x v="9"/>
    <x v="9"/>
    <x v="11"/>
    <s v="OCO"/>
    <x v="5"/>
    <x v="4"/>
    <x v="6"/>
    <n v="6"/>
    <x v="1"/>
    <x v="0"/>
    <x v="33"/>
    <n v="93.605999999999995"/>
    <x v="175"/>
    <n v="29.823"/>
    <n v="37.988999999999997"/>
    <n v="25.594999999999999"/>
    <n v="19"/>
    <x v="1"/>
  </r>
  <r>
    <x v="0"/>
    <x v="9"/>
    <x v="9"/>
    <x v="4"/>
    <s v="ALO"/>
    <x v="3"/>
    <x v="13"/>
    <x v="7"/>
    <n v="4"/>
    <x v="1"/>
    <x v="0"/>
    <x v="33"/>
    <n v="93.481999999999999"/>
    <x v="176"/>
    <n v="29.507000000000001"/>
    <n v="37.817"/>
    <n v="25.556000000000001"/>
    <s v="13,32"/>
    <x v="1"/>
  </r>
  <r>
    <x v="0"/>
    <x v="9"/>
    <x v="9"/>
    <x v="16"/>
    <s v="MAG"/>
    <x v="9"/>
    <x v="6"/>
    <x v="8"/>
    <n v="2"/>
    <x v="1"/>
    <x v="0"/>
    <x v="33"/>
    <n v="93.603999999999999"/>
    <x v="177"/>
    <n v="29.542000000000002"/>
    <n v="38.302"/>
    <n v="25.489000000000001"/>
    <n v="25"/>
    <x v="1"/>
  </r>
  <r>
    <x v="0"/>
    <x v="9"/>
    <x v="9"/>
    <x v="10"/>
    <s v="PER"/>
    <x v="5"/>
    <x v="10"/>
    <x v="9"/>
    <n v="1"/>
    <x v="1"/>
    <x v="0"/>
    <x v="33"/>
    <n v="93.471999999999994"/>
    <x v="178"/>
    <n v="29.227"/>
    <n v="38.335999999999999"/>
    <n v="25.212"/>
    <s v="13,32"/>
    <x v="1"/>
  </r>
  <r>
    <x v="0"/>
    <x v="9"/>
    <x v="9"/>
    <x v="8"/>
    <s v="VAN"/>
    <x v="3"/>
    <x v="18"/>
    <x v="10"/>
    <n v="0"/>
    <x v="1"/>
    <x v="0"/>
    <x v="33"/>
    <n v="93.551000000000002"/>
    <x v="179"/>
    <n v="29.599"/>
    <n v="38.082999999999998"/>
    <n v="25.369"/>
    <s v="21,33"/>
    <x v="1"/>
  </r>
  <r>
    <x v="0"/>
    <x v="9"/>
    <x v="9"/>
    <x v="13"/>
    <s v="STR"/>
    <x v="7"/>
    <x v="19"/>
    <x v="11"/>
    <n v="0"/>
    <x v="1"/>
    <x v="0"/>
    <x v="33"/>
    <n v="93.869"/>
    <x v="180"/>
    <n v="29.856000000000002"/>
    <n v="38.258000000000003"/>
    <n v="25.567"/>
    <n v="30"/>
    <x v="1"/>
  </r>
  <r>
    <x v="0"/>
    <x v="9"/>
    <x v="9"/>
    <x v="17"/>
    <s v="GAS"/>
    <x v="8"/>
    <x v="11"/>
    <x v="12"/>
    <n v="0"/>
    <x v="1"/>
    <x v="0"/>
    <x v="33"/>
    <n v="93.465000000000003"/>
    <x v="181"/>
    <n v="29.666"/>
    <n v="37.802"/>
    <n v="25.338000000000001"/>
    <s v="20,32"/>
    <x v="1"/>
  </r>
  <r>
    <x v="0"/>
    <x v="9"/>
    <x v="9"/>
    <x v="19"/>
    <s v="SIR"/>
    <x v="7"/>
    <x v="12"/>
    <x v="13"/>
    <n v="0"/>
    <x v="1"/>
    <x v="0"/>
    <x v="33"/>
    <n v="94.62"/>
    <x v="182"/>
    <n v="30.077999999999999"/>
    <n v="38.369999999999997"/>
    <n v="25.933"/>
    <n v="21"/>
    <x v="1"/>
  </r>
  <r>
    <x v="0"/>
    <x v="9"/>
    <x v="9"/>
    <x v="5"/>
    <s v="VER"/>
    <x v="2"/>
    <x v="16"/>
    <x v="14"/>
    <n v="0"/>
    <x v="1"/>
    <x v="5"/>
    <x v="38"/>
    <n v="92.007000000000005"/>
    <x v="183"/>
    <n v="29.324999999999999"/>
    <n v="37.32"/>
    <n v="25.13"/>
    <s v="17,33"/>
    <x v="1"/>
  </r>
  <r>
    <x v="0"/>
    <x v="9"/>
    <x v="9"/>
    <x v="15"/>
    <s v="GRO"/>
    <x v="9"/>
    <x v="3"/>
    <x v="15"/>
    <n v="0"/>
    <x v="1"/>
    <x v="10"/>
    <x v="39"/>
    <n v="94.391000000000005"/>
    <x v="184"/>
    <n v="29.861999999999998"/>
    <n v="38.244"/>
    <n v="25.762"/>
    <n v="26"/>
    <x v="1"/>
  </r>
  <r>
    <x v="0"/>
    <x v="9"/>
    <x v="9"/>
    <x v="9"/>
    <s v="SAI"/>
    <x v="4"/>
    <x v="14"/>
    <x v="16"/>
    <n v="0"/>
    <x v="1"/>
    <x v="10"/>
    <x v="39"/>
    <n v="94.602000000000004"/>
    <x v="185"/>
    <n v="29.68"/>
    <n v="38.497"/>
    <n v="25.779"/>
    <s v="17,32"/>
    <x v="1"/>
  </r>
  <r>
    <x v="0"/>
    <x v="9"/>
    <x v="9"/>
    <x v="18"/>
    <s v="ERI"/>
    <x v="6"/>
    <x v="7"/>
    <x v="17"/>
    <n v="0"/>
    <x v="1"/>
    <x v="9"/>
    <x v="40"/>
    <n v="93.674999999999997"/>
    <x v="186"/>
    <n v="29.701000000000001"/>
    <n v="38.078000000000003"/>
    <n v="25.856000000000002"/>
    <n v="24"/>
    <x v="1"/>
  </r>
  <r>
    <x v="0"/>
    <x v="9"/>
    <x v="9"/>
    <x v="12"/>
    <s v="LEC"/>
    <x v="6"/>
    <x v="9"/>
    <x v="18"/>
    <n v="0"/>
    <x v="1"/>
    <x v="19"/>
    <x v="41"/>
    <n v="95.209000000000003"/>
    <x v="187"/>
    <n v="29.861999999999998"/>
    <n v="38.886000000000003"/>
    <n v="25.974"/>
    <n v="18"/>
    <x v="1"/>
  </r>
  <r>
    <x v="0"/>
    <x v="9"/>
    <x v="9"/>
    <x v="14"/>
    <s v="HAR"/>
    <x v="8"/>
    <x v="20"/>
    <x v="19"/>
    <n v="0"/>
    <x v="1"/>
    <x v="20"/>
    <x v="16"/>
    <m/>
    <x v="19"/>
    <m/>
    <m/>
    <m/>
    <n v="1"/>
    <x v="1"/>
  </r>
  <r>
    <x v="0"/>
    <x v="10"/>
    <x v="10"/>
    <x v="1"/>
    <s v="HAM"/>
    <x v="1"/>
    <x v="11"/>
    <x v="0"/>
    <n v="25"/>
    <x v="0"/>
    <x v="0"/>
    <x v="42"/>
    <n v="75.545000000000002"/>
    <x v="188"/>
    <n v="16.440999999999999"/>
    <n v="36.06"/>
    <n v="22.913"/>
    <n v="42"/>
    <x v="0"/>
  </r>
  <r>
    <x v="0"/>
    <x v="10"/>
    <x v="10"/>
    <x v="7"/>
    <s v="BOT"/>
    <x v="1"/>
    <x v="2"/>
    <x v="1"/>
    <n v="18"/>
    <x v="0"/>
    <x v="0"/>
    <x v="42"/>
    <n v="75.721000000000004"/>
    <x v="189"/>
    <n v="16.36"/>
    <n v="36.24"/>
    <n v="22.998000000000001"/>
    <s v="28,52"/>
    <x v="0"/>
  </r>
  <r>
    <x v="0"/>
    <x v="10"/>
    <x v="10"/>
    <x v="2"/>
    <s v="RAI"/>
    <x v="0"/>
    <x v="0"/>
    <x v="2"/>
    <n v="15"/>
    <x v="0"/>
    <x v="0"/>
    <x v="42"/>
    <n v="75.989999999999995"/>
    <x v="190"/>
    <n v="16.382999999999999"/>
    <n v="36.076999999999998"/>
    <n v="23.373000000000001"/>
    <s v="14,53"/>
    <x v="0"/>
  </r>
  <r>
    <x v="0"/>
    <x v="10"/>
    <x v="10"/>
    <x v="5"/>
    <s v="VER"/>
    <x v="2"/>
    <x v="5"/>
    <x v="3"/>
    <n v="12"/>
    <x v="1"/>
    <x v="0"/>
    <x v="42"/>
    <n v="75.852000000000004"/>
    <x v="191"/>
    <n v="16.363"/>
    <n v="36.127000000000002"/>
    <n v="23.135999999999999"/>
    <s v="29,46,48"/>
    <x v="0"/>
  </r>
  <r>
    <x v="0"/>
    <x v="10"/>
    <x v="10"/>
    <x v="6"/>
    <s v="HUL"/>
    <x v="4"/>
    <x v="6"/>
    <x v="4"/>
    <n v="10"/>
    <x v="1"/>
    <x v="0"/>
    <x v="42"/>
    <n v="77.91"/>
    <x v="192"/>
    <n v="16.779"/>
    <n v="36.94"/>
    <n v="23.962"/>
    <s v="18,51,55"/>
    <x v="0"/>
  </r>
  <r>
    <x v="0"/>
    <x v="10"/>
    <x v="10"/>
    <x v="15"/>
    <s v="GRO"/>
    <x v="9"/>
    <x v="15"/>
    <x v="5"/>
    <n v="8"/>
    <x v="1"/>
    <x v="0"/>
    <x v="42"/>
    <n v="76.715999999999994"/>
    <x v="193"/>
    <n v="16.640999999999998"/>
    <n v="35.935000000000002"/>
    <n v="23.832999999999998"/>
    <s v="21,51,55"/>
    <x v="0"/>
  </r>
  <r>
    <x v="0"/>
    <x v="10"/>
    <x v="10"/>
    <x v="10"/>
    <s v="PER"/>
    <x v="5"/>
    <x v="4"/>
    <x v="6"/>
    <n v="6"/>
    <x v="1"/>
    <x v="0"/>
    <x v="42"/>
    <n v="77.867000000000004"/>
    <x v="194"/>
    <n v="16.962"/>
    <n v="36.81"/>
    <n v="24.094999999999999"/>
    <n v="22"/>
    <x v="0"/>
  </r>
  <r>
    <x v="0"/>
    <x v="10"/>
    <x v="10"/>
    <x v="11"/>
    <s v="OCO"/>
    <x v="5"/>
    <x v="7"/>
    <x v="7"/>
    <n v="4"/>
    <x v="1"/>
    <x v="0"/>
    <x v="42"/>
    <n v="77.941000000000003"/>
    <x v="195"/>
    <n v="16.922999999999998"/>
    <n v="36.656999999999996"/>
    <n v="24.26"/>
    <n v="25"/>
    <x v="0"/>
  </r>
  <r>
    <x v="0"/>
    <x v="10"/>
    <x v="10"/>
    <x v="18"/>
    <s v="ERI"/>
    <x v="6"/>
    <x v="13"/>
    <x v="8"/>
    <n v="2"/>
    <x v="1"/>
    <x v="0"/>
    <x v="42"/>
    <n v="77.745000000000005"/>
    <x v="196"/>
    <n v="16.806999999999999"/>
    <n v="36.593000000000004"/>
    <n v="24.2"/>
    <n v="38"/>
    <x v="0"/>
  </r>
  <r>
    <x v="0"/>
    <x v="10"/>
    <x v="10"/>
    <x v="14"/>
    <s v="HAR"/>
    <x v="8"/>
    <x v="18"/>
    <x v="9"/>
    <n v="1"/>
    <x v="1"/>
    <x v="0"/>
    <x v="42"/>
    <n v="77.680999999999997"/>
    <x v="197"/>
    <n v="16.856000000000002"/>
    <n v="36.658999999999999"/>
    <n v="24.106000000000002"/>
    <s v="28,52"/>
    <x v="0"/>
  </r>
  <r>
    <x v="0"/>
    <x v="10"/>
    <x v="10"/>
    <x v="16"/>
    <s v="MAG"/>
    <x v="9"/>
    <x v="16"/>
    <x v="10"/>
    <n v="0"/>
    <x v="1"/>
    <x v="0"/>
    <x v="42"/>
    <n v="77.697000000000003"/>
    <x v="198"/>
    <n v="16.805"/>
    <n v="36.521000000000001"/>
    <n v="24.035"/>
    <s v="20,51,55"/>
    <x v="0"/>
  </r>
  <r>
    <x v="0"/>
    <x v="10"/>
    <x v="10"/>
    <x v="9"/>
    <s v="SAI"/>
    <x v="4"/>
    <x v="3"/>
    <x v="11"/>
    <n v="0"/>
    <x v="1"/>
    <x v="0"/>
    <x v="42"/>
    <n v="77.430000000000007"/>
    <x v="199"/>
    <n v="16.84"/>
    <n v="36.049999999999997"/>
    <n v="24.16"/>
    <s v="20,50,56"/>
    <x v="0"/>
  </r>
  <r>
    <x v="0"/>
    <x v="10"/>
    <x v="10"/>
    <x v="8"/>
    <s v="VAN"/>
    <x v="3"/>
    <x v="19"/>
    <x v="12"/>
    <n v="0"/>
    <x v="1"/>
    <x v="0"/>
    <x v="42"/>
    <n v="77.537000000000006"/>
    <x v="200"/>
    <n v="16.869"/>
    <n v="36.918999999999997"/>
    <n v="23.748999999999999"/>
    <s v="29,52"/>
    <x v="0"/>
  </r>
  <r>
    <x v="0"/>
    <x v="10"/>
    <x v="10"/>
    <x v="17"/>
    <s v="GAS"/>
    <x v="8"/>
    <x v="14"/>
    <x v="13"/>
    <n v="0"/>
    <x v="1"/>
    <x v="1"/>
    <x v="17"/>
    <n v="77.762"/>
    <x v="201"/>
    <n v="16.998000000000001"/>
    <n v="36.631"/>
    <n v="24.076000000000001"/>
    <s v="43,46"/>
    <x v="0"/>
  </r>
  <r>
    <x v="0"/>
    <x v="10"/>
    <x v="10"/>
    <x v="12"/>
    <s v="LEC"/>
    <x v="6"/>
    <x v="9"/>
    <x v="14"/>
    <n v="0"/>
    <x v="1"/>
    <x v="1"/>
    <x v="17"/>
    <n v="77.852000000000004"/>
    <x v="202"/>
    <n v="17.093"/>
    <n v="36.578000000000003"/>
    <n v="24.111999999999998"/>
    <s v="20,43,46"/>
    <x v="0"/>
  </r>
  <r>
    <x v="0"/>
    <x v="10"/>
    <x v="10"/>
    <x v="4"/>
    <s v="ALO"/>
    <x v="3"/>
    <x v="8"/>
    <x v="15"/>
    <n v="0"/>
    <x v="1"/>
    <x v="21"/>
    <x v="18"/>
    <n v="77.741"/>
    <x v="203"/>
    <n v="16.956"/>
    <n v="36.634"/>
    <n v="23.913"/>
    <s v="31,43,47,65"/>
    <x v="0"/>
  </r>
  <r>
    <x v="0"/>
    <x v="10"/>
    <x v="10"/>
    <x v="13"/>
    <s v="STR"/>
    <x v="7"/>
    <x v="12"/>
    <x v="16"/>
    <n v="0"/>
    <x v="1"/>
    <x v="3"/>
    <x v="28"/>
    <n v="78.861000000000004"/>
    <x v="204"/>
    <n v="17.233000000000001"/>
    <n v="36.878999999999998"/>
    <n v="24.381"/>
    <s v="27,50,53"/>
    <x v="0"/>
  </r>
  <r>
    <x v="0"/>
    <x v="10"/>
    <x v="10"/>
    <x v="0"/>
    <s v="VET"/>
    <x v="0"/>
    <x v="1"/>
    <x v="17"/>
    <n v="0"/>
    <x v="1"/>
    <x v="9"/>
    <x v="33"/>
    <n v="77.290000000000006"/>
    <x v="205"/>
    <n v="16.861999999999998"/>
    <n v="36.314"/>
    <n v="23.792000000000002"/>
    <n v="25"/>
    <x v="0"/>
  </r>
  <r>
    <x v="0"/>
    <x v="10"/>
    <x v="10"/>
    <x v="19"/>
    <s v="SIR"/>
    <x v="7"/>
    <x v="10"/>
    <x v="18"/>
    <n v="0"/>
    <x v="1"/>
    <x v="3"/>
    <x v="11"/>
    <n v="78.933999999999997"/>
    <x v="206"/>
    <n v="17.177"/>
    <n v="37.048000000000002"/>
    <n v="24.420999999999999"/>
    <s v="28,51"/>
    <x v="0"/>
  </r>
  <r>
    <x v="0"/>
    <x v="10"/>
    <x v="10"/>
    <x v="3"/>
    <s v="RIC"/>
    <x v="2"/>
    <x v="17"/>
    <x v="19"/>
    <n v="0"/>
    <x v="1"/>
    <x v="3"/>
    <x v="34"/>
    <m/>
    <x v="19"/>
    <m/>
    <m/>
    <m/>
    <m/>
    <x v="0"/>
  </r>
  <r>
    <x v="0"/>
    <x v="11"/>
    <x v="11"/>
    <x v="1"/>
    <s v="HAM"/>
    <x v="1"/>
    <x v="1"/>
    <x v="0"/>
    <n v="25"/>
    <x v="0"/>
    <x v="0"/>
    <x v="29"/>
    <n v="81.106999999999999"/>
    <x v="207"/>
    <n v="28.94"/>
    <n v="29.1"/>
    <n v="22.841000000000001"/>
    <n v="25"/>
    <x v="1"/>
  </r>
  <r>
    <x v="0"/>
    <x v="11"/>
    <x v="11"/>
    <x v="0"/>
    <s v="VET"/>
    <x v="0"/>
    <x v="5"/>
    <x v="1"/>
    <n v="18"/>
    <x v="0"/>
    <x v="0"/>
    <x v="29"/>
    <n v="80.055999999999997"/>
    <x v="208"/>
    <n v="28.687999999999999"/>
    <n v="28.684000000000001"/>
    <n v="22.66"/>
    <n v="39"/>
    <x v="1"/>
  </r>
  <r>
    <x v="0"/>
    <x v="11"/>
    <x v="11"/>
    <x v="2"/>
    <s v="RAI"/>
    <x v="0"/>
    <x v="0"/>
    <x v="2"/>
    <n v="15"/>
    <x v="0"/>
    <x v="0"/>
    <x v="29"/>
    <n v="80.292000000000002"/>
    <x v="209"/>
    <n v="28.712"/>
    <n v="28.8"/>
    <n v="22.602"/>
    <s v="14,38"/>
    <x v="1"/>
  </r>
  <r>
    <x v="0"/>
    <x v="11"/>
    <x v="11"/>
    <x v="3"/>
    <s v="RIC"/>
    <x v="2"/>
    <x v="10"/>
    <x v="3"/>
    <n v="12"/>
    <x v="1"/>
    <x v="0"/>
    <x v="29"/>
    <n v="80.012"/>
    <x v="210"/>
    <n v="28.815000000000001"/>
    <n v="28.574000000000002"/>
    <n v="22.507000000000001"/>
    <n v="44"/>
    <x v="1"/>
  </r>
  <r>
    <x v="0"/>
    <x v="11"/>
    <x v="11"/>
    <x v="7"/>
    <s v="BOT"/>
    <x v="1"/>
    <x v="2"/>
    <x v="4"/>
    <n v="10"/>
    <x v="1"/>
    <x v="0"/>
    <x v="29"/>
    <n v="81.736000000000004"/>
    <x v="211"/>
    <n v="29.135999999999999"/>
    <n v="29.332999999999998"/>
    <n v="23.204999999999998"/>
    <n v="15"/>
    <x v="1"/>
  </r>
  <r>
    <x v="0"/>
    <x v="11"/>
    <x v="11"/>
    <x v="17"/>
    <s v="GAS"/>
    <x v="8"/>
    <x v="15"/>
    <x v="5"/>
    <n v="8"/>
    <x v="1"/>
    <x v="0"/>
    <x v="29"/>
    <n v="81.685000000000002"/>
    <x v="212"/>
    <n v="29.27"/>
    <n v="29.334"/>
    <n v="23.036999999999999"/>
    <n v="32"/>
    <x v="1"/>
  </r>
  <r>
    <x v="0"/>
    <x v="11"/>
    <x v="11"/>
    <x v="16"/>
    <s v="MAG"/>
    <x v="9"/>
    <x v="9"/>
    <x v="6"/>
    <n v="6"/>
    <x v="1"/>
    <x v="1"/>
    <x v="30"/>
    <n v="81.302000000000007"/>
    <x v="213"/>
    <n v="29.152000000000001"/>
    <n v="29.1"/>
    <n v="23.033000000000001"/>
    <n v="31"/>
    <x v="1"/>
  </r>
  <r>
    <x v="0"/>
    <x v="11"/>
    <x v="11"/>
    <x v="4"/>
    <s v="ALO"/>
    <x v="3"/>
    <x v="8"/>
    <x v="7"/>
    <n v="4"/>
    <x v="1"/>
    <x v="1"/>
    <x v="30"/>
    <n v="82.09"/>
    <x v="214"/>
    <n v="29.196000000000002"/>
    <n v="29.381"/>
    <n v="23.321999999999999"/>
    <n v="39"/>
    <x v="1"/>
  </r>
  <r>
    <x v="0"/>
    <x v="11"/>
    <x v="11"/>
    <x v="9"/>
    <s v="SAI"/>
    <x v="4"/>
    <x v="16"/>
    <x v="8"/>
    <n v="2"/>
    <x v="1"/>
    <x v="1"/>
    <x v="30"/>
    <n v="82.774000000000001"/>
    <x v="215"/>
    <n v="29.282"/>
    <n v="29.873999999999999"/>
    <n v="23.439"/>
    <n v="25"/>
    <x v="1"/>
  </r>
  <r>
    <x v="0"/>
    <x v="11"/>
    <x v="11"/>
    <x v="15"/>
    <s v="GRO"/>
    <x v="9"/>
    <x v="4"/>
    <x v="9"/>
    <n v="1"/>
    <x v="1"/>
    <x v="1"/>
    <x v="30"/>
    <n v="82.605999999999995"/>
    <x v="216"/>
    <n v="29.306000000000001"/>
    <n v="29.803000000000001"/>
    <n v="23.361000000000001"/>
    <n v="29"/>
    <x v="1"/>
  </r>
  <r>
    <x v="0"/>
    <x v="11"/>
    <x v="11"/>
    <x v="14"/>
    <s v="HAR"/>
    <x v="8"/>
    <x v="3"/>
    <x v="10"/>
    <n v="0"/>
    <x v="1"/>
    <x v="1"/>
    <x v="30"/>
    <n v="82.611999999999995"/>
    <x v="217"/>
    <n v="29.477"/>
    <n v="29.745000000000001"/>
    <n v="23.234999999999999"/>
    <n v="24"/>
    <x v="1"/>
  </r>
  <r>
    <x v="0"/>
    <x v="11"/>
    <x v="11"/>
    <x v="6"/>
    <s v="HUL"/>
    <x v="4"/>
    <x v="13"/>
    <x v="11"/>
    <n v="0"/>
    <x v="1"/>
    <x v="1"/>
    <x v="30"/>
    <n v="81.260999999999996"/>
    <x v="218"/>
    <n v="28.995000000000001"/>
    <n v="28.97"/>
    <n v="22.986999999999998"/>
    <s v="23,50"/>
    <x v="1"/>
  </r>
  <r>
    <x v="0"/>
    <x v="11"/>
    <x v="11"/>
    <x v="11"/>
    <s v="OCO"/>
    <x v="5"/>
    <x v="12"/>
    <x v="12"/>
    <n v="0"/>
    <x v="1"/>
    <x v="1"/>
    <x v="30"/>
    <n v="82.876000000000005"/>
    <x v="219"/>
    <n v="29.222999999999999"/>
    <n v="30.111000000000001"/>
    <n v="23.489000000000001"/>
    <n v="39"/>
    <x v="1"/>
  </r>
  <r>
    <x v="0"/>
    <x v="11"/>
    <x v="11"/>
    <x v="10"/>
    <s v="PER"/>
    <x v="5"/>
    <x v="19"/>
    <x v="13"/>
    <n v="0"/>
    <x v="1"/>
    <x v="1"/>
    <x v="30"/>
    <n v="83.263000000000005"/>
    <x v="220"/>
    <n v="29.321999999999999"/>
    <n v="30.04"/>
    <n v="23.623999999999999"/>
    <n v="22"/>
    <x v="1"/>
  </r>
  <r>
    <x v="0"/>
    <x v="11"/>
    <x v="11"/>
    <x v="18"/>
    <s v="ERI"/>
    <x v="6"/>
    <x v="11"/>
    <x v="14"/>
    <n v="0"/>
    <x v="1"/>
    <x v="11"/>
    <x v="31"/>
    <n v="83.671000000000006"/>
    <x v="221"/>
    <n v="29.623999999999999"/>
    <n v="30.039000000000001"/>
    <n v="23.795000000000002"/>
    <n v="6"/>
    <x v="1"/>
  </r>
  <r>
    <x v="0"/>
    <x v="11"/>
    <x v="11"/>
    <x v="19"/>
    <s v="SIR"/>
    <x v="7"/>
    <x v="17"/>
    <x v="15"/>
    <n v="0"/>
    <x v="1"/>
    <x v="11"/>
    <x v="31"/>
    <n v="83.707999999999998"/>
    <x v="222"/>
    <n v="29.699000000000002"/>
    <n v="30.169"/>
    <n v="23.84"/>
    <n v="31"/>
    <x v="1"/>
  </r>
  <r>
    <x v="0"/>
    <x v="11"/>
    <x v="11"/>
    <x v="13"/>
    <s v="STR"/>
    <x v="7"/>
    <x v="7"/>
    <x v="16"/>
    <n v="0"/>
    <x v="1"/>
    <x v="11"/>
    <x v="31"/>
    <n v="82.66"/>
    <x v="223"/>
    <n v="29.274999999999999"/>
    <n v="29.765999999999998"/>
    <n v="23.619"/>
    <n v="47"/>
    <x v="1"/>
  </r>
  <r>
    <x v="0"/>
    <x v="11"/>
    <x v="11"/>
    <x v="8"/>
    <s v="VAN"/>
    <x v="3"/>
    <x v="14"/>
    <x v="17"/>
    <n v="0"/>
    <x v="1"/>
    <x v="13"/>
    <x v="43"/>
    <n v="83.076999999999998"/>
    <x v="224"/>
    <n v="29.681999999999999"/>
    <n v="29.805"/>
    <n v="23.349"/>
    <n v="40"/>
    <x v="1"/>
  </r>
  <r>
    <x v="0"/>
    <x v="11"/>
    <x v="11"/>
    <x v="5"/>
    <s v="VER"/>
    <x v="2"/>
    <x v="6"/>
    <x v="18"/>
    <n v="0"/>
    <x v="1"/>
    <x v="22"/>
    <x v="5"/>
    <m/>
    <x v="19"/>
    <m/>
    <m/>
    <m/>
    <m/>
    <x v="1"/>
  </r>
  <r>
    <x v="0"/>
    <x v="11"/>
    <x v="11"/>
    <x v="12"/>
    <s v="LEC"/>
    <x v="6"/>
    <x v="18"/>
    <x v="19"/>
    <n v="0"/>
    <x v="1"/>
    <x v="23"/>
    <x v="16"/>
    <m/>
    <x v="19"/>
    <m/>
    <m/>
    <m/>
    <m/>
    <x v="1"/>
  </r>
  <r>
    <x v="0"/>
    <x v="12"/>
    <x v="12"/>
    <x v="0"/>
    <s v="VET"/>
    <x v="0"/>
    <x v="2"/>
    <x v="0"/>
    <n v="25"/>
    <x v="0"/>
    <x v="0"/>
    <x v="44"/>
    <n v="106.64400000000001"/>
    <x v="225"/>
    <n v="31.062999999999999"/>
    <n v="46.496000000000002"/>
    <n v="28.728000000000002"/>
    <s v="1,22"/>
    <x v="1"/>
  </r>
  <r>
    <x v="0"/>
    <x v="12"/>
    <x v="12"/>
    <x v="1"/>
    <s v="HAM"/>
    <x v="1"/>
    <x v="1"/>
    <x v="1"/>
    <n v="18"/>
    <x v="0"/>
    <x v="0"/>
    <x v="44"/>
    <n v="106.721"/>
    <x v="226"/>
    <n v="30.652999999999999"/>
    <n v="46.631999999999998"/>
    <n v="28.951999999999899"/>
    <s v="1,21"/>
    <x v="1"/>
  </r>
  <r>
    <x v="0"/>
    <x v="12"/>
    <x v="12"/>
    <x v="5"/>
    <s v="VER"/>
    <x v="2"/>
    <x v="6"/>
    <x v="2"/>
    <n v="15"/>
    <x v="0"/>
    <x v="0"/>
    <x v="44"/>
    <n v="106.946"/>
    <x v="227"/>
    <n v="30.91"/>
    <n v="46.741"/>
    <n v="28.893000000000001"/>
    <s v="1,26"/>
    <x v="1"/>
  </r>
  <r>
    <x v="0"/>
    <x v="12"/>
    <x v="12"/>
    <x v="7"/>
    <s v="BOT"/>
    <x v="1"/>
    <x v="19"/>
    <x v="3"/>
    <n v="12"/>
    <x v="1"/>
    <x v="0"/>
    <x v="44"/>
    <n v="106.286"/>
    <x v="228"/>
    <n v="30.638999999999999"/>
    <n v="46.173000000000002"/>
    <n v="28.824000000000002"/>
    <s v="1,2,29"/>
    <x v="1"/>
  </r>
  <r>
    <x v="0"/>
    <x v="12"/>
    <x v="12"/>
    <x v="10"/>
    <s v="PER"/>
    <x v="10"/>
    <x v="5"/>
    <x v="4"/>
    <n v="10"/>
    <x v="1"/>
    <x v="0"/>
    <x v="44"/>
    <n v="108.08"/>
    <x v="229"/>
    <n v="31.024999999999999"/>
    <n v="47.593000000000004"/>
    <n v="28.966999999999999"/>
    <s v="1,25"/>
    <x v="1"/>
  </r>
  <r>
    <x v="0"/>
    <x v="12"/>
    <x v="12"/>
    <x v="11"/>
    <s v="OCO"/>
    <x v="10"/>
    <x v="0"/>
    <x v="5"/>
    <n v="8"/>
    <x v="1"/>
    <x v="0"/>
    <x v="44"/>
    <n v="108.078"/>
    <x v="230"/>
    <n v="31.251999999999999"/>
    <n v="47.670999999999999"/>
    <n v="29.010999999999999"/>
    <s v="1,24"/>
    <x v="1"/>
  </r>
  <r>
    <x v="0"/>
    <x v="12"/>
    <x v="12"/>
    <x v="15"/>
    <s v="GRO"/>
    <x v="9"/>
    <x v="16"/>
    <x v="6"/>
    <n v="6"/>
    <x v="1"/>
    <x v="0"/>
    <x v="44"/>
    <n v="108.283"/>
    <x v="231"/>
    <n v="31.515000000000001"/>
    <n v="47.12"/>
    <n v="29.393999999999998"/>
    <s v="1,23"/>
    <x v="1"/>
  </r>
  <r>
    <x v="0"/>
    <x v="12"/>
    <x v="12"/>
    <x v="16"/>
    <s v="MAG"/>
    <x v="9"/>
    <x v="9"/>
    <x v="7"/>
    <n v="4"/>
    <x v="1"/>
    <x v="0"/>
    <x v="44"/>
    <n v="107.937"/>
    <x v="232"/>
    <n v="31.460999999999999"/>
    <n v="46.838000000000001"/>
    <n v="29.248999999999999"/>
    <s v="1,26"/>
    <x v="1"/>
  </r>
  <r>
    <x v="0"/>
    <x v="12"/>
    <x v="12"/>
    <x v="17"/>
    <s v="GAS"/>
    <x v="8"/>
    <x v="4"/>
    <x v="8"/>
    <n v="2"/>
    <x v="1"/>
    <x v="0"/>
    <x v="44"/>
    <n v="108.58799999999999"/>
    <x v="233"/>
    <n v="31.32"/>
    <n v="47.401000000000003"/>
    <n v="29.379000000000001"/>
    <s v="1,25"/>
    <x v="1"/>
  </r>
  <r>
    <x v="0"/>
    <x v="12"/>
    <x v="12"/>
    <x v="18"/>
    <s v="ERI"/>
    <x v="6"/>
    <x v="13"/>
    <x v="9"/>
    <n v="1"/>
    <x v="1"/>
    <x v="1"/>
    <x v="13"/>
    <n v="108.694"/>
    <x v="234"/>
    <n v="31.591999999999999"/>
    <n v="47.161000000000001"/>
    <n v="29.408999999999999"/>
    <s v="1,26"/>
    <x v="1"/>
  </r>
  <r>
    <x v="0"/>
    <x v="12"/>
    <x v="12"/>
    <x v="9"/>
    <s v="SAI"/>
    <x v="4"/>
    <x v="11"/>
    <x v="10"/>
    <n v="0"/>
    <x v="1"/>
    <x v="1"/>
    <x v="13"/>
    <n v="108.67"/>
    <x v="235"/>
    <n v="30.811"/>
    <n v="48.151000000000003"/>
    <n v="29.295000000000002"/>
    <s v="1,22"/>
    <x v="1"/>
  </r>
  <r>
    <x v="0"/>
    <x v="12"/>
    <x v="12"/>
    <x v="19"/>
    <s v="SIR"/>
    <x v="7"/>
    <x v="14"/>
    <x v="11"/>
    <n v="0"/>
    <x v="1"/>
    <x v="1"/>
    <x v="13"/>
    <n v="109.113"/>
    <x v="236"/>
    <n v="31.154"/>
    <n v="47.639000000000003"/>
    <n v="29.356000000000002"/>
    <s v="1,24"/>
    <x v="1"/>
  </r>
  <r>
    <x v="0"/>
    <x v="12"/>
    <x v="12"/>
    <x v="13"/>
    <s v="STR"/>
    <x v="7"/>
    <x v="18"/>
    <x v="12"/>
    <n v="0"/>
    <x v="1"/>
    <x v="1"/>
    <x v="13"/>
    <n v="109.28700000000001"/>
    <x v="237"/>
    <n v="31.076000000000001"/>
    <n v="48.338999999999999"/>
    <n v="29.318000000000001"/>
    <s v="1,23"/>
    <x v="1"/>
  </r>
  <r>
    <x v="0"/>
    <x v="12"/>
    <x v="12"/>
    <x v="14"/>
    <s v="HAR"/>
    <x v="8"/>
    <x v="8"/>
    <x v="13"/>
    <n v="0"/>
    <x v="1"/>
    <x v="1"/>
    <x v="13"/>
    <n v="108.756"/>
    <x v="238"/>
    <n v="31.309000000000001"/>
    <n v="47.408999999999999"/>
    <n v="29.390999999999998"/>
    <s v="1,31"/>
    <x v="1"/>
  </r>
  <r>
    <x v="0"/>
    <x v="12"/>
    <x v="12"/>
    <x v="8"/>
    <s v="VAN"/>
    <x v="3"/>
    <x v="12"/>
    <x v="14"/>
    <n v="0"/>
    <x v="1"/>
    <x v="1"/>
    <x v="13"/>
    <n v="108.956"/>
    <x v="239"/>
    <n v="31.753"/>
    <n v="47.601999999999997"/>
    <n v="29.456"/>
    <s v="1,2,28"/>
    <x v="1"/>
  </r>
  <r>
    <x v="0"/>
    <x v="12"/>
    <x v="12"/>
    <x v="3"/>
    <s v="RIC"/>
    <x v="2"/>
    <x v="3"/>
    <x v="15"/>
    <n v="0"/>
    <x v="1"/>
    <x v="21"/>
    <x v="34"/>
    <n v="109.242"/>
    <x v="240"/>
    <n v="30.986000000000001"/>
    <n v="48.298000000000002"/>
    <n v="29.277999999999999"/>
    <s v="1,28"/>
    <x v="1"/>
  </r>
  <r>
    <x v="0"/>
    <x v="12"/>
    <x v="12"/>
    <x v="2"/>
    <s v="RAI"/>
    <x v="0"/>
    <x v="15"/>
    <x v="16"/>
    <n v="0"/>
    <x v="1"/>
    <x v="5"/>
    <x v="45"/>
    <n v="114.32"/>
    <x v="241"/>
    <n v="31.876999999999999"/>
    <n v="52.039000000000001"/>
    <n v="29.832999999999998"/>
    <s v="1,7,8"/>
    <x v="1"/>
  </r>
  <r>
    <x v="0"/>
    <x v="12"/>
    <x v="12"/>
    <x v="12"/>
    <s v="LEC"/>
    <x v="6"/>
    <x v="10"/>
    <x v="17"/>
    <n v="0"/>
    <x v="1"/>
    <x v="9"/>
    <x v="16"/>
    <m/>
    <x v="19"/>
    <m/>
    <m/>
    <m/>
    <m/>
    <x v="1"/>
  </r>
  <r>
    <x v="0"/>
    <x v="12"/>
    <x v="12"/>
    <x v="4"/>
    <s v="ALO"/>
    <x v="3"/>
    <x v="7"/>
    <x v="18"/>
    <n v="0"/>
    <x v="1"/>
    <x v="9"/>
    <x v="16"/>
    <m/>
    <x v="19"/>
    <m/>
    <m/>
    <m/>
    <m/>
    <x v="1"/>
  </r>
  <r>
    <x v="0"/>
    <x v="12"/>
    <x v="12"/>
    <x v="6"/>
    <s v="HUL"/>
    <x v="4"/>
    <x v="17"/>
    <x v="19"/>
    <n v="0"/>
    <x v="1"/>
    <x v="9"/>
    <x v="16"/>
    <m/>
    <x v="19"/>
    <m/>
    <m/>
    <m/>
    <m/>
    <x v="1"/>
  </r>
  <r>
    <x v="0"/>
    <x v="13"/>
    <x v="13"/>
    <x v="1"/>
    <s v="HAM"/>
    <x v="1"/>
    <x v="1"/>
    <x v="0"/>
    <n v="25"/>
    <x v="0"/>
    <x v="0"/>
    <x v="46"/>
    <n v="102.913"/>
    <x v="242"/>
    <n v="28.085000000000001"/>
    <n v="39.878999999999998"/>
    <n v="34.94"/>
    <n v="15"/>
    <x v="1"/>
  </r>
  <r>
    <x v="0"/>
    <x v="13"/>
    <x v="13"/>
    <x v="5"/>
    <s v="VER"/>
    <x v="2"/>
    <x v="2"/>
    <x v="1"/>
    <n v="18"/>
    <x v="0"/>
    <x v="0"/>
    <x v="46"/>
    <n v="103.345"/>
    <x v="243"/>
    <n v="28.164000000000001"/>
    <n v="39.874000000000002"/>
    <n v="35.283000000000001"/>
    <n v="17"/>
    <x v="1"/>
  </r>
  <r>
    <x v="0"/>
    <x v="13"/>
    <x v="13"/>
    <x v="0"/>
    <s v="VET"/>
    <x v="0"/>
    <x v="0"/>
    <x v="2"/>
    <n v="15"/>
    <x v="0"/>
    <x v="0"/>
    <x v="46"/>
    <n v="104.669"/>
    <x v="244"/>
    <n v="28.303999999999998"/>
    <n v="40.805999999999997"/>
    <n v="35.558999999999997"/>
    <n v="14"/>
    <x v="1"/>
  </r>
  <r>
    <x v="0"/>
    <x v="13"/>
    <x v="13"/>
    <x v="7"/>
    <s v="BOT"/>
    <x v="1"/>
    <x v="5"/>
    <x v="3"/>
    <n v="12"/>
    <x v="1"/>
    <x v="0"/>
    <x v="46"/>
    <n v="104.72"/>
    <x v="245"/>
    <n v="28.465"/>
    <n v="40.630000000000003"/>
    <n v="35.508000000000003"/>
    <n v="16"/>
    <x v="1"/>
  </r>
  <r>
    <x v="0"/>
    <x v="13"/>
    <x v="13"/>
    <x v="2"/>
    <s v="RAI"/>
    <x v="0"/>
    <x v="16"/>
    <x v="4"/>
    <n v="10"/>
    <x v="1"/>
    <x v="0"/>
    <x v="46"/>
    <n v="104.715"/>
    <x v="246"/>
    <n v="28.170999999999999"/>
    <n v="40.409999999999997"/>
    <n v="35.805999999999997"/>
    <n v="22"/>
    <x v="1"/>
  </r>
  <r>
    <x v="0"/>
    <x v="13"/>
    <x v="13"/>
    <x v="3"/>
    <s v="RIC"/>
    <x v="2"/>
    <x v="15"/>
    <x v="5"/>
    <n v="8"/>
    <x v="1"/>
    <x v="0"/>
    <x v="46"/>
    <n v="103.12"/>
    <x v="247"/>
    <n v="27.981000000000002"/>
    <n v="39.840000000000003"/>
    <n v="35.276000000000003"/>
    <n v="27"/>
    <x v="1"/>
  </r>
  <r>
    <x v="0"/>
    <x v="13"/>
    <x v="13"/>
    <x v="4"/>
    <s v="ALO"/>
    <x v="3"/>
    <x v="8"/>
    <x v="6"/>
    <n v="6"/>
    <x v="1"/>
    <x v="0"/>
    <x v="46"/>
    <n v="103.164"/>
    <x v="248"/>
    <n v="28.303999999999998"/>
    <n v="39.738"/>
    <n v="35.103999999999999"/>
    <n v="38"/>
    <x v="1"/>
  </r>
  <r>
    <x v="0"/>
    <x v="13"/>
    <x v="13"/>
    <x v="9"/>
    <s v="SAI"/>
    <x v="4"/>
    <x v="10"/>
    <x v="7"/>
    <n v="4"/>
    <x v="1"/>
    <x v="1"/>
    <x v="47"/>
    <n v="105.211"/>
    <x v="249"/>
    <n v="28.693999999999999"/>
    <n v="40.529000000000003"/>
    <n v="35.853000000000002"/>
    <n v="37"/>
    <x v="1"/>
  </r>
  <r>
    <x v="0"/>
    <x v="13"/>
    <x v="13"/>
    <x v="12"/>
    <s v="LEC"/>
    <x v="6"/>
    <x v="13"/>
    <x v="8"/>
    <n v="2"/>
    <x v="1"/>
    <x v="1"/>
    <x v="47"/>
    <n v="105.203"/>
    <x v="250"/>
    <n v="28.506"/>
    <n v="40.511000000000003"/>
    <n v="35.747999999999998"/>
    <n v="38"/>
    <x v="1"/>
  </r>
  <r>
    <x v="0"/>
    <x v="13"/>
    <x v="13"/>
    <x v="6"/>
    <s v="HUL"/>
    <x v="4"/>
    <x v="4"/>
    <x v="9"/>
    <n v="1"/>
    <x v="1"/>
    <x v="1"/>
    <x v="47"/>
    <n v="106.093"/>
    <x v="251"/>
    <n v="28.812999999999999"/>
    <n v="40.93"/>
    <n v="35.985999999999997"/>
    <n v="15"/>
    <x v="1"/>
  </r>
  <r>
    <x v="0"/>
    <x v="13"/>
    <x v="13"/>
    <x v="18"/>
    <s v="ERI"/>
    <x v="6"/>
    <x v="11"/>
    <x v="10"/>
    <n v="0"/>
    <x v="1"/>
    <x v="1"/>
    <x v="47"/>
    <n v="105.169"/>
    <x v="252"/>
    <n v="28.300999999999998"/>
    <n v="40.427999999999997"/>
    <n v="36.125"/>
    <n v="44"/>
    <x v="1"/>
  </r>
  <r>
    <x v="0"/>
    <x v="13"/>
    <x v="13"/>
    <x v="8"/>
    <s v="VAN"/>
    <x v="3"/>
    <x v="12"/>
    <x v="11"/>
    <n v="0"/>
    <x v="1"/>
    <x v="1"/>
    <x v="47"/>
    <n v="105.55500000000001"/>
    <x v="253"/>
    <n v="28.652999999999999"/>
    <n v="40.808"/>
    <n v="36.054000000000002"/>
    <n v="43"/>
    <x v="1"/>
  </r>
  <r>
    <x v="0"/>
    <x v="13"/>
    <x v="13"/>
    <x v="17"/>
    <s v="GAS"/>
    <x v="8"/>
    <x v="7"/>
    <x v="12"/>
    <n v="0"/>
    <x v="1"/>
    <x v="1"/>
    <x v="47"/>
    <n v="106.063"/>
    <x v="254"/>
    <n v="28.785"/>
    <n v="41.036999999999999"/>
    <n v="35.933999999999997"/>
    <n v="26"/>
    <x v="1"/>
  </r>
  <r>
    <x v="0"/>
    <x v="13"/>
    <x v="13"/>
    <x v="13"/>
    <s v="STR"/>
    <x v="7"/>
    <x v="17"/>
    <x v="13"/>
    <n v="0"/>
    <x v="1"/>
    <x v="1"/>
    <x v="47"/>
    <n v="106.033"/>
    <x v="255"/>
    <n v="28.713000000000001"/>
    <n v="40.939"/>
    <n v="36.198999999999998"/>
    <n v="40"/>
    <x v="1"/>
  </r>
  <r>
    <x v="0"/>
    <x v="13"/>
    <x v="13"/>
    <x v="15"/>
    <s v="GRO"/>
    <x v="9"/>
    <x v="3"/>
    <x v="14"/>
    <n v="0"/>
    <x v="1"/>
    <x v="1"/>
    <x v="47"/>
    <n v="105.904"/>
    <x v="256"/>
    <n v="28.85"/>
    <n v="41.029000000000003"/>
    <n v="35.886000000000003"/>
    <n v="16"/>
    <x v="1"/>
  </r>
  <r>
    <x v="0"/>
    <x v="13"/>
    <x v="13"/>
    <x v="10"/>
    <s v="PER"/>
    <x v="10"/>
    <x v="6"/>
    <x v="15"/>
    <n v="0"/>
    <x v="1"/>
    <x v="1"/>
    <x v="47"/>
    <n v="105.389"/>
    <x v="257"/>
    <n v="28.672999999999998"/>
    <n v="40.759"/>
    <n v="35.883000000000003"/>
    <s v="17,33,39"/>
    <x v="1"/>
  </r>
  <r>
    <x v="0"/>
    <x v="13"/>
    <x v="13"/>
    <x v="14"/>
    <s v="HAR"/>
    <x v="8"/>
    <x v="18"/>
    <x v="16"/>
    <n v="0"/>
    <x v="1"/>
    <x v="1"/>
    <x v="47"/>
    <n v="104.889"/>
    <x v="258"/>
    <n v="28.6"/>
    <n v="40.357999999999997"/>
    <n v="35.680999999999997"/>
    <s v="14,36"/>
    <x v="1"/>
  </r>
  <r>
    <x v="0"/>
    <x v="13"/>
    <x v="13"/>
    <x v="16"/>
    <s v="MAG"/>
    <x v="9"/>
    <x v="14"/>
    <x v="17"/>
    <n v="0"/>
    <x v="1"/>
    <x v="11"/>
    <x v="48"/>
    <n v="101.905"/>
    <x v="259"/>
    <n v="27.992999999999999"/>
    <n v="39.012"/>
    <n v="34.9"/>
    <s v="26,36,48"/>
    <x v="1"/>
  </r>
  <r>
    <x v="0"/>
    <x v="13"/>
    <x v="13"/>
    <x v="19"/>
    <s v="SIR"/>
    <x v="7"/>
    <x v="19"/>
    <x v="18"/>
    <n v="0"/>
    <x v="1"/>
    <x v="11"/>
    <x v="48"/>
    <n v="105.902"/>
    <x v="260"/>
    <n v="28.748000000000001"/>
    <n v="40.99"/>
    <n v="36.01"/>
    <s v="3,45"/>
    <x v="1"/>
  </r>
  <r>
    <x v="0"/>
    <x v="13"/>
    <x v="13"/>
    <x v="11"/>
    <s v="OCO"/>
    <x v="10"/>
    <x v="9"/>
    <x v="19"/>
    <n v="0"/>
    <x v="1"/>
    <x v="10"/>
    <x v="16"/>
    <m/>
    <x v="19"/>
    <m/>
    <m/>
    <m/>
    <m/>
    <x v="1"/>
  </r>
  <r>
    <x v="0"/>
    <x v="14"/>
    <x v="14"/>
    <x v="1"/>
    <s v="HAM"/>
    <x v="1"/>
    <x v="2"/>
    <x v="0"/>
    <n v="25"/>
    <x v="0"/>
    <x v="0"/>
    <x v="28"/>
    <n v="95.915999999999997"/>
    <x v="261"/>
    <n v="34.406999999999996"/>
    <n v="32.947000000000003"/>
    <n v="28.187999999999999"/>
    <n v="14"/>
    <x v="0"/>
  </r>
  <r>
    <x v="0"/>
    <x v="14"/>
    <x v="14"/>
    <x v="7"/>
    <s v="BOT"/>
    <x v="1"/>
    <x v="1"/>
    <x v="1"/>
    <n v="18"/>
    <x v="0"/>
    <x v="0"/>
    <x v="28"/>
    <n v="95.861000000000004"/>
    <x v="262"/>
    <n v="34.499000000000002"/>
    <n v="32.829000000000001"/>
    <n v="28.376000000000001"/>
    <n v="12"/>
    <x v="0"/>
  </r>
  <r>
    <x v="0"/>
    <x v="14"/>
    <x v="14"/>
    <x v="0"/>
    <s v="VET"/>
    <x v="0"/>
    <x v="0"/>
    <x v="2"/>
    <n v="15"/>
    <x v="0"/>
    <x v="0"/>
    <x v="28"/>
    <n v="95.99"/>
    <x v="263"/>
    <n v="34.656999999999996"/>
    <n v="32.948999999999998"/>
    <n v="28.350999999999999"/>
    <n v="13"/>
    <x v="0"/>
  </r>
  <r>
    <x v="0"/>
    <x v="14"/>
    <x v="14"/>
    <x v="2"/>
    <s v="RAI"/>
    <x v="0"/>
    <x v="5"/>
    <x v="3"/>
    <n v="12"/>
    <x v="1"/>
    <x v="0"/>
    <x v="28"/>
    <n v="96.611000000000004"/>
    <x v="264"/>
    <n v="34.732999999999997"/>
    <n v="33.145000000000003"/>
    <n v="28.614999999999998"/>
    <n v="18"/>
    <x v="0"/>
  </r>
  <r>
    <x v="0"/>
    <x v="14"/>
    <x v="14"/>
    <x v="5"/>
    <s v="VER"/>
    <x v="2"/>
    <x v="19"/>
    <x v="4"/>
    <n v="10"/>
    <x v="1"/>
    <x v="0"/>
    <x v="28"/>
    <n v="96.283000000000001"/>
    <x v="265"/>
    <n v="34.954000000000001"/>
    <n v="33.247"/>
    <n v="27.895"/>
    <n v="43"/>
    <x v="0"/>
  </r>
  <r>
    <x v="0"/>
    <x v="14"/>
    <x v="14"/>
    <x v="3"/>
    <s v="RIC"/>
    <x v="2"/>
    <x v="12"/>
    <x v="5"/>
    <n v="8"/>
    <x v="1"/>
    <x v="0"/>
    <x v="28"/>
    <n v="96.344999999999999"/>
    <x v="266"/>
    <n v="34.832999999999998"/>
    <n v="33.136000000000003"/>
    <n v="28.122"/>
    <n v="39"/>
    <x v="0"/>
  </r>
  <r>
    <x v="0"/>
    <x v="14"/>
    <x v="14"/>
    <x v="12"/>
    <s v="LEC"/>
    <x v="6"/>
    <x v="6"/>
    <x v="6"/>
    <n v="6"/>
    <x v="1"/>
    <x v="0"/>
    <x v="28"/>
    <n v="98.106999999999999"/>
    <x v="267"/>
    <n v="34.981999999999999"/>
    <n v="33.786999999999999"/>
    <n v="28.870999999999999"/>
    <n v="10"/>
    <x v="0"/>
  </r>
  <r>
    <x v="0"/>
    <x v="14"/>
    <x v="14"/>
    <x v="16"/>
    <s v="MAG"/>
    <x v="9"/>
    <x v="16"/>
    <x v="7"/>
    <n v="4"/>
    <x v="1"/>
    <x v="1"/>
    <x v="33"/>
    <n v="98.015000000000001"/>
    <x v="268"/>
    <n v="35.360999999999997"/>
    <n v="33.802"/>
    <n v="28.782"/>
    <n v="9"/>
    <x v="0"/>
  </r>
  <r>
    <x v="0"/>
    <x v="14"/>
    <x v="14"/>
    <x v="11"/>
    <s v="OCO"/>
    <x v="10"/>
    <x v="15"/>
    <x v="8"/>
    <n v="2"/>
    <x v="1"/>
    <x v="1"/>
    <x v="33"/>
    <n v="98.366"/>
    <x v="269"/>
    <n v="35.052999999999997"/>
    <n v="33.926000000000002"/>
    <n v="29.145"/>
    <n v="10"/>
    <x v="0"/>
  </r>
  <r>
    <x v="0"/>
    <x v="14"/>
    <x v="14"/>
    <x v="10"/>
    <s v="PER"/>
    <x v="10"/>
    <x v="3"/>
    <x v="9"/>
    <n v="1"/>
    <x v="1"/>
    <x v="1"/>
    <x v="33"/>
    <n v="98.3"/>
    <x v="270"/>
    <n v="35.095999999999997"/>
    <n v="33.893999999999998"/>
    <n v="29.038"/>
    <n v="12"/>
    <x v="0"/>
  </r>
  <r>
    <x v="0"/>
    <x v="14"/>
    <x v="14"/>
    <x v="15"/>
    <s v="GRO"/>
    <x v="9"/>
    <x v="9"/>
    <x v="10"/>
    <n v="0"/>
    <x v="1"/>
    <x v="1"/>
    <x v="33"/>
    <n v="98.244"/>
    <x v="271"/>
    <n v="35.061"/>
    <n v="33.743000000000002"/>
    <n v="28.945"/>
    <n v="8"/>
    <x v="0"/>
  </r>
  <r>
    <x v="0"/>
    <x v="14"/>
    <x v="14"/>
    <x v="6"/>
    <s v="HUL"/>
    <x v="4"/>
    <x v="10"/>
    <x v="11"/>
    <n v="0"/>
    <x v="1"/>
    <x v="1"/>
    <x v="33"/>
    <n v="99.108000000000004"/>
    <x v="272"/>
    <n v="35.579000000000001"/>
    <n v="34.106999999999999"/>
    <n v="29.161000000000001"/>
    <n v="35"/>
    <x v="0"/>
  </r>
  <r>
    <x v="0"/>
    <x v="14"/>
    <x v="14"/>
    <x v="18"/>
    <s v="ERI"/>
    <x v="6"/>
    <x v="4"/>
    <x v="12"/>
    <n v="0"/>
    <x v="1"/>
    <x v="1"/>
    <x v="33"/>
    <n v="97.930999999999997"/>
    <x v="273"/>
    <n v="35.36"/>
    <n v="33.616999999999997"/>
    <n v="28.954000000000001"/>
    <s v="11,37"/>
    <x v="0"/>
  </r>
  <r>
    <x v="0"/>
    <x v="14"/>
    <x v="14"/>
    <x v="4"/>
    <s v="ALO"/>
    <x v="3"/>
    <x v="14"/>
    <x v="13"/>
    <n v="0"/>
    <x v="1"/>
    <x v="1"/>
    <x v="33"/>
    <n v="99.59"/>
    <x v="274"/>
    <n v="36.006999999999998"/>
    <n v="34.243000000000002"/>
    <n v="29.34"/>
    <n v="5"/>
    <x v="0"/>
  </r>
  <r>
    <x v="0"/>
    <x v="14"/>
    <x v="14"/>
    <x v="13"/>
    <s v="STR"/>
    <x v="7"/>
    <x v="11"/>
    <x v="14"/>
    <n v="0"/>
    <x v="1"/>
    <x v="1"/>
    <x v="33"/>
    <n v="99.435000000000002"/>
    <x v="275"/>
    <n v="35.335000000000001"/>
    <n v="34.375999999999998"/>
    <n v="29.716000000000001"/>
    <n v="7"/>
    <x v="0"/>
  </r>
  <r>
    <x v="0"/>
    <x v="14"/>
    <x v="14"/>
    <x v="8"/>
    <s v="VAN"/>
    <x v="3"/>
    <x v="7"/>
    <x v="15"/>
    <n v="0"/>
    <x v="1"/>
    <x v="11"/>
    <x v="11"/>
    <n v="99.921999999999997"/>
    <x v="276"/>
    <n v="35.764000000000003"/>
    <n v="34.363999999999997"/>
    <n v="29.419"/>
    <n v="11"/>
    <x v="0"/>
  </r>
  <r>
    <x v="0"/>
    <x v="14"/>
    <x v="14"/>
    <x v="9"/>
    <s v="SAI"/>
    <x v="4"/>
    <x v="8"/>
    <x v="16"/>
    <n v="0"/>
    <x v="1"/>
    <x v="11"/>
    <x v="11"/>
    <n v="99.730999999999995"/>
    <x v="277"/>
    <n v="35.771000000000001"/>
    <n v="34.451999999999998"/>
    <n v="29.507999999999999"/>
    <n v="32"/>
    <x v="0"/>
  </r>
  <r>
    <x v="0"/>
    <x v="14"/>
    <x v="14"/>
    <x v="19"/>
    <s v="SIR"/>
    <x v="7"/>
    <x v="13"/>
    <x v="17"/>
    <n v="0"/>
    <x v="1"/>
    <x v="11"/>
    <x v="11"/>
    <n v="99.837999999999994"/>
    <x v="278"/>
    <n v="35.412999999999997"/>
    <n v="34.491"/>
    <n v="29.734999999999999"/>
    <n v="10"/>
    <x v="0"/>
  </r>
  <r>
    <x v="0"/>
    <x v="14"/>
    <x v="14"/>
    <x v="17"/>
    <s v="GAS"/>
    <x v="8"/>
    <x v="18"/>
    <x v="18"/>
    <n v="0"/>
    <x v="1"/>
    <x v="5"/>
    <x v="9"/>
    <n v="104.071"/>
    <x v="279"/>
    <n v="36.392000000000003"/>
    <n v="36.271000000000001"/>
    <n v="31.408000000000001"/>
    <n v="4"/>
    <x v="0"/>
  </r>
  <r>
    <x v="0"/>
    <x v="14"/>
    <x v="14"/>
    <x v="14"/>
    <s v="HAR"/>
    <x v="8"/>
    <x v="17"/>
    <x v="19"/>
    <n v="0"/>
    <x v="1"/>
    <x v="5"/>
    <x v="9"/>
    <n v="105.852"/>
    <x v="280"/>
    <n v="36.783999999999999"/>
    <n v="37.134"/>
    <n v="31.934000000000001"/>
    <s v="3,4"/>
    <x v="0"/>
  </r>
  <r>
    <x v="0"/>
    <x v="15"/>
    <x v="15"/>
    <x v="1"/>
    <s v="HAM"/>
    <x v="1"/>
    <x v="1"/>
    <x v="0"/>
    <n v="25"/>
    <x v="0"/>
    <x v="0"/>
    <x v="28"/>
    <n v="92.784999999999997"/>
    <x v="281"/>
    <n v="33.021999999999998"/>
    <n v="41.765999999999998"/>
    <n v="17.917999999999999"/>
    <n v="24"/>
    <x v="1"/>
  </r>
  <r>
    <x v="0"/>
    <x v="15"/>
    <x v="15"/>
    <x v="7"/>
    <s v="BOT"/>
    <x v="1"/>
    <x v="2"/>
    <x v="1"/>
    <n v="18"/>
    <x v="0"/>
    <x v="0"/>
    <x v="28"/>
    <n v="93.11"/>
    <x v="282"/>
    <n v="33.042000000000002"/>
    <n v="41.951999999999998"/>
    <n v="17.95"/>
    <n v="23"/>
    <x v="1"/>
  </r>
  <r>
    <x v="0"/>
    <x v="15"/>
    <x v="15"/>
    <x v="5"/>
    <s v="VER"/>
    <x v="2"/>
    <x v="0"/>
    <x v="2"/>
    <n v="15"/>
    <x v="0"/>
    <x v="0"/>
    <x v="28"/>
    <n v="93.367000000000004"/>
    <x v="283"/>
    <n v="33.261000000000003"/>
    <n v="41.954999999999998"/>
    <n v="18.033999999999999"/>
    <n v="21"/>
    <x v="1"/>
  </r>
  <r>
    <x v="0"/>
    <x v="15"/>
    <x v="15"/>
    <x v="3"/>
    <s v="RIC"/>
    <x v="2"/>
    <x v="7"/>
    <x v="3"/>
    <n v="12"/>
    <x v="1"/>
    <x v="0"/>
    <x v="28"/>
    <n v="93.186999999999998"/>
    <x v="284"/>
    <n v="33.091999999999999"/>
    <n v="41.845999999999997"/>
    <n v="18.027000000000001"/>
    <n v="23"/>
    <x v="1"/>
  </r>
  <r>
    <x v="0"/>
    <x v="15"/>
    <x v="15"/>
    <x v="2"/>
    <s v="RAI"/>
    <x v="0"/>
    <x v="5"/>
    <x v="4"/>
    <n v="10"/>
    <x v="1"/>
    <x v="0"/>
    <x v="28"/>
    <n v="94.222999999999999"/>
    <x v="285"/>
    <n v="33.664999999999999"/>
    <n v="42.222000000000001"/>
    <n v="18.131"/>
    <n v="17"/>
    <x v="1"/>
  </r>
  <r>
    <x v="0"/>
    <x v="15"/>
    <x v="15"/>
    <x v="0"/>
    <s v="VET"/>
    <x v="0"/>
    <x v="3"/>
    <x v="5"/>
    <n v="8"/>
    <x v="1"/>
    <x v="0"/>
    <x v="28"/>
    <n v="92.317999999999998"/>
    <x v="286"/>
    <n v="32.959000000000003"/>
    <n v="41.338999999999999"/>
    <n v="18.02"/>
    <n v="26"/>
    <x v="1"/>
  </r>
  <r>
    <x v="0"/>
    <x v="15"/>
    <x v="15"/>
    <x v="10"/>
    <s v="PER"/>
    <x v="10"/>
    <x v="9"/>
    <x v="6"/>
    <n v="6"/>
    <x v="1"/>
    <x v="0"/>
    <x v="28"/>
    <n v="94.072999999999993"/>
    <x v="287"/>
    <n v="33.665999999999997"/>
    <n v="42.225999999999999"/>
    <n v="18.106000000000002"/>
    <n v="24"/>
    <x v="1"/>
  </r>
  <r>
    <x v="0"/>
    <x v="15"/>
    <x v="15"/>
    <x v="15"/>
    <s v="GRO"/>
    <x v="9"/>
    <x v="16"/>
    <x v="7"/>
    <n v="4"/>
    <x v="1"/>
    <x v="0"/>
    <x v="28"/>
    <n v="94.786000000000001"/>
    <x v="288"/>
    <n v="33.496000000000002"/>
    <n v="42.484999999999999"/>
    <n v="18.396999999999998"/>
    <n v="29"/>
    <x v="1"/>
  </r>
  <r>
    <x v="0"/>
    <x v="15"/>
    <x v="15"/>
    <x v="11"/>
    <s v="OCO"/>
    <x v="10"/>
    <x v="8"/>
    <x v="8"/>
    <n v="2"/>
    <x v="1"/>
    <x v="0"/>
    <x v="28"/>
    <n v="94.67"/>
    <x v="289"/>
    <n v="33.837000000000003"/>
    <n v="42.353999999999999"/>
    <n v="18.239999999999998"/>
    <n v="26"/>
    <x v="1"/>
  </r>
  <r>
    <x v="0"/>
    <x v="15"/>
    <x v="15"/>
    <x v="9"/>
    <s v="SAI"/>
    <x v="4"/>
    <x v="13"/>
    <x v="9"/>
    <n v="1"/>
    <x v="1"/>
    <x v="1"/>
    <x v="33"/>
    <n v="94.197000000000003"/>
    <x v="290"/>
    <n v="33.393000000000001"/>
    <n v="42.430999999999997"/>
    <n v="18.295000000000002"/>
    <n v="32"/>
    <x v="1"/>
  </r>
  <r>
    <x v="0"/>
    <x v="15"/>
    <x v="15"/>
    <x v="17"/>
    <s v="GAS"/>
    <x v="8"/>
    <x v="6"/>
    <x v="10"/>
    <n v="0"/>
    <x v="1"/>
    <x v="1"/>
    <x v="33"/>
    <n v="94.132999999999996"/>
    <x v="291"/>
    <n v="33.317"/>
    <n v="42.393000000000001"/>
    <n v="18.396000000000001"/>
    <n v="29"/>
    <x v="1"/>
  </r>
  <r>
    <x v="0"/>
    <x v="15"/>
    <x v="15"/>
    <x v="18"/>
    <s v="ERI"/>
    <x v="6"/>
    <x v="17"/>
    <x v="11"/>
    <n v="0"/>
    <x v="1"/>
    <x v="1"/>
    <x v="33"/>
    <n v="96.293999999999997"/>
    <x v="292"/>
    <n v="34.469000000000001"/>
    <n v="43.247"/>
    <n v="18.427"/>
    <n v="5"/>
    <x v="1"/>
  </r>
  <r>
    <x v="0"/>
    <x v="15"/>
    <x v="15"/>
    <x v="14"/>
    <s v="HAR"/>
    <x v="8"/>
    <x v="15"/>
    <x v="12"/>
    <n v="0"/>
    <x v="1"/>
    <x v="1"/>
    <x v="33"/>
    <n v="94.856999999999999"/>
    <x v="293"/>
    <n v="33.863999999999997"/>
    <n v="42.325000000000003"/>
    <n v="18.367000000000001"/>
    <n v="28"/>
    <x v="1"/>
  </r>
  <r>
    <x v="0"/>
    <x v="15"/>
    <x v="15"/>
    <x v="4"/>
    <s v="ALO"/>
    <x v="3"/>
    <x v="12"/>
    <x v="13"/>
    <n v="0"/>
    <x v="1"/>
    <x v="1"/>
    <x v="33"/>
    <n v="93.942999999999998"/>
    <x v="294"/>
    <n v="33.448999999999998"/>
    <n v="42.225000000000001"/>
    <n v="18.036000000000001"/>
    <n v="26"/>
    <x v="1"/>
  </r>
  <r>
    <x v="0"/>
    <x v="15"/>
    <x v="15"/>
    <x v="8"/>
    <s v="VAN"/>
    <x v="3"/>
    <x v="19"/>
    <x v="14"/>
    <n v="0"/>
    <x v="1"/>
    <x v="1"/>
    <x v="33"/>
    <n v="95.022999999999996"/>
    <x v="295"/>
    <n v="33.826000000000001"/>
    <n v="42.662999999999997"/>
    <n v="18.437000000000001"/>
    <n v="23"/>
    <x v="1"/>
  </r>
  <r>
    <x v="0"/>
    <x v="15"/>
    <x v="15"/>
    <x v="19"/>
    <s v="SIR"/>
    <x v="7"/>
    <x v="18"/>
    <x v="15"/>
    <n v="0"/>
    <x v="1"/>
    <x v="1"/>
    <x v="33"/>
    <n v="93.984999999999999"/>
    <x v="296"/>
    <n v="33.356999999999999"/>
    <n v="42.137"/>
    <n v="18.105"/>
    <s v="4,38"/>
    <x v="1"/>
  </r>
  <r>
    <x v="0"/>
    <x v="15"/>
    <x v="15"/>
    <x v="13"/>
    <s v="STR"/>
    <x v="7"/>
    <x v="11"/>
    <x v="16"/>
    <n v="0"/>
    <x v="1"/>
    <x v="1"/>
    <x v="33"/>
    <n v="93.353999999999999"/>
    <x v="297"/>
    <n v="33.244"/>
    <n v="41.948"/>
    <n v="18.161999999999999"/>
    <s v="14,39"/>
    <x v="1"/>
  </r>
  <r>
    <x v="0"/>
    <x v="15"/>
    <x v="15"/>
    <x v="12"/>
    <s v="LEC"/>
    <x v="6"/>
    <x v="4"/>
    <x v="17"/>
    <n v="0"/>
    <x v="1"/>
    <x v="24"/>
    <x v="22"/>
    <n v="94.515000000000001"/>
    <x v="298"/>
    <n v="33.941000000000003"/>
    <n v="42.14"/>
    <n v="18.384"/>
    <s v="4,35"/>
    <x v="1"/>
  </r>
  <r>
    <x v="0"/>
    <x v="15"/>
    <x v="15"/>
    <x v="6"/>
    <s v="HUL"/>
    <x v="4"/>
    <x v="14"/>
    <x v="18"/>
    <n v="0"/>
    <x v="1"/>
    <x v="3"/>
    <x v="49"/>
    <n v="94.933999999999997"/>
    <x v="299"/>
    <n v="34.276000000000003"/>
    <n v="42.363999999999997"/>
    <n v="18.146999999999998"/>
    <s v="30,37"/>
    <x v="1"/>
  </r>
  <r>
    <x v="0"/>
    <x v="15"/>
    <x v="15"/>
    <x v="16"/>
    <s v="MAG"/>
    <x v="9"/>
    <x v="10"/>
    <x v="19"/>
    <n v="0"/>
    <x v="1"/>
    <x v="8"/>
    <x v="45"/>
    <m/>
    <x v="19"/>
    <m/>
    <m/>
    <m/>
    <s v="2,8"/>
    <x v="1"/>
  </r>
  <r>
    <x v="0"/>
    <x v="16"/>
    <x v="16"/>
    <x v="2"/>
    <s v="RAI"/>
    <x v="0"/>
    <x v="2"/>
    <x v="0"/>
    <n v="25"/>
    <x v="0"/>
    <x v="0"/>
    <x v="7"/>
    <n v="98.481999999999999"/>
    <x v="300"/>
    <n v="26.061"/>
    <n v="39"/>
    <n v="32.905000000000001"/>
    <n v="21"/>
    <x v="1"/>
  </r>
  <r>
    <x v="0"/>
    <x v="16"/>
    <x v="16"/>
    <x v="5"/>
    <s v="VER"/>
    <x v="2"/>
    <x v="12"/>
    <x v="1"/>
    <n v="18"/>
    <x v="0"/>
    <x v="0"/>
    <x v="7"/>
    <n v="98.245999999999995"/>
    <x v="301"/>
    <n v="26.059000000000001"/>
    <n v="39.098999999999997"/>
    <n v="32.744"/>
    <n v="22"/>
    <x v="1"/>
  </r>
  <r>
    <x v="0"/>
    <x v="16"/>
    <x v="16"/>
    <x v="1"/>
    <s v="HAM"/>
    <x v="1"/>
    <x v="1"/>
    <x v="2"/>
    <n v="15"/>
    <x v="0"/>
    <x v="0"/>
    <x v="7"/>
    <n v="97.391999999999996"/>
    <x v="302"/>
    <n v="25.925000000000001"/>
    <n v="38.790999999999997"/>
    <n v="32.317"/>
    <s v="11,37"/>
    <x v="1"/>
  </r>
  <r>
    <x v="0"/>
    <x v="16"/>
    <x v="16"/>
    <x v="0"/>
    <s v="VET"/>
    <x v="0"/>
    <x v="16"/>
    <x v="3"/>
    <n v="12"/>
    <x v="1"/>
    <x v="0"/>
    <x v="7"/>
    <n v="98.28"/>
    <x v="303"/>
    <n v="26.215"/>
    <n v="38.988999999999997"/>
    <n v="32.759"/>
    <n v="26"/>
    <x v="1"/>
  </r>
  <r>
    <x v="0"/>
    <x v="16"/>
    <x v="16"/>
    <x v="7"/>
    <s v="BOT"/>
    <x v="1"/>
    <x v="0"/>
    <x v="4"/>
    <n v="10"/>
    <x v="1"/>
    <x v="0"/>
    <x v="7"/>
    <n v="98.47"/>
    <x v="304"/>
    <n v="26.113"/>
    <n v="39.369"/>
    <n v="32.929000000000002"/>
    <n v="23"/>
    <x v="1"/>
  </r>
  <r>
    <x v="0"/>
    <x v="16"/>
    <x v="16"/>
    <x v="6"/>
    <s v="HUL"/>
    <x v="4"/>
    <x v="6"/>
    <x v="5"/>
    <n v="8"/>
    <x v="1"/>
    <x v="0"/>
    <x v="7"/>
    <n v="99.548000000000002"/>
    <x v="305"/>
    <n v="26.661999999999999"/>
    <n v="39.552"/>
    <n v="33.192999999999998"/>
    <n v="23"/>
    <x v="1"/>
  </r>
  <r>
    <x v="0"/>
    <x v="16"/>
    <x v="16"/>
    <x v="9"/>
    <s v="SAI"/>
    <x v="4"/>
    <x v="8"/>
    <x v="6"/>
    <n v="6"/>
    <x v="1"/>
    <x v="0"/>
    <x v="7"/>
    <n v="99.858000000000004"/>
    <x v="306"/>
    <n v="26.759"/>
    <n v="39.573"/>
    <n v="33.398000000000003"/>
    <n v="24"/>
    <x v="1"/>
  </r>
  <r>
    <x v="0"/>
    <x v="16"/>
    <x v="16"/>
    <x v="10"/>
    <s v="PER"/>
    <x v="10"/>
    <x v="4"/>
    <x v="7"/>
    <n v="4"/>
    <x v="1"/>
    <x v="0"/>
    <x v="7"/>
    <n v="99.569000000000003"/>
    <x v="307"/>
    <n v="26.44"/>
    <n v="39.414999999999999"/>
    <n v="33.423999999999999"/>
    <n v="25"/>
    <x v="1"/>
  </r>
  <r>
    <x v="0"/>
    <x v="16"/>
    <x v="16"/>
    <x v="14"/>
    <s v="HAR"/>
    <x v="8"/>
    <x v="17"/>
    <x v="8"/>
    <n v="2"/>
    <x v="1"/>
    <x v="1"/>
    <x v="35"/>
    <n v="99.915000000000006"/>
    <x v="308"/>
    <n v="26.707000000000001"/>
    <n v="39.749000000000002"/>
    <n v="33.423000000000002"/>
    <n v="27"/>
    <x v="1"/>
  </r>
  <r>
    <x v="0"/>
    <x v="16"/>
    <x v="16"/>
    <x v="18"/>
    <s v="ERI"/>
    <x v="6"/>
    <x v="14"/>
    <x v="9"/>
    <n v="1"/>
    <x v="1"/>
    <x v="1"/>
    <x v="35"/>
    <n v="100.098"/>
    <x v="309"/>
    <n v="26.417999999999999"/>
    <n v="39.680999999999997"/>
    <n v="33.466999999999999"/>
    <n v="30"/>
    <x v="1"/>
  </r>
  <r>
    <x v="0"/>
    <x v="16"/>
    <x v="16"/>
    <x v="8"/>
    <s v="VAN"/>
    <x v="3"/>
    <x v="18"/>
    <x v="10"/>
    <n v="0"/>
    <x v="1"/>
    <x v="1"/>
    <x v="35"/>
    <n v="99.24"/>
    <x v="310"/>
    <n v="26.437999999999999"/>
    <n v="39.445"/>
    <n v="33.255000000000003"/>
    <s v="10,40"/>
    <x v="1"/>
  </r>
  <r>
    <x v="0"/>
    <x v="16"/>
    <x v="16"/>
    <x v="17"/>
    <s v="GAS"/>
    <x v="8"/>
    <x v="19"/>
    <x v="11"/>
    <n v="0"/>
    <x v="1"/>
    <x v="1"/>
    <x v="35"/>
    <n v="99.646000000000001"/>
    <x v="311"/>
    <n v="26.571999999999999"/>
    <n v="39.831000000000003"/>
    <n v="33.232999999999997"/>
    <s v="10,36"/>
    <x v="1"/>
  </r>
  <r>
    <x v="0"/>
    <x v="16"/>
    <x v="16"/>
    <x v="19"/>
    <s v="SIR"/>
    <x v="7"/>
    <x v="11"/>
    <x v="12"/>
    <n v="0"/>
    <x v="1"/>
    <x v="1"/>
    <x v="35"/>
    <n v="100.52200000000001"/>
    <x v="312"/>
    <n v="26.678999999999998"/>
    <n v="39.917999999999999"/>
    <n v="33.512"/>
    <s v="10,29"/>
    <x v="1"/>
  </r>
  <r>
    <x v="0"/>
    <x v="16"/>
    <x v="16"/>
    <x v="13"/>
    <s v="STR"/>
    <x v="7"/>
    <x v="7"/>
    <x v="13"/>
    <n v="0"/>
    <x v="1"/>
    <x v="11"/>
    <x v="36"/>
    <n v="100.43300000000001"/>
    <x v="313"/>
    <n v="26.76"/>
    <n v="39.802"/>
    <n v="33.804000000000002"/>
    <s v="1,5,38"/>
    <x v="1"/>
  </r>
  <r>
    <x v="0"/>
    <x v="16"/>
    <x v="16"/>
    <x v="12"/>
    <s v="LEC"/>
    <x v="6"/>
    <x v="9"/>
    <x v="14"/>
    <n v="0"/>
    <x v="1"/>
    <x v="8"/>
    <x v="50"/>
    <n v="101.982"/>
    <x v="314"/>
    <n v="27.202999999999999"/>
    <n v="40.506"/>
    <n v="34.055"/>
    <s v="1,31"/>
    <x v="1"/>
  </r>
  <r>
    <x v="0"/>
    <x v="16"/>
    <x v="16"/>
    <x v="3"/>
    <s v="RIC"/>
    <x v="2"/>
    <x v="5"/>
    <x v="15"/>
    <n v="0"/>
    <x v="1"/>
    <x v="25"/>
    <x v="51"/>
    <n v="100.93300000000001"/>
    <x v="315"/>
    <n v="26.933"/>
    <n v="40.145000000000003"/>
    <n v="33.590000000000003"/>
    <m/>
    <x v="1"/>
  </r>
  <r>
    <x v="0"/>
    <x v="16"/>
    <x v="16"/>
    <x v="15"/>
    <s v="GRO"/>
    <x v="9"/>
    <x v="3"/>
    <x v="16"/>
    <n v="0"/>
    <x v="1"/>
    <x v="8"/>
    <x v="10"/>
    <m/>
    <x v="19"/>
    <m/>
    <m/>
    <m/>
    <s v="1,2"/>
    <x v="1"/>
  </r>
  <r>
    <x v="0"/>
    <x v="16"/>
    <x v="16"/>
    <x v="4"/>
    <s v="ALO"/>
    <x v="3"/>
    <x v="13"/>
    <x v="17"/>
    <n v="0"/>
    <x v="1"/>
    <x v="10"/>
    <x v="16"/>
    <m/>
    <x v="19"/>
    <m/>
    <m/>
    <m/>
    <n v="1"/>
    <x v="1"/>
  </r>
  <r>
    <x v="0"/>
    <x v="16"/>
    <x v="16"/>
    <x v="11"/>
    <s v="OCO"/>
    <x v="10"/>
    <x v="15"/>
    <x v="18"/>
    <n v="0"/>
    <x v="1"/>
    <x v="26"/>
    <x v="7"/>
    <n v="99.992000000000004"/>
    <x v="316"/>
    <n v="26.521999999999998"/>
    <n v="39.65"/>
    <n v="33.667999999999999"/>
    <n v="22"/>
    <x v="1"/>
  </r>
  <r>
    <x v="0"/>
    <x v="16"/>
    <x v="16"/>
    <x v="16"/>
    <s v="MAG"/>
    <x v="9"/>
    <x v="10"/>
    <x v="19"/>
    <n v="0"/>
    <x v="1"/>
    <x v="26"/>
    <x v="7"/>
    <n v="98.962999999999994"/>
    <x v="317"/>
    <n v="26.411000000000001"/>
    <n v="39.484999999999999"/>
    <n v="32.972000000000001"/>
    <n v="30"/>
    <x v="1"/>
  </r>
  <r>
    <x v="0"/>
    <x v="17"/>
    <x v="17"/>
    <x v="5"/>
    <s v="VER"/>
    <x v="2"/>
    <x v="2"/>
    <x v="0"/>
    <n v="25"/>
    <x v="0"/>
    <x v="0"/>
    <x v="27"/>
    <n v="79.186000000000007"/>
    <x v="318"/>
    <n v="28.01"/>
    <n v="30.433"/>
    <n v="20.248000000000001"/>
    <s v="13,48"/>
    <x v="1"/>
  </r>
  <r>
    <x v="0"/>
    <x v="17"/>
    <x v="17"/>
    <x v="0"/>
    <s v="VET"/>
    <x v="0"/>
    <x v="5"/>
    <x v="1"/>
    <n v="18"/>
    <x v="0"/>
    <x v="0"/>
    <x v="27"/>
    <n v="79.522000000000006"/>
    <x v="319"/>
    <n v="27.904"/>
    <n v="30.852"/>
    <n v="20.53"/>
    <s v="17,47"/>
    <x v="1"/>
  </r>
  <r>
    <x v="0"/>
    <x v="17"/>
    <x v="17"/>
    <x v="2"/>
    <s v="RAI"/>
    <x v="0"/>
    <x v="15"/>
    <x v="2"/>
    <n v="15"/>
    <x v="0"/>
    <x v="0"/>
    <x v="27"/>
    <n v="80.334000000000003"/>
    <x v="320"/>
    <n v="27.79"/>
    <n v="31.34"/>
    <n v="20.701000000000001"/>
    <n v="17"/>
    <x v="1"/>
  </r>
  <r>
    <x v="0"/>
    <x v="17"/>
    <x v="17"/>
    <x v="1"/>
    <s v="HAM"/>
    <x v="1"/>
    <x v="0"/>
    <x v="3"/>
    <n v="12"/>
    <x v="1"/>
    <x v="0"/>
    <x v="27"/>
    <n v="80.727999999999994"/>
    <x v="321"/>
    <n v="28.306999999999999"/>
    <n v="31.291"/>
    <n v="20.707000000000001"/>
    <s v="11,47"/>
    <x v="1"/>
  </r>
  <r>
    <x v="0"/>
    <x v="17"/>
    <x v="17"/>
    <x v="7"/>
    <s v="BOT"/>
    <x v="1"/>
    <x v="16"/>
    <x v="4"/>
    <n v="10"/>
    <x v="1"/>
    <x v="1"/>
    <x v="29"/>
    <n v="78.741"/>
    <x v="322"/>
    <n v="28.282"/>
    <n v="30.053999999999998"/>
    <n v="20.221"/>
    <s v="11,48,62"/>
    <x v="1"/>
  </r>
  <r>
    <x v="0"/>
    <x v="17"/>
    <x v="17"/>
    <x v="6"/>
    <s v="HUL"/>
    <x v="4"/>
    <x v="6"/>
    <x v="5"/>
    <n v="8"/>
    <x v="1"/>
    <x v="11"/>
    <x v="30"/>
    <n v="80.637"/>
    <x v="323"/>
    <n v="28.309000000000001"/>
    <n v="31.189"/>
    <n v="20.736000000000001"/>
    <n v="12"/>
    <x v="1"/>
  </r>
  <r>
    <x v="0"/>
    <x v="17"/>
    <x v="17"/>
    <x v="12"/>
    <s v="LEC"/>
    <x v="6"/>
    <x v="9"/>
    <x v="6"/>
    <n v="6"/>
    <x v="1"/>
    <x v="11"/>
    <x v="30"/>
    <n v="80.537000000000006"/>
    <x v="324"/>
    <n v="28.256"/>
    <n v="31.244"/>
    <n v="20.771999999999998"/>
    <n v="13"/>
    <x v="1"/>
  </r>
  <r>
    <x v="0"/>
    <x v="17"/>
    <x v="17"/>
    <x v="8"/>
    <s v="VAN"/>
    <x v="3"/>
    <x v="7"/>
    <x v="7"/>
    <n v="4"/>
    <x v="1"/>
    <x v="11"/>
    <x v="30"/>
    <n v="81.921000000000006"/>
    <x v="325"/>
    <n v="28.390999999999998"/>
    <n v="31.858000000000001"/>
    <n v="21.209"/>
    <n v="12"/>
    <x v="1"/>
  </r>
  <r>
    <x v="0"/>
    <x v="17"/>
    <x v="17"/>
    <x v="18"/>
    <s v="ERI"/>
    <x v="6"/>
    <x v="4"/>
    <x v="8"/>
    <n v="2"/>
    <x v="1"/>
    <x v="11"/>
    <x v="30"/>
    <n v="82.44"/>
    <x v="326"/>
    <n v="28.472999999999999"/>
    <n v="32.273000000000003"/>
    <n v="21.221"/>
    <n v="16"/>
    <x v="1"/>
  </r>
  <r>
    <x v="0"/>
    <x v="17"/>
    <x v="17"/>
    <x v="17"/>
    <s v="GAS"/>
    <x v="8"/>
    <x v="17"/>
    <x v="9"/>
    <n v="1"/>
    <x v="1"/>
    <x v="11"/>
    <x v="30"/>
    <n v="82.754999999999995"/>
    <x v="327"/>
    <n v="28.593"/>
    <n v="32.286000000000001"/>
    <n v="21.259"/>
    <s v="5,26"/>
    <x v="1"/>
  </r>
  <r>
    <x v="0"/>
    <x v="17"/>
    <x v="17"/>
    <x v="11"/>
    <s v="OCO"/>
    <x v="10"/>
    <x v="8"/>
    <x v="10"/>
    <n v="0"/>
    <x v="1"/>
    <x v="11"/>
    <x v="30"/>
    <n v="82.629000000000005"/>
    <x v="328"/>
    <n v="28.686"/>
    <n v="32.357999999999997"/>
    <n v="21.283999999999999"/>
    <s v="1,30"/>
    <x v="1"/>
  </r>
  <r>
    <x v="0"/>
    <x v="17"/>
    <x v="17"/>
    <x v="13"/>
    <s v="STR"/>
    <x v="7"/>
    <x v="18"/>
    <x v="11"/>
    <n v="0"/>
    <x v="1"/>
    <x v="11"/>
    <x v="30"/>
    <n v="82.983000000000004"/>
    <x v="329"/>
    <n v="28.847999999999999"/>
    <n v="32.412999999999997"/>
    <n v="21.385999999999999"/>
    <s v="10,23"/>
    <x v="1"/>
  </r>
  <r>
    <x v="0"/>
    <x v="17"/>
    <x v="17"/>
    <x v="19"/>
    <s v="SIR"/>
    <x v="7"/>
    <x v="19"/>
    <x v="12"/>
    <n v="0"/>
    <x v="1"/>
    <x v="11"/>
    <x v="30"/>
    <n v="82.64"/>
    <x v="330"/>
    <n v="28.788"/>
    <n v="32.448"/>
    <n v="21.404"/>
    <n v="11"/>
    <x v="1"/>
  </r>
  <r>
    <x v="0"/>
    <x v="17"/>
    <x v="17"/>
    <x v="14"/>
    <s v="HAR"/>
    <x v="8"/>
    <x v="11"/>
    <x v="13"/>
    <n v="0"/>
    <x v="1"/>
    <x v="11"/>
    <x v="30"/>
    <n v="82.438000000000002"/>
    <x v="331"/>
    <n v="28.82"/>
    <n v="32.082000000000001"/>
    <n v="21.091999999999999"/>
    <s v="1,24"/>
    <x v="1"/>
  </r>
  <r>
    <x v="0"/>
    <x v="17"/>
    <x v="17"/>
    <x v="16"/>
    <s v="MAG"/>
    <x v="9"/>
    <x v="14"/>
    <x v="14"/>
    <n v="0"/>
    <x v="1"/>
    <x v="11"/>
    <x v="30"/>
    <n v="81.873999999999995"/>
    <x v="332"/>
    <n v="28.556000000000001"/>
    <n v="31.937999999999999"/>
    <n v="21.257000000000001"/>
    <n v="43"/>
    <x v="1"/>
  </r>
  <r>
    <x v="0"/>
    <x v="17"/>
    <x v="17"/>
    <x v="15"/>
    <s v="GRO"/>
    <x v="9"/>
    <x v="12"/>
    <x v="15"/>
    <n v="0"/>
    <x v="1"/>
    <x v="12"/>
    <x v="31"/>
    <n v="81.37"/>
    <x v="333"/>
    <n v="28.652000000000001"/>
    <n v="31.614000000000001"/>
    <n v="20.991"/>
    <s v="44,60"/>
    <x v="1"/>
  </r>
  <r>
    <x v="0"/>
    <x v="17"/>
    <x v="17"/>
    <x v="3"/>
    <s v="RIC"/>
    <x v="2"/>
    <x v="1"/>
    <x v="16"/>
    <n v="0"/>
    <x v="1"/>
    <x v="3"/>
    <x v="52"/>
    <n v="79.462000000000003"/>
    <x v="334"/>
    <n v="27.943000000000001"/>
    <n v="30.919"/>
    <n v="20.594999999999999"/>
    <n v="12"/>
    <x v="1"/>
  </r>
  <r>
    <x v="0"/>
    <x v="17"/>
    <x v="17"/>
    <x v="10"/>
    <s v="PER"/>
    <x v="10"/>
    <x v="13"/>
    <x v="17"/>
    <n v="0"/>
    <x v="1"/>
    <x v="5"/>
    <x v="39"/>
    <n v="83.545000000000002"/>
    <x v="335"/>
    <n v="28.395"/>
    <n v="32.674999999999997"/>
    <n v="21.436"/>
    <s v="30,38"/>
    <x v="1"/>
  </r>
  <r>
    <x v="0"/>
    <x v="17"/>
    <x v="17"/>
    <x v="9"/>
    <s v="SAI"/>
    <x v="4"/>
    <x v="3"/>
    <x v="18"/>
    <n v="0"/>
    <x v="1"/>
    <x v="23"/>
    <x v="53"/>
    <n v="82.385999999999996"/>
    <x v="336"/>
    <n v="28.798999999999999"/>
    <n v="32.271000000000001"/>
    <n v="21.13"/>
    <n v="11"/>
    <x v="1"/>
  </r>
  <r>
    <x v="0"/>
    <x v="17"/>
    <x v="17"/>
    <x v="4"/>
    <s v="ALO"/>
    <x v="3"/>
    <x v="10"/>
    <x v="19"/>
    <n v="0"/>
    <x v="1"/>
    <x v="3"/>
    <x v="9"/>
    <n v="84.197000000000003"/>
    <x v="337"/>
    <n v="29.51"/>
    <n v="32.859000000000002"/>
    <n v="21.731000000000002"/>
    <m/>
    <x v="1"/>
  </r>
  <r>
    <x v="0"/>
    <x v="18"/>
    <x v="18"/>
    <x v="1"/>
    <s v="HAM"/>
    <x v="1"/>
    <x v="1"/>
    <x v="0"/>
    <n v="25"/>
    <x v="0"/>
    <x v="0"/>
    <x v="27"/>
    <n v="71.795000000000002"/>
    <x v="338"/>
    <n v="18.38"/>
    <n v="36.713000000000001"/>
    <n v="16.315999999999999"/>
    <n v="19"/>
    <x v="1"/>
  </r>
  <r>
    <x v="0"/>
    <x v="18"/>
    <x v="18"/>
    <x v="5"/>
    <s v="VER"/>
    <x v="2"/>
    <x v="16"/>
    <x v="1"/>
    <n v="18"/>
    <x v="0"/>
    <x v="0"/>
    <x v="27"/>
    <n v="71.578000000000003"/>
    <x v="339"/>
    <n v="18.529"/>
    <n v="36.472000000000001"/>
    <n v="16.387"/>
    <n v="35"/>
    <x v="1"/>
  </r>
  <r>
    <x v="0"/>
    <x v="18"/>
    <x v="18"/>
    <x v="2"/>
    <s v="RAI"/>
    <x v="0"/>
    <x v="5"/>
    <x v="2"/>
    <n v="15"/>
    <x v="0"/>
    <x v="0"/>
    <x v="27"/>
    <n v="71.769000000000005"/>
    <x v="340"/>
    <n v="18.419"/>
    <n v="36.832999999999998"/>
    <n v="16.327000000000002"/>
    <n v="31"/>
    <x v="1"/>
  </r>
  <r>
    <x v="0"/>
    <x v="18"/>
    <x v="18"/>
    <x v="3"/>
    <s v="RIC"/>
    <x v="2"/>
    <x v="8"/>
    <x v="3"/>
    <n v="12"/>
    <x v="1"/>
    <x v="0"/>
    <x v="27"/>
    <n v="71.343000000000004"/>
    <x v="341"/>
    <n v="18.242999999999999"/>
    <n v="36.356999999999999"/>
    <n v="16.295000000000002"/>
    <n v="39"/>
    <x v="1"/>
  </r>
  <r>
    <x v="0"/>
    <x v="18"/>
    <x v="18"/>
    <x v="7"/>
    <s v="BOT"/>
    <x v="1"/>
    <x v="0"/>
    <x v="4"/>
    <n v="10"/>
    <x v="1"/>
    <x v="0"/>
    <x v="27"/>
    <n v="70.540000000000006"/>
    <x v="342"/>
    <n v="18.187000000000001"/>
    <n v="36.052"/>
    <n v="16.242000000000001"/>
    <s v="18,59"/>
    <x v="1"/>
  </r>
  <r>
    <x v="0"/>
    <x v="18"/>
    <x v="18"/>
    <x v="0"/>
    <s v="VET"/>
    <x v="0"/>
    <x v="2"/>
    <x v="5"/>
    <n v="8"/>
    <x v="1"/>
    <x v="0"/>
    <x v="27"/>
    <n v="70.831000000000003"/>
    <x v="343"/>
    <n v="18.373999999999999"/>
    <n v="36.029000000000003"/>
    <n v="16.23"/>
    <s v="27,53"/>
    <x v="1"/>
  </r>
  <r>
    <x v="0"/>
    <x v="18"/>
    <x v="18"/>
    <x v="12"/>
    <s v="LEC"/>
    <x v="6"/>
    <x v="6"/>
    <x v="6"/>
    <n v="6"/>
    <x v="1"/>
    <x v="0"/>
    <x v="27"/>
    <n v="72.081999999999994"/>
    <x v="344"/>
    <n v="18.613"/>
    <n v="36.927999999999997"/>
    <n v="16.478999999999999"/>
    <n v="35"/>
    <x v="1"/>
  </r>
  <r>
    <x v="0"/>
    <x v="18"/>
    <x v="18"/>
    <x v="15"/>
    <s v="GRO"/>
    <x v="9"/>
    <x v="3"/>
    <x v="7"/>
    <n v="4"/>
    <x v="1"/>
    <x v="0"/>
    <x v="27"/>
    <n v="72.361999999999995"/>
    <x v="345"/>
    <n v="18.661000000000001"/>
    <n v="37.023000000000003"/>
    <n v="16.492000000000001"/>
    <n v="32"/>
    <x v="1"/>
  </r>
  <r>
    <x v="0"/>
    <x v="18"/>
    <x v="18"/>
    <x v="16"/>
    <s v="MAG"/>
    <x v="9"/>
    <x v="4"/>
    <x v="8"/>
    <n v="2"/>
    <x v="1"/>
    <x v="0"/>
    <x v="27"/>
    <n v="72.206000000000003"/>
    <x v="346"/>
    <n v="18.579000000000001"/>
    <n v="36.889000000000003"/>
    <n v="16.484999999999999"/>
    <n v="41"/>
    <x v="1"/>
  </r>
  <r>
    <x v="0"/>
    <x v="18"/>
    <x v="18"/>
    <x v="10"/>
    <s v="PER"/>
    <x v="10"/>
    <x v="10"/>
    <x v="9"/>
    <n v="1"/>
    <x v="1"/>
    <x v="1"/>
    <x v="29"/>
    <n v="72.471999999999994"/>
    <x v="347"/>
    <n v="18.61"/>
    <n v="37.15"/>
    <n v="16.541"/>
    <n v="39"/>
    <x v="1"/>
  </r>
  <r>
    <x v="0"/>
    <x v="18"/>
    <x v="18"/>
    <x v="14"/>
    <s v="HAR"/>
    <x v="8"/>
    <x v="14"/>
    <x v="10"/>
    <n v="0"/>
    <x v="1"/>
    <x v="1"/>
    <x v="29"/>
    <n v="72.948999999999998"/>
    <x v="348"/>
    <n v="18.736999999999998"/>
    <n v="37.392000000000003"/>
    <n v="16.542999999999999"/>
    <n v="49"/>
    <x v="1"/>
  </r>
  <r>
    <x v="0"/>
    <x v="18"/>
    <x v="18"/>
    <x v="9"/>
    <s v="SAI"/>
    <x v="4"/>
    <x v="7"/>
    <x v="11"/>
    <n v="0"/>
    <x v="1"/>
    <x v="1"/>
    <x v="29"/>
    <n v="72.168999999999997"/>
    <x v="349"/>
    <n v="18.579999999999998"/>
    <n v="36.921999999999997"/>
    <n v="16.469000000000001"/>
    <s v="25,48"/>
    <x v="1"/>
  </r>
  <r>
    <x v="0"/>
    <x v="18"/>
    <x v="18"/>
    <x v="17"/>
    <s v="GAS"/>
    <x v="8"/>
    <x v="9"/>
    <x v="12"/>
    <n v="0"/>
    <x v="1"/>
    <x v="1"/>
    <x v="29"/>
    <n v="73.822000000000003"/>
    <x v="350"/>
    <n v="19.045000000000002"/>
    <n v="38.024999999999999"/>
    <n v="16.713999999999999"/>
    <n v="22"/>
    <x v="1"/>
  </r>
  <r>
    <x v="0"/>
    <x v="18"/>
    <x v="18"/>
    <x v="8"/>
    <s v="VAN"/>
    <x v="3"/>
    <x v="17"/>
    <x v="13"/>
    <n v="0"/>
    <x v="1"/>
    <x v="1"/>
    <x v="29"/>
    <n v="72.968000000000004"/>
    <x v="351"/>
    <n v="18.768999999999998"/>
    <n v="37.241"/>
    <n v="16.684000000000001"/>
    <n v="28"/>
    <x v="1"/>
  </r>
  <r>
    <x v="0"/>
    <x v="18"/>
    <x v="18"/>
    <x v="11"/>
    <s v="OCO"/>
    <x v="10"/>
    <x v="12"/>
    <x v="14"/>
    <n v="0"/>
    <x v="1"/>
    <x v="1"/>
    <x v="29"/>
    <n v="72.352000000000004"/>
    <x v="352"/>
    <n v="18.425999999999998"/>
    <n v="37.204999999999998"/>
    <n v="16.309999999999999"/>
    <s v="40,57"/>
    <x v="1"/>
  </r>
  <r>
    <x v="0"/>
    <x v="18"/>
    <x v="18"/>
    <x v="19"/>
    <s v="SIR"/>
    <x v="7"/>
    <x v="11"/>
    <x v="15"/>
    <n v="0"/>
    <x v="1"/>
    <x v="11"/>
    <x v="30"/>
    <n v="74.262"/>
    <x v="353"/>
    <n v="18.940999999999999"/>
    <n v="38.19"/>
    <n v="16.811"/>
    <n v="16"/>
    <x v="1"/>
  </r>
  <r>
    <x v="0"/>
    <x v="18"/>
    <x v="18"/>
    <x v="4"/>
    <s v="ALO"/>
    <x v="3"/>
    <x v="18"/>
    <x v="16"/>
    <n v="0"/>
    <x v="1"/>
    <x v="11"/>
    <x v="30"/>
    <n v="72.643000000000001"/>
    <x v="354"/>
    <n v="18.515999999999998"/>
    <n v="37.177999999999997"/>
    <n v="16.571999999999999"/>
    <s v="15,54"/>
    <x v="1"/>
  </r>
  <r>
    <x v="0"/>
    <x v="18"/>
    <x v="18"/>
    <x v="13"/>
    <s v="STR"/>
    <x v="7"/>
    <x v="19"/>
    <x v="17"/>
    <n v="0"/>
    <x v="1"/>
    <x v="11"/>
    <x v="30"/>
    <n v="71.751000000000005"/>
    <x v="355"/>
    <n v="18.515999999999998"/>
    <n v="36.567999999999998"/>
    <n v="16.596"/>
    <s v="17,65"/>
    <x v="1"/>
  </r>
  <r>
    <x v="0"/>
    <x v="18"/>
    <x v="18"/>
    <x v="6"/>
    <s v="HUL"/>
    <x v="4"/>
    <x v="13"/>
    <x v="18"/>
    <n v="0"/>
    <x v="1"/>
    <x v="27"/>
    <x v="40"/>
    <n v="74.028999999999996"/>
    <x v="356"/>
    <n v="18.951000000000001"/>
    <n v="37.872999999999998"/>
    <n v="16.986000000000001"/>
    <n v="32"/>
    <x v="1"/>
  </r>
  <r>
    <x v="0"/>
    <x v="18"/>
    <x v="18"/>
    <x v="18"/>
    <s v="ERI"/>
    <x v="6"/>
    <x v="15"/>
    <x v="19"/>
    <n v="0"/>
    <x v="1"/>
    <x v="10"/>
    <x v="54"/>
    <n v="75.281000000000006"/>
    <x v="357"/>
    <n v="19.184999999999999"/>
    <n v="39.195999999999998"/>
    <n v="16.763999999999999"/>
    <s v="18,20"/>
    <x v="1"/>
  </r>
  <r>
    <x v="0"/>
    <x v="19"/>
    <x v="19"/>
    <x v="1"/>
    <s v="HAM"/>
    <x v="1"/>
    <x v="1"/>
    <x v="0"/>
    <n v="25"/>
    <x v="0"/>
    <x v="0"/>
    <x v="35"/>
    <n v="101.357"/>
    <x v="358"/>
    <n v="17.488"/>
    <n v="43.494"/>
    <n v="40.131"/>
    <n v="7"/>
    <x v="0"/>
  </r>
  <r>
    <x v="0"/>
    <x v="19"/>
    <x v="19"/>
    <x v="0"/>
    <s v="VET"/>
    <x v="0"/>
    <x v="0"/>
    <x v="1"/>
    <n v="18"/>
    <x v="0"/>
    <x v="0"/>
    <x v="35"/>
    <n v="100.867"/>
    <x v="359"/>
    <n v="17.562000000000001"/>
    <n v="43.247999999999998"/>
    <n v="40.057000000000002"/>
    <n v="15"/>
    <x v="0"/>
  </r>
  <r>
    <x v="0"/>
    <x v="19"/>
    <x v="19"/>
    <x v="5"/>
    <s v="VER"/>
    <x v="2"/>
    <x v="15"/>
    <x v="2"/>
    <n v="15"/>
    <x v="0"/>
    <x v="0"/>
    <x v="35"/>
    <n v="101.90900000000001"/>
    <x v="360"/>
    <n v="17.658000000000001"/>
    <n v="43.424999999999997"/>
    <n v="40.378"/>
    <n v="17"/>
    <x v="0"/>
  </r>
  <r>
    <x v="0"/>
    <x v="19"/>
    <x v="19"/>
    <x v="3"/>
    <s v="RIC"/>
    <x v="2"/>
    <x v="16"/>
    <x v="3"/>
    <n v="12"/>
    <x v="1"/>
    <x v="0"/>
    <x v="35"/>
    <n v="101.249"/>
    <x v="361"/>
    <n v="17.637"/>
    <n v="43.316000000000003"/>
    <n v="40.247"/>
    <n v="33"/>
    <x v="0"/>
  </r>
  <r>
    <x v="0"/>
    <x v="19"/>
    <x v="19"/>
    <x v="7"/>
    <s v="BOT"/>
    <x v="1"/>
    <x v="2"/>
    <x v="4"/>
    <n v="10"/>
    <x v="1"/>
    <x v="0"/>
    <x v="35"/>
    <n v="100.953"/>
    <x v="362"/>
    <n v="17.506"/>
    <n v="43.167999999999999"/>
    <n v="40.279000000000003"/>
    <s v="16,40"/>
    <x v="0"/>
  </r>
  <r>
    <x v="0"/>
    <x v="19"/>
    <x v="19"/>
    <x v="9"/>
    <s v="SAI"/>
    <x v="4"/>
    <x v="8"/>
    <x v="5"/>
    <n v="8"/>
    <x v="1"/>
    <x v="0"/>
    <x v="35"/>
    <n v="101.351"/>
    <x v="363"/>
    <n v="17.760000000000002"/>
    <n v="43.337000000000003"/>
    <n v="40.210999999999999"/>
    <n v="37"/>
    <x v="0"/>
  </r>
  <r>
    <x v="0"/>
    <x v="19"/>
    <x v="19"/>
    <x v="12"/>
    <s v="LEC"/>
    <x v="6"/>
    <x v="3"/>
    <x v="6"/>
    <n v="6"/>
    <x v="1"/>
    <x v="0"/>
    <x v="35"/>
    <n v="102.876"/>
    <x v="364"/>
    <n v="17.722999999999999"/>
    <n v="43.499000000000002"/>
    <n v="41.576000000000001"/>
    <n v="7"/>
    <x v="0"/>
  </r>
  <r>
    <x v="0"/>
    <x v="19"/>
    <x v="19"/>
    <x v="10"/>
    <s v="PER"/>
    <x v="10"/>
    <x v="11"/>
    <x v="7"/>
    <n v="4"/>
    <x v="1"/>
    <x v="0"/>
    <x v="35"/>
    <n v="102.816"/>
    <x v="365"/>
    <n v="17.725000000000001"/>
    <n v="43.179000000000002"/>
    <n v="41.283999999999999"/>
    <n v="26"/>
    <x v="0"/>
  </r>
  <r>
    <x v="0"/>
    <x v="19"/>
    <x v="19"/>
    <x v="15"/>
    <s v="GRO"/>
    <x v="9"/>
    <x v="6"/>
    <x v="8"/>
    <n v="2"/>
    <x v="1"/>
    <x v="1"/>
    <x v="36"/>
    <n v="103.19499999999999"/>
    <x v="366"/>
    <n v="17.643000000000001"/>
    <n v="43.572000000000003"/>
    <n v="41.357999999999997"/>
    <n v="7"/>
    <x v="0"/>
  </r>
  <r>
    <x v="0"/>
    <x v="19"/>
    <x v="19"/>
    <x v="16"/>
    <s v="MAG"/>
    <x v="9"/>
    <x v="13"/>
    <x v="9"/>
    <n v="1"/>
    <x v="1"/>
    <x v="1"/>
    <x v="36"/>
    <n v="102.822"/>
    <x v="367"/>
    <n v="17.513999999999999"/>
    <n v="43.762"/>
    <n v="41.420999999999999"/>
    <n v="41"/>
    <x v="0"/>
  </r>
  <r>
    <x v="0"/>
    <x v="19"/>
    <x v="19"/>
    <x v="4"/>
    <s v="ALO"/>
    <x v="3"/>
    <x v="7"/>
    <x v="10"/>
    <n v="0"/>
    <x v="1"/>
    <x v="1"/>
    <x v="36"/>
    <n v="102.393"/>
    <x v="368"/>
    <n v="17.693999999999999"/>
    <n v="42.72"/>
    <n v="41.145000000000003"/>
    <n v="27"/>
    <x v="0"/>
  </r>
  <r>
    <x v="0"/>
    <x v="19"/>
    <x v="19"/>
    <x v="14"/>
    <s v="HAR"/>
    <x v="8"/>
    <x v="14"/>
    <x v="11"/>
    <n v="0"/>
    <x v="1"/>
    <x v="1"/>
    <x v="36"/>
    <n v="104.17400000000001"/>
    <x v="369"/>
    <n v="17.937999999999999"/>
    <n v="44.220999999999997"/>
    <n v="41.954000000000001"/>
    <n v="1"/>
    <x v="0"/>
  </r>
  <r>
    <x v="0"/>
    <x v="19"/>
    <x v="19"/>
    <x v="13"/>
    <s v="STR"/>
    <x v="7"/>
    <x v="17"/>
    <x v="12"/>
    <n v="0"/>
    <x v="1"/>
    <x v="1"/>
    <x v="36"/>
    <n v="104.033"/>
    <x v="370"/>
    <n v="17.855"/>
    <n v="43.595999999999997"/>
    <n v="41.776000000000003"/>
    <n v="40"/>
    <x v="0"/>
  </r>
  <r>
    <x v="0"/>
    <x v="19"/>
    <x v="19"/>
    <x v="8"/>
    <s v="VAN"/>
    <x v="3"/>
    <x v="12"/>
    <x v="13"/>
    <n v="0"/>
    <x v="1"/>
    <x v="1"/>
    <x v="36"/>
    <n v="103.249"/>
    <x v="371"/>
    <n v="17.843"/>
    <n v="43.817999999999998"/>
    <n v="41.485999999999997"/>
    <n v="35"/>
    <x v="0"/>
  </r>
  <r>
    <x v="0"/>
    <x v="19"/>
    <x v="19"/>
    <x v="19"/>
    <s v="SIR"/>
    <x v="7"/>
    <x v="19"/>
    <x v="14"/>
    <n v="0"/>
    <x v="1"/>
    <x v="1"/>
    <x v="36"/>
    <n v="103.831"/>
    <x v="372"/>
    <n v="17.902000000000001"/>
    <n v="44.247999999999998"/>
    <n v="41.603999999999999"/>
    <n v="35"/>
    <x v="0"/>
  </r>
  <r>
    <x v="0"/>
    <x v="19"/>
    <x v="19"/>
    <x v="17"/>
    <s v="GAS"/>
    <x v="8"/>
    <x v="18"/>
    <x v="15"/>
    <n v="0"/>
    <x v="1"/>
    <x v="3"/>
    <x v="38"/>
    <n v="103.988"/>
    <x v="373"/>
    <n v="18.007000000000001"/>
    <n v="43.798000000000002"/>
    <n v="41.723999999999997"/>
    <n v="29"/>
    <x v="0"/>
  </r>
  <r>
    <x v="0"/>
    <x v="19"/>
    <x v="19"/>
    <x v="11"/>
    <s v="OCO"/>
    <x v="10"/>
    <x v="9"/>
    <x v="16"/>
    <n v="0"/>
    <x v="1"/>
    <x v="3"/>
    <x v="55"/>
    <n v="103.59099999999999"/>
    <x v="374"/>
    <n v="17.861000000000001"/>
    <n v="43.720999999999997"/>
    <n v="41.750999999999998"/>
    <s v="18,45"/>
    <x v="0"/>
  </r>
  <r>
    <x v="0"/>
    <x v="19"/>
    <x v="19"/>
    <x v="18"/>
    <s v="ERI"/>
    <x v="6"/>
    <x v="10"/>
    <x v="17"/>
    <n v="0"/>
    <x v="1"/>
    <x v="22"/>
    <x v="23"/>
    <n v="106.077"/>
    <x v="375"/>
    <n v="18.151"/>
    <n v="44.262"/>
    <n v="43.191000000000003"/>
    <m/>
    <x v="0"/>
  </r>
  <r>
    <x v="0"/>
    <x v="19"/>
    <x v="19"/>
    <x v="2"/>
    <s v="RAI"/>
    <x v="0"/>
    <x v="5"/>
    <x v="18"/>
    <n v="0"/>
    <x v="1"/>
    <x v="22"/>
    <x v="56"/>
    <n v="105.19799999999999"/>
    <x v="376"/>
    <n v="18.265000000000001"/>
    <n v="43.798000000000002"/>
    <n v="43.072000000000003"/>
    <n v="7"/>
    <x v="0"/>
  </r>
  <r>
    <x v="0"/>
    <x v="19"/>
    <x v="19"/>
    <x v="6"/>
    <s v="HUL"/>
    <x v="4"/>
    <x v="4"/>
    <x v="19"/>
    <n v="0"/>
    <x v="1"/>
    <x v="10"/>
    <x v="16"/>
    <m/>
    <x v="19"/>
    <m/>
    <m/>
    <m/>
    <m/>
    <x v="0"/>
  </r>
  <r>
    <x v="1"/>
    <x v="0"/>
    <x v="0"/>
    <x v="7"/>
    <s v="BOT"/>
    <x v="1"/>
    <x v="2"/>
    <x v="0"/>
    <n v="26"/>
    <x v="0"/>
    <x v="0"/>
    <x v="0"/>
    <n v="85.58"/>
    <x v="377"/>
    <n v="28.64"/>
    <n v="22.838999999999999"/>
    <n v="34.100999999999999"/>
    <n v="23"/>
    <x v="1"/>
  </r>
  <r>
    <x v="1"/>
    <x v="0"/>
    <x v="0"/>
    <x v="1"/>
    <s v="HAM"/>
    <x v="1"/>
    <x v="1"/>
    <x v="1"/>
    <n v="18"/>
    <x v="0"/>
    <x v="0"/>
    <x v="0"/>
    <n v="86.057000000000002"/>
    <x v="378"/>
    <n v="28.701000000000001"/>
    <n v="23.055"/>
    <n v="34.268999999999998"/>
    <n v="15"/>
    <x v="1"/>
  </r>
  <r>
    <x v="1"/>
    <x v="0"/>
    <x v="0"/>
    <x v="5"/>
    <s v="VER"/>
    <x v="2"/>
    <x v="5"/>
    <x v="2"/>
    <n v="15"/>
    <x v="0"/>
    <x v="0"/>
    <x v="0"/>
    <n v="86.256"/>
    <x v="379"/>
    <n v="28.85"/>
    <n v="22.948"/>
    <n v="34.363"/>
    <n v="25"/>
    <x v="1"/>
  </r>
  <r>
    <x v="1"/>
    <x v="0"/>
    <x v="0"/>
    <x v="0"/>
    <s v="VET"/>
    <x v="0"/>
    <x v="0"/>
    <x v="3"/>
    <n v="12"/>
    <x v="1"/>
    <x v="0"/>
    <x v="0"/>
    <n v="87.953999999999994"/>
    <x v="380"/>
    <n v="29.271000000000001"/>
    <n v="23.457999999999998"/>
    <n v="34.985999999999997"/>
    <n v="14"/>
    <x v="1"/>
  </r>
  <r>
    <x v="1"/>
    <x v="0"/>
    <x v="0"/>
    <x v="12"/>
    <s v="LEC"/>
    <x v="0"/>
    <x v="16"/>
    <x v="4"/>
    <n v="10"/>
    <x v="1"/>
    <x v="0"/>
    <x v="0"/>
    <n v="86.926000000000002"/>
    <x v="381"/>
    <n v="29.006"/>
    <n v="23.138000000000002"/>
    <n v="34.753"/>
    <n v="28"/>
    <x v="1"/>
  </r>
  <r>
    <x v="1"/>
    <x v="0"/>
    <x v="0"/>
    <x v="16"/>
    <s v="MAG"/>
    <x v="9"/>
    <x v="6"/>
    <x v="5"/>
    <n v="8"/>
    <x v="1"/>
    <x v="0"/>
    <x v="0"/>
    <n v="88.182000000000002"/>
    <x v="382"/>
    <n v="29.443999999999999"/>
    <n v="23.494"/>
    <n v="35.084000000000003"/>
    <n v="14"/>
    <x v="1"/>
  </r>
  <r>
    <x v="1"/>
    <x v="0"/>
    <x v="0"/>
    <x v="6"/>
    <s v="HUL"/>
    <x v="4"/>
    <x v="8"/>
    <x v="6"/>
    <n v="6"/>
    <x v="1"/>
    <x v="1"/>
    <x v="1"/>
    <n v="88.444000000000003"/>
    <x v="383"/>
    <n v="29.475999999999999"/>
    <n v="23.478999999999999"/>
    <n v="35.265999999999998"/>
    <n v="13"/>
    <x v="1"/>
  </r>
  <r>
    <x v="1"/>
    <x v="0"/>
    <x v="0"/>
    <x v="2"/>
    <s v="RAI"/>
    <x v="11"/>
    <x v="9"/>
    <x v="7"/>
    <n v="4"/>
    <x v="1"/>
    <x v="1"/>
    <x v="1"/>
    <n v="88.27"/>
    <x v="384"/>
    <n v="29.221"/>
    <n v="23.51"/>
    <n v="35.246000000000002"/>
    <n v="12"/>
    <x v="1"/>
  </r>
  <r>
    <x v="1"/>
    <x v="0"/>
    <x v="0"/>
    <x v="13"/>
    <s v="STR"/>
    <x v="10"/>
    <x v="14"/>
    <x v="8"/>
    <n v="2"/>
    <x v="1"/>
    <x v="1"/>
    <x v="1"/>
    <n v="87.567999999999998"/>
    <x v="385"/>
    <n v="29.283999999999999"/>
    <n v="23.311"/>
    <n v="34.972999999999999"/>
    <n v="27"/>
    <x v="1"/>
  </r>
  <r>
    <x v="1"/>
    <x v="0"/>
    <x v="0"/>
    <x v="20"/>
    <s v="KVY"/>
    <x v="8"/>
    <x v="7"/>
    <x v="9"/>
    <n v="1"/>
    <x v="1"/>
    <x v="1"/>
    <x v="1"/>
    <n v="87.447999999999993"/>
    <x v="386"/>
    <n v="29.228999999999999"/>
    <n v="23.242000000000001"/>
    <n v="34.694000000000003"/>
    <n v="26"/>
    <x v="1"/>
  </r>
  <r>
    <x v="1"/>
    <x v="0"/>
    <x v="0"/>
    <x v="17"/>
    <s v="GAS"/>
    <x v="2"/>
    <x v="18"/>
    <x v="10"/>
    <n v="0"/>
    <x v="1"/>
    <x v="1"/>
    <x v="1"/>
    <n v="87.228999999999999"/>
    <x v="387"/>
    <n v="29.332000000000001"/>
    <n v="23.285"/>
    <n v="34.457000000000001"/>
    <n v="37"/>
    <x v="1"/>
  </r>
  <r>
    <x v="1"/>
    <x v="0"/>
    <x v="0"/>
    <x v="21"/>
    <s v="NOR"/>
    <x v="3"/>
    <x v="3"/>
    <x v="11"/>
    <n v="0"/>
    <x v="1"/>
    <x v="1"/>
    <x v="1"/>
    <n v="88.555000000000007"/>
    <x v="388"/>
    <n v="29.484999999999999"/>
    <n v="23.61"/>
    <n v="35.344000000000001"/>
    <n v="15"/>
    <x v="1"/>
  </r>
  <r>
    <x v="1"/>
    <x v="0"/>
    <x v="0"/>
    <x v="10"/>
    <s v="PER"/>
    <x v="10"/>
    <x v="4"/>
    <x v="12"/>
    <n v="0"/>
    <x v="1"/>
    <x v="1"/>
    <x v="1"/>
    <n v="88.484999999999999"/>
    <x v="389"/>
    <n v="29.542999999999999"/>
    <n v="23.565000000000001"/>
    <n v="35.314999999999998"/>
    <n v="13"/>
    <x v="1"/>
  </r>
  <r>
    <x v="1"/>
    <x v="0"/>
    <x v="0"/>
    <x v="22"/>
    <s v="ALB"/>
    <x v="8"/>
    <x v="13"/>
    <x v="13"/>
    <n v="0"/>
    <x v="1"/>
    <x v="1"/>
    <x v="1"/>
    <n v="88.188000000000002"/>
    <x v="390"/>
    <n v="29.527000000000001"/>
    <n v="23.420999999999999"/>
    <n v="35.24"/>
    <n v="14"/>
    <x v="1"/>
  </r>
  <r>
    <x v="1"/>
    <x v="0"/>
    <x v="0"/>
    <x v="23"/>
    <s v="GIO"/>
    <x v="11"/>
    <x v="11"/>
    <x v="14"/>
    <n v="0"/>
    <x v="1"/>
    <x v="1"/>
    <x v="1"/>
    <n v="88.478999999999999"/>
    <x v="391"/>
    <n v="29.594999999999999"/>
    <n v="23.673999999999999"/>
    <n v="35.21"/>
    <n v="27"/>
    <x v="1"/>
  </r>
  <r>
    <x v="1"/>
    <x v="0"/>
    <x v="0"/>
    <x v="24"/>
    <s v="RUS"/>
    <x v="7"/>
    <x v="19"/>
    <x v="15"/>
    <n v="0"/>
    <x v="1"/>
    <x v="11"/>
    <x v="7"/>
    <n v="88.712999999999994"/>
    <x v="392"/>
    <n v="29.498000000000001"/>
    <n v="23.582000000000001"/>
    <n v="35.33"/>
    <s v="26,42"/>
    <x v="1"/>
  </r>
  <r>
    <x v="1"/>
    <x v="0"/>
    <x v="0"/>
    <x v="25"/>
    <s v="KUB"/>
    <x v="7"/>
    <x v="17"/>
    <x v="16"/>
    <n v="0"/>
    <x v="1"/>
    <x v="12"/>
    <x v="35"/>
    <n v="89.284000000000006"/>
    <x v="393"/>
    <n v="29.768999999999998"/>
    <n v="23.943000000000001"/>
    <n v="35.488999999999997"/>
    <s v="1,28,44"/>
    <x v="1"/>
  </r>
  <r>
    <x v="1"/>
    <x v="0"/>
    <x v="0"/>
    <x v="15"/>
    <s v="GRO"/>
    <x v="9"/>
    <x v="15"/>
    <x v="17"/>
    <n v="0"/>
    <x v="1"/>
    <x v="2"/>
    <x v="57"/>
    <n v="88.462000000000003"/>
    <x v="394"/>
    <n v="29.523"/>
    <n v="23.539000000000001"/>
    <n v="35.398000000000003"/>
    <n v="15"/>
    <x v="1"/>
  </r>
  <r>
    <x v="1"/>
    <x v="0"/>
    <x v="0"/>
    <x v="3"/>
    <s v="RIC"/>
    <x v="4"/>
    <x v="10"/>
    <x v="18"/>
    <n v="0"/>
    <x v="1"/>
    <x v="28"/>
    <x v="53"/>
    <n v="89.847999999999999"/>
    <x v="395"/>
    <n v="29.989000000000001"/>
    <n v="23.936"/>
    <n v="35.770000000000003"/>
    <s v="1,29"/>
    <x v="1"/>
  </r>
  <r>
    <x v="1"/>
    <x v="0"/>
    <x v="0"/>
    <x v="9"/>
    <s v="SAI"/>
    <x v="3"/>
    <x v="12"/>
    <x v="19"/>
    <n v="0"/>
    <x v="1"/>
    <x v="3"/>
    <x v="58"/>
    <n v="90.899000000000001"/>
    <x v="396"/>
    <n v="30.446999999999999"/>
    <n v="24.097999999999999"/>
    <n v="36.334000000000003"/>
    <m/>
    <x v="1"/>
  </r>
  <r>
    <x v="1"/>
    <x v="1"/>
    <x v="1"/>
    <x v="1"/>
    <s v="HAM"/>
    <x v="1"/>
    <x v="0"/>
    <x v="0"/>
    <n v="25"/>
    <x v="0"/>
    <x v="0"/>
    <x v="1"/>
    <n v="93.528000000000006"/>
    <x v="397"/>
    <n v="29.181000000000001"/>
    <n v="40.716000000000001"/>
    <n v="23.036999999999999"/>
    <s v="13,34"/>
    <x v="1"/>
  </r>
  <r>
    <x v="1"/>
    <x v="1"/>
    <x v="1"/>
    <x v="7"/>
    <s v="BOT"/>
    <x v="1"/>
    <x v="5"/>
    <x v="1"/>
    <n v="18"/>
    <x v="0"/>
    <x v="0"/>
    <x v="1"/>
    <n v="94.209000000000003"/>
    <x v="398"/>
    <n v="29.526"/>
    <n v="41.311999999999998"/>
    <n v="23.173999999999999"/>
    <s v="12,37"/>
    <x v="1"/>
  </r>
  <r>
    <x v="1"/>
    <x v="1"/>
    <x v="1"/>
    <x v="12"/>
    <s v="LEC"/>
    <x v="0"/>
    <x v="1"/>
    <x v="2"/>
    <n v="16"/>
    <x v="0"/>
    <x v="0"/>
    <x v="1"/>
    <n v="93.411000000000001"/>
    <x v="399"/>
    <n v="29.65"/>
    <n v="40.734000000000002"/>
    <n v="22.992999999999999"/>
    <s v="13,36"/>
    <x v="1"/>
  </r>
  <r>
    <x v="1"/>
    <x v="1"/>
    <x v="1"/>
    <x v="5"/>
    <s v="VER"/>
    <x v="2"/>
    <x v="16"/>
    <x v="3"/>
    <n v="12"/>
    <x v="1"/>
    <x v="0"/>
    <x v="1"/>
    <n v="95.311000000000007"/>
    <x v="400"/>
    <n v="30.085000000000001"/>
    <n v="41.472000000000001"/>
    <n v="23.347999999999999"/>
    <s v="11,32"/>
    <x v="1"/>
  </r>
  <r>
    <x v="1"/>
    <x v="1"/>
    <x v="1"/>
    <x v="0"/>
    <s v="VET"/>
    <x v="0"/>
    <x v="2"/>
    <x v="4"/>
    <n v="10"/>
    <x v="1"/>
    <x v="0"/>
    <x v="1"/>
    <n v="94.894999999999996"/>
    <x v="401"/>
    <n v="29.817"/>
    <n v="41.478000000000002"/>
    <n v="23.393999999999998"/>
    <s v="14,35,38"/>
    <x v="1"/>
  </r>
  <r>
    <x v="1"/>
    <x v="1"/>
    <x v="1"/>
    <x v="21"/>
    <s v="NOR"/>
    <x v="3"/>
    <x v="9"/>
    <x v="5"/>
    <n v="8"/>
    <x v="1"/>
    <x v="0"/>
    <x v="1"/>
    <n v="95.777000000000001"/>
    <x v="402"/>
    <n v="29.832000000000001"/>
    <n v="41.994"/>
    <n v="23.576000000000001"/>
    <s v="10,34"/>
    <x v="1"/>
  </r>
  <r>
    <x v="1"/>
    <x v="1"/>
    <x v="1"/>
    <x v="2"/>
    <s v="RAI"/>
    <x v="11"/>
    <x v="3"/>
    <x v="6"/>
    <n v="6"/>
    <x v="1"/>
    <x v="0"/>
    <x v="1"/>
    <n v="95.588999999999999"/>
    <x v="403"/>
    <n v="29.896999999999998"/>
    <n v="41.878999999999998"/>
    <n v="23.527999999999999"/>
    <s v="9,33"/>
    <x v="1"/>
  </r>
  <r>
    <x v="1"/>
    <x v="1"/>
    <x v="1"/>
    <x v="17"/>
    <s v="GAS"/>
    <x v="2"/>
    <x v="13"/>
    <x v="7"/>
    <n v="4"/>
    <x v="1"/>
    <x v="0"/>
    <x v="1"/>
    <n v="95.290999999999997"/>
    <x v="404"/>
    <n v="30.045000000000002"/>
    <n v="41.752000000000002"/>
    <n v="23.312000000000001"/>
    <s v="9,39"/>
    <x v="1"/>
  </r>
  <r>
    <x v="1"/>
    <x v="1"/>
    <x v="1"/>
    <x v="22"/>
    <s v="ALB"/>
    <x v="8"/>
    <x v="10"/>
    <x v="8"/>
    <n v="2"/>
    <x v="1"/>
    <x v="0"/>
    <x v="1"/>
    <n v="96.751999999999995"/>
    <x v="405"/>
    <n v="30.391999999999999"/>
    <n v="41.969000000000001"/>
    <n v="23.599"/>
    <s v="9,25"/>
    <x v="1"/>
  </r>
  <r>
    <x v="1"/>
    <x v="1"/>
    <x v="1"/>
    <x v="10"/>
    <s v="PER"/>
    <x v="10"/>
    <x v="11"/>
    <x v="9"/>
    <n v="1"/>
    <x v="1"/>
    <x v="0"/>
    <x v="1"/>
    <n v="96.33"/>
    <x v="406"/>
    <n v="30.273"/>
    <n v="42.143000000000001"/>
    <n v="23.53"/>
    <s v="8,33"/>
    <x v="1"/>
  </r>
  <r>
    <x v="1"/>
    <x v="1"/>
    <x v="1"/>
    <x v="23"/>
    <s v="GIO"/>
    <x v="11"/>
    <x v="14"/>
    <x v="10"/>
    <n v="0"/>
    <x v="1"/>
    <x v="0"/>
    <x v="1"/>
    <n v="95.236999999999995"/>
    <x v="407"/>
    <n v="30.215"/>
    <n v="41.436999999999998"/>
    <n v="23.326000000000001"/>
    <s v="16,40"/>
    <x v="1"/>
  </r>
  <r>
    <x v="1"/>
    <x v="1"/>
    <x v="1"/>
    <x v="20"/>
    <s v="KVY"/>
    <x v="8"/>
    <x v="7"/>
    <x v="11"/>
    <n v="0"/>
    <x v="1"/>
    <x v="1"/>
    <x v="7"/>
    <n v="94.933999999999997"/>
    <x v="408"/>
    <n v="30.042000000000002"/>
    <n v="41.384"/>
    <n v="23.31"/>
    <s v="12,38"/>
    <x v="1"/>
  </r>
  <r>
    <x v="1"/>
    <x v="1"/>
    <x v="1"/>
    <x v="16"/>
    <s v="MAG"/>
    <x v="9"/>
    <x v="15"/>
    <x v="12"/>
    <n v="0"/>
    <x v="1"/>
    <x v="1"/>
    <x v="7"/>
    <n v="95.891999999999996"/>
    <x v="409"/>
    <n v="30.602"/>
    <n v="41.674999999999997"/>
    <n v="23.587"/>
    <s v="10,38"/>
    <x v="1"/>
  </r>
  <r>
    <x v="1"/>
    <x v="1"/>
    <x v="1"/>
    <x v="13"/>
    <s v="STR"/>
    <x v="10"/>
    <x v="12"/>
    <x v="13"/>
    <n v="0"/>
    <x v="1"/>
    <x v="1"/>
    <x v="7"/>
    <n v="97.037000000000006"/>
    <x v="410"/>
    <n v="30.277000000000001"/>
    <n v="42.462000000000003"/>
    <n v="23.885999999999999"/>
    <s v="1,23"/>
    <x v="1"/>
  </r>
  <r>
    <x v="1"/>
    <x v="1"/>
    <x v="1"/>
    <x v="24"/>
    <s v="RUS"/>
    <x v="7"/>
    <x v="19"/>
    <x v="14"/>
    <n v="0"/>
    <x v="1"/>
    <x v="1"/>
    <x v="7"/>
    <n v="97.313000000000002"/>
    <x v="411"/>
    <n v="30.53"/>
    <n v="42.537999999999997"/>
    <n v="23.847999999999999"/>
    <s v="12,26"/>
    <x v="1"/>
  </r>
  <r>
    <x v="1"/>
    <x v="1"/>
    <x v="1"/>
    <x v="25"/>
    <s v="KUB"/>
    <x v="7"/>
    <x v="17"/>
    <x v="15"/>
    <n v="0"/>
    <x v="1"/>
    <x v="11"/>
    <x v="35"/>
    <n v="97.903000000000006"/>
    <x v="412"/>
    <n v="30.538"/>
    <n v="42.575000000000003"/>
    <n v="24.172999999999998"/>
    <s v="11,27"/>
    <x v="1"/>
  </r>
  <r>
    <x v="1"/>
    <x v="1"/>
    <x v="1"/>
    <x v="6"/>
    <s v="HUL"/>
    <x v="4"/>
    <x v="18"/>
    <x v="16"/>
    <n v="0"/>
    <x v="1"/>
    <x v="3"/>
    <x v="36"/>
    <n v="95.215000000000003"/>
    <x v="413"/>
    <n v="29.834"/>
    <n v="41.758000000000003"/>
    <n v="23.623000000000001"/>
    <s v="12,32"/>
    <x v="1"/>
  </r>
  <r>
    <x v="1"/>
    <x v="1"/>
    <x v="1"/>
    <x v="3"/>
    <s v="RIC"/>
    <x v="4"/>
    <x v="4"/>
    <x v="17"/>
    <n v="0"/>
    <x v="1"/>
    <x v="29"/>
    <x v="36"/>
    <n v="96.697000000000003"/>
    <x v="414"/>
    <n v="30.425000000000001"/>
    <n v="42.235999999999997"/>
    <n v="23.765000000000001"/>
    <n v="24"/>
    <x v="1"/>
  </r>
  <r>
    <x v="1"/>
    <x v="1"/>
    <x v="1"/>
    <x v="9"/>
    <s v="SAI"/>
    <x v="3"/>
    <x v="6"/>
    <x v="18"/>
    <n v="0"/>
    <x v="1"/>
    <x v="8"/>
    <x v="28"/>
    <n v="95.585999999999999"/>
    <x v="415"/>
    <n v="30.263999999999999"/>
    <n v="41.701999999999998"/>
    <n v="23.440999999999999"/>
    <s v="4,24,40,53"/>
    <x v="1"/>
  </r>
  <r>
    <x v="1"/>
    <x v="1"/>
    <x v="1"/>
    <x v="15"/>
    <s v="GRO"/>
    <x v="9"/>
    <x v="8"/>
    <x v="19"/>
    <n v="0"/>
    <x v="1"/>
    <x v="21"/>
    <x v="59"/>
    <n v="97.262"/>
    <x v="416"/>
    <n v="30.869"/>
    <n v="42.323"/>
    <n v="24.07"/>
    <s v="1,16"/>
    <x v="1"/>
  </r>
  <r>
    <x v="1"/>
    <x v="2"/>
    <x v="2"/>
    <x v="1"/>
    <s v="HAM"/>
    <x v="1"/>
    <x v="2"/>
    <x v="0"/>
    <n v="25"/>
    <x v="0"/>
    <x v="0"/>
    <x v="7"/>
    <n v="95.891999999999996"/>
    <x v="417"/>
    <n v="25.469000000000001"/>
    <n v="28.417000000000002"/>
    <n v="41.878999999999998"/>
    <s v="22,36"/>
    <x v="1"/>
  </r>
  <r>
    <x v="1"/>
    <x v="2"/>
    <x v="2"/>
    <x v="7"/>
    <s v="BOT"/>
    <x v="1"/>
    <x v="1"/>
    <x v="1"/>
    <n v="18"/>
    <x v="0"/>
    <x v="0"/>
    <x v="7"/>
    <n v="94.872"/>
    <x v="418"/>
    <n v="24.933"/>
    <n v="28.027000000000001"/>
    <n v="41.85"/>
    <s v="21,36"/>
    <x v="1"/>
  </r>
  <r>
    <x v="1"/>
    <x v="2"/>
    <x v="2"/>
    <x v="0"/>
    <s v="VET"/>
    <x v="0"/>
    <x v="0"/>
    <x v="2"/>
    <n v="15"/>
    <x v="0"/>
    <x v="0"/>
    <x v="7"/>
    <n v="94.835999999999999"/>
    <x v="419"/>
    <n v="25.077999999999999"/>
    <n v="27.925999999999998"/>
    <n v="41.832000000000001"/>
    <s v="18,35"/>
    <x v="1"/>
  </r>
  <r>
    <x v="1"/>
    <x v="2"/>
    <x v="2"/>
    <x v="5"/>
    <s v="VER"/>
    <x v="2"/>
    <x v="16"/>
    <x v="3"/>
    <n v="12"/>
    <x v="1"/>
    <x v="0"/>
    <x v="7"/>
    <n v="96.143000000000001"/>
    <x v="420"/>
    <n v="25.475999999999999"/>
    <n v="28.425999999999998"/>
    <n v="42.162999999999997"/>
    <s v="17,34"/>
    <x v="1"/>
  </r>
  <r>
    <x v="1"/>
    <x v="2"/>
    <x v="2"/>
    <x v="12"/>
    <s v="LEC"/>
    <x v="0"/>
    <x v="5"/>
    <x v="4"/>
    <n v="10"/>
    <x v="1"/>
    <x v="0"/>
    <x v="7"/>
    <n v="94.86"/>
    <x v="421"/>
    <n v="25.065000000000001"/>
    <n v="27.901"/>
    <n v="41.893999999999998"/>
    <s v="22,42"/>
    <x v="1"/>
  </r>
  <r>
    <x v="1"/>
    <x v="2"/>
    <x v="2"/>
    <x v="17"/>
    <s v="GAS"/>
    <x v="2"/>
    <x v="15"/>
    <x v="5"/>
    <n v="9"/>
    <x v="1"/>
    <x v="0"/>
    <x v="7"/>
    <n v="94.742000000000004"/>
    <x v="422"/>
    <n v="25.012"/>
    <n v="27.997"/>
    <n v="41.732999999999997"/>
    <s v="19,39,53"/>
    <x v="1"/>
  </r>
  <r>
    <x v="1"/>
    <x v="2"/>
    <x v="2"/>
    <x v="3"/>
    <s v="RIC"/>
    <x v="4"/>
    <x v="6"/>
    <x v="6"/>
    <n v="6"/>
    <x v="1"/>
    <x v="1"/>
    <x v="35"/>
    <n v="98.632000000000005"/>
    <x v="423"/>
    <n v="26.047999999999998"/>
    <n v="29.382999999999999"/>
    <n v="43.127000000000002"/>
    <n v="18"/>
    <x v="1"/>
  </r>
  <r>
    <x v="1"/>
    <x v="2"/>
    <x v="2"/>
    <x v="10"/>
    <s v="PER"/>
    <x v="10"/>
    <x v="10"/>
    <x v="7"/>
    <n v="4"/>
    <x v="1"/>
    <x v="1"/>
    <x v="35"/>
    <n v="98.701999999999998"/>
    <x v="424"/>
    <n v="26.175000000000001"/>
    <n v="29.356000000000002"/>
    <n v="43.048999999999999"/>
    <n v="20"/>
    <x v="1"/>
  </r>
  <r>
    <x v="1"/>
    <x v="2"/>
    <x v="2"/>
    <x v="2"/>
    <s v="RAI"/>
    <x v="11"/>
    <x v="13"/>
    <x v="8"/>
    <n v="2"/>
    <x v="1"/>
    <x v="1"/>
    <x v="35"/>
    <n v="97.811999999999998"/>
    <x v="425"/>
    <n v="25.841999999999999"/>
    <n v="29.016999999999999"/>
    <n v="42.857999999999997"/>
    <n v="25"/>
    <x v="1"/>
  </r>
  <r>
    <x v="1"/>
    <x v="2"/>
    <x v="2"/>
    <x v="22"/>
    <s v="ALB"/>
    <x v="8"/>
    <x v="20"/>
    <x v="9"/>
    <n v="1"/>
    <x v="1"/>
    <x v="1"/>
    <x v="35"/>
    <n v="98.900999999999996"/>
    <x v="426"/>
    <n v="25.917999999999999"/>
    <n v="29.54"/>
    <n v="42.954999999999998"/>
    <n v="19"/>
    <x v="1"/>
  </r>
  <r>
    <x v="1"/>
    <x v="2"/>
    <x v="2"/>
    <x v="15"/>
    <s v="GRO"/>
    <x v="9"/>
    <x v="4"/>
    <x v="10"/>
    <n v="0"/>
    <x v="1"/>
    <x v="1"/>
    <x v="35"/>
    <n v="96.873000000000005"/>
    <x v="427"/>
    <n v="25.439"/>
    <n v="28.771000000000001"/>
    <n v="42.662999999999997"/>
    <s v="8,35"/>
    <x v="1"/>
  </r>
  <r>
    <x v="1"/>
    <x v="2"/>
    <x v="2"/>
    <x v="13"/>
    <s v="STR"/>
    <x v="10"/>
    <x v="14"/>
    <x v="11"/>
    <n v="0"/>
    <x v="1"/>
    <x v="1"/>
    <x v="35"/>
    <n v="96.677999999999997"/>
    <x v="428"/>
    <n v="25.318999999999999"/>
    <n v="28.760999999999999"/>
    <n v="42.597999999999999"/>
    <s v="20,44"/>
    <x v="1"/>
  </r>
  <r>
    <x v="1"/>
    <x v="2"/>
    <x v="2"/>
    <x v="16"/>
    <s v="MAG"/>
    <x v="9"/>
    <x v="9"/>
    <x v="12"/>
    <n v="0"/>
    <x v="1"/>
    <x v="1"/>
    <x v="35"/>
    <n v="97.471000000000004"/>
    <x v="429"/>
    <n v="25.681000000000001"/>
    <n v="28.716000000000001"/>
    <n v="42.957000000000001"/>
    <s v="9,33"/>
    <x v="1"/>
  </r>
  <r>
    <x v="1"/>
    <x v="2"/>
    <x v="2"/>
    <x v="9"/>
    <s v="SAI"/>
    <x v="3"/>
    <x v="11"/>
    <x v="13"/>
    <n v="0"/>
    <x v="1"/>
    <x v="1"/>
    <x v="35"/>
    <n v="97.501999999999995"/>
    <x v="430"/>
    <n v="25.701999999999899"/>
    <n v="28.797999999999998"/>
    <n v="42.84"/>
    <s v="1,36"/>
    <x v="1"/>
  </r>
  <r>
    <x v="1"/>
    <x v="2"/>
    <x v="2"/>
    <x v="23"/>
    <s v="GIO"/>
    <x v="11"/>
    <x v="19"/>
    <x v="14"/>
    <n v="0"/>
    <x v="1"/>
    <x v="1"/>
    <x v="35"/>
    <n v="98.048000000000002"/>
    <x v="431"/>
    <n v="25.798999999999999"/>
    <n v="29.048999999999999"/>
    <n v="42.892000000000003"/>
    <s v="7,30"/>
    <x v="1"/>
  </r>
  <r>
    <x v="1"/>
    <x v="2"/>
    <x v="2"/>
    <x v="24"/>
    <s v="RUS"/>
    <x v="7"/>
    <x v="18"/>
    <x v="15"/>
    <n v="0"/>
    <x v="1"/>
    <x v="11"/>
    <x v="36"/>
    <n v="97.283000000000001"/>
    <x v="432"/>
    <n v="25.811"/>
    <n v="28.568000000000001"/>
    <n v="42.904000000000003"/>
    <s v="22,49"/>
    <x v="1"/>
  </r>
  <r>
    <x v="1"/>
    <x v="2"/>
    <x v="2"/>
    <x v="25"/>
    <s v="KUB"/>
    <x v="7"/>
    <x v="12"/>
    <x v="16"/>
    <n v="0"/>
    <x v="1"/>
    <x v="11"/>
    <x v="36"/>
    <n v="99.772000000000006"/>
    <x v="433"/>
    <n v="26.17"/>
    <n v="29.733000000000001"/>
    <n v="43.850999999999999"/>
    <n v="26"/>
    <x v="1"/>
  </r>
  <r>
    <x v="1"/>
    <x v="2"/>
    <x v="2"/>
    <x v="21"/>
    <s v="NOR"/>
    <x v="3"/>
    <x v="7"/>
    <x v="17"/>
    <n v="0"/>
    <x v="1"/>
    <x v="10"/>
    <x v="43"/>
    <n v="98.346000000000004"/>
    <x v="434"/>
    <n v="25.808"/>
    <n v="29.423999999999999"/>
    <n v="42.555"/>
    <s v="1,17,34,50"/>
    <x v="1"/>
  </r>
  <r>
    <x v="1"/>
    <x v="2"/>
    <x v="2"/>
    <x v="20"/>
    <s v="KVY"/>
    <x v="8"/>
    <x v="8"/>
    <x v="18"/>
    <n v="0"/>
    <x v="1"/>
    <x v="10"/>
    <x v="32"/>
    <n v="97.974999999999994"/>
    <x v="435"/>
    <n v="25.901"/>
    <n v="29.271999999999998"/>
    <n v="42.707000000000001"/>
    <s v="7,25,30,41"/>
    <x v="1"/>
  </r>
  <r>
    <x v="1"/>
    <x v="2"/>
    <x v="2"/>
    <x v="6"/>
    <s v="HUL"/>
    <x v="4"/>
    <x v="3"/>
    <x v="19"/>
    <n v="0"/>
    <x v="1"/>
    <x v="20"/>
    <x v="59"/>
    <n v="99.677000000000007"/>
    <x v="436"/>
    <n v="26.167999999999999"/>
    <n v="30.001000000000001"/>
    <n v="43.326000000000001"/>
    <s v="11,16"/>
    <x v="1"/>
  </r>
  <r>
    <x v="1"/>
    <x v="3"/>
    <x v="3"/>
    <x v="7"/>
    <s v="BOT"/>
    <x v="1"/>
    <x v="1"/>
    <x v="0"/>
    <n v="25"/>
    <x v="0"/>
    <x v="0"/>
    <x v="11"/>
    <n v="104.024"/>
    <x v="437"/>
    <n v="36.945999999999998"/>
    <n v="41.890999999999998"/>
    <n v="24.963000000000001"/>
    <n v="12"/>
    <x v="1"/>
  </r>
  <r>
    <x v="1"/>
    <x v="3"/>
    <x v="3"/>
    <x v="1"/>
    <s v="HAM"/>
    <x v="1"/>
    <x v="2"/>
    <x v="1"/>
    <n v="18"/>
    <x v="0"/>
    <x v="0"/>
    <x v="11"/>
    <n v="104.166"/>
    <x v="438"/>
    <n v="37.034999999999997"/>
    <n v="41.926000000000002"/>
    <n v="24.795999999999999"/>
    <n v="13"/>
    <x v="1"/>
  </r>
  <r>
    <x v="1"/>
    <x v="3"/>
    <x v="3"/>
    <x v="0"/>
    <s v="VET"/>
    <x v="0"/>
    <x v="0"/>
    <x v="2"/>
    <n v="15"/>
    <x v="0"/>
    <x v="0"/>
    <x v="11"/>
    <n v="104.629"/>
    <x v="439"/>
    <n v="37.005000000000003"/>
    <n v="42.262"/>
    <n v="25.097999999999999"/>
    <n v="11"/>
    <x v="1"/>
  </r>
  <r>
    <x v="1"/>
    <x v="3"/>
    <x v="3"/>
    <x v="5"/>
    <s v="VER"/>
    <x v="2"/>
    <x v="5"/>
    <x v="3"/>
    <n v="12"/>
    <x v="1"/>
    <x v="0"/>
    <x v="11"/>
    <n v="104.794"/>
    <x v="440"/>
    <n v="37.502000000000002"/>
    <n v="42.116"/>
    <n v="24.88"/>
    <n v="14"/>
    <x v="1"/>
  </r>
  <r>
    <x v="1"/>
    <x v="3"/>
    <x v="3"/>
    <x v="12"/>
    <s v="LEC"/>
    <x v="0"/>
    <x v="3"/>
    <x v="4"/>
    <n v="11"/>
    <x v="1"/>
    <x v="0"/>
    <x v="11"/>
    <n v="103.009"/>
    <x v="441"/>
    <n v="36.630000000000003"/>
    <n v="41.46"/>
    <n v="24.919"/>
    <s v="34,47"/>
    <x v="1"/>
  </r>
  <r>
    <x v="1"/>
    <x v="3"/>
    <x v="3"/>
    <x v="10"/>
    <s v="PER"/>
    <x v="10"/>
    <x v="16"/>
    <x v="5"/>
    <n v="8"/>
    <x v="1"/>
    <x v="0"/>
    <x v="11"/>
    <n v="105.524"/>
    <x v="442"/>
    <n v="37.542000000000002"/>
    <n v="42.475999999999999"/>
    <n v="25.257999999999999"/>
    <n v="10"/>
    <x v="1"/>
  </r>
  <r>
    <x v="1"/>
    <x v="3"/>
    <x v="3"/>
    <x v="9"/>
    <s v="SAI"/>
    <x v="3"/>
    <x v="9"/>
    <x v="6"/>
    <n v="6"/>
    <x v="1"/>
    <x v="0"/>
    <x v="11"/>
    <n v="105.807"/>
    <x v="443"/>
    <n v="37.695999999999998"/>
    <n v="42.726999999999997"/>
    <n v="25.257999999999999"/>
    <n v="12"/>
    <x v="1"/>
  </r>
  <r>
    <x v="1"/>
    <x v="3"/>
    <x v="3"/>
    <x v="21"/>
    <s v="NOR"/>
    <x v="3"/>
    <x v="6"/>
    <x v="7"/>
    <n v="4"/>
    <x v="1"/>
    <x v="0"/>
    <x v="11"/>
    <n v="105.39400000000001"/>
    <x v="444"/>
    <n v="37.398000000000003"/>
    <n v="42.353000000000002"/>
    <n v="25.199000000000002"/>
    <s v="9,39"/>
    <x v="1"/>
  </r>
  <r>
    <x v="1"/>
    <x v="3"/>
    <x v="3"/>
    <x v="13"/>
    <s v="STR"/>
    <x v="10"/>
    <x v="13"/>
    <x v="8"/>
    <n v="2"/>
    <x v="1"/>
    <x v="0"/>
    <x v="11"/>
    <n v="106.009"/>
    <x v="445"/>
    <n v="37.640999999999998"/>
    <n v="42.654000000000003"/>
    <n v="25.210999999999999"/>
    <n v="10"/>
    <x v="1"/>
  </r>
  <r>
    <x v="1"/>
    <x v="3"/>
    <x v="3"/>
    <x v="2"/>
    <s v="RAI"/>
    <x v="11"/>
    <x v="20"/>
    <x v="9"/>
    <n v="1"/>
    <x v="1"/>
    <x v="1"/>
    <x v="43"/>
    <n v="106.479"/>
    <x v="446"/>
    <n v="37.819000000000003"/>
    <n v="42.817999999999998"/>
    <n v="25.215"/>
    <n v="6"/>
    <x v="1"/>
  </r>
  <r>
    <x v="1"/>
    <x v="3"/>
    <x v="3"/>
    <x v="22"/>
    <s v="ALB"/>
    <x v="8"/>
    <x v="8"/>
    <x v="10"/>
    <n v="0"/>
    <x v="1"/>
    <x v="1"/>
    <x v="43"/>
    <n v="105.754"/>
    <x v="447"/>
    <n v="37.618000000000002"/>
    <n v="42.866"/>
    <n v="24.83"/>
    <n v="12"/>
    <x v="1"/>
  </r>
  <r>
    <x v="1"/>
    <x v="3"/>
    <x v="3"/>
    <x v="23"/>
    <s v="GIO"/>
    <x v="11"/>
    <x v="18"/>
    <x v="11"/>
    <n v="0"/>
    <x v="1"/>
    <x v="1"/>
    <x v="43"/>
    <n v="105.96899999999999"/>
    <x v="448"/>
    <n v="37.883000000000003"/>
    <n v="42.741999999999997"/>
    <n v="25.05"/>
    <n v="7"/>
    <x v="1"/>
  </r>
  <r>
    <x v="1"/>
    <x v="3"/>
    <x v="3"/>
    <x v="16"/>
    <s v="MAG"/>
    <x v="9"/>
    <x v="10"/>
    <x v="12"/>
    <n v="0"/>
    <x v="1"/>
    <x v="1"/>
    <x v="43"/>
    <n v="106.682"/>
    <x v="449"/>
    <n v="37.832999999999998"/>
    <n v="43.048000000000002"/>
    <n v="25.402000000000001"/>
    <s v="7,39"/>
    <x v="1"/>
  </r>
  <r>
    <x v="1"/>
    <x v="3"/>
    <x v="3"/>
    <x v="6"/>
    <s v="HUL"/>
    <x v="4"/>
    <x v="7"/>
    <x v="13"/>
    <n v="0"/>
    <x v="1"/>
    <x v="1"/>
    <x v="43"/>
    <n v="107.407"/>
    <x v="450"/>
    <n v="38.069000000000003"/>
    <n v="43.103999999999999"/>
    <n v="25.483000000000001"/>
    <s v="8,34"/>
    <x v="1"/>
  </r>
  <r>
    <x v="1"/>
    <x v="3"/>
    <x v="3"/>
    <x v="24"/>
    <s v="RUS"/>
    <x v="7"/>
    <x v="14"/>
    <x v="14"/>
    <n v="0"/>
    <x v="1"/>
    <x v="11"/>
    <x v="12"/>
    <n v="107.251"/>
    <x v="451"/>
    <n v="37.988999999999997"/>
    <n v="43.276000000000003"/>
    <n v="25.794"/>
    <s v="25,38"/>
    <x v="1"/>
  </r>
  <r>
    <x v="1"/>
    <x v="3"/>
    <x v="3"/>
    <x v="25"/>
    <s v="KUB"/>
    <x v="7"/>
    <x v="20"/>
    <x v="15"/>
    <n v="0"/>
    <x v="1"/>
    <x v="11"/>
    <x v="12"/>
    <n v="107.709"/>
    <x v="452"/>
    <n v="38.345999999999997"/>
    <n v="43.276000000000003"/>
    <n v="25.638999999999999"/>
    <s v="14,23,42"/>
    <x v="1"/>
  </r>
  <r>
    <x v="1"/>
    <x v="3"/>
    <x v="3"/>
    <x v="17"/>
    <s v="GAS"/>
    <x v="2"/>
    <x v="20"/>
    <x v="16"/>
    <n v="0"/>
    <x v="1"/>
    <x v="30"/>
    <x v="22"/>
    <n v="105.712"/>
    <x v="453"/>
    <n v="37.533000000000001"/>
    <n v="42.64"/>
    <n v="25.085999999999999"/>
    <m/>
    <x v="1"/>
  </r>
  <r>
    <x v="1"/>
    <x v="3"/>
    <x v="3"/>
    <x v="15"/>
    <s v="GRO"/>
    <x v="9"/>
    <x v="11"/>
    <x v="17"/>
    <n v="0"/>
    <x v="1"/>
    <x v="5"/>
    <x v="39"/>
    <n v="108.517"/>
    <x v="454"/>
    <n v="38.747999999999998"/>
    <n v="43.860999999999997"/>
    <n v="25.439"/>
    <s v="34,38"/>
    <x v="1"/>
  </r>
  <r>
    <x v="1"/>
    <x v="3"/>
    <x v="3"/>
    <x v="20"/>
    <s v="KVY"/>
    <x v="8"/>
    <x v="15"/>
    <x v="18"/>
    <n v="0"/>
    <x v="1"/>
    <x v="10"/>
    <x v="60"/>
    <n v="107.681"/>
    <x v="455"/>
    <n v="38.247999999999998"/>
    <n v="43.462000000000003"/>
    <n v="25.306999999999999"/>
    <s v="5,33"/>
    <x v="1"/>
  </r>
  <r>
    <x v="1"/>
    <x v="3"/>
    <x v="3"/>
    <x v="3"/>
    <s v="RIC"/>
    <x v="4"/>
    <x v="4"/>
    <x v="19"/>
    <n v="0"/>
    <x v="1"/>
    <x v="10"/>
    <x v="50"/>
    <n v="106.767"/>
    <x v="456"/>
    <n v="38.107999999999997"/>
    <n v="43.417000000000002"/>
    <n v="25.052"/>
    <s v="10,31"/>
    <x v="1"/>
  </r>
  <r>
    <x v="1"/>
    <x v="4"/>
    <x v="4"/>
    <x v="1"/>
    <s v="HAM"/>
    <x v="1"/>
    <x v="2"/>
    <x v="0"/>
    <n v="26"/>
    <x v="0"/>
    <x v="0"/>
    <x v="17"/>
    <n v="78.492000000000004"/>
    <x v="457"/>
    <n v="22.460999999999999"/>
    <n v="29.158000000000001"/>
    <n v="26.873000000000001"/>
    <s v="27,46"/>
    <x v="1"/>
  </r>
  <r>
    <x v="1"/>
    <x v="4"/>
    <x v="4"/>
    <x v="7"/>
    <s v="BOT"/>
    <x v="1"/>
    <x v="1"/>
    <x v="1"/>
    <n v="18"/>
    <x v="0"/>
    <x v="0"/>
    <x v="17"/>
    <n v="78.736999999999995"/>
    <x v="458"/>
    <n v="22.367999999999999"/>
    <n v="29.303000000000001"/>
    <n v="27.065999999999999"/>
    <s v="26,45"/>
    <x v="1"/>
  </r>
  <r>
    <x v="1"/>
    <x v="4"/>
    <x v="4"/>
    <x v="5"/>
    <s v="VER"/>
    <x v="2"/>
    <x v="5"/>
    <x v="2"/>
    <n v="15"/>
    <x v="0"/>
    <x v="0"/>
    <x v="17"/>
    <n v="79.769000000000005"/>
    <x v="459"/>
    <n v="22.62"/>
    <n v="29.766999999999999"/>
    <n v="27.366"/>
    <s v="20,43"/>
    <x v="1"/>
  </r>
  <r>
    <x v="1"/>
    <x v="4"/>
    <x v="4"/>
    <x v="0"/>
    <s v="VET"/>
    <x v="0"/>
    <x v="0"/>
    <x v="3"/>
    <n v="12"/>
    <x v="1"/>
    <x v="0"/>
    <x v="17"/>
    <n v="79.819999999999993"/>
    <x v="460"/>
    <n v="22.456"/>
    <n v="29.667000000000002"/>
    <n v="27.45"/>
    <s v="19,40"/>
    <x v="1"/>
  </r>
  <r>
    <x v="1"/>
    <x v="4"/>
    <x v="4"/>
    <x v="12"/>
    <s v="LEC"/>
    <x v="0"/>
    <x v="16"/>
    <x v="4"/>
    <n v="10"/>
    <x v="1"/>
    <x v="0"/>
    <x v="17"/>
    <n v="80.001999999999995"/>
    <x v="461"/>
    <n v="22.524999999999999"/>
    <n v="29.713000000000001"/>
    <n v="27.731000000000002"/>
    <s v="25,46"/>
    <x v="1"/>
  </r>
  <r>
    <x v="1"/>
    <x v="4"/>
    <x v="4"/>
    <x v="17"/>
    <s v="GAS"/>
    <x v="2"/>
    <x v="15"/>
    <x v="5"/>
    <n v="8"/>
    <x v="1"/>
    <x v="0"/>
    <x v="17"/>
    <n v="80.536000000000001"/>
    <x v="462"/>
    <n v="22.88"/>
    <n v="30.04"/>
    <n v="27.46"/>
    <s v="22,46"/>
    <x v="1"/>
  </r>
  <r>
    <x v="1"/>
    <x v="4"/>
    <x v="4"/>
    <x v="16"/>
    <s v="MAG"/>
    <x v="9"/>
    <x v="3"/>
    <x v="6"/>
    <n v="6"/>
    <x v="1"/>
    <x v="0"/>
    <x v="17"/>
    <n v="80.77"/>
    <x v="463"/>
    <n v="22.981999999999999"/>
    <n v="29.887"/>
    <n v="27.866"/>
    <s v="23,45"/>
    <x v="1"/>
  </r>
  <r>
    <x v="1"/>
    <x v="4"/>
    <x v="4"/>
    <x v="9"/>
    <s v="SAI"/>
    <x v="3"/>
    <x v="10"/>
    <x v="7"/>
    <n v="4"/>
    <x v="1"/>
    <x v="0"/>
    <x v="17"/>
    <n v="80.858999999999995"/>
    <x v="464"/>
    <n v="22.317"/>
    <n v="30.193999999999999"/>
    <n v="28.132000000000001"/>
    <s v="24,46"/>
    <x v="1"/>
  </r>
  <r>
    <x v="1"/>
    <x v="4"/>
    <x v="4"/>
    <x v="20"/>
    <s v="KVY"/>
    <x v="8"/>
    <x v="9"/>
    <x v="8"/>
    <n v="2"/>
    <x v="1"/>
    <x v="0"/>
    <x v="17"/>
    <n v="80.725999999999999"/>
    <x v="465"/>
    <n v="22.577999999999999"/>
    <n v="30.042000000000002"/>
    <n v="27.859000000000002"/>
    <s v="21,45"/>
    <x v="1"/>
  </r>
  <r>
    <x v="1"/>
    <x v="4"/>
    <x v="4"/>
    <x v="15"/>
    <s v="GRO"/>
    <x v="9"/>
    <x v="6"/>
    <x v="9"/>
    <n v="1"/>
    <x v="1"/>
    <x v="0"/>
    <x v="17"/>
    <n v="81.057000000000002"/>
    <x v="466"/>
    <n v="22.786000000000001"/>
    <n v="29.928000000000001"/>
    <n v="27.943999999999999"/>
    <s v="26,46"/>
    <x v="1"/>
  </r>
  <r>
    <x v="1"/>
    <x v="4"/>
    <x v="4"/>
    <x v="22"/>
    <s v="ALB"/>
    <x v="8"/>
    <x v="8"/>
    <x v="10"/>
    <n v="0"/>
    <x v="1"/>
    <x v="0"/>
    <x v="17"/>
    <n v="81.028000000000006"/>
    <x v="467"/>
    <n v="22.628"/>
    <n v="30.199000000000002"/>
    <n v="27.901"/>
    <s v="25,45"/>
    <x v="1"/>
  </r>
  <r>
    <x v="1"/>
    <x v="4"/>
    <x v="4"/>
    <x v="3"/>
    <s v="RIC"/>
    <x v="4"/>
    <x v="13"/>
    <x v="11"/>
    <n v="0"/>
    <x v="1"/>
    <x v="0"/>
    <x v="17"/>
    <n v="80.614999999999995"/>
    <x v="468"/>
    <n v="22.379000000000001"/>
    <n v="30.332999999999998"/>
    <n v="27.902999999999999"/>
    <s v="24,45"/>
    <x v="1"/>
  </r>
  <r>
    <x v="1"/>
    <x v="4"/>
    <x v="4"/>
    <x v="6"/>
    <s v="HUL"/>
    <x v="4"/>
    <x v="20"/>
    <x v="12"/>
    <n v="0"/>
    <x v="1"/>
    <x v="0"/>
    <x v="17"/>
    <n v="81.281999999999996"/>
    <x v="469"/>
    <n v="22.96"/>
    <n v="30.268999999999998"/>
    <n v="27.972999999999999"/>
    <n v="35"/>
    <x v="1"/>
  </r>
  <r>
    <x v="1"/>
    <x v="4"/>
    <x v="4"/>
    <x v="2"/>
    <s v="RAI"/>
    <x v="11"/>
    <x v="11"/>
    <x v="13"/>
    <n v="0"/>
    <x v="1"/>
    <x v="0"/>
    <x v="17"/>
    <n v="81.382000000000005"/>
    <x v="470"/>
    <n v="22.867000000000001"/>
    <n v="30.177"/>
    <n v="28.132000000000001"/>
    <s v="28,45"/>
    <x v="1"/>
  </r>
  <r>
    <x v="1"/>
    <x v="4"/>
    <x v="4"/>
    <x v="10"/>
    <s v="PER"/>
    <x v="10"/>
    <x v="7"/>
    <x v="14"/>
    <n v="0"/>
    <x v="1"/>
    <x v="0"/>
    <x v="17"/>
    <n v="81.858999999999995"/>
    <x v="471"/>
    <n v="22.972000000000001"/>
    <n v="30.553999999999998"/>
    <n v="28.245000000000001"/>
    <s v="24,45"/>
    <x v="1"/>
  </r>
  <r>
    <x v="1"/>
    <x v="4"/>
    <x v="4"/>
    <x v="23"/>
    <s v="GIO"/>
    <x v="11"/>
    <x v="12"/>
    <x v="15"/>
    <n v="0"/>
    <x v="1"/>
    <x v="0"/>
    <x v="17"/>
    <n v="81.832999999999998"/>
    <x v="472"/>
    <n v="22.786999999999999"/>
    <n v="30.503"/>
    <n v="28.398"/>
    <s v="6,41"/>
    <x v="1"/>
  </r>
  <r>
    <x v="1"/>
    <x v="4"/>
    <x v="4"/>
    <x v="24"/>
    <s v="RUS"/>
    <x v="7"/>
    <x v="19"/>
    <x v="16"/>
    <n v="0"/>
    <x v="1"/>
    <x v="1"/>
    <x v="18"/>
    <n v="82.382000000000005"/>
    <x v="473"/>
    <n v="23.193000000000001"/>
    <n v="30.576999999999899"/>
    <n v="28.466999999999999"/>
    <s v="32,44"/>
    <x v="1"/>
  </r>
  <r>
    <x v="1"/>
    <x v="4"/>
    <x v="4"/>
    <x v="25"/>
    <s v="KUB"/>
    <x v="7"/>
    <x v="18"/>
    <x v="17"/>
    <n v="0"/>
    <x v="1"/>
    <x v="1"/>
    <x v="18"/>
    <n v="83.201999999999998"/>
    <x v="474"/>
    <n v="23.437999999999999"/>
    <n v="31.023"/>
    <n v="28.706"/>
    <s v="31,44"/>
    <x v="1"/>
  </r>
  <r>
    <x v="1"/>
    <x v="4"/>
    <x v="4"/>
    <x v="13"/>
    <s v="STR"/>
    <x v="10"/>
    <x v="14"/>
    <x v="18"/>
    <n v="0"/>
    <x v="1"/>
    <x v="10"/>
    <x v="55"/>
    <n v="83.225999999999999"/>
    <x v="475"/>
    <n v="23.263000000000002"/>
    <n v="31.027999999999999"/>
    <n v="28.597999999999999"/>
    <n v="22"/>
    <x v="1"/>
  </r>
  <r>
    <x v="1"/>
    <x v="4"/>
    <x v="4"/>
    <x v="21"/>
    <s v="NOR"/>
    <x v="3"/>
    <x v="4"/>
    <x v="19"/>
    <n v="0"/>
    <x v="1"/>
    <x v="10"/>
    <x v="55"/>
    <n v="82.561000000000007"/>
    <x v="476"/>
    <n v="23.25"/>
    <n v="30.856999999999999"/>
    <n v="28.277999999999999"/>
    <n v="26"/>
    <x v="1"/>
  </r>
  <r>
    <x v="1"/>
    <x v="5"/>
    <x v="5"/>
    <x v="1"/>
    <s v="HAM"/>
    <x v="1"/>
    <x v="1"/>
    <x v="0"/>
    <n v="25"/>
    <x v="0"/>
    <x v="0"/>
    <x v="24"/>
    <n v="76.167000000000002"/>
    <x v="477"/>
    <n v="19.763000000000002"/>
    <n v="35.823"/>
    <n v="20.277000000000001"/>
    <n v="11"/>
    <x v="0"/>
  </r>
  <r>
    <x v="1"/>
    <x v="5"/>
    <x v="5"/>
    <x v="0"/>
    <s v="VET"/>
    <x v="0"/>
    <x v="5"/>
    <x v="1"/>
    <n v="18"/>
    <x v="0"/>
    <x v="0"/>
    <x v="24"/>
    <n v="76.277000000000001"/>
    <x v="478"/>
    <n v="19.823"/>
    <n v="35.713999999999999"/>
    <n v="20.440999999999999"/>
    <n v="11"/>
    <x v="0"/>
  </r>
  <r>
    <x v="1"/>
    <x v="5"/>
    <x v="5"/>
    <x v="7"/>
    <s v="BOT"/>
    <x v="1"/>
    <x v="2"/>
    <x v="2"/>
    <n v="15"/>
    <x v="0"/>
    <x v="0"/>
    <x v="24"/>
    <n v="75.162999999999997"/>
    <x v="479"/>
    <n v="19.838000000000001"/>
    <n v="35.28"/>
    <n v="20.045000000000002"/>
    <s v="11,12"/>
    <x v="0"/>
  </r>
  <r>
    <x v="1"/>
    <x v="5"/>
    <x v="5"/>
    <x v="5"/>
    <s v="VER"/>
    <x v="2"/>
    <x v="0"/>
    <x v="3"/>
    <n v="12"/>
    <x v="1"/>
    <x v="0"/>
    <x v="24"/>
    <n v="76.228999999999999"/>
    <x v="480"/>
    <n v="20.065000000000001"/>
    <n v="35.659999999999997"/>
    <n v="20.332999999999998"/>
    <n v="11"/>
    <x v="0"/>
  </r>
  <r>
    <x v="1"/>
    <x v="5"/>
    <x v="5"/>
    <x v="17"/>
    <s v="GAS"/>
    <x v="2"/>
    <x v="3"/>
    <x v="4"/>
    <n v="11"/>
    <x v="1"/>
    <x v="0"/>
    <x v="24"/>
    <n v="74.278999999999996"/>
    <x v="481"/>
    <n v="19.568999999999999"/>
    <n v="34.639000000000003"/>
    <n v="19.914999999999999"/>
    <s v="27,62"/>
    <x v="0"/>
  </r>
  <r>
    <x v="1"/>
    <x v="5"/>
    <x v="5"/>
    <x v="9"/>
    <s v="SAI"/>
    <x v="3"/>
    <x v="9"/>
    <x v="5"/>
    <n v="8"/>
    <x v="1"/>
    <x v="0"/>
    <x v="24"/>
    <n v="75.891000000000005"/>
    <x v="482"/>
    <n v="20.073"/>
    <n v="35.470999999999997"/>
    <n v="20.347000000000001"/>
    <n v="30"/>
    <x v="0"/>
  </r>
  <r>
    <x v="1"/>
    <x v="5"/>
    <x v="5"/>
    <x v="20"/>
    <s v="KVY"/>
    <x v="8"/>
    <x v="6"/>
    <x v="6"/>
    <n v="6"/>
    <x v="1"/>
    <x v="0"/>
    <x v="24"/>
    <n v="76.287999999999997"/>
    <x v="483"/>
    <n v="19.847000000000001"/>
    <n v="35.884999999999998"/>
    <n v="20.541"/>
    <n v="32"/>
    <x v="0"/>
  </r>
  <r>
    <x v="1"/>
    <x v="5"/>
    <x v="5"/>
    <x v="22"/>
    <s v="ALB"/>
    <x v="8"/>
    <x v="4"/>
    <x v="7"/>
    <n v="4"/>
    <x v="1"/>
    <x v="0"/>
    <x v="24"/>
    <n v="75.606999999999999"/>
    <x v="484"/>
    <n v="20.079000000000001"/>
    <n v="35.369999999999997"/>
    <n v="20.158000000000001"/>
    <n v="40"/>
    <x v="0"/>
  </r>
  <r>
    <x v="1"/>
    <x v="5"/>
    <x v="5"/>
    <x v="3"/>
    <s v="RIC"/>
    <x v="4"/>
    <x v="15"/>
    <x v="8"/>
    <n v="2"/>
    <x v="1"/>
    <x v="0"/>
    <x v="24"/>
    <n v="75.697000000000003"/>
    <x v="485"/>
    <n v="19.774000000000001"/>
    <n v="35.581000000000003"/>
    <n v="20.193000000000001"/>
    <n v="11"/>
    <x v="0"/>
  </r>
  <r>
    <x v="1"/>
    <x v="5"/>
    <x v="5"/>
    <x v="15"/>
    <s v="GRO"/>
    <x v="9"/>
    <x v="13"/>
    <x v="9"/>
    <n v="1"/>
    <x v="1"/>
    <x v="0"/>
    <x v="24"/>
    <n v="76.745999999999995"/>
    <x v="486"/>
    <n v="20.042000000000002"/>
    <n v="35.9"/>
    <n v="20.515999999999998"/>
    <n v="50"/>
    <x v="0"/>
  </r>
  <r>
    <x v="1"/>
    <x v="5"/>
    <x v="5"/>
    <x v="21"/>
    <s v="NOR"/>
    <x v="3"/>
    <x v="10"/>
    <x v="10"/>
    <n v="0"/>
    <x v="1"/>
    <x v="0"/>
    <x v="24"/>
    <n v="76.412999999999997"/>
    <x v="487"/>
    <n v="19.971"/>
    <n v="35.826000000000001"/>
    <n v="20.463999999999999"/>
    <n v="47"/>
    <x v="0"/>
  </r>
  <r>
    <x v="1"/>
    <x v="5"/>
    <x v="5"/>
    <x v="10"/>
    <s v="PER"/>
    <x v="10"/>
    <x v="14"/>
    <x v="11"/>
    <n v="0"/>
    <x v="1"/>
    <x v="1"/>
    <x v="25"/>
    <n v="76.613"/>
    <x v="488"/>
    <n v="20.001999999999999"/>
    <n v="35.831000000000003"/>
    <n v="20.565999999999999"/>
    <n v="11"/>
    <x v="0"/>
  </r>
  <r>
    <x v="1"/>
    <x v="5"/>
    <x v="5"/>
    <x v="6"/>
    <s v="HUL"/>
    <x v="4"/>
    <x v="8"/>
    <x v="12"/>
    <n v="0"/>
    <x v="1"/>
    <x v="1"/>
    <x v="25"/>
    <n v="76.275999999999996"/>
    <x v="489"/>
    <n v="19.984999999999999"/>
    <n v="35.673000000000002"/>
    <n v="20.346"/>
    <n v="9"/>
    <x v="0"/>
  </r>
  <r>
    <x v="1"/>
    <x v="5"/>
    <x v="5"/>
    <x v="16"/>
    <s v="MAG"/>
    <x v="9"/>
    <x v="16"/>
    <x v="13"/>
    <n v="0"/>
    <x v="1"/>
    <x v="1"/>
    <x v="25"/>
    <n v="76.992000000000004"/>
    <x v="490"/>
    <n v="20.114000000000001"/>
    <n v="36.265000000000001"/>
    <n v="20.486000000000001"/>
    <n v="11"/>
    <x v="0"/>
  </r>
  <r>
    <x v="1"/>
    <x v="5"/>
    <x v="5"/>
    <x v="24"/>
    <s v="RUS"/>
    <x v="7"/>
    <x v="19"/>
    <x v="14"/>
    <n v="0"/>
    <x v="1"/>
    <x v="1"/>
    <x v="25"/>
    <n v="77.037999999999997"/>
    <x v="491"/>
    <n v="20.02"/>
    <n v="36.134"/>
    <n v="20.765000000000001"/>
    <n v="10"/>
    <x v="0"/>
  </r>
  <r>
    <x v="1"/>
    <x v="5"/>
    <x v="5"/>
    <x v="13"/>
    <s v="STR"/>
    <x v="10"/>
    <x v="18"/>
    <x v="15"/>
    <n v="0"/>
    <x v="1"/>
    <x v="1"/>
    <x v="25"/>
    <n v="76.379000000000005"/>
    <x v="492"/>
    <n v="20.02"/>
    <n v="35.597000000000001"/>
    <n v="20.652999999999999"/>
    <n v="39"/>
    <x v="0"/>
  </r>
  <r>
    <x v="1"/>
    <x v="5"/>
    <x v="5"/>
    <x v="2"/>
    <s v="RAI"/>
    <x v="11"/>
    <x v="11"/>
    <x v="16"/>
    <n v="0"/>
    <x v="1"/>
    <x v="1"/>
    <x v="25"/>
    <n v="76.436000000000007"/>
    <x v="493"/>
    <n v="20.193999999999999"/>
    <n v="35.838000000000001"/>
    <n v="20.404"/>
    <n v="46"/>
    <x v="0"/>
  </r>
  <r>
    <x v="1"/>
    <x v="5"/>
    <x v="5"/>
    <x v="25"/>
    <s v="KUB"/>
    <x v="7"/>
    <x v="17"/>
    <x v="17"/>
    <n v="0"/>
    <x v="1"/>
    <x v="1"/>
    <x v="25"/>
    <n v="77.388000000000005"/>
    <x v="494"/>
    <n v="20.384"/>
    <n v="36.128"/>
    <n v="20.792999999999999"/>
    <n v="21"/>
    <x v="0"/>
  </r>
  <r>
    <x v="1"/>
    <x v="5"/>
    <x v="5"/>
    <x v="23"/>
    <s v="GIO"/>
    <x v="11"/>
    <x v="12"/>
    <x v="18"/>
    <n v="0"/>
    <x v="1"/>
    <x v="11"/>
    <x v="26"/>
    <n v="76.299000000000007"/>
    <x v="495"/>
    <n v="20.215"/>
    <n v="35.555999999999997"/>
    <n v="20.527999999999999"/>
    <n v="44"/>
    <x v="0"/>
  </r>
  <r>
    <x v="1"/>
    <x v="5"/>
    <x v="5"/>
    <x v="12"/>
    <s v="LEC"/>
    <x v="0"/>
    <x v="7"/>
    <x v="19"/>
    <n v="0"/>
    <x v="1"/>
    <x v="10"/>
    <x v="61"/>
    <n v="79.150999999999996"/>
    <x v="496"/>
    <n v="20.565000000000001"/>
    <n v="36.932000000000002"/>
    <n v="21.175000000000001"/>
    <s v="9,16,17"/>
    <x v="0"/>
  </r>
  <r>
    <x v="1"/>
    <x v="6"/>
    <x v="6"/>
    <x v="1"/>
    <s v="HAM"/>
    <x v="1"/>
    <x v="2"/>
    <x v="0"/>
    <n v="25"/>
    <x v="0"/>
    <x v="0"/>
    <x v="29"/>
    <n v="74.813000000000002"/>
    <x v="497"/>
    <n v="20.652000000000001"/>
    <n v="23.747"/>
    <n v="29.986000000000001"/>
    <n v="28"/>
    <x v="1"/>
  </r>
  <r>
    <x v="1"/>
    <x v="6"/>
    <x v="6"/>
    <x v="0"/>
    <s v="VET"/>
    <x v="0"/>
    <x v="1"/>
    <x v="1"/>
    <n v="18"/>
    <x v="0"/>
    <x v="0"/>
    <x v="29"/>
    <n v="74.875"/>
    <x v="498"/>
    <n v="20.75"/>
    <n v="23.84"/>
    <n v="29.885000000000002"/>
    <n v="26"/>
    <x v="1"/>
  </r>
  <r>
    <x v="1"/>
    <x v="6"/>
    <x v="6"/>
    <x v="12"/>
    <s v="LEC"/>
    <x v="0"/>
    <x v="0"/>
    <x v="2"/>
    <n v="15"/>
    <x v="0"/>
    <x v="0"/>
    <x v="29"/>
    <n v="74.355999999999995"/>
    <x v="499"/>
    <n v="20.635999999999999"/>
    <n v="23.739000000000001"/>
    <n v="29.821000000000002"/>
    <n v="33"/>
    <x v="1"/>
  </r>
  <r>
    <x v="1"/>
    <x v="6"/>
    <x v="6"/>
    <x v="7"/>
    <s v="BOT"/>
    <x v="1"/>
    <x v="15"/>
    <x v="3"/>
    <n v="13"/>
    <x v="1"/>
    <x v="0"/>
    <x v="29"/>
    <n v="73.078000000000003"/>
    <x v="500"/>
    <n v="20.032"/>
    <n v="23.276"/>
    <n v="29.77"/>
    <s v="30,67"/>
    <x v="1"/>
  </r>
  <r>
    <x v="1"/>
    <x v="6"/>
    <x v="6"/>
    <x v="5"/>
    <s v="VER"/>
    <x v="2"/>
    <x v="9"/>
    <x v="4"/>
    <n v="10"/>
    <x v="1"/>
    <x v="0"/>
    <x v="29"/>
    <n v="74.766999999999996"/>
    <x v="501"/>
    <n v="20.661999999999999"/>
    <n v="23.846"/>
    <n v="29.972000000000001"/>
    <n v="48"/>
    <x v="1"/>
  </r>
  <r>
    <x v="1"/>
    <x v="6"/>
    <x v="6"/>
    <x v="3"/>
    <s v="RIC"/>
    <x v="4"/>
    <x v="5"/>
    <x v="5"/>
    <n v="8"/>
    <x v="1"/>
    <x v="1"/>
    <x v="30"/>
    <n v="76.075000000000003"/>
    <x v="502"/>
    <n v="21.106999999999999"/>
    <n v="24.26"/>
    <n v="30.550999999999998"/>
    <n v="8"/>
    <x v="1"/>
  </r>
  <r>
    <x v="1"/>
    <x v="6"/>
    <x v="6"/>
    <x v="6"/>
    <s v="HUL"/>
    <x v="4"/>
    <x v="6"/>
    <x v="6"/>
    <n v="6"/>
    <x v="1"/>
    <x v="1"/>
    <x v="30"/>
    <n v="75.995000000000005"/>
    <x v="503"/>
    <n v="21.123999999999999"/>
    <n v="24.184999999999999"/>
    <n v="30.547999999999998"/>
    <n v="16"/>
    <x v="1"/>
  </r>
  <r>
    <x v="1"/>
    <x v="6"/>
    <x v="6"/>
    <x v="17"/>
    <s v="GAS"/>
    <x v="2"/>
    <x v="16"/>
    <x v="7"/>
    <n v="4"/>
    <x v="1"/>
    <x v="1"/>
    <x v="30"/>
    <n v="76.156999999999996"/>
    <x v="504"/>
    <n v="21.097999999999999"/>
    <n v="24.193000000000001"/>
    <n v="30.55"/>
    <n v="7"/>
    <x v="1"/>
  </r>
  <r>
    <x v="1"/>
    <x v="6"/>
    <x v="6"/>
    <x v="13"/>
    <s v="STR"/>
    <x v="10"/>
    <x v="18"/>
    <x v="8"/>
    <n v="2"/>
    <x v="1"/>
    <x v="1"/>
    <x v="30"/>
    <n v="76.043000000000006"/>
    <x v="505"/>
    <n v="20.995000000000001"/>
    <n v="24.327000000000002"/>
    <n v="30.591999999999999"/>
    <n v="45"/>
    <x v="1"/>
  </r>
  <r>
    <x v="1"/>
    <x v="6"/>
    <x v="6"/>
    <x v="20"/>
    <s v="KVY"/>
    <x v="8"/>
    <x v="4"/>
    <x v="9"/>
    <n v="1"/>
    <x v="1"/>
    <x v="1"/>
    <x v="30"/>
    <n v="76.197999999999993"/>
    <x v="506"/>
    <n v="21.091999999999999"/>
    <n v="24.295999999999999"/>
    <n v="30.497"/>
    <n v="12"/>
    <x v="1"/>
  </r>
  <r>
    <x v="1"/>
    <x v="6"/>
    <x v="6"/>
    <x v="9"/>
    <s v="SAI"/>
    <x v="3"/>
    <x v="8"/>
    <x v="10"/>
    <n v="0"/>
    <x v="1"/>
    <x v="1"/>
    <x v="30"/>
    <n v="76.471000000000004"/>
    <x v="507"/>
    <n v="21.311"/>
    <n v="24.442"/>
    <n v="30.337"/>
    <n v="3"/>
    <x v="1"/>
  </r>
  <r>
    <x v="1"/>
    <x v="6"/>
    <x v="6"/>
    <x v="10"/>
    <s v="PER"/>
    <x v="10"/>
    <x v="7"/>
    <x v="11"/>
    <n v="0"/>
    <x v="1"/>
    <x v="1"/>
    <x v="30"/>
    <n v="76.313999999999993"/>
    <x v="508"/>
    <n v="21.155000000000001"/>
    <n v="24.396999999999998"/>
    <n v="30.724"/>
    <n v="11"/>
    <x v="1"/>
  </r>
  <r>
    <x v="1"/>
    <x v="6"/>
    <x v="6"/>
    <x v="23"/>
    <s v="GIO"/>
    <x v="11"/>
    <x v="10"/>
    <x v="12"/>
    <n v="0"/>
    <x v="1"/>
    <x v="1"/>
    <x v="30"/>
    <n v="76.364999999999995"/>
    <x v="509"/>
    <n v="21.262"/>
    <n v="24.317"/>
    <n v="30.602"/>
    <n v="33"/>
    <x v="1"/>
  </r>
  <r>
    <x v="1"/>
    <x v="6"/>
    <x v="6"/>
    <x v="15"/>
    <s v="GRO"/>
    <x v="9"/>
    <x v="11"/>
    <x v="13"/>
    <n v="0"/>
    <x v="1"/>
    <x v="1"/>
    <x v="30"/>
    <n v="76.245000000000005"/>
    <x v="510"/>
    <n v="21.055"/>
    <n v="24.318000000000001"/>
    <n v="30.661000000000001"/>
    <n v="34"/>
    <x v="1"/>
  </r>
  <r>
    <x v="1"/>
    <x v="6"/>
    <x v="6"/>
    <x v="2"/>
    <s v="RAI"/>
    <x v="11"/>
    <x v="14"/>
    <x v="14"/>
    <n v="0"/>
    <x v="1"/>
    <x v="1"/>
    <x v="30"/>
    <n v="75.441999999999993"/>
    <x v="511"/>
    <n v="20.885000000000002"/>
    <n v="24.187999999999999"/>
    <n v="30.193000000000001"/>
    <s v="6,58"/>
    <x v="1"/>
  </r>
  <r>
    <x v="1"/>
    <x v="6"/>
    <x v="6"/>
    <x v="24"/>
    <s v="RUS"/>
    <x v="7"/>
    <x v="12"/>
    <x v="15"/>
    <n v="0"/>
    <x v="1"/>
    <x v="11"/>
    <x v="31"/>
    <n v="77.241"/>
    <x v="512"/>
    <n v="21.456"/>
    <n v="24.759"/>
    <n v="30.835999999999999"/>
    <n v="9"/>
    <x v="1"/>
  </r>
  <r>
    <x v="1"/>
    <x v="6"/>
    <x v="6"/>
    <x v="16"/>
    <s v="MAG"/>
    <x v="9"/>
    <x v="20"/>
    <x v="16"/>
    <n v="0"/>
    <x v="1"/>
    <x v="11"/>
    <x v="31"/>
    <n v="77.308999999999997"/>
    <x v="513"/>
    <n v="21.504999999999999"/>
    <n v="24.741"/>
    <n v="31.013999999999999"/>
    <n v="39"/>
    <x v="1"/>
  </r>
  <r>
    <x v="1"/>
    <x v="6"/>
    <x v="6"/>
    <x v="25"/>
    <s v="KUB"/>
    <x v="7"/>
    <x v="19"/>
    <x v="17"/>
    <n v="0"/>
    <x v="1"/>
    <x v="12"/>
    <x v="42"/>
    <n v="77.284999999999997"/>
    <x v="514"/>
    <n v="21.571000000000002"/>
    <n v="24.622"/>
    <n v="31.047000000000001"/>
    <s v="8,38"/>
    <x v="1"/>
  </r>
  <r>
    <x v="1"/>
    <x v="6"/>
    <x v="6"/>
    <x v="22"/>
    <s v="ALB"/>
    <x v="8"/>
    <x v="13"/>
    <x v="18"/>
    <n v="0"/>
    <x v="1"/>
    <x v="8"/>
    <x v="47"/>
    <n v="77.150999999999996"/>
    <x v="515"/>
    <n v="21.391999999999999"/>
    <n v="24.564"/>
    <n v="30.949000000000002"/>
    <s v="1,60"/>
    <x v="1"/>
  </r>
  <r>
    <x v="1"/>
    <x v="6"/>
    <x v="6"/>
    <x v="21"/>
    <s v="NOR"/>
    <x v="3"/>
    <x v="3"/>
    <x v="19"/>
    <n v="0"/>
    <x v="1"/>
    <x v="23"/>
    <x v="51"/>
    <n v="78.022999999999996"/>
    <x v="516"/>
    <n v="21.922999999999998"/>
    <n v="25.048999999999999"/>
    <n v="31"/>
    <m/>
    <x v="1"/>
  </r>
  <r>
    <x v="1"/>
    <x v="7"/>
    <x v="7"/>
    <x v="1"/>
    <s v="HAM"/>
    <x v="1"/>
    <x v="1"/>
    <x v="0"/>
    <n v="25"/>
    <x v="0"/>
    <x v="0"/>
    <x v="28"/>
    <n v="92.763999999999996"/>
    <x v="517"/>
    <n v="23.373000000000001"/>
    <n v="28.658999999999999"/>
    <n v="40.731999999999999"/>
    <n v="24"/>
    <x v="1"/>
  </r>
  <r>
    <x v="1"/>
    <x v="7"/>
    <x v="7"/>
    <x v="7"/>
    <s v="BOT"/>
    <x v="1"/>
    <x v="2"/>
    <x v="1"/>
    <n v="18"/>
    <x v="0"/>
    <x v="0"/>
    <x v="28"/>
    <n v="93.585999999999999"/>
    <x v="518"/>
    <n v="23.489000000000001"/>
    <n v="28.91"/>
    <n v="41.088000000000001"/>
    <n v="23"/>
    <x v="1"/>
  </r>
  <r>
    <x v="1"/>
    <x v="7"/>
    <x v="7"/>
    <x v="12"/>
    <s v="LEC"/>
    <x v="0"/>
    <x v="0"/>
    <x v="2"/>
    <n v="15"/>
    <x v="0"/>
    <x v="0"/>
    <x v="28"/>
    <n v="93.828000000000003"/>
    <x v="519"/>
    <n v="23.658000000000001"/>
    <n v="28.727"/>
    <n v="40.997999999999998"/>
    <n v="21"/>
    <x v="1"/>
  </r>
  <r>
    <x v="1"/>
    <x v="7"/>
    <x v="7"/>
    <x v="5"/>
    <s v="VER"/>
    <x v="2"/>
    <x v="5"/>
    <x v="3"/>
    <n v="12"/>
    <x v="1"/>
    <x v="0"/>
    <x v="28"/>
    <n v="94.162000000000006"/>
    <x v="520"/>
    <n v="23.635999999999999"/>
    <n v="28.876999999999999"/>
    <n v="41.183"/>
    <n v="20"/>
    <x v="1"/>
  </r>
  <r>
    <x v="1"/>
    <x v="7"/>
    <x v="7"/>
    <x v="0"/>
    <s v="VET"/>
    <x v="0"/>
    <x v="6"/>
    <x v="4"/>
    <n v="11"/>
    <x v="1"/>
    <x v="0"/>
    <x v="28"/>
    <n v="92.74"/>
    <x v="521"/>
    <n v="23.23"/>
    <n v="28.757000000000001"/>
    <n v="40.648000000000003"/>
    <s v="25,51"/>
    <x v="1"/>
  </r>
  <r>
    <x v="1"/>
    <x v="7"/>
    <x v="7"/>
    <x v="9"/>
    <s v="SAI"/>
    <x v="3"/>
    <x v="15"/>
    <x v="5"/>
    <n v="8"/>
    <x v="1"/>
    <x v="0"/>
    <x v="28"/>
    <n v="94.561000000000007"/>
    <x v="522"/>
    <n v="23.895"/>
    <n v="29.260999999999999"/>
    <n v="41.405000000000001"/>
    <n v="19"/>
    <x v="1"/>
  </r>
  <r>
    <x v="1"/>
    <x v="7"/>
    <x v="7"/>
    <x v="2"/>
    <s v="RAI"/>
    <x v="11"/>
    <x v="10"/>
    <x v="6"/>
    <n v="6"/>
    <x v="1"/>
    <x v="1"/>
    <x v="33"/>
    <n v="94.95"/>
    <x v="523"/>
    <n v="23.884"/>
    <n v="29.233000000000001"/>
    <n v="41.578000000000003"/>
    <n v="31"/>
    <x v="1"/>
  </r>
  <r>
    <x v="1"/>
    <x v="7"/>
    <x v="7"/>
    <x v="6"/>
    <s v="HUL"/>
    <x v="4"/>
    <x v="13"/>
    <x v="7"/>
    <n v="4"/>
    <x v="1"/>
    <x v="1"/>
    <x v="33"/>
    <n v="94.754000000000005"/>
    <x v="524"/>
    <n v="23.946000000000002"/>
    <n v="28.824999999999999"/>
    <n v="41.668999999999997"/>
    <n v="34"/>
    <x v="1"/>
  </r>
  <r>
    <x v="1"/>
    <x v="7"/>
    <x v="7"/>
    <x v="21"/>
    <s v="NOR"/>
    <x v="3"/>
    <x v="16"/>
    <x v="8"/>
    <n v="2"/>
    <x v="1"/>
    <x v="1"/>
    <x v="33"/>
    <n v="95.197000000000003"/>
    <x v="525"/>
    <n v="23.978000000000002"/>
    <n v="29.183"/>
    <n v="41.737000000000002"/>
    <n v="18"/>
    <x v="1"/>
  </r>
  <r>
    <x v="1"/>
    <x v="7"/>
    <x v="7"/>
    <x v="17"/>
    <s v="GAS"/>
    <x v="2"/>
    <x v="9"/>
    <x v="9"/>
    <n v="1"/>
    <x v="1"/>
    <x v="1"/>
    <x v="33"/>
    <n v="95.15"/>
    <x v="526"/>
    <n v="23.988"/>
    <n v="29.192"/>
    <n v="41.884"/>
    <n v="17"/>
    <x v="1"/>
  </r>
  <r>
    <x v="1"/>
    <x v="7"/>
    <x v="7"/>
    <x v="3"/>
    <s v="RIC"/>
    <x v="4"/>
    <x v="3"/>
    <x v="10"/>
    <n v="0"/>
    <x v="1"/>
    <x v="1"/>
    <x v="33"/>
    <n v="94.873000000000005"/>
    <x v="527"/>
    <n v="23.891999999999999"/>
    <n v="29.187000000000001"/>
    <n v="41.753"/>
    <n v="16"/>
    <x v="1"/>
  </r>
  <r>
    <x v="1"/>
    <x v="7"/>
    <x v="7"/>
    <x v="10"/>
    <s v="PER"/>
    <x v="10"/>
    <x v="11"/>
    <x v="11"/>
    <n v="0"/>
    <x v="1"/>
    <x v="1"/>
    <x v="33"/>
    <n v="95.013999999999996"/>
    <x v="528"/>
    <n v="23.937999999999999"/>
    <n v="29.114000000000001"/>
    <n v="41.823999999999998"/>
    <n v="18"/>
    <x v="1"/>
  </r>
  <r>
    <x v="1"/>
    <x v="7"/>
    <x v="7"/>
    <x v="13"/>
    <s v="STR"/>
    <x v="10"/>
    <x v="18"/>
    <x v="12"/>
    <n v="0"/>
    <x v="1"/>
    <x v="1"/>
    <x v="33"/>
    <n v="94.924000000000007"/>
    <x v="529"/>
    <n v="23.975000000000001"/>
    <n v="29.122"/>
    <n v="41.506"/>
    <n v="39"/>
    <x v="1"/>
  </r>
  <r>
    <x v="1"/>
    <x v="7"/>
    <x v="7"/>
    <x v="20"/>
    <s v="KVY"/>
    <x v="8"/>
    <x v="19"/>
    <x v="13"/>
    <n v="0"/>
    <x v="1"/>
    <x v="1"/>
    <x v="33"/>
    <n v="95.224999999999994"/>
    <x v="530"/>
    <n v="23.920999999999999"/>
    <n v="28.841999999999999"/>
    <n v="41.911000000000001"/>
    <n v="32"/>
    <x v="1"/>
  </r>
  <r>
    <x v="1"/>
    <x v="7"/>
    <x v="7"/>
    <x v="22"/>
    <s v="ALB"/>
    <x v="8"/>
    <x v="8"/>
    <x v="14"/>
    <n v="0"/>
    <x v="1"/>
    <x v="1"/>
    <x v="33"/>
    <n v="95.028999999999996"/>
    <x v="531"/>
    <n v="23.742000000000001"/>
    <n v="29.207999999999998"/>
    <n v="41.768000000000001"/>
    <n v="25"/>
    <x v="1"/>
  </r>
  <r>
    <x v="1"/>
    <x v="7"/>
    <x v="7"/>
    <x v="23"/>
    <s v="GIO"/>
    <x v="11"/>
    <x v="4"/>
    <x v="15"/>
    <n v="0"/>
    <x v="1"/>
    <x v="1"/>
    <x v="33"/>
    <n v="95.114999999999995"/>
    <x v="532"/>
    <n v="23.908999999999999"/>
    <n v="29.141999999999999"/>
    <n v="41.722999999999999"/>
    <s v="7,34"/>
    <x v="1"/>
  </r>
  <r>
    <x v="1"/>
    <x v="7"/>
    <x v="7"/>
    <x v="16"/>
    <s v="MAG"/>
    <x v="9"/>
    <x v="7"/>
    <x v="16"/>
    <n v="0"/>
    <x v="1"/>
    <x v="1"/>
    <x v="33"/>
    <n v="95.691999999999993"/>
    <x v="533"/>
    <n v="24.122"/>
    <n v="29.606999999999999"/>
    <n v="41.844999999999999"/>
    <n v="16"/>
    <x v="1"/>
  </r>
  <r>
    <x v="1"/>
    <x v="7"/>
    <x v="7"/>
    <x v="25"/>
    <s v="KUB"/>
    <x v="7"/>
    <x v="12"/>
    <x v="17"/>
    <n v="0"/>
    <x v="1"/>
    <x v="11"/>
    <x v="11"/>
    <n v="96.608000000000004"/>
    <x v="534"/>
    <n v="24.390999999999998"/>
    <n v="29.777000000000001"/>
    <n v="42.414999999999999"/>
    <n v="24"/>
    <x v="1"/>
  </r>
  <r>
    <x v="1"/>
    <x v="7"/>
    <x v="7"/>
    <x v="24"/>
    <s v="RUS"/>
    <x v="7"/>
    <x v="17"/>
    <x v="18"/>
    <n v="0"/>
    <x v="1"/>
    <x v="11"/>
    <x v="11"/>
    <n v="95.83"/>
    <x v="535"/>
    <n v="24.265999999999998"/>
    <n v="29.516999999999999"/>
    <n v="41.981000000000002"/>
    <s v="25,33"/>
    <x v="1"/>
  </r>
  <r>
    <x v="1"/>
    <x v="7"/>
    <x v="7"/>
    <x v="15"/>
    <s v="GRO"/>
    <x v="9"/>
    <x v="14"/>
    <x v="19"/>
    <n v="0"/>
    <x v="1"/>
    <x v="21"/>
    <x v="55"/>
    <n v="95.691000000000003"/>
    <x v="536"/>
    <n v="24.16"/>
    <n v="29.428999999999998"/>
    <n v="41.975000000000001"/>
    <s v="31,45"/>
    <x v="1"/>
  </r>
  <r>
    <x v="1"/>
    <x v="8"/>
    <x v="8"/>
    <x v="5"/>
    <s v="VER"/>
    <x v="2"/>
    <x v="2"/>
    <x v="0"/>
    <n v="26"/>
    <x v="0"/>
    <x v="0"/>
    <x v="27"/>
    <n v="67.474999999999994"/>
    <x v="537"/>
    <n v="16.846"/>
    <n v="30.14"/>
    <n v="20.279"/>
    <n v="31"/>
    <x v="1"/>
  </r>
  <r>
    <x v="1"/>
    <x v="8"/>
    <x v="8"/>
    <x v="12"/>
    <s v="LEC"/>
    <x v="0"/>
    <x v="1"/>
    <x v="1"/>
    <n v="18"/>
    <x v="0"/>
    <x v="0"/>
    <x v="27"/>
    <n v="67.994"/>
    <x v="538"/>
    <n v="17.030999999999999"/>
    <n v="30.193000000000001"/>
    <n v="20.381"/>
    <n v="22"/>
    <x v="1"/>
  </r>
  <r>
    <x v="1"/>
    <x v="8"/>
    <x v="8"/>
    <x v="7"/>
    <s v="BOT"/>
    <x v="1"/>
    <x v="0"/>
    <x v="2"/>
    <n v="15"/>
    <x v="0"/>
    <x v="0"/>
    <x v="27"/>
    <n v="68.564999999999998"/>
    <x v="539"/>
    <n v="17.146000000000001"/>
    <n v="30.497"/>
    <n v="20.701999999999899"/>
    <n v="21"/>
    <x v="1"/>
  </r>
  <r>
    <x v="1"/>
    <x v="8"/>
    <x v="8"/>
    <x v="0"/>
    <s v="VET"/>
    <x v="0"/>
    <x v="9"/>
    <x v="3"/>
    <n v="12"/>
    <x v="1"/>
    <x v="0"/>
    <x v="27"/>
    <n v="67.676000000000002"/>
    <x v="540"/>
    <n v="16.785"/>
    <n v="29.951999999999899"/>
    <n v="20.437000000000001"/>
    <s v="21,50"/>
    <x v="1"/>
  </r>
  <r>
    <x v="1"/>
    <x v="8"/>
    <x v="8"/>
    <x v="1"/>
    <s v="HAM"/>
    <x v="1"/>
    <x v="5"/>
    <x v="4"/>
    <n v="10"/>
    <x v="1"/>
    <x v="0"/>
    <x v="27"/>
    <n v="68.05"/>
    <x v="541"/>
    <n v="17.077000000000002"/>
    <n v="30.236000000000001"/>
    <n v="20.404"/>
    <n v="30"/>
    <x v="1"/>
  </r>
  <r>
    <x v="1"/>
    <x v="8"/>
    <x v="8"/>
    <x v="21"/>
    <s v="NOR"/>
    <x v="3"/>
    <x v="16"/>
    <x v="5"/>
    <n v="8"/>
    <x v="1"/>
    <x v="1"/>
    <x v="29"/>
    <n v="68.698999999999998"/>
    <x v="542"/>
    <n v="17.071999999999999"/>
    <n v="30.477"/>
    <n v="20.809000000000001"/>
    <n v="25"/>
    <x v="1"/>
  </r>
  <r>
    <x v="1"/>
    <x v="8"/>
    <x v="8"/>
    <x v="17"/>
    <s v="GAS"/>
    <x v="2"/>
    <x v="3"/>
    <x v="6"/>
    <n v="6"/>
    <x v="1"/>
    <x v="1"/>
    <x v="29"/>
    <n v="68.790000000000006"/>
    <x v="543"/>
    <n v="17.036000000000001"/>
    <n v="30.7"/>
    <n v="20.646999999999998"/>
    <n v="25"/>
    <x v="1"/>
  </r>
  <r>
    <x v="1"/>
    <x v="8"/>
    <x v="8"/>
    <x v="9"/>
    <s v="SAI"/>
    <x v="3"/>
    <x v="19"/>
    <x v="7"/>
    <n v="4"/>
    <x v="1"/>
    <x v="1"/>
    <x v="29"/>
    <n v="68.117000000000004"/>
    <x v="544"/>
    <n v="16.882999999999999"/>
    <n v="30.385999999999999"/>
    <n v="20.341999999999999"/>
    <n v="41"/>
    <x v="1"/>
  </r>
  <r>
    <x v="1"/>
    <x v="8"/>
    <x v="8"/>
    <x v="2"/>
    <s v="RAI"/>
    <x v="11"/>
    <x v="15"/>
    <x v="8"/>
    <n v="2"/>
    <x v="1"/>
    <x v="1"/>
    <x v="29"/>
    <n v="69.126000000000005"/>
    <x v="545"/>
    <n v="17.216999999999999"/>
    <n v="30.561"/>
    <n v="20.968"/>
    <n v="23"/>
    <x v="1"/>
  </r>
  <r>
    <x v="1"/>
    <x v="8"/>
    <x v="8"/>
    <x v="23"/>
    <s v="GIO"/>
    <x v="11"/>
    <x v="6"/>
    <x v="9"/>
    <n v="1"/>
    <x v="1"/>
    <x v="1"/>
    <x v="29"/>
    <n v="69.051000000000002"/>
    <x v="546"/>
    <n v="17.047000000000001"/>
    <n v="30.898"/>
    <n v="20.794"/>
    <n v="24"/>
    <x v="1"/>
  </r>
  <r>
    <x v="1"/>
    <x v="8"/>
    <x v="8"/>
    <x v="10"/>
    <s v="PER"/>
    <x v="10"/>
    <x v="13"/>
    <x v="10"/>
    <n v="0"/>
    <x v="1"/>
    <x v="1"/>
    <x v="29"/>
    <n v="69.061000000000007"/>
    <x v="547"/>
    <n v="17.036999999999999"/>
    <n v="30.814"/>
    <n v="20.867000000000001"/>
    <n v="28"/>
    <x v="1"/>
  </r>
  <r>
    <x v="1"/>
    <x v="8"/>
    <x v="8"/>
    <x v="3"/>
    <s v="RIC"/>
    <x v="4"/>
    <x v="10"/>
    <x v="11"/>
    <n v="0"/>
    <x v="1"/>
    <x v="1"/>
    <x v="29"/>
    <n v="68.019000000000005"/>
    <x v="548"/>
    <n v="17.081"/>
    <n v="30.332999999999998"/>
    <n v="20.396000000000001"/>
    <n v="46"/>
    <x v="1"/>
  </r>
  <r>
    <x v="1"/>
    <x v="8"/>
    <x v="8"/>
    <x v="6"/>
    <s v="HUL"/>
    <x v="4"/>
    <x v="7"/>
    <x v="12"/>
    <n v="0"/>
    <x v="1"/>
    <x v="1"/>
    <x v="29"/>
    <n v="69.248000000000005"/>
    <x v="549"/>
    <n v="17.111999999999998"/>
    <n v="30.754000000000001"/>
    <n v="20.92"/>
    <n v="26"/>
    <x v="1"/>
  </r>
  <r>
    <x v="1"/>
    <x v="8"/>
    <x v="8"/>
    <x v="13"/>
    <s v="STR"/>
    <x v="10"/>
    <x v="11"/>
    <x v="13"/>
    <n v="0"/>
    <x v="1"/>
    <x v="1"/>
    <x v="29"/>
    <n v="69.287999999999997"/>
    <x v="550"/>
    <n v="17.155999999999999"/>
    <n v="30.811"/>
    <n v="20.856000000000002"/>
    <n v="25"/>
    <x v="1"/>
  </r>
  <r>
    <x v="1"/>
    <x v="8"/>
    <x v="8"/>
    <x v="22"/>
    <s v="ALB"/>
    <x v="8"/>
    <x v="12"/>
    <x v="14"/>
    <n v="0"/>
    <x v="1"/>
    <x v="1"/>
    <x v="29"/>
    <n v="68.945999999999998"/>
    <x v="551"/>
    <n v="17.125"/>
    <n v="30.609000000000002"/>
    <n v="20.757000000000001"/>
    <n v="35"/>
    <x v="1"/>
  </r>
  <r>
    <x v="1"/>
    <x v="8"/>
    <x v="8"/>
    <x v="15"/>
    <s v="GRO"/>
    <x v="9"/>
    <x v="8"/>
    <x v="15"/>
    <n v="0"/>
    <x v="1"/>
    <x v="1"/>
    <x v="29"/>
    <n v="68.986999999999995"/>
    <x v="552"/>
    <n v="17.545000000000002"/>
    <n v="30.547999999999998"/>
    <n v="20.552"/>
    <n v="34"/>
    <x v="1"/>
  </r>
  <r>
    <x v="1"/>
    <x v="8"/>
    <x v="8"/>
    <x v="20"/>
    <s v="KVY"/>
    <x v="8"/>
    <x v="14"/>
    <x v="16"/>
    <n v="0"/>
    <x v="1"/>
    <x v="1"/>
    <x v="29"/>
    <n v="69.498000000000005"/>
    <x v="553"/>
    <n v="17.350999999999999"/>
    <n v="30.702999999999999"/>
    <n v="20.989000000000001"/>
    <n v="32"/>
    <x v="1"/>
  </r>
  <r>
    <x v="1"/>
    <x v="8"/>
    <x v="8"/>
    <x v="24"/>
    <s v="RUS"/>
    <x v="7"/>
    <x v="20"/>
    <x v="17"/>
    <n v="0"/>
    <x v="1"/>
    <x v="11"/>
    <x v="30"/>
    <n v="69.926000000000002"/>
    <x v="554"/>
    <n v="17.332000000000001"/>
    <n v="31.079000000000001"/>
    <n v="21.170999999999999"/>
    <n v="27"/>
    <x v="1"/>
  </r>
  <r>
    <x v="1"/>
    <x v="8"/>
    <x v="8"/>
    <x v="16"/>
    <s v="MAG"/>
    <x v="9"/>
    <x v="4"/>
    <x v="18"/>
    <n v="0"/>
    <x v="1"/>
    <x v="11"/>
    <x v="30"/>
    <n v="68.903000000000006"/>
    <x v="555"/>
    <n v="17.654"/>
    <n v="30.547000000000001"/>
    <n v="20.701999999999899"/>
    <s v="11,13,62"/>
    <x v="1"/>
  </r>
  <r>
    <x v="1"/>
    <x v="8"/>
    <x v="8"/>
    <x v="25"/>
    <s v="KUB"/>
    <x v="7"/>
    <x v="18"/>
    <x v="19"/>
    <n v="0"/>
    <x v="1"/>
    <x v="12"/>
    <x v="31"/>
    <n v="70.963999999999999"/>
    <x v="556"/>
    <n v="17.501000000000001"/>
    <n v="31.556000000000001"/>
    <n v="21.606999999999999"/>
    <n v="19"/>
    <x v="1"/>
  </r>
  <r>
    <x v="1"/>
    <x v="9"/>
    <x v="9"/>
    <x v="1"/>
    <s v="HAM"/>
    <x v="1"/>
    <x v="2"/>
    <x v="0"/>
    <n v="26"/>
    <x v="0"/>
    <x v="0"/>
    <x v="33"/>
    <n v="87.369"/>
    <x v="557"/>
    <n v="28.074999999999999"/>
    <n v="35.375"/>
    <n v="23.919"/>
    <n v="20"/>
    <x v="1"/>
  </r>
  <r>
    <x v="1"/>
    <x v="9"/>
    <x v="9"/>
    <x v="7"/>
    <s v="BOT"/>
    <x v="1"/>
    <x v="1"/>
    <x v="1"/>
    <n v="18"/>
    <x v="0"/>
    <x v="0"/>
    <x v="33"/>
    <n v="87.406000000000006"/>
    <x v="558"/>
    <n v="28.027000000000001"/>
    <n v="35.332000000000001"/>
    <n v="24.047000000000001"/>
    <s v="16,45"/>
    <x v="1"/>
  </r>
  <r>
    <x v="1"/>
    <x v="9"/>
    <x v="9"/>
    <x v="12"/>
    <s v="LEC"/>
    <x v="0"/>
    <x v="0"/>
    <x v="2"/>
    <n v="15"/>
    <x v="0"/>
    <x v="0"/>
    <x v="33"/>
    <n v="89.313000000000002"/>
    <x v="559"/>
    <n v="28.158999999999999"/>
    <n v="36.177999999999997"/>
    <n v="24.491"/>
    <s v="13,21"/>
    <x v="1"/>
  </r>
  <r>
    <x v="1"/>
    <x v="9"/>
    <x v="9"/>
    <x v="17"/>
    <s v="GAS"/>
    <x v="2"/>
    <x v="16"/>
    <x v="3"/>
    <n v="12"/>
    <x v="1"/>
    <x v="0"/>
    <x v="33"/>
    <n v="89.543999999999997"/>
    <x v="560"/>
    <n v="28.443999999999999"/>
    <n v="36.328000000000003"/>
    <n v="24.673999999999999"/>
    <n v="12"/>
    <x v="1"/>
  </r>
  <r>
    <x v="1"/>
    <x v="9"/>
    <x v="9"/>
    <x v="5"/>
    <s v="VER"/>
    <x v="2"/>
    <x v="5"/>
    <x v="4"/>
    <n v="10"/>
    <x v="1"/>
    <x v="0"/>
    <x v="33"/>
    <n v="89.272000000000006"/>
    <x v="561"/>
    <n v="28.282"/>
    <n v="36.238999999999997"/>
    <n v="24.573"/>
    <s v="13,20"/>
    <x v="1"/>
  </r>
  <r>
    <x v="1"/>
    <x v="9"/>
    <x v="9"/>
    <x v="9"/>
    <s v="SAI"/>
    <x v="3"/>
    <x v="13"/>
    <x v="5"/>
    <n v="8"/>
    <x v="1"/>
    <x v="0"/>
    <x v="33"/>
    <n v="89.757000000000005"/>
    <x v="562"/>
    <n v="28.672000000000001"/>
    <n v="36.207000000000001"/>
    <n v="24.613"/>
    <n v="20"/>
    <x v="1"/>
  </r>
  <r>
    <x v="1"/>
    <x v="9"/>
    <x v="9"/>
    <x v="3"/>
    <s v="RIC"/>
    <x v="4"/>
    <x v="6"/>
    <x v="6"/>
    <n v="6"/>
    <x v="1"/>
    <x v="0"/>
    <x v="33"/>
    <n v="89.623999999999995"/>
    <x v="563"/>
    <n v="28.178000000000001"/>
    <n v="36.447000000000003"/>
    <n v="24.681999999999999"/>
    <s v="12,20"/>
    <x v="1"/>
  </r>
  <r>
    <x v="1"/>
    <x v="9"/>
    <x v="9"/>
    <x v="2"/>
    <s v="RAI"/>
    <x v="11"/>
    <x v="10"/>
    <x v="7"/>
    <n v="4"/>
    <x v="1"/>
    <x v="0"/>
    <x v="33"/>
    <n v="90.034000000000006"/>
    <x v="564"/>
    <n v="28.648"/>
    <n v="36.408000000000001"/>
    <n v="24.486000000000001"/>
    <n v="17"/>
    <x v="1"/>
  </r>
  <r>
    <x v="1"/>
    <x v="9"/>
    <x v="9"/>
    <x v="20"/>
    <s v="KVY"/>
    <x v="8"/>
    <x v="18"/>
    <x v="8"/>
    <n v="2"/>
    <x v="1"/>
    <x v="0"/>
    <x v="33"/>
    <n v="89.91"/>
    <x v="565"/>
    <n v="28.420999999999999"/>
    <n v="36.380000000000003"/>
    <n v="24.48"/>
    <s v="12,21"/>
    <x v="1"/>
  </r>
  <r>
    <x v="1"/>
    <x v="9"/>
    <x v="9"/>
    <x v="6"/>
    <s v="HUL"/>
    <x v="4"/>
    <x v="4"/>
    <x v="9"/>
    <n v="1"/>
    <x v="1"/>
    <x v="0"/>
    <x v="33"/>
    <n v="89.948999999999998"/>
    <x v="566"/>
    <n v="28.422000000000001"/>
    <n v="36.558999999999997"/>
    <n v="24.414999999999999"/>
    <n v="13"/>
    <x v="1"/>
  </r>
  <r>
    <x v="1"/>
    <x v="9"/>
    <x v="9"/>
    <x v="21"/>
    <s v="NOR"/>
    <x v="3"/>
    <x v="3"/>
    <x v="10"/>
    <n v="0"/>
    <x v="1"/>
    <x v="0"/>
    <x v="33"/>
    <n v="89.635999999999996"/>
    <x v="567"/>
    <n v="28.356000000000002"/>
    <n v="36.223999999999997"/>
    <n v="24.498000000000001"/>
    <s v="13,35"/>
    <x v="1"/>
  </r>
  <r>
    <x v="1"/>
    <x v="9"/>
    <x v="9"/>
    <x v="22"/>
    <s v="ALB"/>
    <x v="8"/>
    <x v="9"/>
    <x v="11"/>
    <n v="0"/>
    <x v="1"/>
    <x v="0"/>
    <x v="33"/>
    <n v="90.872"/>
    <x v="568"/>
    <n v="28.533000000000001"/>
    <n v="37.063000000000002"/>
    <n v="24.969000000000001"/>
    <n v="13"/>
    <x v="1"/>
  </r>
  <r>
    <x v="1"/>
    <x v="9"/>
    <x v="9"/>
    <x v="13"/>
    <s v="STR"/>
    <x v="10"/>
    <x v="12"/>
    <x v="12"/>
    <n v="0"/>
    <x v="1"/>
    <x v="0"/>
    <x v="33"/>
    <n v="89.39"/>
    <x v="569"/>
    <n v="28.484999999999999"/>
    <n v="36.106000000000002"/>
    <n v="24.638999999999999"/>
    <s v="13,39"/>
    <x v="1"/>
  </r>
  <r>
    <x v="1"/>
    <x v="9"/>
    <x v="9"/>
    <x v="24"/>
    <s v="RUS"/>
    <x v="7"/>
    <x v="19"/>
    <x v="13"/>
    <n v="0"/>
    <x v="1"/>
    <x v="1"/>
    <x v="11"/>
    <n v="91.013000000000005"/>
    <x v="570"/>
    <n v="28.992000000000001"/>
    <n v="36.893000000000001"/>
    <n v="25.128"/>
    <n v="21"/>
    <x v="1"/>
  </r>
  <r>
    <x v="1"/>
    <x v="9"/>
    <x v="9"/>
    <x v="25"/>
    <s v="KUB"/>
    <x v="7"/>
    <x v="17"/>
    <x v="14"/>
    <n v="0"/>
    <x v="1"/>
    <x v="1"/>
    <x v="11"/>
    <n v="91.509"/>
    <x v="571"/>
    <n v="29.065999999999999"/>
    <n v="37.154000000000003"/>
    <n v="25.132999999999999"/>
    <n v="20"/>
    <x v="1"/>
  </r>
  <r>
    <x v="1"/>
    <x v="9"/>
    <x v="9"/>
    <x v="0"/>
    <s v="VET"/>
    <x v="0"/>
    <x v="15"/>
    <x v="15"/>
    <n v="0"/>
    <x v="1"/>
    <x v="1"/>
    <x v="11"/>
    <n v="88.733000000000004"/>
    <x v="572"/>
    <n v="28.358000000000001"/>
    <n v="35.875"/>
    <n v="24.297000000000001"/>
    <s v="20,38"/>
    <x v="1"/>
  </r>
  <r>
    <x v="1"/>
    <x v="9"/>
    <x v="9"/>
    <x v="10"/>
    <s v="PER"/>
    <x v="10"/>
    <x v="7"/>
    <x v="16"/>
    <n v="0"/>
    <x v="1"/>
    <x v="1"/>
    <x v="11"/>
    <n v="89.456000000000003"/>
    <x v="573"/>
    <n v="28.431999999999999"/>
    <n v="36.253999999999998"/>
    <n v="24.728000000000002"/>
    <s v="18,24,46"/>
    <x v="1"/>
  </r>
  <r>
    <x v="1"/>
    <x v="9"/>
    <x v="9"/>
    <x v="23"/>
    <s v="GIO"/>
    <x v="11"/>
    <x v="8"/>
    <x v="17"/>
    <n v="0"/>
    <x v="1"/>
    <x v="31"/>
    <x v="62"/>
    <n v="92.463999999999999"/>
    <x v="574"/>
    <n v="29.242999999999999"/>
    <n v="37.482999999999997"/>
    <n v="25.363"/>
    <m/>
    <x v="1"/>
  </r>
  <r>
    <x v="1"/>
    <x v="9"/>
    <x v="9"/>
    <x v="15"/>
    <s v="GRO"/>
    <x v="9"/>
    <x v="11"/>
    <x v="18"/>
    <n v="0"/>
    <x v="1"/>
    <x v="10"/>
    <x v="51"/>
    <n v="94.35"/>
    <x v="575"/>
    <n v="29.773"/>
    <n v="38.505000000000003"/>
    <n v="25.832000000000001"/>
    <s v="1,9"/>
    <x v="1"/>
  </r>
  <r>
    <x v="1"/>
    <x v="9"/>
    <x v="9"/>
    <x v="16"/>
    <s v="MAG"/>
    <x v="9"/>
    <x v="14"/>
    <x v="19"/>
    <n v="0"/>
    <x v="1"/>
    <x v="10"/>
    <x v="5"/>
    <n v="93.424999999999997"/>
    <x v="576"/>
    <n v="29.658000000000001"/>
    <n v="37.950000000000003"/>
    <n v="25.678999999999998"/>
    <s v="1,6"/>
    <x v="1"/>
  </r>
  <r>
    <x v="1"/>
    <x v="10"/>
    <x v="10"/>
    <x v="5"/>
    <s v="VER"/>
    <x v="2"/>
    <x v="2"/>
    <x v="0"/>
    <n v="26"/>
    <x v="0"/>
    <x v="0"/>
    <x v="19"/>
    <n v="76.644999999999996"/>
    <x v="577"/>
    <n v="16.835000000000001"/>
    <n v="36.433999999999997"/>
    <n v="23.295000000000002"/>
    <s v="3,25,29,41,46"/>
    <x v="0"/>
  </r>
  <r>
    <x v="1"/>
    <x v="10"/>
    <x v="10"/>
    <x v="0"/>
    <s v="VET"/>
    <x v="0"/>
    <x v="17"/>
    <x v="1"/>
    <n v="18"/>
    <x v="0"/>
    <x v="0"/>
    <x v="19"/>
    <n v="76.793999999999997"/>
    <x v="578"/>
    <n v="16.838000000000001"/>
    <n v="35.997"/>
    <n v="23.765000000000001"/>
    <s v="2,23,28,41,47"/>
    <x v="0"/>
  </r>
  <r>
    <x v="1"/>
    <x v="10"/>
    <x v="10"/>
    <x v="20"/>
    <s v="KVY"/>
    <x v="8"/>
    <x v="11"/>
    <x v="2"/>
    <n v="15"/>
    <x v="0"/>
    <x v="0"/>
    <x v="19"/>
    <n v="77.707999999999998"/>
    <x v="579"/>
    <n v="17.013999999999999"/>
    <n v="36.741999999999997"/>
    <n v="23.763999999999999"/>
    <s v="3,25,28,45"/>
    <x v="0"/>
  </r>
  <r>
    <x v="1"/>
    <x v="10"/>
    <x v="10"/>
    <x v="13"/>
    <s v="STR"/>
    <x v="10"/>
    <x v="7"/>
    <x v="3"/>
    <n v="12"/>
    <x v="1"/>
    <x v="0"/>
    <x v="19"/>
    <n v="77.831000000000003"/>
    <x v="580"/>
    <n v="17.001000000000001"/>
    <n v="36.713000000000001"/>
    <n v="24.004000000000001"/>
    <s v="7,25,28,41,44"/>
    <x v="0"/>
  </r>
  <r>
    <x v="1"/>
    <x v="10"/>
    <x v="10"/>
    <x v="9"/>
    <s v="SAI"/>
    <x v="3"/>
    <x v="6"/>
    <x v="4"/>
    <n v="10"/>
    <x v="1"/>
    <x v="0"/>
    <x v="19"/>
    <n v="77.840999999999994"/>
    <x v="581"/>
    <n v="17.099"/>
    <n v="36.664000000000001"/>
    <n v="24.018999999999998"/>
    <s v="3,27,46"/>
    <x v="0"/>
  </r>
  <r>
    <x v="1"/>
    <x v="10"/>
    <x v="10"/>
    <x v="22"/>
    <s v="ALB"/>
    <x v="8"/>
    <x v="14"/>
    <x v="5"/>
    <n v="8"/>
    <x v="1"/>
    <x v="0"/>
    <x v="19"/>
    <n v="77.849999999999994"/>
    <x v="582"/>
    <n v="16.905000000000001"/>
    <n v="36.465000000000003"/>
    <n v="23.899000000000001"/>
    <s v="2,27,28,46"/>
    <x v="0"/>
  </r>
  <r>
    <x v="1"/>
    <x v="10"/>
    <x v="10"/>
    <x v="15"/>
    <s v="GRO"/>
    <x v="9"/>
    <x v="15"/>
    <x v="6"/>
    <n v="6"/>
    <x v="1"/>
    <x v="0"/>
    <x v="19"/>
    <n v="78.811000000000007"/>
    <x v="583"/>
    <n v="17.265000000000001"/>
    <n v="37.204000000000001"/>
    <n v="24.184999999999999"/>
    <s v="3,26,28,41,46"/>
    <x v="0"/>
  </r>
  <r>
    <x v="1"/>
    <x v="10"/>
    <x v="10"/>
    <x v="16"/>
    <s v="MAG"/>
    <x v="9"/>
    <x v="10"/>
    <x v="7"/>
    <n v="4"/>
    <x v="1"/>
    <x v="0"/>
    <x v="19"/>
    <n v="79.061999999999998"/>
    <x v="584"/>
    <n v="17.32"/>
    <n v="37.223999999999997"/>
    <n v="24.332000000000001"/>
    <s v="8,21,29,42,45,57"/>
    <x v="0"/>
  </r>
  <r>
    <x v="1"/>
    <x v="10"/>
    <x v="10"/>
    <x v="1"/>
    <s v="HAM"/>
    <x v="1"/>
    <x v="1"/>
    <x v="8"/>
    <n v="2"/>
    <x v="1"/>
    <x v="0"/>
    <x v="19"/>
    <n v="77.484999999999999"/>
    <x v="585"/>
    <n v="17.004000000000001"/>
    <n v="36.500999999999998"/>
    <n v="23.693999999999999"/>
    <s v="3,28,29,47,53,56"/>
    <x v="0"/>
  </r>
  <r>
    <x v="1"/>
    <x v="10"/>
    <x v="10"/>
    <x v="25"/>
    <s v="KUB"/>
    <x v="7"/>
    <x v="12"/>
    <x v="9"/>
    <n v="1"/>
    <x v="1"/>
    <x v="0"/>
    <x v="19"/>
    <n v="79.563000000000002"/>
    <x v="586"/>
    <n v="17.437000000000001"/>
    <n v="37.319000000000003"/>
    <n v="24.428000000000001"/>
    <s v="7,23,31,46,57"/>
    <x v="0"/>
  </r>
  <r>
    <x v="1"/>
    <x v="10"/>
    <x v="10"/>
    <x v="24"/>
    <s v="RUS"/>
    <x v="7"/>
    <x v="18"/>
    <x v="10"/>
    <n v="0"/>
    <x v="1"/>
    <x v="0"/>
    <x v="19"/>
    <n v="79.3"/>
    <x v="587"/>
    <n v="17.443000000000001"/>
    <n v="37.445"/>
    <n v="24.391999999999999"/>
    <s v="7,24,41,47,57"/>
    <x v="0"/>
  </r>
  <r>
    <x v="1"/>
    <x v="10"/>
    <x v="10"/>
    <x v="2"/>
    <s v="RAI"/>
    <x v="11"/>
    <x v="16"/>
    <x v="11"/>
    <n v="0"/>
    <x v="1"/>
    <x v="0"/>
    <x v="19"/>
    <n v="77.745999999999995"/>
    <x v="588"/>
    <n v="17.056000000000001"/>
    <n v="36.195999999999998"/>
    <n v="23.919"/>
    <s v="3,26,28,47"/>
    <x v="0"/>
  </r>
  <r>
    <x v="1"/>
    <x v="10"/>
    <x v="10"/>
    <x v="23"/>
    <s v="GIO"/>
    <x v="11"/>
    <x v="8"/>
    <x v="12"/>
    <n v="0"/>
    <x v="1"/>
    <x v="0"/>
    <x v="19"/>
    <n v="77.507000000000005"/>
    <x v="589"/>
    <n v="17.187000000000001"/>
    <n v="36.451000000000001"/>
    <n v="23.701000000000001"/>
    <s v="3,26,28,47"/>
    <x v="0"/>
  </r>
  <r>
    <x v="1"/>
    <x v="10"/>
    <x v="10"/>
    <x v="17"/>
    <s v="GAS"/>
    <x v="2"/>
    <x v="5"/>
    <x v="13"/>
    <n v="0"/>
    <x v="1"/>
    <x v="10"/>
    <x v="52"/>
    <n v="77.495000000000005"/>
    <x v="590"/>
    <n v="17.164000000000001"/>
    <n v="36.448999999999998"/>
    <n v="23.635999999999999"/>
    <s v="3,26,28,46"/>
    <x v="0"/>
  </r>
  <r>
    <x v="1"/>
    <x v="10"/>
    <x v="10"/>
    <x v="7"/>
    <s v="BOT"/>
    <x v="1"/>
    <x v="0"/>
    <x v="14"/>
    <n v="0"/>
    <x v="1"/>
    <x v="9"/>
    <x v="1"/>
    <n v="78.272000000000006"/>
    <x v="591"/>
    <n v="17.172000000000001"/>
    <n v="36.781999999999996"/>
    <n v="24.120999999999999"/>
    <s v="3,26,30,46"/>
    <x v="0"/>
  </r>
  <r>
    <x v="1"/>
    <x v="10"/>
    <x v="10"/>
    <x v="6"/>
    <s v="HUL"/>
    <x v="4"/>
    <x v="9"/>
    <x v="15"/>
    <n v="0"/>
    <x v="1"/>
    <x v="9"/>
    <x v="14"/>
    <n v="89.575999999999993"/>
    <x v="592"/>
    <n v="19.904"/>
    <n v="40.814"/>
    <n v="28.484000000000002"/>
    <s v="3,15,29"/>
    <x v="0"/>
  </r>
  <r>
    <x v="1"/>
    <x v="10"/>
    <x v="10"/>
    <x v="12"/>
    <s v="LEC"/>
    <x v="0"/>
    <x v="4"/>
    <x v="16"/>
    <n v="0"/>
    <x v="1"/>
    <x v="9"/>
    <x v="63"/>
    <n v="87.697000000000003"/>
    <x v="593"/>
    <n v="19.12"/>
    <n v="40.356000000000002"/>
    <n v="28.221"/>
    <s v="3,15,27"/>
    <x v="0"/>
  </r>
  <r>
    <x v="1"/>
    <x v="10"/>
    <x v="10"/>
    <x v="21"/>
    <s v="NOR"/>
    <x v="3"/>
    <x v="19"/>
    <x v="17"/>
    <n v="0"/>
    <x v="1"/>
    <x v="22"/>
    <x v="23"/>
    <n v="91.081000000000003"/>
    <x v="594"/>
    <n v="19.87"/>
    <n v="41.398000000000003"/>
    <n v="28.97"/>
    <s v="6,25"/>
    <x v="0"/>
  </r>
  <r>
    <x v="1"/>
    <x v="10"/>
    <x v="10"/>
    <x v="3"/>
    <s v="RIC"/>
    <x v="4"/>
    <x v="13"/>
    <x v="18"/>
    <n v="0"/>
    <x v="1"/>
    <x v="16"/>
    <x v="4"/>
    <n v="92.653999999999996"/>
    <x v="595"/>
    <n v="20.562999999999999"/>
    <n v="42.444000000000003"/>
    <n v="29.254000000000001"/>
    <n v="3"/>
    <x v="0"/>
  </r>
  <r>
    <x v="1"/>
    <x v="10"/>
    <x v="10"/>
    <x v="10"/>
    <s v="PER"/>
    <x v="10"/>
    <x v="3"/>
    <x v="19"/>
    <n v="0"/>
    <x v="1"/>
    <x v="31"/>
    <x v="10"/>
    <m/>
    <x v="19"/>
    <m/>
    <m/>
    <m/>
    <m/>
    <x v="0"/>
  </r>
  <r>
    <x v="1"/>
    <x v="11"/>
    <x v="11"/>
    <x v="1"/>
    <s v="HAM"/>
    <x v="1"/>
    <x v="0"/>
    <x v="0"/>
    <n v="25"/>
    <x v="0"/>
    <x v="0"/>
    <x v="29"/>
    <n v="78.528000000000006"/>
    <x v="596"/>
    <n v="28.481999999999999"/>
    <n v="27.859000000000002"/>
    <n v="22.04"/>
    <s v="31,48"/>
    <x v="1"/>
  </r>
  <r>
    <x v="1"/>
    <x v="11"/>
    <x v="11"/>
    <x v="5"/>
    <s v="VER"/>
    <x v="2"/>
    <x v="1"/>
    <x v="1"/>
    <n v="19"/>
    <x v="0"/>
    <x v="0"/>
    <x v="29"/>
    <n v="77.102999999999994"/>
    <x v="597"/>
    <n v="28.216000000000001"/>
    <n v="27.123999999999999"/>
    <n v="21.763000000000002"/>
    <s v="25,67"/>
    <x v="1"/>
  </r>
  <r>
    <x v="1"/>
    <x v="11"/>
    <x v="11"/>
    <x v="0"/>
    <s v="VET"/>
    <x v="0"/>
    <x v="16"/>
    <x v="2"/>
    <n v="15"/>
    <x v="0"/>
    <x v="0"/>
    <x v="29"/>
    <n v="79.786000000000001"/>
    <x v="598"/>
    <n v="28.594000000000001"/>
    <n v="28.501999999999999"/>
    <n v="22.524999999999999"/>
    <n v="39"/>
    <x v="1"/>
  </r>
  <r>
    <x v="1"/>
    <x v="11"/>
    <x v="11"/>
    <x v="12"/>
    <s v="LEC"/>
    <x v="0"/>
    <x v="5"/>
    <x v="3"/>
    <n v="12"/>
    <x v="1"/>
    <x v="0"/>
    <x v="29"/>
    <n v="80.492999999999995"/>
    <x v="599"/>
    <n v="28.87"/>
    <n v="28.632999999999999"/>
    <n v="22.733000000000001"/>
    <n v="27"/>
    <x v="1"/>
  </r>
  <r>
    <x v="1"/>
    <x v="11"/>
    <x v="11"/>
    <x v="9"/>
    <s v="SAI"/>
    <x v="3"/>
    <x v="3"/>
    <x v="4"/>
    <n v="10"/>
    <x v="1"/>
    <x v="1"/>
    <x v="30"/>
    <n v="81.001999999999995"/>
    <x v="600"/>
    <n v="29.050999999999998"/>
    <n v="28.928000000000001"/>
    <n v="22.783000000000001"/>
    <n v="29"/>
    <x v="1"/>
  </r>
  <r>
    <x v="1"/>
    <x v="11"/>
    <x v="11"/>
    <x v="17"/>
    <s v="GAS"/>
    <x v="2"/>
    <x v="15"/>
    <x v="5"/>
    <n v="8"/>
    <x v="1"/>
    <x v="1"/>
    <x v="30"/>
    <n v="81.045000000000002"/>
    <x v="601"/>
    <n v="28.959"/>
    <n v="29.056000000000001"/>
    <n v="22.814"/>
    <n v="28"/>
    <x v="1"/>
  </r>
  <r>
    <x v="1"/>
    <x v="11"/>
    <x v="11"/>
    <x v="2"/>
    <s v="RAI"/>
    <x v="11"/>
    <x v="4"/>
    <x v="6"/>
    <n v="6"/>
    <x v="1"/>
    <x v="1"/>
    <x v="30"/>
    <n v="80.88"/>
    <x v="602"/>
    <n v="29.195"/>
    <n v="28.759"/>
    <n v="22.751999999999999"/>
    <n v="29"/>
    <x v="1"/>
  </r>
  <r>
    <x v="1"/>
    <x v="11"/>
    <x v="11"/>
    <x v="7"/>
    <s v="BOT"/>
    <x v="1"/>
    <x v="2"/>
    <x v="7"/>
    <n v="4"/>
    <x v="1"/>
    <x v="1"/>
    <x v="30"/>
    <n v="79.331000000000003"/>
    <x v="603"/>
    <n v="28.6"/>
    <n v="28.225000000000001"/>
    <n v="22.4"/>
    <s v="5,46"/>
    <x v="1"/>
  </r>
  <r>
    <x v="1"/>
    <x v="11"/>
    <x v="11"/>
    <x v="21"/>
    <s v="NOR"/>
    <x v="3"/>
    <x v="6"/>
    <x v="8"/>
    <n v="2"/>
    <x v="1"/>
    <x v="1"/>
    <x v="30"/>
    <n v="81.188000000000002"/>
    <x v="604"/>
    <n v="28.861999999999998"/>
    <n v="29.018000000000001"/>
    <n v="22.888000000000002"/>
    <n v="28"/>
    <x v="1"/>
  </r>
  <r>
    <x v="1"/>
    <x v="11"/>
    <x v="11"/>
    <x v="22"/>
    <s v="ALB"/>
    <x v="8"/>
    <x v="10"/>
    <x v="9"/>
    <n v="1"/>
    <x v="1"/>
    <x v="1"/>
    <x v="30"/>
    <n v="80.620999999999995"/>
    <x v="605"/>
    <n v="29.06"/>
    <n v="28.809000000000001"/>
    <n v="22.666"/>
    <n v="28"/>
    <x v="1"/>
  </r>
  <r>
    <x v="1"/>
    <x v="11"/>
    <x v="11"/>
    <x v="10"/>
    <s v="PER"/>
    <x v="10"/>
    <x v="14"/>
    <x v="10"/>
    <n v="0"/>
    <x v="1"/>
    <x v="1"/>
    <x v="30"/>
    <n v="81.733999999999995"/>
    <x v="606"/>
    <n v="29.187999999999999"/>
    <n v="29.382999999999999"/>
    <n v="22.914000000000001"/>
    <n v="18"/>
    <x v="1"/>
  </r>
  <r>
    <x v="1"/>
    <x v="11"/>
    <x v="11"/>
    <x v="6"/>
    <s v="HUL"/>
    <x v="4"/>
    <x v="8"/>
    <x v="11"/>
    <n v="0"/>
    <x v="1"/>
    <x v="1"/>
    <x v="30"/>
    <n v="81.650000000000006"/>
    <x v="607"/>
    <n v="29.167000000000002"/>
    <n v="29.28"/>
    <n v="22.975999999999999"/>
    <n v="36"/>
    <x v="1"/>
  </r>
  <r>
    <x v="1"/>
    <x v="11"/>
    <x v="11"/>
    <x v="16"/>
    <s v="MAG"/>
    <x v="9"/>
    <x v="11"/>
    <x v="12"/>
    <n v="0"/>
    <x v="1"/>
    <x v="1"/>
    <x v="30"/>
    <n v="81.007999999999996"/>
    <x v="608"/>
    <n v="29.154"/>
    <n v="28.96"/>
    <n v="22.817"/>
    <n v="38"/>
    <x v="1"/>
  </r>
  <r>
    <x v="1"/>
    <x v="11"/>
    <x v="11"/>
    <x v="3"/>
    <s v="RIC"/>
    <x v="4"/>
    <x v="17"/>
    <x v="13"/>
    <n v="0"/>
    <x v="1"/>
    <x v="1"/>
    <x v="30"/>
    <n v="80.838999999999999"/>
    <x v="609"/>
    <n v="28.998999999999999"/>
    <n v="28.966999999999999"/>
    <n v="22.678000000000001"/>
    <n v="46"/>
    <x v="1"/>
  </r>
  <r>
    <x v="1"/>
    <x v="11"/>
    <x v="11"/>
    <x v="20"/>
    <s v="KVY"/>
    <x v="8"/>
    <x v="13"/>
    <x v="14"/>
    <n v="0"/>
    <x v="1"/>
    <x v="11"/>
    <x v="31"/>
    <n v="81.932000000000002"/>
    <x v="610"/>
    <n v="29.315000000000001"/>
    <n v="29.268000000000001"/>
    <n v="23.077999999999999"/>
    <n v="21"/>
    <x v="1"/>
  </r>
  <r>
    <x v="1"/>
    <x v="11"/>
    <x v="11"/>
    <x v="24"/>
    <s v="RUS"/>
    <x v="7"/>
    <x v="7"/>
    <x v="15"/>
    <n v="0"/>
    <x v="1"/>
    <x v="11"/>
    <x v="31"/>
    <n v="82.385999999999996"/>
    <x v="611"/>
    <n v="29.343"/>
    <n v="29.466999999999999"/>
    <n v="23.138999999999999"/>
    <n v="16"/>
    <x v="1"/>
  </r>
  <r>
    <x v="1"/>
    <x v="11"/>
    <x v="11"/>
    <x v="13"/>
    <s v="STR"/>
    <x v="10"/>
    <x v="12"/>
    <x v="16"/>
    <n v="0"/>
    <x v="1"/>
    <x v="11"/>
    <x v="31"/>
    <n v="80.602999999999994"/>
    <x v="612"/>
    <n v="28.553000000000001"/>
    <n v="29.201000000000001"/>
    <n v="22.849"/>
    <s v="16,50"/>
    <x v="1"/>
  </r>
  <r>
    <x v="1"/>
    <x v="11"/>
    <x v="11"/>
    <x v="23"/>
    <s v="GIO"/>
    <x v="11"/>
    <x v="18"/>
    <x v="17"/>
    <n v="0"/>
    <x v="1"/>
    <x v="11"/>
    <x v="31"/>
    <n v="83.134"/>
    <x v="613"/>
    <n v="29.477"/>
    <n v="29.872"/>
    <n v="23.388000000000002"/>
    <n v="15"/>
    <x v="1"/>
  </r>
  <r>
    <x v="1"/>
    <x v="11"/>
    <x v="11"/>
    <x v="25"/>
    <s v="KUB"/>
    <x v="7"/>
    <x v="19"/>
    <x v="18"/>
    <n v="0"/>
    <x v="1"/>
    <x v="12"/>
    <x v="42"/>
    <n v="83.436000000000007"/>
    <x v="614"/>
    <n v="29.616"/>
    <n v="29.948"/>
    <n v="23.564"/>
    <n v="18"/>
    <x v="1"/>
  </r>
  <r>
    <x v="1"/>
    <x v="11"/>
    <x v="11"/>
    <x v="15"/>
    <s v="GRO"/>
    <x v="9"/>
    <x v="9"/>
    <x v="19"/>
    <n v="0"/>
    <x v="1"/>
    <x v="32"/>
    <x v="12"/>
    <n v="82.808999999999997"/>
    <x v="615"/>
    <n v="29.645"/>
    <n v="29.704000000000001"/>
    <n v="23.384"/>
    <s v="19,49"/>
    <x v="1"/>
  </r>
  <r>
    <x v="1"/>
    <x v="12"/>
    <x v="12"/>
    <x v="12"/>
    <s v="LEC"/>
    <x v="0"/>
    <x v="1"/>
    <x v="0"/>
    <n v="25"/>
    <x v="0"/>
    <x v="0"/>
    <x v="44"/>
    <n v="106.664"/>
    <x v="616"/>
    <n v="30.850999999999999"/>
    <n v="46.807000000000002"/>
    <n v="28.805"/>
    <n v="21"/>
    <x v="1"/>
  </r>
  <r>
    <x v="1"/>
    <x v="12"/>
    <x v="12"/>
    <x v="1"/>
    <s v="HAM"/>
    <x v="1"/>
    <x v="0"/>
    <x v="1"/>
    <n v="18"/>
    <x v="0"/>
    <x v="0"/>
    <x v="44"/>
    <n v="106.58"/>
    <x v="617"/>
    <n v="30.815000000000001"/>
    <n v="46.225000000000001"/>
    <n v="28.981999999999999"/>
    <n v="22"/>
    <x v="1"/>
  </r>
  <r>
    <x v="1"/>
    <x v="12"/>
    <x v="12"/>
    <x v="7"/>
    <s v="BOT"/>
    <x v="1"/>
    <x v="5"/>
    <x v="2"/>
    <n v="15"/>
    <x v="0"/>
    <x v="0"/>
    <x v="44"/>
    <n v="106.465"/>
    <x v="618"/>
    <n v="31.103999999999999"/>
    <n v="46.23"/>
    <n v="28.986999999999998"/>
    <n v="23"/>
    <x v="1"/>
  </r>
  <r>
    <x v="1"/>
    <x v="12"/>
    <x v="12"/>
    <x v="0"/>
    <s v="VET"/>
    <x v="0"/>
    <x v="2"/>
    <x v="3"/>
    <n v="13"/>
    <x v="1"/>
    <x v="0"/>
    <x v="44"/>
    <n v="106.40900000000001"/>
    <x v="619"/>
    <n v="30.44"/>
    <n v="46.774000000000001"/>
    <n v="28.83"/>
    <s v="15,33"/>
    <x v="1"/>
  </r>
  <r>
    <x v="1"/>
    <x v="12"/>
    <x v="12"/>
    <x v="22"/>
    <s v="ALB"/>
    <x v="2"/>
    <x v="18"/>
    <x v="4"/>
    <n v="10"/>
    <x v="1"/>
    <x v="0"/>
    <x v="44"/>
    <n v="107.50700000000001"/>
    <x v="620"/>
    <n v="30.643000000000001"/>
    <n v="47.036000000000001"/>
    <n v="28.998000000000001"/>
    <n v="23"/>
    <x v="1"/>
  </r>
  <r>
    <x v="1"/>
    <x v="12"/>
    <x v="12"/>
    <x v="10"/>
    <s v="PER"/>
    <x v="10"/>
    <x v="6"/>
    <x v="5"/>
    <n v="8"/>
    <x v="1"/>
    <x v="0"/>
    <x v="44"/>
    <n v="108.78100000000001"/>
    <x v="621"/>
    <n v="30.777000000000001"/>
    <n v="48.295999999999999"/>
    <n v="29.369"/>
    <n v="15"/>
    <x v="1"/>
  </r>
  <r>
    <x v="1"/>
    <x v="12"/>
    <x v="12"/>
    <x v="20"/>
    <s v="KVY"/>
    <x v="8"/>
    <x v="19"/>
    <x v="6"/>
    <n v="6"/>
    <x v="1"/>
    <x v="0"/>
    <x v="44"/>
    <n v="108.143"/>
    <x v="622"/>
    <n v="30.603999999999999"/>
    <n v="47.44"/>
    <n v="29.183"/>
    <n v="24"/>
    <x v="1"/>
  </r>
  <r>
    <x v="1"/>
    <x v="12"/>
    <x v="12"/>
    <x v="6"/>
    <s v="HUL"/>
    <x v="4"/>
    <x v="10"/>
    <x v="7"/>
    <n v="4"/>
    <x v="1"/>
    <x v="0"/>
    <x v="44"/>
    <n v="108.349"/>
    <x v="623"/>
    <n v="30.774999999999999"/>
    <n v="47.779000000000003"/>
    <n v="29.305"/>
    <s v="11,31"/>
    <x v="1"/>
  </r>
  <r>
    <x v="1"/>
    <x v="12"/>
    <x v="12"/>
    <x v="17"/>
    <s v="GAS"/>
    <x v="8"/>
    <x v="13"/>
    <x v="8"/>
    <n v="2"/>
    <x v="1"/>
    <x v="0"/>
    <x v="44"/>
    <n v="109.7"/>
    <x v="624"/>
    <n v="30.847000000000001"/>
    <n v="47.981000000000002"/>
    <n v="29.335999999999999"/>
    <n v="13"/>
    <x v="1"/>
  </r>
  <r>
    <x v="1"/>
    <x v="12"/>
    <x v="12"/>
    <x v="13"/>
    <s v="STR"/>
    <x v="10"/>
    <x v="14"/>
    <x v="9"/>
    <n v="1"/>
    <x v="1"/>
    <x v="0"/>
    <x v="44"/>
    <n v="108.357"/>
    <x v="625"/>
    <n v="30.524999999999999"/>
    <n v="48.191000000000003"/>
    <n v="29.135000000000002"/>
    <s v="14,30"/>
    <x v="1"/>
  </r>
  <r>
    <x v="1"/>
    <x v="12"/>
    <x v="12"/>
    <x v="21"/>
    <s v="NOR"/>
    <x v="3"/>
    <x v="8"/>
    <x v="10"/>
    <n v="0"/>
    <x v="1"/>
    <x v="3"/>
    <x v="44"/>
    <n v="108.321"/>
    <x v="626"/>
    <n v="30.863"/>
    <n v="47.960999999999999"/>
    <n v="29.314"/>
    <n v="19"/>
    <x v="1"/>
  </r>
  <r>
    <x v="1"/>
    <x v="12"/>
    <x v="12"/>
    <x v="16"/>
    <s v="MAG"/>
    <x v="9"/>
    <x v="3"/>
    <x v="11"/>
    <n v="0"/>
    <x v="1"/>
    <x v="1"/>
    <x v="13"/>
    <n v="108.67700000000001"/>
    <x v="627"/>
    <n v="31.404"/>
    <n v="47.582999999999998"/>
    <n v="29.509"/>
    <n v="25"/>
    <x v="1"/>
  </r>
  <r>
    <x v="1"/>
    <x v="12"/>
    <x v="12"/>
    <x v="15"/>
    <s v="GRO"/>
    <x v="9"/>
    <x v="9"/>
    <x v="12"/>
    <n v="0"/>
    <x v="1"/>
    <x v="1"/>
    <x v="13"/>
    <n v="109.274"/>
    <x v="628"/>
    <n v="31.22"/>
    <n v="48.212000000000003"/>
    <n v="29.606000000000002"/>
    <n v="16"/>
    <x v="1"/>
  </r>
  <r>
    <x v="1"/>
    <x v="12"/>
    <x v="12"/>
    <x v="3"/>
    <s v="RIC"/>
    <x v="4"/>
    <x v="4"/>
    <x v="13"/>
    <n v="0"/>
    <x v="1"/>
    <x v="1"/>
    <x v="13"/>
    <n v="110.45099999999999"/>
    <x v="629"/>
    <n v="30.664000000000001"/>
    <n v="49.59"/>
    <n v="29.55"/>
    <n v="1"/>
    <x v="1"/>
  </r>
  <r>
    <x v="1"/>
    <x v="12"/>
    <x v="12"/>
    <x v="24"/>
    <s v="RUS"/>
    <x v="7"/>
    <x v="11"/>
    <x v="14"/>
    <n v="0"/>
    <x v="1"/>
    <x v="1"/>
    <x v="13"/>
    <n v="108.86"/>
    <x v="630"/>
    <n v="31.582999999999998"/>
    <n v="47.402999999999999"/>
    <n v="29.692"/>
    <n v="30"/>
    <x v="1"/>
  </r>
  <r>
    <x v="1"/>
    <x v="12"/>
    <x v="12"/>
    <x v="2"/>
    <s v="RAI"/>
    <x v="11"/>
    <x v="15"/>
    <x v="15"/>
    <n v="0"/>
    <x v="1"/>
    <x v="1"/>
    <x v="13"/>
    <n v="108.753"/>
    <x v="631"/>
    <n v="30.747"/>
    <n v="48.146000000000001"/>
    <n v="29.169"/>
    <s v="1,2,31"/>
    <x v="1"/>
  </r>
  <r>
    <x v="1"/>
    <x v="12"/>
    <x v="12"/>
    <x v="25"/>
    <s v="KUB"/>
    <x v="7"/>
    <x v="20"/>
    <x v="16"/>
    <n v="0"/>
    <x v="1"/>
    <x v="1"/>
    <x v="13"/>
    <n v="109.22"/>
    <x v="632"/>
    <n v="31.692"/>
    <n v="47.636000000000003"/>
    <n v="29.736999999999998"/>
    <n v="31"/>
    <x v="1"/>
  </r>
  <r>
    <x v="1"/>
    <x v="12"/>
    <x v="12"/>
    <x v="23"/>
    <s v="GIO"/>
    <x v="11"/>
    <x v="12"/>
    <x v="17"/>
    <n v="0"/>
    <x v="1"/>
    <x v="9"/>
    <x v="13"/>
    <n v="107.56"/>
    <x v="633"/>
    <n v="30.675000000000001"/>
    <n v="47.079000000000001"/>
    <n v="29.257000000000001"/>
    <n v="29"/>
    <x v="1"/>
  </r>
  <r>
    <x v="1"/>
    <x v="12"/>
    <x v="12"/>
    <x v="9"/>
    <s v="SAI"/>
    <x v="3"/>
    <x v="7"/>
    <x v="18"/>
    <n v="0"/>
    <x v="1"/>
    <x v="22"/>
    <x v="16"/>
    <m/>
    <x v="19"/>
    <m/>
    <m/>
    <m/>
    <n v="1"/>
    <x v="1"/>
  </r>
  <r>
    <x v="1"/>
    <x v="12"/>
    <x v="12"/>
    <x v="5"/>
    <s v="VER"/>
    <x v="2"/>
    <x v="16"/>
    <x v="19"/>
    <n v="0"/>
    <x v="1"/>
    <x v="9"/>
    <x v="16"/>
    <m/>
    <x v="19"/>
    <m/>
    <m/>
    <m/>
    <m/>
    <x v="1"/>
  </r>
  <r>
    <x v="1"/>
    <x v="20"/>
    <x v="20"/>
    <x v="12"/>
    <s v="LEC"/>
    <x v="0"/>
    <x v="1"/>
    <x v="0"/>
    <n v="25"/>
    <x v="0"/>
    <x v="0"/>
    <x v="28"/>
    <n v="83.009"/>
    <x v="634"/>
    <n v="27.393000000000001"/>
    <n v="27.855"/>
    <n v="27.541"/>
    <n v="20"/>
    <x v="1"/>
  </r>
  <r>
    <x v="1"/>
    <x v="20"/>
    <x v="20"/>
    <x v="7"/>
    <s v="BOT"/>
    <x v="1"/>
    <x v="0"/>
    <x v="1"/>
    <n v="18"/>
    <x v="0"/>
    <x v="0"/>
    <x v="28"/>
    <n v="82.858999999999995"/>
    <x v="635"/>
    <n v="27.295999999999999"/>
    <n v="27.751999999999999"/>
    <n v="27.280999999999999"/>
    <n v="27"/>
    <x v="1"/>
  </r>
  <r>
    <x v="1"/>
    <x v="20"/>
    <x v="20"/>
    <x v="1"/>
    <s v="HAM"/>
    <x v="1"/>
    <x v="2"/>
    <x v="2"/>
    <n v="16"/>
    <x v="0"/>
    <x v="0"/>
    <x v="28"/>
    <n v="81.778999999999996"/>
    <x v="636"/>
    <n v="27.495999999999999"/>
    <n v="27.236000000000001"/>
    <n v="27.027000000000001"/>
    <s v="19,49"/>
    <x v="1"/>
  </r>
  <r>
    <x v="1"/>
    <x v="20"/>
    <x v="20"/>
    <x v="3"/>
    <s v="RIC"/>
    <x v="4"/>
    <x v="16"/>
    <x v="3"/>
    <n v="12"/>
    <x v="1"/>
    <x v="0"/>
    <x v="28"/>
    <n v="83.465999999999994"/>
    <x v="637"/>
    <n v="27.768000000000001"/>
    <n v="27.864999999999998"/>
    <n v="27.745000000000001"/>
    <n v="30"/>
    <x v="1"/>
  </r>
  <r>
    <x v="1"/>
    <x v="20"/>
    <x v="20"/>
    <x v="6"/>
    <s v="HUL"/>
    <x v="4"/>
    <x v="15"/>
    <x v="4"/>
    <n v="10"/>
    <x v="1"/>
    <x v="0"/>
    <x v="28"/>
    <n v="83.641000000000005"/>
    <x v="638"/>
    <n v="27.657"/>
    <n v="27.977"/>
    <n v="27.741"/>
    <n v="29"/>
    <x v="1"/>
  </r>
  <r>
    <x v="1"/>
    <x v="20"/>
    <x v="20"/>
    <x v="22"/>
    <s v="ALB"/>
    <x v="2"/>
    <x v="3"/>
    <x v="5"/>
    <n v="8"/>
    <x v="1"/>
    <x v="0"/>
    <x v="28"/>
    <n v="83.364000000000004"/>
    <x v="639"/>
    <n v="27.707000000000001"/>
    <n v="27.942"/>
    <n v="27.504000000000001"/>
    <n v="26"/>
    <x v="1"/>
  </r>
  <r>
    <x v="1"/>
    <x v="20"/>
    <x v="20"/>
    <x v="10"/>
    <s v="PER"/>
    <x v="10"/>
    <x v="12"/>
    <x v="6"/>
    <n v="6"/>
    <x v="1"/>
    <x v="0"/>
    <x v="28"/>
    <n v="83.77"/>
    <x v="640"/>
    <n v="27.425000000000001"/>
    <n v="28.349"/>
    <n v="27.812000000000001"/>
    <n v="28"/>
    <x v="1"/>
  </r>
  <r>
    <x v="1"/>
    <x v="20"/>
    <x v="20"/>
    <x v="5"/>
    <s v="VER"/>
    <x v="2"/>
    <x v="19"/>
    <x v="7"/>
    <n v="4"/>
    <x v="1"/>
    <x v="0"/>
    <x v="28"/>
    <n v="83.143000000000001"/>
    <x v="641"/>
    <n v="27.561"/>
    <n v="27.977"/>
    <n v="27.425000000000001"/>
    <s v="1,27"/>
    <x v="1"/>
  </r>
  <r>
    <x v="1"/>
    <x v="20"/>
    <x v="20"/>
    <x v="23"/>
    <s v="GIO"/>
    <x v="11"/>
    <x v="4"/>
    <x v="8"/>
    <n v="2"/>
    <x v="1"/>
    <x v="1"/>
    <x v="33"/>
    <n v="84.503"/>
    <x v="642"/>
    <n v="27.946000000000002"/>
    <n v="28.443999999999999"/>
    <n v="27.983000000000001"/>
    <n v="21"/>
    <x v="1"/>
  </r>
  <r>
    <x v="1"/>
    <x v="20"/>
    <x v="20"/>
    <x v="21"/>
    <s v="NOR"/>
    <x v="3"/>
    <x v="14"/>
    <x v="9"/>
    <n v="1"/>
    <x v="1"/>
    <x v="1"/>
    <x v="33"/>
    <n v="84.043999999999997"/>
    <x v="643"/>
    <n v="27.744"/>
    <n v="28.491"/>
    <n v="27.672000000000001"/>
    <n v="23"/>
    <x v="1"/>
  </r>
  <r>
    <x v="1"/>
    <x v="20"/>
    <x v="20"/>
    <x v="17"/>
    <s v="GAS"/>
    <x v="8"/>
    <x v="18"/>
    <x v="10"/>
    <n v="0"/>
    <x v="1"/>
    <x v="1"/>
    <x v="33"/>
    <n v="83.885000000000005"/>
    <x v="644"/>
    <n v="27.68"/>
    <n v="28.076000000000001"/>
    <n v="27.709"/>
    <n v="28"/>
    <x v="1"/>
  </r>
  <r>
    <x v="1"/>
    <x v="20"/>
    <x v="20"/>
    <x v="13"/>
    <s v="STR"/>
    <x v="10"/>
    <x v="9"/>
    <x v="11"/>
    <n v="0"/>
    <x v="1"/>
    <x v="1"/>
    <x v="33"/>
    <n v="84.165000000000006"/>
    <x v="645"/>
    <n v="27.561"/>
    <n v="28.367000000000001"/>
    <n v="28.032"/>
    <s v="15,22"/>
    <x v="1"/>
  </r>
  <r>
    <x v="1"/>
    <x v="20"/>
    <x v="20"/>
    <x v="0"/>
    <s v="VET"/>
    <x v="0"/>
    <x v="5"/>
    <x v="12"/>
    <n v="0"/>
    <x v="1"/>
    <x v="1"/>
    <x v="33"/>
    <n v="82.799000000000007"/>
    <x v="646"/>
    <n v="27.361000000000001"/>
    <n v="27.648"/>
    <n v="27.553000000000001"/>
    <s v="6,12,41"/>
    <x v="1"/>
  </r>
  <r>
    <x v="1"/>
    <x v="20"/>
    <x v="20"/>
    <x v="24"/>
    <s v="RUS"/>
    <x v="7"/>
    <x v="11"/>
    <x v="13"/>
    <n v="0"/>
    <x v="1"/>
    <x v="1"/>
    <x v="33"/>
    <n v="84.841999999999999"/>
    <x v="647"/>
    <n v="28.15"/>
    <n v="28.428000000000001"/>
    <n v="28.029"/>
    <n v="23"/>
    <x v="1"/>
  </r>
  <r>
    <x v="1"/>
    <x v="20"/>
    <x v="20"/>
    <x v="2"/>
    <s v="RAI"/>
    <x v="11"/>
    <x v="20"/>
    <x v="14"/>
    <n v="0"/>
    <x v="1"/>
    <x v="1"/>
    <x v="33"/>
    <n v="84.418999999999997"/>
    <x v="648"/>
    <n v="27.684999999999999"/>
    <n v="28.323"/>
    <n v="27.98"/>
    <s v="19,26"/>
    <x v="1"/>
  </r>
  <r>
    <x v="1"/>
    <x v="20"/>
    <x v="20"/>
    <x v="15"/>
    <s v="GRO"/>
    <x v="9"/>
    <x v="13"/>
    <x v="15"/>
    <n v="0"/>
    <x v="1"/>
    <x v="1"/>
    <x v="33"/>
    <n v="84.984999999999999"/>
    <x v="649"/>
    <n v="27.908999999999999"/>
    <n v="28.562000000000001"/>
    <n v="28.338000000000001"/>
    <s v="7,29"/>
    <x v="1"/>
  </r>
  <r>
    <x v="1"/>
    <x v="20"/>
    <x v="20"/>
    <x v="25"/>
    <s v="KUB"/>
    <x v="7"/>
    <x v="7"/>
    <x v="16"/>
    <n v="0"/>
    <x v="1"/>
    <x v="11"/>
    <x v="11"/>
    <n v="84.989000000000004"/>
    <x v="650"/>
    <n v="28.206"/>
    <n v="28.280999999999999"/>
    <n v="28.236999999999998"/>
    <s v="29,44"/>
    <x v="1"/>
  </r>
  <r>
    <x v="1"/>
    <x v="20"/>
    <x v="20"/>
    <x v="16"/>
    <s v="MAG"/>
    <x v="9"/>
    <x v="8"/>
    <x v="17"/>
    <n v="0"/>
    <x v="1"/>
    <x v="18"/>
    <x v="13"/>
    <n v="84.442999999999998"/>
    <x v="651"/>
    <n v="28.03"/>
    <n v="28.337"/>
    <n v="28.021999999999998"/>
    <s v="20,34,43"/>
    <x v="1"/>
  </r>
  <r>
    <x v="1"/>
    <x v="20"/>
    <x v="20"/>
    <x v="20"/>
    <s v="KVY"/>
    <x v="8"/>
    <x v="10"/>
    <x v="18"/>
    <n v="0"/>
    <x v="1"/>
    <x v="3"/>
    <x v="57"/>
    <n v="85.772000000000006"/>
    <x v="652"/>
    <n v="28.193000000000001"/>
    <n v="28.853999999999999"/>
    <n v="28.347999999999999"/>
    <n v="28"/>
    <x v="1"/>
  </r>
  <r>
    <x v="1"/>
    <x v="20"/>
    <x v="20"/>
    <x v="9"/>
    <s v="SAI"/>
    <x v="3"/>
    <x v="6"/>
    <x v="19"/>
    <n v="0"/>
    <x v="1"/>
    <x v="2"/>
    <x v="63"/>
    <n v="85.637"/>
    <x v="653"/>
    <n v="28.071000000000002"/>
    <n v="29.032"/>
    <n v="28.443999999999999"/>
    <n v="27"/>
    <x v="1"/>
  </r>
  <r>
    <x v="1"/>
    <x v="13"/>
    <x v="13"/>
    <x v="0"/>
    <s v="VET"/>
    <x v="0"/>
    <x v="0"/>
    <x v="0"/>
    <n v="25"/>
    <x v="0"/>
    <x v="0"/>
    <x v="46"/>
    <n v="104.80200000000001"/>
    <x v="654"/>
    <n v="28.457000000000001"/>
    <n v="40.795999999999999"/>
    <n v="35.393000000000001"/>
    <n v="19"/>
    <x v="1"/>
  </r>
  <r>
    <x v="1"/>
    <x v="13"/>
    <x v="13"/>
    <x v="12"/>
    <s v="LEC"/>
    <x v="0"/>
    <x v="1"/>
    <x v="1"/>
    <n v="18"/>
    <x v="0"/>
    <x v="0"/>
    <x v="46"/>
    <n v="104.723"/>
    <x v="655"/>
    <n v="28.332999999999998"/>
    <n v="40.945"/>
    <n v="35.225000000000001"/>
    <n v="20"/>
    <x v="1"/>
  </r>
  <r>
    <x v="1"/>
    <x v="13"/>
    <x v="13"/>
    <x v="5"/>
    <s v="VER"/>
    <x v="2"/>
    <x v="5"/>
    <x v="2"/>
    <n v="15"/>
    <x v="0"/>
    <x v="0"/>
    <x v="46"/>
    <n v="105.176"/>
    <x v="656"/>
    <n v="28.593"/>
    <n v="40.677"/>
    <n v="35.555999999999997"/>
    <n v="19"/>
    <x v="1"/>
  </r>
  <r>
    <x v="1"/>
    <x v="13"/>
    <x v="13"/>
    <x v="1"/>
    <s v="HAM"/>
    <x v="1"/>
    <x v="2"/>
    <x v="3"/>
    <n v="12"/>
    <x v="1"/>
    <x v="0"/>
    <x v="46"/>
    <n v="104.914"/>
    <x v="657"/>
    <n v="28.141999999999999"/>
    <n v="40.692999999999998"/>
    <n v="35.667000000000002"/>
    <n v="26"/>
    <x v="1"/>
  </r>
  <r>
    <x v="1"/>
    <x v="13"/>
    <x v="13"/>
    <x v="7"/>
    <s v="BOT"/>
    <x v="1"/>
    <x v="16"/>
    <x v="4"/>
    <n v="10"/>
    <x v="1"/>
    <x v="0"/>
    <x v="46"/>
    <n v="103.53400000000001"/>
    <x v="658"/>
    <n v="28.106999999999999"/>
    <n v="40.152999999999999"/>
    <n v="35.274000000000001"/>
    <n v="22"/>
    <x v="1"/>
  </r>
  <r>
    <x v="1"/>
    <x v="13"/>
    <x v="13"/>
    <x v="22"/>
    <s v="ALB"/>
    <x v="2"/>
    <x v="15"/>
    <x v="5"/>
    <n v="8"/>
    <x v="1"/>
    <x v="0"/>
    <x v="46"/>
    <n v="105.26"/>
    <x v="659"/>
    <n v="28.631"/>
    <n v="40.926000000000002"/>
    <n v="35.628999999999998"/>
    <n v="20"/>
    <x v="1"/>
  </r>
  <r>
    <x v="1"/>
    <x v="13"/>
    <x v="13"/>
    <x v="21"/>
    <s v="NOR"/>
    <x v="3"/>
    <x v="9"/>
    <x v="6"/>
    <n v="6"/>
    <x v="1"/>
    <x v="0"/>
    <x v="46"/>
    <n v="105.71599999999999"/>
    <x v="660"/>
    <n v="28.613"/>
    <n v="41.186"/>
    <n v="35.863"/>
    <n v="20"/>
    <x v="1"/>
  </r>
  <r>
    <x v="1"/>
    <x v="13"/>
    <x v="13"/>
    <x v="17"/>
    <s v="GAS"/>
    <x v="8"/>
    <x v="8"/>
    <x v="7"/>
    <n v="4"/>
    <x v="1"/>
    <x v="0"/>
    <x v="46"/>
    <n v="105.76900000000001"/>
    <x v="661"/>
    <n v="28.427"/>
    <n v="40.877000000000002"/>
    <n v="36.018999999999998"/>
    <n v="32"/>
    <x v="1"/>
  </r>
  <r>
    <x v="1"/>
    <x v="13"/>
    <x v="13"/>
    <x v="6"/>
    <s v="HUL"/>
    <x v="4"/>
    <x v="3"/>
    <x v="8"/>
    <n v="2"/>
    <x v="1"/>
    <x v="0"/>
    <x v="46"/>
    <n v="105.765"/>
    <x v="662"/>
    <n v="28.207000000000001"/>
    <n v="41.219000000000001"/>
    <n v="36.210999999999999"/>
    <s v="1,36"/>
    <x v="1"/>
  </r>
  <r>
    <x v="1"/>
    <x v="13"/>
    <x v="13"/>
    <x v="23"/>
    <s v="GIO"/>
    <x v="11"/>
    <x v="4"/>
    <x v="9"/>
    <n v="1"/>
    <x v="1"/>
    <x v="0"/>
    <x v="46"/>
    <n v="105.63"/>
    <x v="663"/>
    <n v="28.603000000000002"/>
    <n v="40.899000000000001"/>
    <n v="36.049999999999997"/>
    <s v="34,36"/>
    <x v="1"/>
  </r>
  <r>
    <x v="1"/>
    <x v="13"/>
    <x v="13"/>
    <x v="15"/>
    <s v="GRO"/>
    <x v="9"/>
    <x v="18"/>
    <x v="10"/>
    <n v="0"/>
    <x v="1"/>
    <x v="0"/>
    <x v="46"/>
    <n v="106.274"/>
    <x v="664"/>
    <n v="28.774000000000001"/>
    <n v="41.162999999999997"/>
    <n v="36.232999999999997"/>
    <s v="23,35"/>
    <x v="1"/>
  </r>
  <r>
    <x v="1"/>
    <x v="13"/>
    <x v="13"/>
    <x v="9"/>
    <s v="SAI"/>
    <x v="3"/>
    <x v="6"/>
    <x v="11"/>
    <n v="0"/>
    <x v="1"/>
    <x v="0"/>
    <x v="46"/>
    <n v="105.96899999999999"/>
    <x v="665"/>
    <n v="28.664000000000001"/>
    <n v="40.863"/>
    <n v="36.091999999999999"/>
    <s v="1,35"/>
    <x v="1"/>
  </r>
  <r>
    <x v="1"/>
    <x v="13"/>
    <x v="13"/>
    <x v="13"/>
    <s v="STR"/>
    <x v="10"/>
    <x v="14"/>
    <x v="12"/>
    <n v="0"/>
    <x v="1"/>
    <x v="0"/>
    <x v="46"/>
    <n v="104.896"/>
    <x v="666"/>
    <n v="28.606000000000002"/>
    <n v="40.517000000000003"/>
    <n v="35.691000000000003"/>
    <s v="31,41,44"/>
    <x v="1"/>
  </r>
  <r>
    <x v="1"/>
    <x v="13"/>
    <x v="13"/>
    <x v="3"/>
    <s v="RIC"/>
    <x v="4"/>
    <x v="17"/>
    <x v="13"/>
    <n v="0"/>
    <x v="1"/>
    <x v="0"/>
    <x v="46"/>
    <n v="105.91500000000001"/>
    <x v="667"/>
    <n v="28.308"/>
    <n v="41.325000000000003"/>
    <n v="36.237000000000002"/>
    <n v="34"/>
    <x v="1"/>
  </r>
  <r>
    <x v="1"/>
    <x v="13"/>
    <x v="13"/>
    <x v="20"/>
    <s v="KVY"/>
    <x v="8"/>
    <x v="11"/>
    <x v="14"/>
    <n v="0"/>
    <x v="1"/>
    <x v="0"/>
    <x v="46"/>
    <n v="104.371"/>
    <x v="668"/>
    <n v="28.606999999999999"/>
    <n v="40.313000000000002"/>
    <n v="35.451000000000001"/>
    <s v="12,36"/>
    <x v="1"/>
  </r>
  <r>
    <x v="1"/>
    <x v="13"/>
    <x v="13"/>
    <x v="25"/>
    <s v="KUB"/>
    <x v="7"/>
    <x v="19"/>
    <x v="15"/>
    <n v="0"/>
    <x v="1"/>
    <x v="0"/>
    <x v="46"/>
    <n v="106.79300000000001"/>
    <x v="669"/>
    <n v="29.123000000000001"/>
    <n v="41.387999999999998"/>
    <n v="36.244999999999997"/>
    <s v="21,44"/>
    <x v="1"/>
  </r>
  <r>
    <x v="1"/>
    <x v="13"/>
    <x v="13"/>
    <x v="16"/>
    <s v="MAG"/>
    <x v="9"/>
    <x v="13"/>
    <x v="16"/>
    <n v="0"/>
    <x v="1"/>
    <x v="0"/>
    <x v="46"/>
    <n v="102.301"/>
    <x v="670"/>
    <n v="28.225000000000001"/>
    <n v="39.424999999999997"/>
    <n v="34.582000000000001"/>
    <s v="18,56"/>
    <x v="1"/>
  </r>
  <r>
    <x v="1"/>
    <x v="13"/>
    <x v="13"/>
    <x v="2"/>
    <s v="RAI"/>
    <x v="11"/>
    <x v="10"/>
    <x v="17"/>
    <n v="0"/>
    <x v="1"/>
    <x v="10"/>
    <x v="43"/>
    <n v="107.062"/>
    <x v="671"/>
    <n v="29.181999999999999"/>
    <n v="41.307000000000002"/>
    <n v="36.381"/>
    <n v="15"/>
    <x v="1"/>
  </r>
  <r>
    <x v="1"/>
    <x v="13"/>
    <x v="13"/>
    <x v="10"/>
    <s v="PER"/>
    <x v="10"/>
    <x v="7"/>
    <x v="18"/>
    <n v="0"/>
    <x v="1"/>
    <x v="3"/>
    <x v="13"/>
    <n v="106.68300000000001"/>
    <x v="672"/>
    <n v="29.061"/>
    <n v="41.302"/>
    <n v="36.253"/>
    <n v="13"/>
    <x v="1"/>
  </r>
  <r>
    <x v="1"/>
    <x v="13"/>
    <x v="13"/>
    <x v="24"/>
    <s v="RUS"/>
    <x v="7"/>
    <x v="12"/>
    <x v="19"/>
    <n v="0"/>
    <x v="1"/>
    <x v="10"/>
    <x v="64"/>
    <n v="108.285"/>
    <x v="673"/>
    <n v="29.463000000000001"/>
    <n v="42.014000000000003"/>
    <n v="36.621000000000002"/>
    <n v="1"/>
    <x v="1"/>
  </r>
  <r>
    <x v="1"/>
    <x v="14"/>
    <x v="14"/>
    <x v="1"/>
    <s v="HAM"/>
    <x v="1"/>
    <x v="2"/>
    <x v="0"/>
    <n v="26"/>
    <x v="0"/>
    <x v="0"/>
    <x v="28"/>
    <n v="95.760999999999996"/>
    <x v="674"/>
    <n v="34.868000000000002"/>
    <n v="33.064"/>
    <n v="27.815000000000001"/>
    <n v="28"/>
    <x v="0"/>
  </r>
  <r>
    <x v="1"/>
    <x v="14"/>
    <x v="14"/>
    <x v="7"/>
    <s v="BOT"/>
    <x v="1"/>
    <x v="5"/>
    <x v="1"/>
    <n v="18"/>
    <x v="0"/>
    <x v="0"/>
    <x v="28"/>
    <n v="96.316000000000003"/>
    <x v="675"/>
    <n v="34.863"/>
    <n v="33.338000000000001"/>
    <n v="27.986000000000001"/>
    <n v="28"/>
    <x v="0"/>
  </r>
  <r>
    <x v="1"/>
    <x v="14"/>
    <x v="14"/>
    <x v="12"/>
    <s v="LEC"/>
    <x v="0"/>
    <x v="1"/>
    <x v="2"/>
    <n v="15"/>
    <x v="0"/>
    <x v="0"/>
    <x v="28"/>
    <n v="96.192999999999998"/>
    <x v="676"/>
    <n v="34.601999999999997"/>
    <n v="33.323999999999998"/>
    <n v="28.266999999999999"/>
    <s v="22,30"/>
    <x v="0"/>
  </r>
  <r>
    <x v="1"/>
    <x v="14"/>
    <x v="14"/>
    <x v="5"/>
    <s v="VER"/>
    <x v="2"/>
    <x v="9"/>
    <x v="3"/>
    <n v="12"/>
    <x v="1"/>
    <x v="0"/>
    <x v="28"/>
    <n v="96.936999999999998"/>
    <x v="677"/>
    <n v="35.088999999999999"/>
    <n v="33.628"/>
    <n v="28.128"/>
    <n v="28"/>
    <x v="0"/>
  </r>
  <r>
    <x v="1"/>
    <x v="14"/>
    <x v="14"/>
    <x v="22"/>
    <s v="ALB"/>
    <x v="2"/>
    <x v="20"/>
    <x v="4"/>
    <n v="10"/>
    <x v="1"/>
    <x v="0"/>
    <x v="28"/>
    <n v="96.762"/>
    <x v="678"/>
    <n v="35.270000000000003"/>
    <n v="33.466999999999999"/>
    <n v="28.024999999999999"/>
    <n v="29"/>
    <x v="0"/>
  </r>
  <r>
    <x v="1"/>
    <x v="14"/>
    <x v="14"/>
    <x v="9"/>
    <s v="SAI"/>
    <x v="3"/>
    <x v="16"/>
    <x v="5"/>
    <n v="8"/>
    <x v="1"/>
    <x v="0"/>
    <x v="28"/>
    <n v="98.02"/>
    <x v="679"/>
    <n v="35.28"/>
    <n v="33.941000000000003"/>
    <n v="28.77"/>
    <n v="21"/>
    <x v="0"/>
  </r>
  <r>
    <x v="1"/>
    <x v="14"/>
    <x v="14"/>
    <x v="10"/>
    <s v="PER"/>
    <x v="10"/>
    <x v="8"/>
    <x v="6"/>
    <n v="6"/>
    <x v="1"/>
    <x v="0"/>
    <x v="28"/>
    <n v="98.043000000000006"/>
    <x v="680"/>
    <n v="35.106999999999999"/>
    <n v="34.061999999999998"/>
    <n v="28.637"/>
    <n v="23"/>
    <x v="0"/>
  </r>
  <r>
    <x v="1"/>
    <x v="14"/>
    <x v="14"/>
    <x v="21"/>
    <s v="NOR"/>
    <x v="3"/>
    <x v="6"/>
    <x v="7"/>
    <n v="4"/>
    <x v="1"/>
    <x v="0"/>
    <x v="28"/>
    <n v="98.301000000000002"/>
    <x v="681"/>
    <n v="35.21"/>
    <n v="34.069000000000003"/>
    <n v="28.895"/>
    <n v="20"/>
    <x v="0"/>
  </r>
  <r>
    <x v="1"/>
    <x v="14"/>
    <x v="14"/>
    <x v="16"/>
    <s v="MAG"/>
    <x v="9"/>
    <x v="13"/>
    <x v="8"/>
    <n v="2"/>
    <x v="1"/>
    <x v="0"/>
    <x v="28"/>
    <n v="98.13"/>
    <x v="682"/>
    <n v="35.354999999999997"/>
    <n v="33.991"/>
    <n v="28.550999999999998"/>
    <n v="27"/>
    <x v="0"/>
  </r>
  <r>
    <x v="1"/>
    <x v="14"/>
    <x v="14"/>
    <x v="6"/>
    <s v="HUL"/>
    <x v="4"/>
    <x v="15"/>
    <x v="9"/>
    <n v="1"/>
    <x v="1"/>
    <x v="0"/>
    <x v="28"/>
    <n v="98.519000000000005"/>
    <x v="683"/>
    <n v="35.226999999999997"/>
    <n v="33.914000000000001"/>
    <n v="28.82"/>
    <s v="16,29"/>
    <x v="0"/>
  </r>
  <r>
    <x v="1"/>
    <x v="14"/>
    <x v="14"/>
    <x v="13"/>
    <s v="STR"/>
    <x v="10"/>
    <x v="11"/>
    <x v="10"/>
    <n v="0"/>
    <x v="1"/>
    <x v="0"/>
    <x v="28"/>
    <n v="98.611000000000004"/>
    <x v="684"/>
    <n v="35.231999999999999"/>
    <n v="33.905999999999999"/>
    <n v="29.055"/>
    <n v="27"/>
    <x v="0"/>
  </r>
  <r>
    <x v="1"/>
    <x v="14"/>
    <x v="14"/>
    <x v="20"/>
    <s v="KVY"/>
    <x v="8"/>
    <x v="19"/>
    <x v="11"/>
    <n v="0"/>
    <x v="1"/>
    <x v="0"/>
    <x v="28"/>
    <n v="98.227999999999994"/>
    <x v="685"/>
    <n v="35.119999999999997"/>
    <n v="34.002000000000002"/>
    <n v="28.78"/>
    <s v="27,29"/>
    <x v="0"/>
  </r>
  <r>
    <x v="1"/>
    <x v="14"/>
    <x v="14"/>
    <x v="2"/>
    <s v="RAI"/>
    <x v="11"/>
    <x v="7"/>
    <x v="12"/>
    <n v="0"/>
    <x v="1"/>
    <x v="0"/>
    <x v="28"/>
    <n v="98.588999999999999"/>
    <x v="686"/>
    <n v="35.445"/>
    <n v="34.197000000000003"/>
    <n v="28.632000000000001"/>
    <s v="9,27"/>
    <x v="0"/>
  </r>
  <r>
    <x v="1"/>
    <x v="14"/>
    <x v="14"/>
    <x v="17"/>
    <s v="GAS"/>
    <x v="8"/>
    <x v="14"/>
    <x v="13"/>
    <n v="0"/>
    <x v="1"/>
    <x v="0"/>
    <x v="28"/>
    <n v="98.605999999999995"/>
    <x v="687"/>
    <n v="35.356000000000002"/>
    <n v="33.960999999999999"/>
    <n v="29.132000000000001"/>
    <n v="26"/>
    <x v="0"/>
  </r>
  <r>
    <x v="1"/>
    <x v="14"/>
    <x v="14"/>
    <x v="23"/>
    <s v="GIO"/>
    <x v="11"/>
    <x v="10"/>
    <x v="14"/>
    <n v="0"/>
    <x v="1"/>
    <x v="0"/>
    <x v="28"/>
    <n v="98.695999999999998"/>
    <x v="688"/>
    <n v="35.542000000000002"/>
    <n v="34.238999999999997"/>
    <n v="28.908000000000001"/>
    <s v="2,27"/>
    <x v="0"/>
  </r>
  <r>
    <x v="1"/>
    <x v="14"/>
    <x v="14"/>
    <x v="25"/>
    <s v="KUB"/>
    <x v="7"/>
    <x v="12"/>
    <x v="15"/>
    <n v="0"/>
    <x v="1"/>
    <x v="5"/>
    <x v="34"/>
    <n v="102.327"/>
    <x v="689"/>
    <n v="36.332999999999998"/>
    <n v="35.61"/>
    <n v="30.276"/>
    <s v="1,2,28"/>
    <x v="0"/>
  </r>
  <r>
    <x v="1"/>
    <x v="14"/>
    <x v="14"/>
    <x v="24"/>
    <s v="RUS"/>
    <x v="7"/>
    <x v="18"/>
    <x v="16"/>
    <n v="0"/>
    <x v="1"/>
    <x v="5"/>
    <x v="63"/>
    <n v="101.705"/>
    <x v="690"/>
    <n v="36.280999999999999"/>
    <n v="35.177999999999997"/>
    <n v="29.991"/>
    <n v="27"/>
    <x v="0"/>
  </r>
  <r>
    <x v="1"/>
    <x v="14"/>
    <x v="14"/>
    <x v="0"/>
    <s v="VET"/>
    <x v="0"/>
    <x v="0"/>
    <x v="17"/>
    <n v="0"/>
    <x v="1"/>
    <x v="22"/>
    <x v="65"/>
    <n v="98.245000000000005"/>
    <x v="691"/>
    <n v="35.396000000000001"/>
    <n v="33.950000000000003"/>
    <n v="28.837"/>
    <n v="26"/>
    <x v="0"/>
  </r>
  <r>
    <x v="1"/>
    <x v="14"/>
    <x v="14"/>
    <x v="3"/>
    <s v="RIC"/>
    <x v="4"/>
    <x v="4"/>
    <x v="18"/>
    <n v="0"/>
    <x v="1"/>
    <x v="10"/>
    <x v="2"/>
    <n v="101.28400000000001"/>
    <x v="692"/>
    <n v="35.917999999999999"/>
    <n v="35.351999999999997"/>
    <n v="30.013999999999999"/>
    <s v="1,24"/>
    <x v="0"/>
  </r>
  <r>
    <x v="1"/>
    <x v="14"/>
    <x v="14"/>
    <x v="15"/>
    <s v="GRO"/>
    <x v="9"/>
    <x v="3"/>
    <x v="19"/>
    <n v="0"/>
    <x v="1"/>
    <x v="10"/>
    <x v="16"/>
    <m/>
    <x v="19"/>
    <m/>
    <m/>
    <m/>
    <m/>
    <x v="0"/>
  </r>
  <r>
    <x v="1"/>
    <x v="15"/>
    <x v="15"/>
    <x v="7"/>
    <s v="BOT"/>
    <x v="1"/>
    <x v="0"/>
    <x v="0"/>
    <n v="25"/>
    <x v="0"/>
    <x v="0"/>
    <x v="28"/>
    <n v="91.861999999999995"/>
    <x v="693"/>
    <n v="32.628999999999998"/>
    <n v="41.156999999999996"/>
    <n v="17.885000000000002"/>
    <s v="17,36"/>
    <x v="1"/>
  </r>
  <r>
    <x v="1"/>
    <x v="15"/>
    <x v="15"/>
    <x v="0"/>
    <s v="VET"/>
    <x v="0"/>
    <x v="1"/>
    <x v="1"/>
    <n v="18"/>
    <x v="0"/>
    <x v="0"/>
    <x v="28"/>
    <n v="92.122"/>
    <x v="694"/>
    <n v="32.695999999999998"/>
    <n v="41.279000000000003"/>
    <n v="18.015000000000001"/>
    <s v="16,31"/>
    <x v="1"/>
  </r>
  <r>
    <x v="1"/>
    <x v="15"/>
    <x v="15"/>
    <x v="1"/>
    <s v="HAM"/>
    <x v="1"/>
    <x v="5"/>
    <x v="2"/>
    <n v="16"/>
    <x v="0"/>
    <x v="0"/>
    <x v="28"/>
    <n v="90.983000000000004"/>
    <x v="695"/>
    <n v="32.08"/>
    <n v="41.02"/>
    <n v="17.882999999999999"/>
    <s v="21,42"/>
    <x v="1"/>
  </r>
  <r>
    <x v="1"/>
    <x v="15"/>
    <x v="15"/>
    <x v="22"/>
    <s v="ALB"/>
    <x v="2"/>
    <x v="15"/>
    <x v="3"/>
    <n v="12"/>
    <x v="1"/>
    <x v="0"/>
    <x v="28"/>
    <n v="92.775000000000006"/>
    <x v="696"/>
    <n v="32.896999999999998"/>
    <n v="41.679000000000002"/>
    <n v="18.131"/>
    <s v="15,34"/>
    <x v="1"/>
  </r>
  <r>
    <x v="1"/>
    <x v="15"/>
    <x v="15"/>
    <x v="9"/>
    <s v="SAI"/>
    <x v="3"/>
    <x v="6"/>
    <x v="4"/>
    <n v="10"/>
    <x v="1"/>
    <x v="0"/>
    <x v="28"/>
    <n v="93.563000000000002"/>
    <x v="697"/>
    <n v="33.115000000000002"/>
    <n v="41.981999999999999"/>
    <n v="18.209"/>
    <n v="26"/>
    <x v="1"/>
  </r>
  <r>
    <x v="1"/>
    <x v="15"/>
    <x v="15"/>
    <x v="12"/>
    <s v="LEC"/>
    <x v="0"/>
    <x v="2"/>
    <x v="5"/>
    <n v="8"/>
    <x v="1"/>
    <x v="1"/>
    <x v="33"/>
    <n v="91.611000000000004"/>
    <x v="698"/>
    <n v="32.219000000000001"/>
    <n v="40.79"/>
    <n v="18.140999999999998"/>
    <s v="3,25,46"/>
    <x v="1"/>
  </r>
  <r>
    <x v="1"/>
    <x v="15"/>
    <x v="15"/>
    <x v="17"/>
    <s v="GAS"/>
    <x v="8"/>
    <x v="9"/>
    <x v="6"/>
    <n v="6"/>
    <x v="1"/>
    <x v="1"/>
    <x v="33"/>
    <n v="95.320999999999998"/>
    <x v="699"/>
    <n v="34.07"/>
    <n v="42.442999999999998"/>
    <n v="18.306999999999999"/>
    <n v="18"/>
    <x v="1"/>
  </r>
  <r>
    <x v="1"/>
    <x v="15"/>
    <x v="15"/>
    <x v="10"/>
    <s v="PER"/>
    <x v="10"/>
    <x v="18"/>
    <x v="7"/>
    <n v="4"/>
    <x v="1"/>
    <x v="1"/>
    <x v="33"/>
    <n v="92.620999999999995"/>
    <x v="700"/>
    <n v="32.805"/>
    <n v="41.582999999999998"/>
    <n v="18.010999999999999"/>
    <s v="19,41"/>
    <x v="1"/>
  </r>
  <r>
    <x v="1"/>
    <x v="15"/>
    <x v="15"/>
    <x v="13"/>
    <s v="STR"/>
    <x v="10"/>
    <x v="10"/>
    <x v="8"/>
    <n v="2"/>
    <x v="1"/>
    <x v="1"/>
    <x v="33"/>
    <n v="94.712999999999994"/>
    <x v="701"/>
    <n v="33.686999999999998"/>
    <n v="42.62"/>
    <n v="18.393999999999998"/>
    <n v="18"/>
    <x v="1"/>
  </r>
  <r>
    <x v="1"/>
    <x v="15"/>
    <x v="15"/>
    <x v="20"/>
    <s v="KVY"/>
    <x v="8"/>
    <x v="11"/>
    <x v="9"/>
    <n v="1"/>
    <x v="1"/>
    <x v="1"/>
    <x v="33"/>
    <n v="93.239000000000004"/>
    <x v="702"/>
    <n v="33.095999999999997"/>
    <n v="41.822000000000003"/>
    <n v="18.251999999999999"/>
    <n v="27"/>
    <x v="1"/>
  </r>
  <r>
    <x v="1"/>
    <x v="15"/>
    <x v="15"/>
    <x v="21"/>
    <s v="NOR"/>
    <x v="3"/>
    <x v="3"/>
    <x v="10"/>
    <n v="0"/>
    <x v="1"/>
    <x v="1"/>
    <x v="33"/>
    <n v="94.116"/>
    <x v="703"/>
    <n v="33.188000000000002"/>
    <n v="42.189"/>
    <n v="18.462"/>
    <s v="4,25"/>
    <x v="1"/>
  </r>
  <r>
    <x v="1"/>
    <x v="15"/>
    <x v="15"/>
    <x v="2"/>
    <s v="RAI"/>
    <x v="11"/>
    <x v="13"/>
    <x v="11"/>
    <n v="0"/>
    <x v="1"/>
    <x v="1"/>
    <x v="33"/>
    <n v="93.19"/>
    <x v="704"/>
    <n v="32.753999999999998"/>
    <n v="41.895000000000003"/>
    <n v="18.184000000000001"/>
    <s v="15,36"/>
    <x v="1"/>
  </r>
  <r>
    <x v="1"/>
    <x v="15"/>
    <x v="15"/>
    <x v="15"/>
    <s v="GRO"/>
    <x v="9"/>
    <x v="4"/>
    <x v="12"/>
    <n v="0"/>
    <x v="1"/>
    <x v="1"/>
    <x v="33"/>
    <n v="94.988"/>
    <x v="705"/>
    <n v="33.725999999999999"/>
    <n v="42.561999999999998"/>
    <n v="18.606000000000002"/>
    <n v="16"/>
    <x v="1"/>
  </r>
  <r>
    <x v="1"/>
    <x v="15"/>
    <x v="15"/>
    <x v="23"/>
    <s v="GIO"/>
    <x v="11"/>
    <x v="8"/>
    <x v="13"/>
    <n v="0"/>
    <x v="1"/>
    <x v="1"/>
    <x v="33"/>
    <n v="92.369"/>
    <x v="706"/>
    <n v="32.624000000000002"/>
    <n v="41.552"/>
    <n v="18.193000000000001"/>
    <s v="18,49"/>
    <x v="1"/>
  </r>
  <r>
    <x v="1"/>
    <x v="15"/>
    <x v="15"/>
    <x v="16"/>
    <s v="MAG"/>
    <x v="9"/>
    <x v="19"/>
    <x v="14"/>
    <n v="0"/>
    <x v="1"/>
    <x v="1"/>
    <x v="33"/>
    <n v="91.731999999999999"/>
    <x v="707"/>
    <n v="32.561999999999998"/>
    <n v="41.116999999999997"/>
    <n v="18.053000000000001"/>
    <s v="17,47"/>
    <x v="1"/>
  </r>
  <r>
    <x v="1"/>
    <x v="15"/>
    <x v="15"/>
    <x v="24"/>
    <s v="RUS"/>
    <x v="7"/>
    <x v="12"/>
    <x v="15"/>
    <n v="0"/>
    <x v="1"/>
    <x v="11"/>
    <x v="11"/>
    <n v="95.457999999999998"/>
    <x v="708"/>
    <n v="34.128999999999998"/>
    <n v="42.566000000000003"/>
    <n v="18.597999999999999"/>
    <n v="25"/>
    <x v="1"/>
  </r>
  <r>
    <x v="1"/>
    <x v="15"/>
    <x v="15"/>
    <x v="25"/>
    <s v="KUB"/>
    <x v="7"/>
    <x v="20"/>
    <x v="16"/>
    <n v="0"/>
    <x v="1"/>
    <x v="11"/>
    <x v="11"/>
    <n v="96.331999999999994"/>
    <x v="709"/>
    <n v="34.142000000000003"/>
    <n v="43.256999999999998"/>
    <n v="18.641999999999999"/>
    <s v="22,33"/>
    <x v="1"/>
  </r>
  <r>
    <x v="1"/>
    <x v="15"/>
    <x v="15"/>
    <x v="5"/>
    <s v="VER"/>
    <x v="2"/>
    <x v="16"/>
    <x v="17"/>
    <n v="0"/>
    <x v="1"/>
    <x v="5"/>
    <x v="4"/>
    <n v="97.248999999999995"/>
    <x v="710"/>
    <n v="34.732999999999997"/>
    <n v="43.573"/>
    <n v="18.670999999999999"/>
    <n v="14"/>
    <x v="1"/>
  </r>
  <r>
    <x v="1"/>
    <x v="15"/>
    <x v="15"/>
    <x v="3"/>
    <s v="RIC"/>
    <x v="4"/>
    <x v="14"/>
    <x v="18"/>
    <n v="0"/>
    <x v="1"/>
    <x v="26"/>
    <x v="33"/>
    <n v="93.480999999999995"/>
    <x v="711"/>
    <n v="33.116999999999997"/>
    <n v="41.984000000000002"/>
    <n v="18.146999999999998"/>
    <n v="29"/>
    <x v="1"/>
  </r>
  <r>
    <x v="1"/>
    <x v="15"/>
    <x v="15"/>
    <x v="6"/>
    <s v="HUL"/>
    <x v="4"/>
    <x v="7"/>
    <x v="19"/>
    <n v="0"/>
    <x v="1"/>
    <x v="26"/>
    <x v="33"/>
    <n v="94.921000000000006"/>
    <x v="712"/>
    <n v="33.668999999999997"/>
    <n v="42.414999999999999"/>
    <n v="18.251000000000001"/>
    <n v="19"/>
    <x v="1"/>
  </r>
  <r>
    <x v="1"/>
    <x v="16"/>
    <x v="17"/>
    <x v="1"/>
    <s v="HAM"/>
    <x v="1"/>
    <x v="0"/>
    <x v="0"/>
    <n v="25"/>
    <x v="0"/>
    <x v="0"/>
    <x v="27"/>
    <n v="79.460999999999999"/>
    <x v="713"/>
    <n v="28.245000000000001"/>
    <n v="30.494"/>
    <n v="20.442"/>
    <n v="23"/>
    <x v="1"/>
  </r>
  <r>
    <x v="1"/>
    <x v="16"/>
    <x v="17"/>
    <x v="0"/>
    <s v="VET"/>
    <x v="0"/>
    <x v="2"/>
    <x v="1"/>
    <n v="18"/>
    <x v="0"/>
    <x v="0"/>
    <x v="27"/>
    <n v="79.381"/>
    <x v="714"/>
    <n v="28.056000000000001"/>
    <n v="30.664999999999999"/>
    <n v="20.553000000000001"/>
    <n v="37"/>
    <x v="1"/>
  </r>
  <r>
    <x v="1"/>
    <x v="16"/>
    <x v="17"/>
    <x v="7"/>
    <s v="BOT"/>
    <x v="1"/>
    <x v="15"/>
    <x v="2"/>
    <n v="15"/>
    <x v="0"/>
    <x v="0"/>
    <x v="27"/>
    <n v="79.494"/>
    <x v="715"/>
    <n v="28.084"/>
    <n v="30.565000000000001"/>
    <n v="20.620999999999999"/>
    <n v="36"/>
    <x v="1"/>
  </r>
  <r>
    <x v="1"/>
    <x v="16"/>
    <x v="17"/>
    <x v="12"/>
    <s v="LEC"/>
    <x v="0"/>
    <x v="1"/>
    <x v="3"/>
    <n v="13"/>
    <x v="1"/>
    <x v="0"/>
    <x v="27"/>
    <n v="79.231999999999999"/>
    <x v="716"/>
    <n v="28.053000000000001"/>
    <n v="30.605"/>
    <n v="20.420999999999999"/>
    <s v="15,43"/>
    <x v="1"/>
  </r>
  <r>
    <x v="1"/>
    <x v="16"/>
    <x v="17"/>
    <x v="22"/>
    <s v="ALB"/>
    <x v="2"/>
    <x v="16"/>
    <x v="4"/>
    <n v="10"/>
    <x v="1"/>
    <x v="0"/>
    <x v="27"/>
    <n v="79.325000000000003"/>
    <x v="717"/>
    <n v="27.907"/>
    <n v="30.608000000000001"/>
    <n v="20.338999999999999"/>
    <s v="14,44"/>
    <x v="1"/>
  </r>
  <r>
    <x v="1"/>
    <x v="16"/>
    <x v="17"/>
    <x v="5"/>
    <s v="VER"/>
    <x v="2"/>
    <x v="5"/>
    <x v="5"/>
    <n v="8"/>
    <x v="1"/>
    <x v="0"/>
    <x v="27"/>
    <n v="80.406000000000006"/>
    <x v="718"/>
    <n v="28.047000000000001"/>
    <n v="30.963000000000001"/>
    <n v="20.632000000000001"/>
    <n v="5"/>
    <x v="1"/>
  </r>
  <r>
    <x v="1"/>
    <x v="16"/>
    <x v="17"/>
    <x v="10"/>
    <s v="PER"/>
    <x v="10"/>
    <x v="8"/>
    <x v="6"/>
    <n v="6"/>
    <x v="1"/>
    <x v="0"/>
    <x v="27"/>
    <n v="80.484999999999999"/>
    <x v="719"/>
    <n v="28.148"/>
    <n v="31.114999999999998"/>
    <n v="20.652999999999999"/>
    <n v="20"/>
    <x v="1"/>
  </r>
  <r>
    <x v="1"/>
    <x v="16"/>
    <x v="17"/>
    <x v="3"/>
    <s v="RIC"/>
    <x v="4"/>
    <x v="13"/>
    <x v="7"/>
    <n v="4"/>
    <x v="1"/>
    <x v="0"/>
    <x v="27"/>
    <n v="80.146000000000001"/>
    <x v="720"/>
    <n v="28.134"/>
    <n v="30.968"/>
    <n v="20.687000000000001"/>
    <n v="50"/>
    <x v="1"/>
  </r>
  <r>
    <x v="1"/>
    <x v="16"/>
    <x v="17"/>
    <x v="17"/>
    <s v="GAS"/>
    <x v="8"/>
    <x v="4"/>
    <x v="8"/>
    <n v="2"/>
    <x v="1"/>
    <x v="1"/>
    <x v="29"/>
    <n v="79.53"/>
    <x v="721"/>
    <n v="27.917000000000002"/>
    <n v="30.773"/>
    <n v="20.491"/>
    <s v="9,49"/>
    <x v="1"/>
  </r>
  <r>
    <x v="1"/>
    <x v="16"/>
    <x v="17"/>
    <x v="6"/>
    <s v="HUL"/>
    <x v="4"/>
    <x v="10"/>
    <x v="9"/>
    <n v="1"/>
    <x v="1"/>
    <x v="1"/>
    <x v="29"/>
    <n v="80.790999999999997"/>
    <x v="722"/>
    <n v="28.652999999999999"/>
    <n v="31.312000000000001"/>
    <n v="20.635999999999999"/>
    <n v="18"/>
    <x v="1"/>
  </r>
  <r>
    <x v="1"/>
    <x v="16"/>
    <x v="17"/>
    <x v="20"/>
    <s v="KVY"/>
    <x v="8"/>
    <x v="9"/>
    <x v="10"/>
    <n v="0"/>
    <x v="1"/>
    <x v="1"/>
    <x v="29"/>
    <n v="79.905000000000001"/>
    <x v="723"/>
    <n v="28.218"/>
    <n v="30.844000000000001"/>
    <n v="20.626999999999999"/>
    <s v="10,44"/>
    <x v="1"/>
  </r>
  <r>
    <x v="1"/>
    <x v="16"/>
    <x v="17"/>
    <x v="13"/>
    <s v="STR"/>
    <x v="10"/>
    <x v="14"/>
    <x v="11"/>
    <n v="0"/>
    <x v="1"/>
    <x v="1"/>
    <x v="29"/>
    <n v="80.921999999999997"/>
    <x v="724"/>
    <n v="28.489000000000001"/>
    <n v="31.46"/>
    <n v="20.8"/>
    <n v="37"/>
    <x v="1"/>
  </r>
  <r>
    <x v="1"/>
    <x v="16"/>
    <x v="17"/>
    <x v="9"/>
    <s v="SAI"/>
    <x v="3"/>
    <x v="6"/>
    <x v="12"/>
    <n v="0"/>
    <x v="1"/>
    <x v="1"/>
    <x v="29"/>
    <n v="80.311000000000007"/>
    <x v="725"/>
    <n v="28.469000000000001"/>
    <n v="30.853000000000002"/>
    <n v="20.667999999999999"/>
    <s v="15,35"/>
    <x v="1"/>
  </r>
  <r>
    <x v="1"/>
    <x v="16"/>
    <x v="17"/>
    <x v="23"/>
    <s v="GIO"/>
    <x v="11"/>
    <x v="7"/>
    <x v="13"/>
    <n v="0"/>
    <x v="1"/>
    <x v="1"/>
    <x v="29"/>
    <n v="81.013999999999996"/>
    <x v="726"/>
    <n v="28.603000000000002"/>
    <n v="31.399000000000001"/>
    <n v="20.771999999999998"/>
    <n v="21"/>
    <x v="1"/>
  </r>
  <r>
    <x v="1"/>
    <x v="16"/>
    <x v="17"/>
    <x v="16"/>
    <s v="MAG"/>
    <x v="9"/>
    <x v="18"/>
    <x v="14"/>
    <n v="0"/>
    <x v="1"/>
    <x v="11"/>
    <x v="30"/>
    <n v="81.682000000000002"/>
    <x v="727"/>
    <n v="28.786999999999999"/>
    <n v="31.669"/>
    <n v="21.045000000000002"/>
    <n v="28"/>
    <x v="1"/>
  </r>
  <r>
    <x v="1"/>
    <x v="16"/>
    <x v="17"/>
    <x v="24"/>
    <s v="RUS"/>
    <x v="7"/>
    <x v="19"/>
    <x v="15"/>
    <n v="0"/>
    <x v="1"/>
    <x v="11"/>
    <x v="30"/>
    <n v="81.286000000000001"/>
    <x v="728"/>
    <n v="28.463999999999999"/>
    <n v="31.536000000000001"/>
    <n v="20.951000000000001"/>
    <n v="22"/>
    <x v="1"/>
  </r>
  <r>
    <x v="1"/>
    <x v="16"/>
    <x v="17"/>
    <x v="15"/>
    <s v="GRO"/>
    <x v="9"/>
    <x v="12"/>
    <x v="16"/>
    <n v="0"/>
    <x v="1"/>
    <x v="11"/>
    <x v="30"/>
    <n v="81.581000000000003"/>
    <x v="729"/>
    <n v="28.626000000000001"/>
    <n v="31.614999999999998"/>
    <n v="20.895"/>
    <n v="37"/>
    <x v="1"/>
  </r>
  <r>
    <x v="1"/>
    <x v="16"/>
    <x v="17"/>
    <x v="25"/>
    <s v="KUB"/>
    <x v="7"/>
    <x v="17"/>
    <x v="17"/>
    <n v="0"/>
    <x v="1"/>
    <x v="11"/>
    <x v="30"/>
    <n v="80.695999999999998"/>
    <x v="730"/>
    <n v="28.68"/>
    <n v="31.245999999999999"/>
    <n v="20.762"/>
    <s v="21,60"/>
    <x v="1"/>
  </r>
  <r>
    <x v="1"/>
    <x v="16"/>
    <x v="17"/>
    <x v="2"/>
    <s v="RAI"/>
    <x v="11"/>
    <x v="11"/>
    <x v="18"/>
    <n v="0"/>
    <x v="1"/>
    <x v="27"/>
    <x v="0"/>
    <n v="80.081999999999994"/>
    <x v="731"/>
    <n v="28.161999999999999"/>
    <n v="30.98"/>
    <n v="20.597999999999999"/>
    <s v="15,52,58"/>
    <x v="1"/>
  </r>
  <r>
    <x v="1"/>
    <x v="16"/>
    <x v="17"/>
    <x v="21"/>
    <s v="NOR"/>
    <x v="3"/>
    <x v="3"/>
    <x v="19"/>
    <n v="0"/>
    <x v="1"/>
    <x v="33"/>
    <x v="66"/>
    <n v="81.643000000000001"/>
    <x v="732"/>
    <n v="28.597000000000001"/>
    <n v="31.542000000000002"/>
    <n v="21.055"/>
    <s v="12,48"/>
    <x v="1"/>
  </r>
  <r>
    <x v="1"/>
    <x v="17"/>
    <x v="16"/>
    <x v="7"/>
    <s v="BOT"/>
    <x v="1"/>
    <x v="1"/>
    <x v="0"/>
    <n v="25"/>
    <x v="0"/>
    <x v="0"/>
    <x v="7"/>
    <n v="96.956999999999994"/>
    <x v="733"/>
    <n v="26.120999999999999"/>
    <n v="39.109000000000002"/>
    <n v="31.727"/>
    <s v="14,35"/>
    <x v="1"/>
  </r>
  <r>
    <x v="1"/>
    <x v="17"/>
    <x v="16"/>
    <x v="1"/>
    <s v="HAM"/>
    <x v="1"/>
    <x v="16"/>
    <x v="1"/>
    <n v="18"/>
    <x v="0"/>
    <x v="0"/>
    <x v="7"/>
    <n v="98.445999999999998"/>
    <x v="734"/>
    <n v="26.582000000000001"/>
    <n v="39.572000000000003"/>
    <n v="32.192"/>
    <n v="24"/>
    <x v="1"/>
  </r>
  <r>
    <x v="1"/>
    <x v="17"/>
    <x v="16"/>
    <x v="5"/>
    <s v="VER"/>
    <x v="2"/>
    <x v="0"/>
    <x v="2"/>
    <n v="15"/>
    <x v="0"/>
    <x v="0"/>
    <x v="7"/>
    <n v="98.213999999999999"/>
    <x v="735"/>
    <n v="26.268000000000001"/>
    <n v="39.512999999999998"/>
    <n v="32.146000000000001"/>
    <s v="13,34"/>
    <x v="1"/>
  </r>
  <r>
    <x v="1"/>
    <x v="17"/>
    <x v="16"/>
    <x v="12"/>
    <s v="LEC"/>
    <x v="0"/>
    <x v="5"/>
    <x v="3"/>
    <n v="13"/>
    <x v="1"/>
    <x v="0"/>
    <x v="7"/>
    <n v="96.168999999999997"/>
    <x v="736"/>
    <n v="25.712"/>
    <n v="38.951000000000001"/>
    <n v="31.506"/>
    <s v="20,42"/>
    <x v="1"/>
  </r>
  <r>
    <x v="1"/>
    <x v="17"/>
    <x v="16"/>
    <x v="22"/>
    <s v="ALB"/>
    <x v="2"/>
    <x v="15"/>
    <x v="4"/>
    <n v="10"/>
    <x v="1"/>
    <x v="0"/>
    <x v="7"/>
    <n v="98.028999999999996"/>
    <x v="737"/>
    <n v="26.4"/>
    <n v="39.466999999999999"/>
    <n v="31.957000000000001"/>
    <s v="1,20,40"/>
    <x v="1"/>
  </r>
  <r>
    <x v="1"/>
    <x v="17"/>
    <x v="16"/>
    <x v="3"/>
    <s v="RIC"/>
    <x v="4"/>
    <x v="9"/>
    <x v="5"/>
    <n v="8"/>
    <x v="1"/>
    <x v="0"/>
    <x v="7"/>
    <n v="100.56399999999999"/>
    <x v="738"/>
    <n v="27.164000000000001"/>
    <n v="39.991999999999997"/>
    <n v="33.036000000000001"/>
    <n v="21"/>
    <x v="1"/>
  </r>
  <r>
    <x v="1"/>
    <x v="17"/>
    <x v="16"/>
    <x v="21"/>
    <s v="NOR"/>
    <x v="3"/>
    <x v="3"/>
    <x v="6"/>
    <n v="6"/>
    <x v="1"/>
    <x v="0"/>
    <x v="7"/>
    <n v="98.073999999999998"/>
    <x v="739"/>
    <n v="26.535"/>
    <n v="39.381"/>
    <n v="32.051000000000002"/>
    <s v="19,42"/>
    <x v="1"/>
  </r>
  <r>
    <x v="1"/>
    <x v="17"/>
    <x v="16"/>
    <x v="9"/>
    <s v="SAI"/>
    <x v="3"/>
    <x v="6"/>
    <x v="7"/>
    <n v="4"/>
    <x v="1"/>
    <x v="1"/>
    <x v="35"/>
    <n v="100.84399999999999"/>
    <x v="740"/>
    <n v="27.321000000000002"/>
    <n v="39.914999999999999"/>
    <n v="33.177999999999997"/>
    <n v="18"/>
    <x v="1"/>
  </r>
  <r>
    <x v="1"/>
    <x v="17"/>
    <x v="16"/>
    <x v="6"/>
    <s v="HUL"/>
    <x v="4"/>
    <x v="8"/>
    <x v="8"/>
    <n v="2"/>
    <x v="1"/>
    <x v="1"/>
    <x v="35"/>
    <n v="98.436999999999998"/>
    <x v="741"/>
    <n v="26.710999999999999"/>
    <n v="39.414000000000001"/>
    <n v="32.283000000000001"/>
    <s v="27,39"/>
    <x v="1"/>
  </r>
  <r>
    <x v="1"/>
    <x v="17"/>
    <x v="16"/>
    <x v="10"/>
    <s v="PER"/>
    <x v="10"/>
    <x v="20"/>
    <x v="9"/>
    <n v="1"/>
    <x v="1"/>
    <x v="1"/>
    <x v="35"/>
    <n v="100.16500000000001"/>
    <x v="742"/>
    <n v="26.866"/>
    <n v="39.965000000000003"/>
    <n v="32.884999999999998"/>
    <n v="24"/>
    <x v="1"/>
  </r>
  <r>
    <x v="1"/>
    <x v="17"/>
    <x v="16"/>
    <x v="2"/>
    <s v="RAI"/>
    <x v="11"/>
    <x v="18"/>
    <x v="10"/>
    <n v="0"/>
    <x v="1"/>
    <x v="1"/>
    <x v="35"/>
    <n v="99.608000000000004"/>
    <x v="743"/>
    <n v="26.704999999999998"/>
    <n v="40.057000000000002"/>
    <n v="32.600999999999999"/>
    <s v="18,40"/>
    <x v="1"/>
  </r>
  <r>
    <x v="1"/>
    <x v="17"/>
    <x v="16"/>
    <x v="20"/>
    <s v="KVY"/>
    <x v="8"/>
    <x v="13"/>
    <x v="11"/>
    <n v="0"/>
    <x v="1"/>
    <x v="1"/>
    <x v="35"/>
    <n v="98.968999999999994"/>
    <x v="744"/>
    <n v="26.63"/>
    <n v="39.462000000000003"/>
    <n v="32.494999999999997"/>
    <s v="21,39"/>
    <x v="1"/>
  </r>
  <r>
    <x v="1"/>
    <x v="17"/>
    <x v="16"/>
    <x v="13"/>
    <s v="STR"/>
    <x v="10"/>
    <x v="11"/>
    <x v="12"/>
    <n v="0"/>
    <x v="1"/>
    <x v="1"/>
    <x v="35"/>
    <n v="100.38"/>
    <x v="745"/>
    <n v="27.268000000000001"/>
    <n v="39.948999999999998"/>
    <n v="32.954999999999998"/>
    <s v="9,29"/>
    <x v="1"/>
  </r>
  <r>
    <x v="1"/>
    <x v="17"/>
    <x v="16"/>
    <x v="23"/>
    <s v="GIO"/>
    <x v="11"/>
    <x v="14"/>
    <x v="13"/>
    <n v="0"/>
    <x v="1"/>
    <x v="1"/>
    <x v="35"/>
    <n v="99.963999999999999"/>
    <x v="746"/>
    <n v="27.146000000000001"/>
    <n v="39.895000000000003"/>
    <n v="32.914000000000001"/>
    <s v="17,39"/>
    <x v="1"/>
  </r>
  <r>
    <x v="1"/>
    <x v="17"/>
    <x v="16"/>
    <x v="15"/>
    <s v="GRO"/>
    <x v="9"/>
    <x v="7"/>
    <x v="14"/>
    <n v="0"/>
    <x v="1"/>
    <x v="1"/>
    <x v="35"/>
    <n v="101.27"/>
    <x v="747"/>
    <n v="27.100999999999999"/>
    <n v="40.393000000000001"/>
    <n v="33.100999999999999"/>
    <n v="24"/>
    <x v="1"/>
  </r>
  <r>
    <x v="1"/>
    <x v="17"/>
    <x v="16"/>
    <x v="17"/>
    <s v="GAS"/>
    <x v="8"/>
    <x v="4"/>
    <x v="15"/>
    <n v="0"/>
    <x v="1"/>
    <x v="23"/>
    <x v="36"/>
    <n v="100.85"/>
    <x v="748"/>
    <n v="27.25"/>
    <n v="40.186"/>
    <n v="33.287999999999997"/>
    <s v="19,53,54"/>
    <x v="1"/>
  </r>
  <r>
    <x v="1"/>
    <x v="17"/>
    <x v="16"/>
    <x v="24"/>
    <s v="RUS"/>
    <x v="7"/>
    <x v="12"/>
    <x v="16"/>
    <n v="0"/>
    <x v="1"/>
    <x v="11"/>
    <x v="36"/>
    <n v="101.239"/>
    <x v="749"/>
    <n v="26.922000000000001"/>
    <n v="40.674999999999997"/>
    <n v="33.185000000000002"/>
    <s v="23,46"/>
    <x v="1"/>
  </r>
  <r>
    <x v="1"/>
    <x v="17"/>
    <x v="16"/>
    <x v="16"/>
    <s v="MAG"/>
    <x v="9"/>
    <x v="10"/>
    <x v="17"/>
    <n v="0"/>
    <x v="1"/>
    <x v="5"/>
    <x v="28"/>
    <n v="100.34699999999999"/>
    <x v="750"/>
    <n v="27.251000000000001"/>
    <n v="39.973999999999997"/>
    <n v="32.99"/>
    <s v="18,40"/>
    <x v="1"/>
  </r>
  <r>
    <x v="1"/>
    <x v="17"/>
    <x v="16"/>
    <x v="25"/>
    <s v="KUB"/>
    <x v="7"/>
    <x v="19"/>
    <x v="18"/>
    <n v="0"/>
    <x v="1"/>
    <x v="14"/>
    <x v="50"/>
    <n v="103.83"/>
    <x v="751"/>
    <n v="27.917999999999999"/>
    <n v="41.555"/>
    <n v="34.148000000000003"/>
    <s v="11,31"/>
    <x v="1"/>
  </r>
  <r>
    <x v="1"/>
    <x v="17"/>
    <x v="16"/>
    <x v="0"/>
    <s v="VET"/>
    <x v="0"/>
    <x v="2"/>
    <x v="19"/>
    <n v="0"/>
    <x v="1"/>
    <x v="23"/>
    <x v="45"/>
    <n v="102.16500000000001"/>
    <x v="752"/>
    <n v="27.545999999999999"/>
    <n v="40.487000000000002"/>
    <n v="33.924999999999997"/>
    <n v="8"/>
    <x v="1"/>
  </r>
  <r>
    <x v="1"/>
    <x v="18"/>
    <x v="18"/>
    <x v="5"/>
    <s v="VER"/>
    <x v="2"/>
    <x v="1"/>
    <x v="0"/>
    <n v="25"/>
    <x v="0"/>
    <x v="0"/>
    <x v="27"/>
    <n v="70.861999999999995"/>
    <x v="753"/>
    <n v="18.308"/>
    <n v="35.756"/>
    <n v="16.294"/>
    <s v="21,44,54"/>
    <x v="1"/>
  </r>
  <r>
    <x v="1"/>
    <x v="18"/>
    <x v="18"/>
    <x v="17"/>
    <s v="GAS"/>
    <x v="8"/>
    <x v="15"/>
    <x v="1"/>
    <n v="18"/>
    <x v="0"/>
    <x v="0"/>
    <x v="27"/>
    <n v="72.424999999999997"/>
    <x v="754"/>
    <n v="18.568999999999999"/>
    <n v="37.014000000000003"/>
    <n v="16.445"/>
    <s v="22,47"/>
    <x v="1"/>
  </r>
  <r>
    <x v="1"/>
    <x v="18"/>
    <x v="18"/>
    <x v="9"/>
    <s v="SAI"/>
    <x v="3"/>
    <x v="17"/>
    <x v="2"/>
    <n v="15"/>
    <x v="0"/>
    <x v="0"/>
    <x v="27"/>
    <n v="73.158000000000001"/>
    <x v="755"/>
    <n v="18.577999999999999"/>
    <n v="37.558999999999997"/>
    <n v="16.581"/>
    <n v="29"/>
    <x v="1"/>
  </r>
  <r>
    <x v="1"/>
    <x v="18"/>
    <x v="18"/>
    <x v="2"/>
    <s v="RAI"/>
    <x v="11"/>
    <x v="3"/>
    <x v="3"/>
    <n v="12"/>
    <x v="1"/>
    <x v="0"/>
    <x v="27"/>
    <n v="73.135000000000005"/>
    <x v="756"/>
    <n v="18.469000000000001"/>
    <n v="37.692"/>
    <n v="16.620999999999999"/>
    <s v="21,47"/>
    <x v="1"/>
  </r>
  <r>
    <x v="1"/>
    <x v="18"/>
    <x v="18"/>
    <x v="23"/>
    <s v="GIO"/>
    <x v="11"/>
    <x v="10"/>
    <x v="4"/>
    <n v="10"/>
    <x v="1"/>
    <x v="0"/>
    <x v="27"/>
    <n v="73.02"/>
    <x v="757"/>
    <n v="18.643999999999998"/>
    <n v="37.529000000000003"/>
    <n v="16.39"/>
    <s v="20,46"/>
    <x v="1"/>
  </r>
  <r>
    <x v="1"/>
    <x v="18"/>
    <x v="18"/>
    <x v="3"/>
    <s v="RIC"/>
    <x v="4"/>
    <x v="8"/>
    <x v="5"/>
    <n v="8"/>
    <x v="1"/>
    <x v="0"/>
    <x v="27"/>
    <n v="72.733000000000004"/>
    <x v="758"/>
    <n v="18.463999999999999"/>
    <n v="37.277000000000001"/>
    <n v="16.526"/>
    <s v="8,40"/>
    <x v="1"/>
  </r>
  <r>
    <x v="1"/>
    <x v="18"/>
    <x v="18"/>
    <x v="1"/>
    <s v="HAM"/>
    <x v="1"/>
    <x v="0"/>
    <x v="6"/>
    <n v="6"/>
    <x v="1"/>
    <x v="0"/>
    <x v="27"/>
    <n v="71.081999999999994"/>
    <x v="759"/>
    <n v="18.344000000000001"/>
    <n v="36.213000000000001"/>
    <n v="16.285"/>
    <s v="20,43,66"/>
    <x v="1"/>
  </r>
  <r>
    <x v="1"/>
    <x v="18"/>
    <x v="18"/>
    <x v="21"/>
    <s v="NOR"/>
    <x v="3"/>
    <x v="4"/>
    <x v="7"/>
    <n v="4"/>
    <x v="1"/>
    <x v="0"/>
    <x v="27"/>
    <n v="72.328000000000003"/>
    <x v="760"/>
    <n v="18.484000000000002"/>
    <n v="37.201000000000001"/>
    <n v="16.606000000000002"/>
    <s v="27,53"/>
    <x v="1"/>
  </r>
  <r>
    <x v="1"/>
    <x v="18"/>
    <x v="18"/>
    <x v="10"/>
    <s v="PER"/>
    <x v="10"/>
    <x v="7"/>
    <x v="8"/>
    <n v="2"/>
    <x v="1"/>
    <x v="0"/>
    <x v="27"/>
    <n v="72.84"/>
    <x v="761"/>
    <n v="18.594000000000001"/>
    <n v="37.32"/>
    <n v="16.605"/>
    <s v="17,45"/>
    <x v="1"/>
  </r>
  <r>
    <x v="1"/>
    <x v="18"/>
    <x v="18"/>
    <x v="20"/>
    <s v="KVY"/>
    <x v="8"/>
    <x v="14"/>
    <x v="9"/>
    <n v="1"/>
    <x v="1"/>
    <x v="0"/>
    <x v="27"/>
    <n v="72.385000000000005"/>
    <x v="762"/>
    <n v="18.385999999999999"/>
    <n v="37.128"/>
    <n v="16.305"/>
    <s v="23,46"/>
    <x v="1"/>
  </r>
  <r>
    <x v="1"/>
    <x v="18"/>
    <x v="18"/>
    <x v="16"/>
    <s v="MAG"/>
    <x v="9"/>
    <x v="9"/>
    <x v="10"/>
    <n v="0"/>
    <x v="1"/>
    <x v="0"/>
    <x v="27"/>
    <n v="73.262"/>
    <x v="763"/>
    <n v="18.61"/>
    <n v="37.536000000000001"/>
    <n v="16.748999999999999"/>
    <s v="27,53"/>
    <x v="1"/>
  </r>
  <r>
    <x v="1"/>
    <x v="18"/>
    <x v="18"/>
    <x v="24"/>
    <s v="RUS"/>
    <x v="7"/>
    <x v="12"/>
    <x v="11"/>
    <n v="0"/>
    <x v="1"/>
    <x v="0"/>
    <x v="27"/>
    <n v="74.123999999999995"/>
    <x v="764"/>
    <n v="18.72"/>
    <n v="38.436999999999998"/>
    <n v="16.79"/>
    <s v="23,54,66"/>
    <x v="1"/>
  </r>
  <r>
    <x v="1"/>
    <x v="18"/>
    <x v="18"/>
    <x v="15"/>
    <s v="GRO"/>
    <x v="9"/>
    <x v="6"/>
    <x v="12"/>
    <n v="0"/>
    <x v="1"/>
    <x v="0"/>
    <x v="27"/>
    <n v="73.619"/>
    <x v="765"/>
    <n v="18.896999999999998"/>
    <n v="37.765000000000001"/>
    <n v="16.917999999999999"/>
    <s v="26,65"/>
    <x v="1"/>
  </r>
  <r>
    <x v="1"/>
    <x v="18"/>
    <x v="18"/>
    <x v="22"/>
    <s v="ALB"/>
    <x v="2"/>
    <x v="16"/>
    <x v="13"/>
    <n v="0"/>
    <x v="1"/>
    <x v="0"/>
    <x v="27"/>
    <n v="71.087000000000003"/>
    <x v="766"/>
    <n v="18.18"/>
    <n v="36.308999999999997"/>
    <n v="16.388999999999999"/>
    <s v="24,50"/>
    <x v="1"/>
  </r>
  <r>
    <x v="1"/>
    <x v="18"/>
    <x v="18"/>
    <x v="6"/>
    <s v="HUL"/>
    <x v="4"/>
    <x v="13"/>
    <x v="14"/>
    <n v="0"/>
    <x v="1"/>
    <x v="0"/>
    <x v="27"/>
    <n v="72.933999999999997"/>
    <x v="767"/>
    <n v="18.588999999999999"/>
    <n v="37.460999999999999"/>
    <n v="16.582999999999998"/>
    <s v="27,44,53"/>
    <x v="1"/>
  </r>
  <r>
    <x v="1"/>
    <x v="18"/>
    <x v="18"/>
    <x v="25"/>
    <s v="KUB"/>
    <x v="7"/>
    <x v="19"/>
    <x v="15"/>
    <n v="0"/>
    <x v="1"/>
    <x v="1"/>
    <x v="29"/>
    <n v="74.552999999999997"/>
    <x v="768"/>
    <n v="19.062999999999999"/>
    <n v="38.325000000000003"/>
    <n v="16.991"/>
    <s v="20,36,53,66"/>
    <x v="1"/>
  </r>
  <r>
    <x v="1"/>
    <x v="18"/>
    <x v="18"/>
    <x v="0"/>
    <s v="VET"/>
    <x v="0"/>
    <x v="2"/>
    <x v="16"/>
    <n v="0"/>
    <x v="1"/>
    <x v="10"/>
    <x v="17"/>
    <n v="71.384"/>
    <x v="769"/>
    <n v="18.140999999999998"/>
    <n v="36.53"/>
    <n v="16.027999999999999"/>
    <s v="25,49"/>
    <x v="1"/>
  </r>
  <r>
    <x v="1"/>
    <x v="18"/>
    <x v="18"/>
    <x v="12"/>
    <s v="LEC"/>
    <x v="0"/>
    <x v="11"/>
    <x v="17"/>
    <n v="0"/>
    <x v="1"/>
    <x v="10"/>
    <x v="17"/>
    <n v="71.423000000000002"/>
    <x v="770"/>
    <n v="18.029"/>
    <n v="36.892000000000003"/>
    <n v="16.175999999999998"/>
    <s v="29,54"/>
    <x v="1"/>
  </r>
  <r>
    <x v="1"/>
    <x v="18"/>
    <x v="18"/>
    <x v="13"/>
    <s v="STR"/>
    <x v="10"/>
    <x v="18"/>
    <x v="18"/>
    <n v="0"/>
    <x v="1"/>
    <x v="23"/>
    <x v="17"/>
    <n v="72.602999999999994"/>
    <x v="771"/>
    <n v="18.693999999999999"/>
    <n v="37.249000000000002"/>
    <n v="16.555"/>
    <s v="28,53"/>
    <x v="1"/>
  </r>
  <r>
    <x v="1"/>
    <x v="18"/>
    <x v="18"/>
    <x v="7"/>
    <s v="BOT"/>
    <x v="1"/>
    <x v="5"/>
    <x v="19"/>
    <n v="0"/>
    <x v="1"/>
    <x v="20"/>
    <x v="33"/>
    <n v="70.697999999999993"/>
    <x v="772"/>
    <n v="18.350000000000001"/>
    <n v="35.904000000000003"/>
    <n v="16.407"/>
    <s v="26,41"/>
    <x v="1"/>
  </r>
  <r>
    <x v="1"/>
    <x v="19"/>
    <x v="19"/>
    <x v="1"/>
    <s v="HAM"/>
    <x v="1"/>
    <x v="1"/>
    <x v="0"/>
    <n v="26"/>
    <x v="0"/>
    <x v="0"/>
    <x v="35"/>
    <n v="99.283000000000001"/>
    <x v="773"/>
    <n v="17.245000000000001"/>
    <n v="42.923000000000002"/>
    <n v="39.115000000000002"/>
    <n v="26"/>
    <x v="1"/>
  </r>
  <r>
    <x v="1"/>
    <x v="19"/>
    <x v="19"/>
    <x v="5"/>
    <s v="VER"/>
    <x v="2"/>
    <x v="2"/>
    <x v="1"/>
    <n v="18"/>
    <x v="0"/>
    <x v="0"/>
    <x v="35"/>
    <n v="101.119"/>
    <x v="774"/>
    <n v="17.484000000000002"/>
    <n v="43.289000000000001"/>
    <n v="40.073"/>
    <n v="25"/>
    <x v="1"/>
  </r>
  <r>
    <x v="1"/>
    <x v="19"/>
    <x v="19"/>
    <x v="12"/>
    <s v="LEC"/>
    <x v="0"/>
    <x v="0"/>
    <x v="2"/>
    <n v="15"/>
    <x v="0"/>
    <x v="0"/>
    <x v="35"/>
    <n v="100.44199999999999"/>
    <x v="775"/>
    <n v="17.407"/>
    <n v="42.841000000000001"/>
    <n v="39.863999999999997"/>
    <s v="12,38"/>
    <x v="1"/>
  </r>
  <r>
    <x v="1"/>
    <x v="19"/>
    <x v="19"/>
    <x v="7"/>
    <s v="BOT"/>
    <x v="1"/>
    <x v="17"/>
    <x v="3"/>
    <n v="12"/>
    <x v="1"/>
    <x v="0"/>
    <x v="35"/>
    <n v="99.715000000000003"/>
    <x v="776"/>
    <n v="17.393000000000001"/>
    <n v="42.966000000000001"/>
    <n v="39.347000000000001"/>
    <n v="29"/>
    <x v="1"/>
  </r>
  <r>
    <x v="1"/>
    <x v="19"/>
    <x v="19"/>
    <x v="0"/>
    <s v="VET"/>
    <x v="0"/>
    <x v="5"/>
    <x v="4"/>
    <n v="10"/>
    <x v="1"/>
    <x v="0"/>
    <x v="35"/>
    <n v="100.128"/>
    <x v="777"/>
    <n v="17.350999999999999"/>
    <n v="42.994"/>
    <n v="39.551000000000002"/>
    <s v="12,38"/>
    <x v="1"/>
  </r>
  <r>
    <x v="1"/>
    <x v="19"/>
    <x v="19"/>
    <x v="22"/>
    <s v="ALB"/>
    <x v="2"/>
    <x v="16"/>
    <x v="5"/>
    <n v="8"/>
    <x v="1"/>
    <x v="0"/>
    <x v="35"/>
    <n v="102.21899999999999"/>
    <x v="778"/>
    <n v="17.603000000000002"/>
    <n v="43.481999999999999"/>
    <n v="40.521000000000001"/>
    <n v="13"/>
    <x v="1"/>
  </r>
  <r>
    <x v="1"/>
    <x v="19"/>
    <x v="19"/>
    <x v="10"/>
    <s v="PER"/>
    <x v="10"/>
    <x v="4"/>
    <x v="6"/>
    <n v="6"/>
    <x v="1"/>
    <x v="1"/>
    <x v="36"/>
    <n v="102.639"/>
    <x v="779"/>
    <n v="17.675999999999998"/>
    <n v="43.3"/>
    <n v="41.192"/>
    <n v="37"/>
    <x v="1"/>
  </r>
  <r>
    <x v="1"/>
    <x v="19"/>
    <x v="19"/>
    <x v="21"/>
    <s v="NOR"/>
    <x v="3"/>
    <x v="15"/>
    <x v="7"/>
    <n v="4"/>
    <x v="1"/>
    <x v="1"/>
    <x v="36"/>
    <n v="103.026"/>
    <x v="780"/>
    <n v="17.719000000000001"/>
    <n v="43.844000000000001"/>
    <n v="41.235999999999997"/>
    <n v="8"/>
    <x v="1"/>
  </r>
  <r>
    <x v="1"/>
    <x v="19"/>
    <x v="19"/>
    <x v="20"/>
    <s v="KVY"/>
    <x v="8"/>
    <x v="13"/>
    <x v="8"/>
    <n v="2"/>
    <x v="1"/>
    <x v="1"/>
    <x v="36"/>
    <n v="102.22199999999999"/>
    <x v="781"/>
    <n v="17.722999999999999"/>
    <n v="43.107999999999997"/>
    <n v="40.927999999999997"/>
    <n v="40"/>
    <x v="1"/>
  </r>
  <r>
    <x v="1"/>
    <x v="19"/>
    <x v="19"/>
    <x v="9"/>
    <s v="SAI"/>
    <x v="3"/>
    <x v="3"/>
    <x v="9"/>
    <n v="1"/>
    <x v="1"/>
    <x v="1"/>
    <x v="36"/>
    <n v="101.294"/>
    <x v="782"/>
    <n v="17.523"/>
    <n v="42.756999999999998"/>
    <n v="40.887999999999998"/>
    <s v="12,41"/>
    <x v="1"/>
  </r>
  <r>
    <x v="1"/>
    <x v="19"/>
    <x v="19"/>
    <x v="3"/>
    <s v="RIC"/>
    <x v="4"/>
    <x v="6"/>
    <x v="10"/>
    <n v="0"/>
    <x v="1"/>
    <x v="1"/>
    <x v="36"/>
    <n v="101.19"/>
    <x v="783"/>
    <n v="17.587"/>
    <n v="42.948"/>
    <n v="40.112000000000002"/>
    <s v="11,42"/>
    <x v="1"/>
  </r>
  <r>
    <x v="1"/>
    <x v="19"/>
    <x v="19"/>
    <x v="6"/>
    <s v="HUL"/>
    <x v="4"/>
    <x v="9"/>
    <x v="11"/>
    <n v="0"/>
    <x v="1"/>
    <x v="1"/>
    <x v="36"/>
    <n v="103.274"/>
    <x v="784"/>
    <n v="17.835000000000001"/>
    <n v="43.598999999999997"/>
    <n v="41.402999999999999"/>
    <n v="18"/>
    <x v="1"/>
  </r>
  <r>
    <x v="1"/>
    <x v="19"/>
    <x v="19"/>
    <x v="2"/>
    <s v="RAI"/>
    <x v="11"/>
    <x v="18"/>
    <x v="12"/>
    <n v="0"/>
    <x v="1"/>
    <x v="1"/>
    <x v="36"/>
    <n v="103.142"/>
    <x v="785"/>
    <n v="17.78"/>
    <n v="43.46"/>
    <n v="41.21"/>
    <n v="22"/>
    <x v="1"/>
  </r>
  <r>
    <x v="1"/>
    <x v="19"/>
    <x v="19"/>
    <x v="16"/>
    <s v="MAG"/>
    <x v="9"/>
    <x v="11"/>
    <x v="13"/>
    <n v="0"/>
    <x v="1"/>
    <x v="1"/>
    <x v="36"/>
    <n v="103.79"/>
    <x v="786"/>
    <n v="17.774999999999999"/>
    <n v="44.094999999999999"/>
    <n v="41.587000000000003"/>
    <n v="20"/>
    <x v="1"/>
  </r>
  <r>
    <x v="1"/>
    <x v="19"/>
    <x v="19"/>
    <x v="15"/>
    <s v="GRO"/>
    <x v="9"/>
    <x v="7"/>
    <x v="14"/>
    <n v="0"/>
    <x v="1"/>
    <x v="1"/>
    <x v="36"/>
    <n v="103.666"/>
    <x v="787"/>
    <n v="17.788"/>
    <n v="43.93"/>
    <n v="41.478999999999999"/>
    <n v="18"/>
    <x v="1"/>
  </r>
  <r>
    <x v="1"/>
    <x v="19"/>
    <x v="19"/>
    <x v="23"/>
    <s v="GIO"/>
    <x v="11"/>
    <x v="14"/>
    <x v="15"/>
    <n v="0"/>
    <x v="1"/>
    <x v="1"/>
    <x v="36"/>
    <n v="103.256"/>
    <x v="788"/>
    <n v="17.931999999999999"/>
    <n v="43.784999999999997"/>
    <n v="41.463999999999999"/>
    <s v="8,26"/>
    <x v="1"/>
  </r>
  <r>
    <x v="1"/>
    <x v="19"/>
    <x v="19"/>
    <x v="24"/>
    <s v="RUS"/>
    <x v="7"/>
    <x v="12"/>
    <x v="16"/>
    <n v="0"/>
    <x v="1"/>
    <x v="1"/>
    <x v="36"/>
    <n v="103.074"/>
    <x v="789"/>
    <n v="17.731999999999999"/>
    <n v="43.661999999999999"/>
    <n v="41.258000000000003"/>
    <n v="32"/>
    <x v="1"/>
  </r>
  <r>
    <x v="1"/>
    <x v="19"/>
    <x v="19"/>
    <x v="17"/>
    <s v="GAS"/>
    <x v="8"/>
    <x v="8"/>
    <x v="17"/>
    <n v="0"/>
    <x v="1"/>
    <x v="11"/>
    <x v="28"/>
    <n v="102.414"/>
    <x v="790"/>
    <n v="17.722999999999999"/>
    <n v="43.768000000000001"/>
    <n v="40.923000000000002"/>
    <n v="1"/>
    <x v="1"/>
  </r>
  <r>
    <x v="1"/>
    <x v="19"/>
    <x v="19"/>
    <x v="25"/>
    <s v="KUB"/>
    <x v="7"/>
    <x v="19"/>
    <x v="18"/>
    <n v="0"/>
    <x v="1"/>
    <x v="11"/>
    <x v="28"/>
    <n v="104.5"/>
    <x v="791"/>
    <n v="17.984000000000002"/>
    <n v="44.414999999999999"/>
    <n v="41.935000000000002"/>
    <n v="24"/>
    <x v="1"/>
  </r>
  <r>
    <x v="1"/>
    <x v="19"/>
    <x v="19"/>
    <x v="13"/>
    <s v="STR"/>
    <x v="10"/>
    <x v="10"/>
    <x v="19"/>
    <n v="0"/>
    <x v="1"/>
    <x v="5"/>
    <x v="55"/>
    <n v="103.32599999999999"/>
    <x v="792"/>
    <n v="17.786999999999999"/>
    <n v="43.488"/>
    <n v="41.424999999999997"/>
    <s v="5,23,45"/>
    <x v="1"/>
  </r>
  <r>
    <x v="2"/>
    <x v="0"/>
    <x v="8"/>
    <x v="7"/>
    <s v="BOT"/>
    <x v="1"/>
    <x v="1"/>
    <x v="0"/>
    <n v="25"/>
    <x v="0"/>
    <x v="0"/>
    <x v="31"/>
    <n v="67.656999999999996"/>
    <x v="793"/>
    <n v="17.122"/>
    <n v="30.181000000000001"/>
    <n v="20.21"/>
    <s v="22,52"/>
    <x v="1"/>
  </r>
  <r>
    <x v="2"/>
    <x v="0"/>
    <x v="8"/>
    <x v="12"/>
    <s v="LEC"/>
    <x v="0"/>
    <x v="6"/>
    <x v="1"/>
    <n v="18"/>
    <x v="0"/>
    <x v="0"/>
    <x v="42"/>
    <n v="67.935000000000002"/>
    <x v="794"/>
    <n v="16.864000000000001"/>
    <n v="30.169"/>
    <n v="20.457000000000001"/>
    <s v="21,46,51"/>
    <x v="1"/>
  </r>
  <r>
    <x v="2"/>
    <x v="0"/>
    <x v="8"/>
    <x v="21"/>
    <s v="NOR"/>
    <x v="3"/>
    <x v="0"/>
    <x v="2"/>
    <n v="16"/>
    <x v="0"/>
    <x v="0"/>
    <x v="42"/>
    <n v="67.474999999999994"/>
    <x v="795"/>
    <n v="16.887"/>
    <n v="29.981999999999999"/>
    <n v="20.170000000000002"/>
    <s v="21,46,51"/>
    <x v="1"/>
  </r>
  <r>
    <x v="2"/>
    <x v="0"/>
    <x v="8"/>
    <x v="1"/>
    <s v="HAM"/>
    <x v="1"/>
    <x v="16"/>
    <x v="3"/>
    <n v="12"/>
    <x v="1"/>
    <x v="0"/>
    <x v="42"/>
    <n v="67.712000000000003"/>
    <x v="796"/>
    <n v="16.812999999999999"/>
    <n v="30.315999999999999"/>
    <n v="20.204000000000001"/>
    <s v="21,51"/>
    <x v="1"/>
  </r>
  <r>
    <x v="2"/>
    <x v="0"/>
    <x v="8"/>
    <x v="9"/>
    <s v="SAI"/>
    <x v="3"/>
    <x v="3"/>
    <x v="4"/>
    <n v="10"/>
    <x v="1"/>
    <x v="0"/>
    <x v="42"/>
    <n v="68.308000000000007"/>
    <x v="797"/>
    <n v="16.632000000000001"/>
    <n v="30.631"/>
    <n v="20.574000000000002"/>
    <s v="21,47,51"/>
    <x v="1"/>
  </r>
  <r>
    <x v="2"/>
    <x v="0"/>
    <x v="8"/>
    <x v="10"/>
    <s v="PER"/>
    <x v="10"/>
    <x v="15"/>
    <x v="5"/>
    <n v="8"/>
    <x v="1"/>
    <x v="0"/>
    <x v="42"/>
    <n v="68.373999999999995"/>
    <x v="798"/>
    <n v="16.919"/>
    <n v="30.390999999999998"/>
    <n v="20.582000000000001"/>
    <s v="21,51"/>
    <x v="1"/>
  </r>
  <r>
    <x v="2"/>
    <x v="0"/>
    <x v="8"/>
    <x v="17"/>
    <s v="GAS"/>
    <x v="12"/>
    <x v="10"/>
    <x v="6"/>
    <n v="6"/>
    <x v="1"/>
    <x v="0"/>
    <x v="42"/>
    <n v="69.120999999999995"/>
    <x v="799"/>
    <n v="17.41"/>
    <n v="30.716999999999999"/>
    <n v="20.763999999999999"/>
    <s v="21,51"/>
    <x v="1"/>
  </r>
  <r>
    <x v="2"/>
    <x v="0"/>
    <x v="8"/>
    <x v="11"/>
    <s v="OCO"/>
    <x v="4"/>
    <x v="11"/>
    <x v="7"/>
    <n v="4"/>
    <x v="1"/>
    <x v="0"/>
    <x v="42"/>
    <n v="68.912000000000006"/>
    <x v="800"/>
    <n v="16.991"/>
    <n v="30.922999999999998"/>
    <n v="20.838999999999999"/>
    <s v="21,51"/>
    <x v="1"/>
  </r>
  <r>
    <x v="2"/>
    <x v="0"/>
    <x v="8"/>
    <x v="23"/>
    <s v="GIO"/>
    <x v="11"/>
    <x v="12"/>
    <x v="8"/>
    <n v="2"/>
    <x v="1"/>
    <x v="0"/>
    <x v="42"/>
    <n v="68.796000000000006"/>
    <x v="801"/>
    <n v="17.050999999999998"/>
    <n v="30.541"/>
    <n v="20.888000000000002"/>
    <s v="20,50,51"/>
    <x v="1"/>
  </r>
  <r>
    <x v="2"/>
    <x v="0"/>
    <x v="8"/>
    <x v="0"/>
    <s v="VET"/>
    <x v="0"/>
    <x v="8"/>
    <x v="9"/>
    <n v="1"/>
    <x v="1"/>
    <x v="0"/>
    <x v="42"/>
    <n v="68.623000000000005"/>
    <x v="802"/>
    <n v="17.073"/>
    <n v="30.462"/>
    <n v="20.745999999999999"/>
    <s v="21,46,51"/>
    <x v="1"/>
  </r>
  <r>
    <x v="2"/>
    <x v="0"/>
    <x v="8"/>
    <x v="26"/>
    <s v="LAT"/>
    <x v="7"/>
    <x v="17"/>
    <x v="10"/>
    <n v="0"/>
    <x v="1"/>
    <x v="0"/>
    <x v="42"/>
    <n v="69.816999999999993"/>
    <x v="803"/>
    <n v="17.108000000000001"/>
    <n v="31.023"/>
    <n v="20.998999999999999"/>
    <s v="21,46,51"/>
    <x v="1"/>
  </r>
  <r>
    <x v="2"/>
    <x v="0"/>
    <x v="8"/>
    <x v="20"/>
    <s v="KVY"/>
    <x v="12"/>
    <x v="13"/>
    <x v="11"/>
    <n v="0"/>
    <x v="1"/>
    <x v="23"/>
    <x v="18"/>
    <n v="69.135000000000005"/>
    <x v="804"/>
    <n v="17.146999999999998"/>
    <n v="30.66"/>
    <n v="20.9"/>
    <s v="21,46,51"/>
    <x v="1"/>
  </r>
  <r>
    <x v="2"/>
    <x v="0"/>
    <x v="8"/>
    <x v="22"/>
    <s v="ALB"/>
    <x v="2"/>
    <x v="5"/>
    <x v="12"/>
    <n v="0"/>
    <x v="1"/>
    <x v="34"/>
    <x v="20"/>
    <n v="68.432000000000002"/>
    <x v="805"/>
    <n v="16.934000000000001"/>
    <n v="30.327999999999999"/>
    <n v="20.734000000000002"/>
    <s v="21,46,51"/>
    <x v="1"/>
  </r>
  <r>
    <x v="2"/>
    <x v="0"/>
    <x v="8"/>
    <x v="2"/>
    <s v="RAI"/>
    <x v="11"/>
    <x v="19"/>
    <x v="13"/>
    <n v="0"/>
    <x v="1"/>
    <x v="2"/>
    <x v="12"/>
    <n v="69.031000000000006"/>
    <x v="806"/>
    <n v="16.992000000000001"/>
    <n v="30.588999999999999"/>
    <n v="21"/>
    <s v="19,46"/>
    <x v="1"/>
  </r>
  <r>
    <x v="2"/>
    <x v="0"/>
    <x v="8"/>
    <x v="24"/>
    <s v="RUS"/>
    <x v="7"/>
    <x v="18"/>
    <x v="14"/>
    <n v="0"/>
    <x v="1"/>
    <x v="17"/>
    <x v="55"/>
    <n v="69.316999999999993"/>
    <x v="807"/>
    <n v="16.866"/>
    <n v="30.893000000000001"/>
    <n v="20.919"/>
    <n v="20"/>
    <x v="1"/>
  </r>
  <r>
    <x v="2"/>
    <x v="0"/>
    <x v="8"/>
    <x v="15"/>
    <s v="GRO"/>
    <x v="9"/>
    <x v="7"/>
    <x v="15"/>
    <n v="0"/>
    <x v="1"/>
    <x v="5"/>
    <x v="44"/>
    <n v="70.227999999999994"/>
    <x v="808"/>
    <n v="17.411000000000001"/>
    <n v="31.244"/>
    <n v="21.318000000000001"/>
    <s v="15,44"/>
    <x v="1"/>
  </r>
  <r>
    <x v="2"/>
    <x v="0"/>
    <x v="8"/>
    <x v="16"/>
    <s v="MAG"/>
    <x v="9"/>
    <x v="14"/>
    <x v="16"/>
    <n v="0"/>
    <x v="1"/>
    <x v="5"/>
    <x v="54"/>
    <n v="70.72"/>
    <x v="809"/>
    <n v="17.494"/>
    <n v="31.331"/>
    <n v="21.661000000000001"/>
    <m/>
    <x v="1"/>
  </r>
  <r>
    <x v="2"/>
    <x v="0"/>
    <x v="8"/>
    <x v="13"/>
    <s v="STR"/>
    <x v="10"/>
    <x v="9"/>
    <x v="17"/>
    <n v="0"/>
    <x v="1"/>
    <x v="3"/>
    <x v="67"/>
    <n v="70.325999999999993"/>
    <x v="810"/>
    <n v="17.335000000000001"/>
    <n v="31.292000000000002"/>
    <n v="21.42"/>
    <n v="15"/>
    <x v="1"/>
  </r>
  <r>
    <x v="2"/>
    <x v="0"/>
    <x v="8"/>
    <x v="3"/>
    <s v="RIC"/>
    <x v="4"/>
    <x v="4"/>
    <x v="18"/>
    <n v="0"/>
    <x v="1"/>
    <x v="27"/>
    <x v="37"/>
    <n v="70.61"/>
    <x v="811"/>
    <n v="17.192"/>
    <n v="31.353999999999999"/>
    <n v="21.536999999999999"/>
    <n v="12"/>
    <x v="1"/>
  </r>
  <r>
    <x v="2"/>
    <x v="0"/>
    <x v="8"/>
    <x v="5"/>
    <s v="VER"/>
    <x v="2"/>
    <x v="2"/>
    <x v="19"/>
    <n v="0"/>
    <x v="1"/>
    <x v="34"/>
    <x v="58"/>
    <n v="69.350999999999999"/>
    <x v="812"/>
    <n v="17.553999999999998"/>
    <n v="30.646000000000001"/>
    <n v="21.081"/>
    <n v="10"/>
    <x v="1"/>
  </r>
  <r>
    <x v="2"/>
    <x v="1"/>
    <x v="21"/>
    <x v="1"/>
    <s v="HAM"/>
    <x v="1"/>
    <x v="1"/>
    <x v="0"/>
    <n v="25"/>
    <x v="0"/>
    <x v="0"/>
    <x v="27"/>
    <n v="66.718999999999994"/>
    <x v="813"/>
    <n v="16.888000000000002"/>
    <n v="29.61"/>
    <n v="20.059000000000001"/>
    <n v="27"/>
    <x v="0"/>
  </r>
  <r>
    <x v="2"/>
    <x v="1"/>
    <x v="21"/>
    <x v="7"/>
    <s v="BOT"/>
    <x v="1"/>
    <x v="5"/>
    <x v="1"/>
    <n v="18"/>
    <x v="0"/>
    <x v="0"/>
    <x v="27"/>
    <n v="67.534000000000006"/>
    <x v="814"/>
    <n v="16.745000000000001"/>
    <n v="30.007000000000001"/>
    <n v="20.344000000000001"/>
    <n v="34"/>
    <x v="0"/>
  </r>
  <r>
    <x v="2"/>
    <x v="1"/>
    <x v="21"/>
    <x v="5"/>
    <s v="VER"/>
    <x v="2"/>
    <x v="2"/>
    <x v="2"/>
    <n v="15"/>
    <x v="0"/>
    <x v="0"/>
    <x v="27"/>
    <n v="66.144999999999996"/>
    <x v="815"/>
    <n v="16.920000000000002"/>
    <n v="29.195"/>
    <n v="20.024999999999999"/>
    <s v="24,68"/>
    <x v="0"/>
  </r>
  <r>
    <x v="2"/>
    <x v="1"/>
    <x v="21"/>
    <x v="22"/>
    <s v="ALB"/>
    <x v="2"/>
    <x v="15"/>
    <x v="3"/>
    <n v="12"/>
    <x v="1"/>
    <x v="0"/>
    <x v="27"/>
    <n v="67.108999999999995"/>
    <x v="816"/>
    <n v="17.015000000000001"/>
    <n v="29.866"/>
    <n v="20.119"/>
    <n v="35"/>
    <x v="0"/>
  </r>
  <r>
    <x v="2"/>
    <x v="1"/>
    <x v="21"/>
    <x v="21"/>
    <s v="NOR"/>
    <x v="3"/>
    <x v="9"/>
    <x v="4"/>
    <n v="10"/>
    <x v="1"/>
    <x v="0"/>
    <x v="27"/>
    <n v="67.192999999999998"/>
    <x v="817"/>
    <n v="16.687999999999999"/>
    <n v="29.861999999999998"/>
    <n v="20.242999999999999"/>
    <n v="39"/>
    <x v="0"/>
  </r>
  <r>
    <x v="2"/>
    <x v="1"/>
    <x v="21"/>
    <x v="10"/>
    <s v="PER"/>
    <x v="10"/>
    <x v="18"/>
    <x v="5"/>
    <n v="8"/>
    <x v="1"/>
    <x v="0"/>
    <x v="27"/>
    <n v="67.188000000000002"/>
    <x v="818"/>
    <n v="16.695"/>
    <n v="29.780999999999999"/>
    <n v="20.283000000000001"/>
    <n v="38"/>
    <x v="0"/>
  </r>
  <r>
    <x v="2"/>
    <x v="1"/>
    <x v="21"/>
    <x v="13"/>
    <s v="STR"/>
    <x v="10"/>
    <x v="10"/>
    <x v="6"/>
    <n v="6"/>
    <x v="1"/>
    <x v="0"/>
    <x v="27"/>
    <n v="67.832999999999998"/>
    <x v="819"/>
    <n v="16.847000000000001"/>
    <n v="30.145"/>
    <n v="20.404"/>
    <n v="33"/>
    <x v="0"/>
  </r>
  <r>
    <x v="2"/>
    <x v="1"/>
    <x v="21"/>
    <x v="3"/>
    <s v="RIC"/>
    <x v="4"/>
    <x v="3"/>
    <x v="7"/>
    <n v="4"/>
    <x v="1"/>
    <x v="0"/>
    <x v="27"/>
    <n v="67.831999999999994"/>
    <x v="820"/>
    <n v="16.687999999999999"/>
    <n v="30.117999999999999"/>
    <n v="20.51"/>
    <n v="37"/>
    <x v="0"/>
  </r>
  <r>
    <x v="2"/>
    <x v="1"/>
    <x v="21"/>
    <x v="9"/>
    <s v="SAI"/>
    <x v="3"/>
    <x v="0"/>
    <x v="8"/>
    <n v="3"/>
    <x v="1"/>
    <x v="1"/>
    <x v="29"/>
    <n v="65.619"/>
    <x v="821"/>
    <n v="16.898"/>
    <n v="28.917000000000002"/>
    <n v="19.72"/>
    <s v="32,66"/>
    <x v="0"/>
  </r>
  <r>
    <x v="2"/>
    <x v="1"/>
    <x v="21"/>
    <x v="20"/>
    <s v="KVY"/>
    <x v="12"/>
    <x v="13"/>
    <x v="9"/>
    <n v="1"/>
    <x v="1"/>
    <x v="1"/>
    <x v="29"/>
    <n v="68.378"/>
    <x v="822"/>
    <n v="16.992999999999999"/>
    <n v="30.338999999999999"/>
    <n v="20.518999999999998"/>
    <n v="36"/>
    <x v="0"/>
  </r>
  <r>
    <x v="2"/>
    <x v="1"/>
    <x v="21"/>
    <x v="2"/>
    <s v="RAI"/>
    <x v="11"/>
    <x v="14"/>
    <x v="10"/>
    <n v="0"/>
    <x v="1"/>
    <x v="1"/>
    <x v="29"/>
    <n v="68.382000000000005"/>
    <x v="823"/>
    <n v="16.989000000000001"/>
    <n v="30.22"/>
    <n v="20.687999999999999"/>
    <n v="44"/>
    <x v="0"/>
  </r>
  <r>
    <x v="2"/>
    <x v="1"/>
    <x v="21"/>
    <x v="16"/>
    <s v="MAG"/>
    <x v="9"/>
    <x v="7"/>
    <x v="11"/>
    <n v="0"/>
    <x v="1"/>
    <x v="1"/>
    <x v="29"/>
    <n v="68.009"/>
    <x v="824"/>
    <n v="16.87"/>
    <n v="30.364000000000001"/>
    <n v="20.541"/>
    <n v="31"/>
    <x v="0"/>
  </r>
  <r>
    <x v="2"/>
    <x v="1"/>
    <x v="21"/>
    <x v="15"/>
    <s v="GRO"/>
    <x v="9"/>
    <x v="20"/>
    <x v="12"/>
    <n v="0"/>
    <x v="1"/>
    <x v="1"/>
    <x v="29"/>
    <n v="68.046999999999997"/>
    <x v="825"/>
    <n v="16.853999999999999"/>
    <n v="30.318999999999999"/>
    <n v="20.52"/>
    <n v="37"/>
    <x v="0"/>
  </r>
  <r>
    <x v="2"/>
    <x v="1"/>
    <x v="21"/>
    <x v="23"/>
    <s v="GIO"/>
    <x v="11"/>
    <x v="19"/>
    <x v="13"/>
    <n v="0"/>
    <x v="1"/>
    <x v="1"/>
    <x v="29"/>
    <n v="68.512"/>
    <x v="826"/>
    <n v="16.928999999999998"/>
    <n v="30.404"/>
    <n v="20.631"/>
    <n v="39"/>
    <x v="0"/>
  </r>
  <r>
    <x v="2"/>
    <x v="1"/>
    <x v="21"/>
    <x v="17"/>
    <s v="GAS"/>
    <x v="12"/>
    <x v="6"/>
    <x v="14"/>
    <n v="0"/>
    <x v="1"/>
    <x v="1"/>
    <x v="29"/>
    <n v="67.826999999999998"/>
    <x v="827"/>
    <n v="16.809999999999999"/>
    <n v="30.01"/>
    <n v="20.37"/>
    <s v="24,49"/>
    <x v="0"/>
  </r>
  <r>
    <x v="2"/>
    <x v="1"/>
    <x v="21"/>
    <x v="24"/>
    <s v="RUS"/>
    <x v="7"/>
    <x v="8"/>
    <x v="15"/>
    <n v="0"/>
    <x v="1"/>
    <x v="11"/>
    <x v="30"/>
    <n v="68.600999999999999"/>
    <x v="828"/>
    <n v="16.841000000000001"/>
    <n v="30.437000000000001"/>
    <n v="20.768999999999998"/>
    <n v="34"/>
    <x v="0"/>
  </r>
  <r>
    <x v="2"/>
    <x v="1"/>
    <x v="21"/>
    <x v="26"/>
    <s v="LAT"/>
    <x v="7"/>
    <x v="12"/>
    <x v="16"/>
    <n v="0"/>
    <x v="1"/>
    <x v="11"/>
    <x v="30"/>
    <n v="68.805999999999997"/>
    <x v="829"/>
    <n v="17.154"/>
    <n v="30.602"/>
    <n v="20.629000000000001"/>
    <n v="32"/>
    <x v="0"/>
  </r>
  <r>
    <x v="2"/>
    <x v="1"/>
    <x v="21"/>
    <x v="11"/>
    <s v="OCO"/>
    <x v="4"/>
    <x v="16"/>
    <x v="17"/>
    <n v="0"/>
    <x v="1"/>
    <x v="27"/>
    <x v="23"/>
    <n v="69.320999999999998"/>
    <x v="830"/>
    <n v="17.158000000000001"/>
    <n v="30.827999999999999"/>
    <n v="21.151"/>
    <n v="25"/>
    <x v="0"/>
  </r>
  <r>
    <x v="2"/>
    <x v="1"/>
    <x v="21"/>
    <x v="12"/>
    <s v="LEC"/>
    <x v="0"/>
    <x v="11"/>
    <x v="18"/>
    <n v="0"/>
    <x v="1"/>
    <x v="8"/>
    <x v="9"/>
    <m/>
    <x v="19"/>
    <m/>
    <m/>
    <m/>
    <s v="1,4"/>
    <x v="0"/>
  </r>
  <r>
    <x v="2"/>
    <x v="1"/>
    <x v="21"/>
    <x v="0"/>
    <s v="VET"/>
    <x v="0"/>
    <x v="4"/>
    <x v="19"/>
    <n v="0"/>
    <x v="1"/>
    <x v="8"/>
    <x v="16"/>
    <m/>
    <x v="19"/>
    <m/>
    <m/>
    <m/>
    <n v="1"/>
    <x v="0"/>
  </r>
  <r>
    <x v="2"/>
    <x v="2"/>
    <x v="11"/>
    <x v="1"/>
    <s v="HAM"/>
    <x v="1"/>
    <x v="1"/>
    <x v="0"/>
    <n v="26"/>
    <x v="0"/>
    <x v="0"/>
    <x v="29"/>
    <n v="76.626999999999995"/>
    <x v="831"/>
    <n v="27.940999999999999"/>
    <n v="26.907"/>
    <n v="21.75"/>
    <s v="3,37,66"/>
    <x v="0"/>
  </r>
  <r>
    <x v="2"/>
    <x v="2"/>
    <x v="11"/>
    <x v="5"/>
    <s v="VER"/>
    <x v="2"/>
    <x v="6"/>
    <x v="1"/>
    <n v="18"/>
    <x v="0"/>
    <x v="0"/>
    <x v="29"/>
    <n v="79.183999999999997"/>
    <x v="832"/>
    <n v="28.530999999999999"/>
    <n v="28.035"/>
    <n v="22.422000000000001"/>
    <s v="4,36"/>
    <x v="0"/>
  </r>
  <r>
    <x v="2"/>
    <x v="2"/>
    <x v="11"/>
    <x v="7"/>
    <s v="BOT"/>
    <x v="1"/>
    <x v="2"/>
    <x v="2"/>
    <n v="15"/>
    <x v="0"/>
    <x v="0"/>
    <x v="29"/>
    <n v="77.665000000000006"/>
    <x v="833"/>
    <n v="28.093"/>
    <n v="27.446999999999999"/>
    <n v="21.873999999999999"/>
    <s v="2,33,49"/>
    <x v="0"/>
  </r>
  <r>
    <x v="2"/>
    <x v="2"/>
    <x v="11"/>
    <x v="13"/>
    <s v="STR"/>
    <x v="10"/>
    <x v="0"/>
    <x v="3"/>
    <n v="12"/>
    <x v="1"/>
    <x v="0"/>
    <x v="29"/>
    <n v="78.972999999999999"/>
    <x v="834"/>
    <n v="28.588000000000001"/>
    <n v="27.91"/>
    <n v="22.439"/>
    <s v="3,35,52"/>
    <x v="0"/>
  </r>
  <r>
    <x v="2"/>
    <x v="2"/>
    <x v="11"/>
    <x v="22"/>
    <s v="ALB"/>
    <x v="2"/>
    <x v="13"/>
    <x v="4"/>
    <n v="10"/>
    <x v="1"/>
    <x v="0"/>
    <x v="29"/>
    <n v="79.44"/>
    <x v="835"/>
    <n v="28.541"/>
    <n v="28.265000000000001"/>
    <n v="22.469000000000001"/>
    <s v="3,34"/>
    <x v="0"/>
  </r>
  <r>
    <x v="2"/>
    <x v="2"/>
    <x v="11"/>
    <x v="0"/>
    <s v="VET"/>
    <x v="0"/>
    <x v="16"/>
    <x v="5"/>
    <n v="8"/>
    <x v="1"/>
    <x v="1"/>
    <x v="30"/>
    <n v="80.363"/>
    <x v="836"/>
    <n v="28.905000000000001"/>
    <n v="28.221"/>
    <n v="22.795000000000002"/>
    <s v="3,29"/>
    <x v="0"/>
  </r>
  <r>
    <x v="2"/>
    <x v="2"/>
    <x v="11"/>
    <x v="10"/>
    <s v="PER"/>
    <x v="10"/>
    <x v="5"/>
    <x v="6"/>
    <n v="6"/>
    <x v="1"/>
    <x v="1"/>
    <x v="30"/>
    <n v="80.09"/>
    <x v="837"/>
    <n v="28.678000000000001"/>
    <n v="28.373999999999999"/>
    <n v="22.658000000000001"/>
    <s v="3,35"/>
    <x v="0"/>
  </r>
  <r>
    <x v="2"/>
    <x v="2"/>
    <x v="11"/>
    <x v="3"/>
    <s v="RIC"/>
    <x v="4"/>
    <x v="8"/>
    <x v="7"/>
    <n v="4"/>
    <x v="1"/>
    <x v="1"/>
    <x v="30"/>
    <n v="79.531999999999996"/>
    <x v="838"/>
    <n v="28.687000000000001"/>
    <n v="28.332999999999998"/>
    <n v="22.469000000000001"/>
    <s v="4,43"/>
    <x v="0"/>
  </r>
  <r>
    <x v="2"/>
    <x v="2"/>
    <x v="11"/>
    <x v="9"/>
    <s v="SAI"/>
    <x v="3"/>
    <x v="9"/>
    <x v="8"/>
    <n v="2"/>
    <x v="1"/>
    <x v="1"/>
    <x v="30"/>
    <n v="79.456999999999994"/>
    <x v="839"/>
    <n v="28.757000000000001"/>
    <n v="27.972000000000001"/>
    <n v="22.58"/>
    <s v="3,40"/>
    <x v="0"/>
  </r>
  <r>
    <x v="2"/>
    <x v="2"/>
    <x v="11"/>
    <x v="16"/>
    <s v="MAG"/>
    <x v="9"/>
    <x v="20"/>
    <x v="9"/>
    <n v="1"/>
    <x v="1"/>
    <x v="1"/>
    <x v="30"/>
    <n v="80.477000000000004"/>
    <x v="840"/>
    <n v="29.004999999999999"/>
    <n v="28.477"/>
    <n v="22.766999999999999"/>
    <n v="35"/>
    <x v="0"/>
  </r>
  <r>
    <x v="2"/>
    <x v="2"/>
    <x v="11"/>
    <x v="12"/>
    <s v="LEC"/>
    <x v="0"/>
    <x v="15"/>
    <x v="10"/>
    <n v="0"/>
    <x v="1"/>
    <x v="1"/>
    <x v="30"/>
    <n v="80.820999999999998"/>
    <x v="841"/>
    <n v="28.974"/>
    <n v="28.649000000000001"/>
    <n v="22.920999999999999"/>
    <s v="2,20"/>
    <x v="0"/>
  </r>
  <r>
    <x v="2"/>
    <x v="2"/>
    <x v="11"/>
    <x v="20"/>
    <s v="KVY"/>
    <x v="12"/>
    <x v="18"/>
    <x v="11"/>
    <n v="0"/>
    <x v="1"/>
    <x v="1"/>
    <x v="30"/>
    <n v="80.945999999999998"/>
    <x v="842"/>
    <n v="29.044"/>
    <n v="28.673999999999999"/>
    <n v="22.997"/>
    <s v="1,18"/>
    <x v="0"/>
  </r>
  <r>
    <x v="2"/>
    <x v="2"/>
    <x v="11"/>
    <x v="21"/>
    <s v="NOR"/>
    <x v="3"/>
    <x v="3"/>
    <x v="12"/>
    <n v="0"/>
    <x v="1"/>
    <x v="1"/>
    <x v="30"/>
    <n v="79.944999999999993"/>
    <x v="843"/>
    <n v="28.718"/>
    <n v="28.202999999999999"/>
    <n v="22.648"/>
    <s v="4,35"/>
    <x v="0"/>
  </r>
  <r>
    <x v="2"/>
    <x v="2"/>
    <x v="11"/>
    <x v="11"/>
    <s v="OCO"/>
    <x v="4"/>
    <x v="11"/>
    <x v="13"/>
    <n v="0"/>
    <x v="1"/>
    <x v="1"/>
    <x v="30"/>
    <n v="80.260999999999996"/>
    <x v="844"/>
    <n v="28.795000000000002"/>
    <n v="28.350999999999999"/>
    <n v="22.76"/>
    <s v="4,31"/>
    <x v="0"/>
  </r>
  <r>
    <x v="2"/>
    <x v="2"/>
    <x v="11"/>
    <x v="2"/>
    <s v="RAI"/>
    <x v="11"/>
    <x v="17"/>
    <x v="14"/>
    <n v="0"/>
    <x v="1"/>
    <x v="1"/>
    <x v="30"/>
    <n v="80.231999999999999"/>
    <x v="845"/>
    <n v="28.803000000000001"/>
    <n v="28.486000000000001"/>
    <n v="22.675000000000001"/>
    <s v="3,33"/>
    <x v="0"/>
  </r>
  <r>
    <x v="2"/>
    <x v="2"/>
    <x v="11"/>
    <x v="15"/>
    <s v="GRO"/>
    <x v="9"/>
    <x v="20"/>
    <x v="15"/>
    <n v="0"/>
    <x v="1"/>
    <x v="1"/>
    <x v="30"/>
    <n v="80.888999999999996"/>
    <x v="846"/>
    <n v="29.062999999999999"/>
    <n v="28.507999999999999"/>
    <n v="22.966000000000001"/>
    <n v="34"/>
    <x v="0"/>
  </r>
  <r>
    <x v="2"/>
    <x v="2"/>
    <x v="11"/>
    <x v="23"/>
    <s v="GIO"/>
    <x v="11"/>
    <x v="19"/>
    <x v="16"/>
    <n v="0"/>
    <x v="1"/>
    <x v="1"/>
    <x v="30"/>
    <n v="80.096000000000004"/>
    <x v="847"/>
    <n v="28.788"/>
    <n v="28.308"/>
    <n v="22.731000000000002"/>
    <s v="4,20,40"/>
    <x v="0"/>
  </r>
  <r>
    <x v="2"/>
    <x v="2"/>
    <x v="11"/>
    <x v="24"/>
    <s v="RUS"/>
    <x v="7"/>
    <x v="10"/>
    <x v="17"/>
    <n v="0"/>
    <x v="1"/>
    <x v="1"/>
    <x v="30"/>
    <n v="79.983999999999995"/>
    <x v="848"/>
    <n v="28.837"/>
    <n v="28.231999999999999"/>
    <n v="22.664999999999999"/>
    <s v="4,19,50"/>
    <x v="0"/>
  </r>
  <r>
    <x v="2"/>
    <x v="2"/>
    <x v="11"/>
    <x v="26"/>
    <s v="LAT"/>
    <x v="7"/>
    <x v="7"/>
    <x v="18"/>
    <n v="0"/>
    <x v="1"/>
    <x v="35"/>
    <x v="18"/>
    <n v="81.197999999999993"/>
    <x v="849"/>
    <n v="29.023"/>
    <n v="29.077999999999999"/>
    <n v="23.045999999999999"/>
    <s v="3,4,31,39,52"/>
    <x v="0"/>
  </r>
  <r>
    <x v="2"/>
    <x v="2"/>
    <x v="11"/>
    <x v="17"/>
    <s v="GAS"/>
    <x v="12"/>
    <x v="4"/>
    <x v="19"/>
    <n v="0"/>
    <x v="1"/>
    <x v="3"/>
    <x v="67"/>
    <n v="83.938999999999993"/>
    <x v="850"/>
    <n v="29.896000000000001"/>
    <n v="30.202000000000002"/>
    <n v="23.686"/>
    <s v="3,15"/>
    <x v="0"/>
  </r>
  <r>
    <x v="2"/>
    <x v="3"/>
    <x v="9"/>
    <x v="1"/>
    <s v="HAM"/>
    <x v="1"/>
    <x v="1"/>
    <x v="0"/>
    <n v="25"/>
    <x v="0"/>
    <x v="0"/>
    <x v="33"/>
    <n v="89.238"/>
    <x v="851"/>
    <n v="28.672999999999998"/>
    <n v="35.982999999999997"/>
    <n v="24.419"/>
    <n v="13"/>
    <x v="1"/>
  </r>
  <r>
    <x v="2"/>
    <x v="3"/>
    <x v="9"/>
    <x v="5"/>
    <s v="VER"/>
    <x v="2"/>
    <x v="0"/>
    <x v="1"/>
    <n v="19"/>
    <x v="0"/>
    <x v="0"/>
    <x v="33"/>
    <n v="87.096999999999994"/>
    <x v="852"/>
    <n v="28.033000000000001"/>
    <n v="35.017000000000003"/>
    <n v="24.047000000000001"/>
    <s v="13,50"/>
    <x v="1"/>
  </r>
  <r>
    <x v="2"/>
    <x v="3"/>
    <x v="9"/>
    <x v="12"/>
    <s v="LEC"/>
    <x v="0"/>
    <x v="5"/>
    <x v="2"/>
    <n v="15"/>
    <x v="0"/>
    <x v="0"/>
    <x v="33"/>
    <n v="89.813000000000002"/>
    <x v="853"/>
    <n v="28.693999999999999"/>
    <n v="36.359000000000002"/>
    <n v="24.646999999999998"/>
    <n v="13"/>
    <x v="1"/>
  </r>
  <r>
    <x v="2"/>
    <x v="3"/>
    <x v="9"/>
    <x v="3"/>
    <s v="RIC"/>
    <x v="4"/>
    <x v="3"/>
    <x v="3"/>
    <n v="12"/>
    <x v="1"/>
    <x v="0"/>
    <x v="33"/>
    <n v="89.481999999999999"/>
    <x v="854"/>
    <n v="28.672999999999998"/>
    <n v="36.186999999999998"/>
    <n v="24.315000000000001"/>
    <n v="12"/>
    <x v="1"/>
  </r>
  <r>
    <x v="2"/>
    <x v="3"/>
    <x v="9"/>
    <x v="21"/>
    <s v="NOR"/>
    <x v="3"/>
    <x v="16"/>
    <x v="4"/>
    <n v="10"/>
    <x v="1"/>
    <x v="0"/>
    <x v="33"/>
    <n v="90.058000000000007"/>
    <x v="855"/>
    <n v="28.95"/>
    <n v="36.131"/>
    <n v="24.786000000000001"/>
    <n v="12"/>
    <x v="1"/>
  </r>
  <r>
    <x v="2"/>
    <x v="3"/>
    <x v="9"/>
    <x v="11"/>
    <s v="OCO"/>
    <x v="4"/>
    <x v="9"/>
    <x v="5"/>
    <n v="8"/>
    <x v="1"/>
    <x v="0"/>
    <x v="33"/>
    <n v="89.491"/>
    <x v="856"/>
    <n v="28.728000000000002"/>
    <n v="36.067999999999998"/>
    <n v="24.579000000000001"/>
    <n v="12"/>
    <x v="1"/>
  </r>
  <r>
    <x v="2"/>
    <x v="3"/>
    <x v="9"/>
    <x v="17"/>
    <s v="GAS"/>
    <x v="12"/>
    <x v="8"/>
    <x v="6"/>
    <n v="6"/>
    <x v="1"/>
    <x v="0"/>
    <x v="33"/>
    <n v="89.602999999999994"/>
    <x v="857"/>
    <n v="28.82"/>
    <n v="36.033999999999999"/>
    <n v="24.626000000000001"/>
    <n v="12"/>
    <x v="1"/>
  </r>
  <r>
    <x v="2"/>
    <x v="3"/>
    <x v="9"/>
    <x v="22"/>
    <s v="ALB"/>
    <x v="2"/>
    <x v="10"/>
    <x v="7"/>
    <n v="4"/>
    <x v="1"/>
    <x v="0"/>
    <x v="33"/>
    <n v="88.688999999999993"/>
    <x v="858"/>
    <n v="28.562000000000001"/>
    <n v="35.454000000000001"/>
    <n v="24.175000000000001"/>
    <s v="6,30"/>
    <x v="1"/>
  </r>
  <r>
    <x v="2"/>
    <x v="3"/>
    <x v="9"/>
    <x v="13"/>
    <s v="STR"/>
    <x v="10"/>
    <x v="15"/>
    <x v="8"/>
    <n v="2"/>
    <x v="1"/>
    <x v="0"/>
    <x v="33"/>
    <n v="90.474999999999994"/>
    <x v="859"/>
    <n v="28.905999999999999"/>
    <n v="36.298000000000002"/>
    <n v="24.481999999999999"/>
    <n v="13"/>
    <x v="1"/>
  </r>
  <r>
    <x v="2"/>
    <x v="3"/>
    <x v="9"/>
    <x v="0"/>
    <s v="VET"/>
    <x v="0"/>
    <x v="4"/>
    <x v="9"/>
    <n v="1"/>
    <x v="1"/>
    <x v="0"/>
    <x v="33"/>
    <n v="90.537000000000006"/>
    <x v="860"/>
    <n v="28.809000000000001"/>
    <n v="36.573999999999998"/>
    <n v="24.824999999999999"/>
    <n v="12"/>
    <x v="1"/>
  </r>
  <r>
    <x v="2"/>
    <x v="3"/>
    <x v="9"/>
    <x v="7"/>
    <s v="BOT"/>
    <x v="1"/>
    <x v="2"/>
    <x v="10"/>
    <n v="0"/>
    <x v="1"/>
    <x v="0"/>
    <x v="33"/>
    <n v="89.265000000000001"/>
    <x v="861"/>
    <n v="28.466000000000001"/>
    <n v="36.03"/>
    <n v="24.491"/>
    <s v="13,50"/>
    <x v="1"/>
  </r>
  <r>
    <x v="2"/>
    <x v="3"/>
    <x v="9"/>
    <x v="24"/>
    <s v="RUS"/>
    <x v="7"/>
    <x v="17"/>
    <x v="11"/>
    <n v="0"/>
    <x v="1"/>
    <x v="0"/>
    <x v="33"/>
    <n v="90.861999999999995"/>
    <x v="862"/>
    <n v="29.015999999999998"/>
    <n v="36.719000000000001"/>
    <n v="24.81"/>
    <n v="12"/>
    <x v="1"/>
  </r>
  <r>
    <x v="2"/>
    <x v="3"/>
    <x v="9"/>
    <x v="9"/>
    <s v="SAI"/>
    <x v="3"/>
    <x v="6"/>
    <x v="12"/>
    <n v="0"/>
    <x v="1"/>
    <x v="0"/>
    <x v="33"/>
    <n v="89.947999999999993"/>
    <x v="863"/>
    <n v="28.992999999999999"/>
    <n v="36.033000000000001"/>
    <n v="24.562999999999999"/>
    <s v="13,51"/>
    <x v="1"/>
  </r>
  <r>
    <x v="2"/>
    <x v="3"/>
    <x v="9"/>
    <x v="23"/>
    <s v="GIO"/>
    <x v="11"/>
    <x v="7"/>
    <x v="13"/>
    <n v="0"/>
    <x v="1"/>
    <x v="0"/>
    <x v="33"/>
    <n v="90.977000000000004"/>
    <x v="864"/>
    <n v="29.05"/>
    <n v="36.658999999999999"/>
    <n v="25.082999999999998"/>
    <n v="12"/>
    <x v="1"/>
  </r>
  <r>
    <x v="2"/>
    <x v="3"/>
    <x v="9"/>
    <x v="26"/>
    <s v="LAT"/>
    <x v="7"/>
    <x v="12"/>
    <x v="14"/>
    <n v="0"/>
    <x v="1"/>
    <x v="0"/>
    <x v="33"/>
    <n v="90.501000000000005"/>
    <x v="865"/>
    <n v="28.907"/>
    <n v="36.387"/>
    <n v="24.948"/>
    <n v="12"/>
    <x v="1"/>
  </r>
  <r>
    <x v="2"/>
    <x v="3"/>
    <x v="9"/>
    <x v="15"/>
    <s v="GRO"/>
    <x v="9"/>
    <x v="18"/>
    <x v="15"/>
    <n v="0"/>
    <x v="1"/>
    <x v="0"/>
    <x v="33"/>
    <n v="89.781999999999996"/>
    <x v="866"/>
    <n v="28.771000000000001"/>
    <n v="36.215000000000003"/>
    <n v="24.548999999999999"/>
    <n v="36"/>
    <x v="1"/>
  </r>
  <r>
    <x v="2"/>
    <x v="3"/>
    <x v="9"/>
    <x v="2"/>
    <s v="RAI"/>
    <x v="11"/>
    <x v="14"/>
    <x v="16"/>
    <n v="0"/>
    <x v="1"/>
    <x v="1"/>
    <x v="11"/>
    <n v="89.972999999999999"/>
    <x v="867"/>
    <n v="28.843"/>
    <n v="36.296999999999997"/>
    <n v="24.832999999999998"/>
    <s v="12,47"/>
    <x v="1"/>
  </r>
  <r>
    <x v="2"/>
    <x v="3"/>
    <x v="9"/>
    <x v="20"/>
    <s v="KVY"/>
    <x v="12"/>
    <x v="19"/>
    <x v="17"/>
    <n v="0"/>
    <x v="1"/>
    <x v="9"/>
    <x v="37"/>
    <n v="92.442999999999998"/>
    <x v="868"/>
    <n v="29.206"/>
    <n v="37.594999999999999"/>
    <n v="25.405000000000001"/>
    <m/>
    <x v="1"/>
  </r>
  <r>
    <x v="2"/>
    <x v="3"/>
    <x v="9"/>
    <x v="16"/>
    <s v="MAG"/>
    <x v="9"/>
    <x v="11"/>
    <x v="18"/>
    <n v="0"/>
    <x v="1"/>
    <x v="10"/>
    <x v="10"/>
    <m/>
    <x v="19"/>
    <m/>
    <m/>
    <m/>
    <m/>
    <x v="1"/>
  </r>
  <r>
    <x v="2"/>
    <x v="3"/>
    <x v="9"/>
    <x v="6"/>
    <s v="HUL"/>
    <x v="10"/>
    <x v="13"/>
    <x v="19"/>
    <n v="0"/>
    <x v="1"/>
    <x v="20"/>
    <x v="68"/>
    <m/>
    <x v="19"/>
    <m/>
    <m/>
    <m/>
    <m/>
    <x v="1"/>
  </r>
  <r>
    <x v="2"/>
    <x v="4"/>
    <x v="22"/>
    <x v="5"/>
    <s v="VER"/>
    <x v="2"/>
    <x v="5"/>
    <x v="0"/>
    <n v="25"/>
    <x v="0"/>
    <x v="0"/>
    <x v="33"/>
    <n v="89.465000000000003"/>
    <x v="869"/>
    <n v="28.391999999999999"/>
    <n v="36.161000000000001"/>
    <n v="24.571999999999999"/>
    <s v="26,32"/>
    <x v="1"/>
  </r>
  <r>
    <x v="2"/>
    <x v="4"/>
    <x v="22"/>
    <x v="1"/>
    <s v="HAM"/>
    <x v="1"/>
    <x v="2"/>
    <x v="1"/>
    <n v="19"/>
    <x v="0"/>
    <x v="0"/>
    <x v="33"/>
    <n v="88.450999999999993"/>
    <x v="870"/>
    <n v="28.327999999999999"/>
    <n v="35.694000000000003"/>
    <n v="24.408999999999999"/>
    <s v="14,41"/>
    <x v="1"/>
  </r>
  <r>
    <x v="2"/>
    <x v="4"/>
    <x v="22"/>
    <x v="7"/>
    <s v="BOT"/>
    <x v="1"/>
    <x v="1"/>
    <x v="2"/>
    <n v="15"/>
    <x v="0"/>
    <x v="0"/>
    <x v="33"/>
    <n v="89.765000000000001"/>
    <x v="871"/>
    <n v="28.544"/>
    <n v="36.470999999999997"/>
    <n v="24.581"/>
    <s v="13,32"/>
    <x v="1"/>
  </r>
  <r>
    <x v="2"/>
    <x v="4"/>
    <x v="22"/>
    <x v="12"/>
    <s v="LEC"/>
    <x v="0"/>
    <x v="3"/>
    <x v="3"/>
    <n v="12"/>
    <x v="1"/>
    <x v="0"/>
    <x v="33"/>
    <n v="90.552000000000007"/>
    <x v="872"/>
    <n v="28.477"/>
    <n v="36.905000000000001"/>
    <n v="25.024999999999999"/>
    <n v="18"/>
    <x v="1"/>
  </r>
  <r>
    <x v="2"/>
    <x v="4"/>
    <x v="22"/>
    <x v="22"/>
    <s v="ALB"/>
    <x v="2"/>
    <x v="9"/>
    <x v="4"/>
    <n v="10"/>
    <x v="1"/>
    <x v="0"/>
    <x v="33"/>
    <n v="89.477000000000004"/>
    <x v="873"/>
    <n v="28.504999999999999"/>
    <n v="36.18"/>
    <n v="24.646000000000001"/>
    <s v="6,30"/>
    <x v="1"/>
  </r>
  <r>
    <x v="2"/>
    <x v="4"/>
    <x v="22"/>
    <x v="13"/>
    <s v="STR"/>
    <x v="10"/>
    <x v="15"/>
    <x v="5"/>
    <n v="8"/>
    <x v="1"/>
    <x v="0"/>
    <x v="33"/>
    <n v="90.876999999999995"/>
    <x v="874"/>
    <n v="28.792000000000002"/>
    <n v="36.779000000000003"/>
    <n v="24.989000000000001"/>
    <s v="18,31"/>
    <x v="1"/>
  </r>
  <r>
    <x v="2"/>
    <x v="4"/>
    <x v="22"/>
    <x v="6"/>
    <s v="HUL"/>
    <x v="10"/>
    <x v="0"/>
    <x v="6"/>
    <n v="6"/>
    <x v="1"/>
    <x v="0"/>
    <x v="33"/>
    <n v="90.087000000000003"/>
    <x v="875"/>
    <n v="28.597000000000001"/>
    <n v="36.451000000000001"/>
    <n v="24.940999999999999"/>
    <s v="15,30,44"/>
    <x v="1"/>
  </r>
  <r>
    <x v="2"/>
    <x v="4"/>
    <x v="22"/>
    <x v="11"/>
    <s v="OCO"/>
    <x v="4"/>
    <x v="11"/>
    <x v="7"/>
    <n v="4"/>
    <x v="1"/>
    <x v="0"/>
    <x v="33"/>
    <n v="90.575000000000003"/>
    <x v="876"/>
    <n v="28.745000000000001"/>
    <n v="36.744"/>
    <n v="24.89"/>
    <n v="22"/>
    <x v="1"/>
  </r>
  <r>
    <x v="2"/>
    <x v="4"/>
    <x v="22"/>
    <x v="21"/>
    <s v="NOR"/>
    <x v="3"/>
    <x v="4"/>
    <x v="8"/>
    <n v="2"/>
    <x v="1"/>
    <x v="0"/>
    <x v="33"/>
    <n v="90.697999999999993"/>
    <x v="877"/>
    <n v="28.853000000000002"/>
    <n v="36.578000000000003"/>
    <n v="24.896000000000001"/>
    <s v="12,29"/>
    <x v="1"/>
  </r>
  <r>
    <x v="2"/>
    <x v="4"/>
    <x v="22"/>
    <x v="20"/>
    <s v="KVY"/>
    <x v="12"/>
    <x v="14"/>
    <x v="9"/>
    <n v="1"/>
    <x v="1"/>
    <x v="0"/>
    <x v="33"/>
    <n v="90.738"/>
    <x v="878"/>
    <n v="28.529"/>
    <n v="36.835000000000001"/>
    <n v="24.956"/>
    <s v="19,35"/>
    <x v="1"/>
  </r>
  <r>
    <x v="2"/>
    <x v="4"/>
    <x v="22"/>
    <x v="17"/>
    <s v="GAS"/>
    <x v="12"/>
    <x v="6"/>
    <x v="10"/>
    <n v="0"/>
    <x v="1"/>
    <x v="0"/>
    <x v="33"/>
    <n v="90.091999999999999"/>
    <x v="879"/>
    <n v="28.571999999999999"/>
    <n v="36.631"/>
    <n v="24.885000000000002"/>
    <s v="7,23"/>
    <x v="1"/>
  </r>
  <r>
    <x v="2"/>
    <x v="4"/>
    <x v="22"/>
    <x v="0"/>
    <s v="VET"/>
    <x v="0"/>
    <x v="8"/>
    <x v="11"/>
    <n v="0"/>
    <x v="1"/>
    <x v="0"/>
    <x v="33"/>
    <n v="90.784999999999997"/>
    <x v="880"/>
    <n v="28.454999999999998"/>
    <n v="37.000999999999998"/>
    <n v="25.004999999999999"/>
    <s v="22,33"/>
    <x v="1"/>
  </r>
  <r>
    <x v="2"/>
    <x v="4"/>
    <x v="22"/>
    <x v="9"/>
    <s v="SAI"/>
    <x v="3"/>
    <x v="10"/>
    <x v="12"/>
    <n v="0"/>
    <x v="1"/>
    <x v="0"/>
    <x v="33"/>
    <n v="90.555999999999997"/>
    <x v="881"/>
    <n v="28.492999999999999"/>
    <n v="36.741"/>
    <n v="24.920999999999999"/>
    <s v="22,34"/>
    <x v="1"/>
  </r>
  <r>
    <x v="2"/>
    <x v="4"/>
    <x v="22"/>
    <x v="3"/>
    <s v="RIC"/>
    <x v="4"/>
    <x v="16"/>
    <x v="13"/>
    <n v="0"/>
    <x v="1"/>
    <x v="1"/>
    <x v="11"/>
    <n v="91.168000000000006"/>
    <x v="882"/>
    <n v="28.539000000000001"/>
    <n v="37.136000000000003"/>
    <n v="24.968"/>
    <s v="14,26,35"/>
    <x v="1"/>
  </r>
  <r>
    <x v="2"/>
    <x v="4"/>
    <x v="22"/>
    <x v="2"/>
    <s v="RAI"/>
    <x v="11"/>
    <x v="17"/>
    <x v="14"/>
    <n v="0"/>
    <x v="1"/>
    <x v="1"/>
    <x v="11"/>
    <n v="91.756"/>
    <x v="883"/>
    <n v="29.064"/>
    <n v="37.42"/>
    <n v="25.137"/>
    <n v="26"/>
    <x v="1"/>
  </r>
  <r>
    <x v="2"/>
    <x v="4"/>
    <x v="22"/>
    <x v="15"/>
    <s v="GRO"/>
    <x v="9"/>
    <x v="13"/>
    <x v="15"/>
    <n v="0"/>
    <x v="1"/>
    <x v="1"/>
    <x v="11"/>
    <n v="90.793000000000006"/>
    <x v="884"/>
    <n v="28.795999999999999"/>
    <n v="37.015999999999998"/>
    <n v="24.896999999999998"/>
    <s v="17,38"/>
    <x v="1"/>
  </r>
  <r>
    <x v="2"/>
    <x v="4"/>
    <x v="22"/>
    <x v="23"/>
    <s v="GIO"/>
    <x v="11"/>
    <x v="19"/>
    <x v="16"/>
    <n v="0"/>
    <x v="1"/>
    <x v="1"/>
    <x v="11"/>
    <n v="91.825999999999993"/>
    <x v="885"/>
    <n v="28.99"/>
    <n v="37.445"/>
    <n v="25.233000000000001"/>
    <s v="7,33"/>
    <x v="1"/>
  </r>
  <r>
    <x v="2"/>
    <x v="4"/>
    <x v="22"/>
    <x v="24"/>
    <s v="RUS"/>
    <x v="7"/>
    <x v="7"/>
    <x v="17"/>
    <n v="0"/>
    <x v="1"/>
    <x v="1"/>
    <x v="11"/>
    <n v="91.408000000000001"/>
    <x v="886"/>
    <n v="28.96"/>
    <n v="37.180999999999997"/>
    <n v="25.004999999999999"/>
    <s v="8,24,39"/>
    <x v="1"/>
  </r>
  <r>
    <x v="2"/>
    <x v="4"/>
    <x v="22"/>
    <x v="26"/>
    <s v="LAT"/>
    <x v="7"/>
    <x v="12"/>
    <x v="18"/>
    <n v="0"/>
    <x v="1"/>
    <x v="1"/>
    <x v="11"/>
    <n v="89.95"/>
    <x v="887"/>
    <n v="28.652000000000001"/>
    <n v="36.329000000000001"/>
    <n v="24.960999999999999"/>
    <s v="9,26,46"/>
    <x v="1"/>
  </r>
  <r>
    <x v="2"/>
    <x v="4"/>
    <x v="22"/>
    <x v="16"/>
    <s v="MAG"/>
    <x v="9"/>
    <x v="18"/>
    <x v="19"/>
    <n v="0"/>
    <x v="1"/>
    <x v="21"/>
    <x v="13"/>
    <n v="91.83"/>
    <x v="888"/>
    <n v="29.077000000000002"/>
    <n v="37.487000000000002"/>
    <n v="25.265999999999998"/>
    <s v="9,20,43"/>
    <x v="1"/>
  </r>
  <r>
    <x v="2"/>
    <x v="5"/>
    <x v="4"/>
    <x v="1"/>
    <s v="HAM"/>
    <x v="1"/>
    <x v="1"/>
    <x v="0"/>
    <n v="25"/>
    <x v="0"/>
    <x v="0"/>
    <x v="17"/>
    <n v="79.822000000000003"/>
    <x v="889"/>
    <n v="22.423999999999999"/>
    <n v="29.626999999999999"/>
    <n v="27.658999999999999"/>
    <s v="23,50"/>
    <x v="1"/>
  </r>
  <r>
    <x v="2"/>
    <x v="5"/>
    <x v="4"/>
    <x v="5"/>
    <s v="VER"/>
    <x v="2"/>
    <x v="0"/>
    <x v="1"/>
    <n v="18"/>
    <x v="0"/>
    <x v="0"/>
    <x v="17"/>
    <n v="81.477000000000004"/>
    <x v="890"/>
    <n v="22.85"/>
    <n v="30.315999999999999"/>
    <n v="27.93"/>
    <s v="21,41"/>
    <x v="1"/>
  </r>
  <r>
    <x v="2"/>
    <x v="5"/>
    <x v="4"/>
    <x v="7"/>
    <s v="BOT"/>
    <x v="1"/>
    <x v="2"/>
    <x v="2"/>
    <n v="16"/>
    <x v="0"/>
    <x v="0"/>
    <x v="17"/>
    <n v="78.183000000000007"/>
    <x v="891"/>
    <n v="22.029"/>
    <n v="28.991"/>
    <n v="27.068999999999999"/>
    <s v="23,48,64"/>
    <x v="1"/>
  </r>
  <r>
    <x v="2"/>
    <x v="5"/>
    <x v="4"/>
    <x v="13"/>
    <s v="STR"/>
    <x v="10"/>
    <x v="16"/>
    <x v="3"/>
    <n v="12"/>
    <x v="1"/>
    <x v="1"/>
    <x v="18"/>
    <n v="82.024000000000001"/>
    <x v="892"/>
    <n v="22.617000000000001"/>
    <n v="30.574999999999999"/>
    <n v="28.620999999999999"/>
    <s v="27,42"/>
    <x v="1"/>
  </r>
  <r>
    <x v="2"/>
    <x v="5"/>
    <x v="4"/>
    <x v="10"/>
    <s v="PER"/>
    <x v="10"/>
    <x v="5"/>
    <x v="4"/>
    <n v="10"/>
    <x v="1"/>
    <x v="1"/>
    <x v="18"/>
    <n v="82.515000000000001"/>
    <x v="893"/>
    <n v="22.736000000000001"/>
    <n v="30.759"/>
    <n v="28.507000000000001"/>
    <n v="29"/>
    <x v="1"/>
  </r>
  <r>
    <x v="2"/>
    <x v="5"/>
    <x v="4"/>
    <x v="9"/>
    <s v="SAI"/>
    <x v="3"/>
    <x v="6"/>
    <x v="5"/>
    <n v="8"/>
    <x v="1"/>
    <x v="1"/>
    <x v="18"/>
    <n v="81.771000000000001"/>
    <x v="894"/>
    <n v="22.64"/>
    <n v="30.43"/>
    <n v="28.544"/>
    <s v="22,41"/>
    <x v="1"/>
  </r>
  <r>
    <x v="2"/>
    <x v="5"/>
    <x v="4"/>
    <x v="0"/>
    <s v="VET"/>
    <x v="0"/>
    <x v="8"/>
    <x v="6"/>
    <n v="6"/>
    <x v="1"/>
    <x v="1"/>
    <x v="18"/>
    <n v="82.706999999999994"/>
    <x v="895"/>
    <n v="23.24"/>
    <n v="30.777000000000001"/>
    <n v="28.683"/>
    <n v="29"/>
    <x v="1"/>
  </r>
  <r>
    <x v="2"/>
    <x v="5"/>
    <x v="4"/>
    <x v="22"/>
    <s v="ALB"/>
    <x v="2"/>
    <x v="15"/>
    <x v="7"/>
    <n v="4"/>
    <x v="1"/>
    <x v="1"/>
    <x v="18"/>
    <n v="82.194000000000003"/>
    <x v="896"/>
    <n v="23.196000000000002"/>
    <n v="30.594999999999999"/>
    <n v="28.059000000000001"/>
    <s v="17,39"/>
    <x v="1"/>
  </r>
  <r>
    <x v="2"/>
    <x v="5"/>
    <x v="4"/>
    <x v="17"/>
    <s v="GAS"/>
    <x v="12"/>
    <x v="4"/>
    <x v="8"/>
    <n v="2"/>
    <x v="1"/>
    <x v="1"/>
    <x v="18"/>
    <n v="82.543000000000006"/>
    <x v="897"/>
    <n v="22.992999999999999"/>
    <n v="30.875"/>
    <n v="28.327999999999999"/>
    <s v="21,42"/>
    <x v="1"/>
  </r>
  <r>
    <x v="2"/>
    <x v="5"/>
    <x v="4"/>
    <x v="21"/>
    <s v="NOR"/>
    <x v="3"/>
    <x v="3"/>
    <x v="9"/>
    <n v="1"/>
    <x v="1"/>
    <x v="1"/>
    <x v="18"/>
    <n v="82.391999999999996"/>
    <x v="898"/>
    <n v="23.016999999999999"/>
    <n v="30.591999999999999"/>
    <n v="28.585999999999999"/>
    <s v="21,44"/>
    <x v="1"/>
  </r>
  <r>
    <x v="2"/>
    <x v="5"/>
    <x v="4"/>
    <x v="3"/>
    <s v="RIC"/>
    <x v="4"/>
    <x v="13"/>
    <x v="10"/>
    <n v="0"/>
    <x v="1"/>
    <x v="1"/>
    <x v="18"/>
    <n v="82.463999999999999"/>
    <x v="899"/>
    <n v="23.048999999999999"/>
    <n v="30.654"/>
    <n v="28.449000000000002"/>
    <n v="35"/>
    <x v="1"/>
  </r>
  <r>
    <x v="2"/>
    <x v="5"/>
    <x v="4"/>
    <x v="20"/>
    <s v="KVY"/>
    <x v="12"/>
    <x v="10"/>
    <x v="11"/>
    <n v="0"/>
    <x v="1"/>
    <x v="1"/>
    <x v="18"/>
    <n v="82.335999999999999"/>
    <x v="900"/>
    <n v="23.05"/>
    <n v="30.728999999999999"/>
    <n v="28.363"/>
    <s v="21,45"/>
    <x v="1"/>
  </r>
  <r>
    <x v="2"/>
    <x v="5"/>
    <x v="4"/>
    <x v="11"/>
    <s v="OCO"/>
    <x v="4"/>
    <x v="7"/>
    <x v="12"/>
    <n v="0"/>
    <x v="1"/>
    <x v="1"/>
    <x v="18"/>
    <n v="82.174000000000007"/>
    <x v="901"/>
    <n v="22.986999999999998"/>
    <n v="30.492000000000001"/>
    <n v="28.516999999999999"/>
    <n v="34"/>
    <x v="1"/>
  </r>
  <r>
    <x v="2"/>
    <x v="5"/>
    <x v="4"/>
    <x v="2"/>
    <s v="RAI"/>
    <x v="11"/>
    <x v="11"/>
    <x v="13"/>
    <n v="0"/>
    <x v="1"/>
    <x v="1"/>
    <x v="18"/>
    <n v="81.888000000000005"/>
    <x v="902"/>
    <n v="22.545999999999999"/>
    <n v="30.45"/>
    <n v="28.279"/>
    <s v="20,44"/>
    <x v="1"/>
  </r>
  <r>
    <x v="2"/>
    <x v="5"/>
    <x v="4"/>
    <x v="16"/>
    <s v="MAG"/>
    <x v="9"/>
    <x v="14"/>
    <x v="14"/>
    <n v="0"/>
    <x v="1"/>
    <x v="1"/>
    <x v="18"/>
    <n v="83.474000000000004"/>
    <x v="903"/>
    <n v="23.454999999999998"/>
    <n v="31.004999999999999"/>
    <n v="28.814"/>
    <n v="28"/>
    <x v="1"/>
  </r>
  <r>
    <x v="2"/>
    <x v="5"/>
    <x v="4"/>
    <x v="23"/>
    <s v="GIO"/>
    <x v="11"/>
    <x v="17"/>
    <x v="15"/>
    <n v="0"/>
    <x v="1"/>
    <x v="1"/>
    <x v="18"/>
    <n v="81.801000000000002"/>
    <x v="904"/>
    <n v="22.94"/>
    <n v="30.317"/>
    <n v="28.297000000000001"/>
    <s v="21,45"/>
    <x v="1"/>
  </r>
  <r>
    <x v="2"/>
    <x v="5"/>
    <x v="4"/>
    <x v="24"/>
    <s v="RUS"/>
    <x v="7"/>
    <x v="12"/>
    <x v="16"/>
    <n v="0"/>
    <x v="1"/>
    <x v="1"/>
    <x v="18"/>
    <n v="82.503"/>
    <x v="905"/>
    <n v="23.367999999999999"/>
    <n v="30.67"/>
    <n v="28.262"/>
    <s v="19,35"/>
    <x v="1"/>
  </r>
  <r>
    <x v="2"/>
    <x v="5"/>
    <x v="4"/>
    <x v="26"/>
    <s v="LAT"/>
    <x v="7"/>
    <x v="19"/>
    <x v="17"/>
    <n v="0"/>
    <x v="1"/>
    <x v="11"/>
    <x v="19"/>
    <n v="82.03"/>
    <x v="906"/>
    <n v="22.937000000000001"/>
    <n v="30.475999999999999"/>
    <n v="28.282"/>
    <s v="28,49"/>
    <x v="1"/>
  </r>
  <r>
    <x v="2"/>
    <x v="5"/>
    <x v="4"/>
    <x v="15"/>
    <s v="GRO"/>
    <x v="9"/>
    <x v="18"/>
    <x v="18"/>
    <n v="0"/>
    <x v="1"/>
    <x v="11"/>
    <x v="19"/>
    <n v="80.409000000000006"/>
    <x v="907"/>
    <n v="22.748000000000001"/>
    <n v="29.63"/>
    <n v="28.030999999999999"/>
    <s v="32,62"/>
    <x v="1"/>
  </r>
  <r>
    <x v="2"/>
    <x v="5"/>
    <x v="4"/>
    <x v="12"/>
    <s v="LEC"/>
    <x v="0"/>
    <x v="9"/>
    <x v="19"/>
    <n v="0"/>
    <x v="1"/>
    <x v="34"/>
    <x v="39"/>
    <n v="83.968000000000004"/>
    <x v="908"/>
    <n v="22.890999999999998"/>
    <n v="31.155000000000001"/>
    <n v="28.896999999999998"/>
    <s v="29,38"/>
    <x v="1"/>
  </r>
  <r>
    <x v="2"/>
    <x v="6"/>
    <x v="12"/>
    <x v="1"/>
    <s v="HAM"/>
    <x v="1"/>
    <x v="1"/>
    <x v="0"/>
    <n v="25"/>
    <x v="0"/>
    <x v="0"/>
    <x v="44"/>
    <n v="107.758"/>
    <x v="909"/>
    <n v="31.504999999999999"/>
    <n v="46.953000000000003"/>
    <n v="29.274999999999999"/>
    <n v="11"/>
    <x v="1"/>
  </r>
  <r>
    <x v="2"/>
    <x v="6"/>
    <x v="12"/>
    <x v="7"/>
    <s v="BOT"/>
    <x v="1"/>
    <x v="2"/>
    <x v="1"/>
    <n v="18"/>
    <x v="0"/>
    <x v="0"/>
    <x v="44"/>
    <n v="107.983"/>
    <x v="910"/>
    <n v="31.324999999999999"/>
    <n v="47.143000000000001"/>
    <n v="29.215"/>
    <n v="11"/>
    <x v="1"/>
  </r>
  <r>
    <x v="2"/>
    <x v="6"/>
    <x v="12"/>
    <x v="5"/>
    <s v="VER"/>
    <x v="2"/>
    <x v="0"/>
    <x v="2"/>
    <n v="15"/>
    <x v="0"/>
    <x v="0"/>
    <x v="44"/>
    <n v="108.30500000000001"/>
    <x v="911"/>
    <n v="31.315999999999999"/>
    <n v="47.723999999999997"/>
    <n v="29.103999999999999"/>
    <n v="11"/>
    <x v="1"/>
  </r>
  <r>
    <x v="2"/>
    <x v="6"/>
    <x v="12"/>
    <x v="3"/>
    <s v="RIC"/>
    <x v="4"/>
    <x v="5"/>
    <x v="3"/>
    <n v="13"/>
    <x v="1"/>
    <x v="0"/>
    <x v="44"/>
    <n v="107.483"/>
    <x v="912"/>
    <n v="30.85"/>
    <n v="47.228000000000002"/>
    <n v="28.966999999999999"/>
    <n v="11"/>
    <x v="1"/>
  </r>
  <r>
    <x v="2"/>
    <x v="6"/>
    <x v="12"/>
    <x v="11"/>
    <s v="OCO"/>
    <x v="4"/>
    <x v="15"/>
    <x v="4"/>
    <n v="10"/>
    <x v="1"/>
    <x v="0"/>
    <x v="44"/>
    <n v="108.54"/>
    <x v="913"/>
    <n v="30.657"/>
    <n v="47.984999999999999"/>
    <n v="29.265999999999998"/>
    <n v="11"/>
    <x v="1"/>
  </r>
  <r>
    <x v="2"/>
    <x v="6"/>
    <x v="12"/>
    <x v="22"/>
    <s v="ALB"/>
    <x v="2"/>
    <x v="16"/>
    <x v="5"/>
    <n v="8"/>
    <x v="1"/>
    <x v="0"/>
    <x v="44"/>
    <n v="108.736"/>
    <x v="914"/>
    <n v="30.896000000000001"/>
    <n v="47.689"/>
    <n v="29.149000000000001"/>
    <n v="11"/>
    <x v="1"/>
  </r>
  <r>
    <x v="2"/>
    <x v="6"/>
    <x v="12"/>
    <x v="21"/>
    <s v="NOR"/>
    <x v="3"/>
    <x v="4"/>
    <x v="6"/>
    <n v="6"/>
    <x v="1"/>
    <x v="0"/>
    <x v="44"/>
    <n v="108.55200000000001"/>
    <x v="915"/>
    <n v="30.576000000000001"/>
    <n v="47.715000000000003"/>
    <n v="29.108000000000001"/>
    <n v="11"/>
    <x v="1"/>
  </r>
  <r>
    <x v="2"/>
    <x v="6"/>
    <x v="12"/>
    <x v="17"/>
    <s v="GAS"/>
    <x v="12"/>
    <x v="10"/>
    <x v="7"/>
    <n v="4"/>
    <x v="1"/>
    <x v="0"/>
    <x v="44"/>
    <n v="107.839"/>
    <x v="916"/>
    <n v="30.608000000000001"/>
    <n v="47.697000000000003"/>
    <n v="29.11"/>
    <n v="26"/>
    <x v="1"/>
  </r>
  <r>
    <x v="2"/>
    <x v="6"/>
    <x v="12"/>
    <x v="13"/>
    <s v="STR"/>
    <x v="10"/>
    <x v="9"/>
    <x v="8"/>
    <n v="2"/>
    <x v="1"/>
    <x v="0"/>
    <x v="44"/>
    <n v="109.136"/>
    <x v="917"/>
    <n v="30.943000000000001"/>
    <n v="48.006"/>
    <n v="29.353000000000002"/>
    <n v="11"/>
    <x v="1"/>
  </r>
  <r>
    <x v="2"/>
    <x v="6"/>
    <x v="12"/>
    <x v="10"/>
    <s v="PER"/>
    <x v="10"/>
    <x v="3"/>
    <x v="9"/>
    <n v="1"/>
    <x v="1"/>
    <x v="0"/>
    <x v="44"/>
    <n v="108.389"/>
    <x v="918"/>
    <n v="30.696999999999999"/>
    <n v="47.603999999999999"/>
    <n v="29.359000000000002"/>
    <n v="18"/>
    <x v="1"/>
  </r>
  <r>
    <x v="2"/>
    <x v="6"/>
    <x v="12"/>
    <x v="20"/>
    <s v="KVY"/>
    <x v="12"/>
    <x v="8"/>
    <x v="10"/>
    <n v="0"/>
    <x v="1"/>
    <x v="0"/>
    <x v="44"/>
    <n v="109.83199999999999"/>
    <x v="919"/>
    <n v="30.832999999999998"/>
    <n v="48.843000000000004"/>
    <n v="29.423999999999999"/>
    <n v="11"/>
    <x v="1"/>
  </r>
  <r>
    <x v="2"/>
    <x v="6"/>
    <x v="12"/>
    <x v="2"/>
    <s v="RAI"/>
    <x v="11"/>
    <x v="14"/>
    <x v="11"/>
    <n v="0"/>
    <x v="1"/>
    <x v="0"/>
    <x v="44"/>
    <n v="109.822"/>
    <x v="920"/>
    <n v="31.131"/>
    <n v="48.561"/>
    <n v="29.501999999999999"/>
    <n v="10"/>
    <x v="1"/>
  </r>
  <r>
    <x v="2"/>
    <x v="6"/>
    <x v="12"/>
    <x v="0"/>
    <s v="VET"/>
    <x v="0"/>
    <x v="11"/>
    <x v="12"/>
    <n v="0"/>
    <x v="1"/>
    <x v="0"/>
    <x v="44"/>
    <n v="109.958"/>
    <x v="921"/>
    <n v="31.210999999999999"/>
    <n v="48.673999999999999"/>
    <n v="29.507000000000001"/>
    <n v="11"/>
    <x v="1"/>
  </r>
  <r>
    <x v="2"/>
    <x v="6"/>
    <x v="12"/>
    <x v="12"/>
    <s v="LEC"/>
    <x v="0"/>
    <x v="13"/>
    <x v="13"/>
    <n v="0"/>
    <x v="1"/>
    <x v="0"/>
    <x v="44"/>
    <n v="107.84"/>
    <x v="922"/>
    <n v="30.824999999999999"/>
    <n v="47.058"/>
    <n v="29.245999999999999"/>
    <s v="10,24"/>
    <x v="1"/>
  </r>
  <r>
    <x v="2"/>
    <x v="6"/>
    <x v="12"/>
    <x v="15"/>
    <s v="GRO"/>
    <x v="9"/>
    <x v="18"/>
    <x v="14"/>
    <n v="0"/>
    <x v="1"/>
    <x v="0"/>
    <x v="44"/>
    <n v="110.018"/>
    <x v="923"/>
    <n v="31.155000000000001"/>
    <n v="48.307000000000002"/>
    <n v="29.646000000000001"/>
    <n v="10"/>
    <x v="1"/>
  </r>
  <r>
    <x v="2"/>
    <x v="6"/>
    <x v="12"/>
    <x v="26"/>
    <s v="LAT"/>
    <x v="7"/>
    <x v="19"/>
    <x v="15"/>
    <n v="0"/>
    <x v="1"/>
    <x v="0"/>
    <x v="44"/>
    <n v="108.048"/>
    <x v="924"/>
    <n v="31.061"/>
    <n v="47.097000000000001"/>
    <n v="29.225000000000001"/>
    <s v="10,30"/>
    <x v="1"/>
  </r>
  <r>
    <x v="2"/>
    <x v="6"/>
    <x v="12"/>
    <x v="16"/>
    <s v="MAG"/>
    <x v="9"/>
    <x v="17"/>
    <x v="16"/>
    <n v="0"/>
    <x v="1"/>
    <x v="0"/>
    <x v="44"/>
    <n v="108.083"/>
    <x v="925"/>
    <n v="31.521000000000001"/>
    <n v="46.973999999999997"/>
    <n v="29.451000000000001"/>
    <s v="10,35"/>
    <x v="1"/>
  </r>
  <r>
    <x v="2"/>
    <x v="6"/>
    <x v="12"/>
    <x v="23"/>
    <s v="GIO"/>
    <x v="11"/>
    <x v="12"/>
    <x v="17"/>
    <n v="0"/>
    <x v="1"/>
    <x v="9"/>
    <x v="58"/>
    <n v="111.79300000000001"/>
    <x v="926"/>
    <n v="31.465"/>
    <n v="50.088999999999999"/>
    <n v="29.902999999999999"/>
    <m/>
    <x v="1"/>
  </r>
  <r>
    <x v="2"/>
    <x v="6"/>
    <x v="12"/>
    <x v="24"/>
    <s v="RUS"/>
    <x v="7"/>
    <x v="7"/>
    <x v="18"/>
    <n v="0"/>
    <x v="1"/>
    <x v="36"/>
    <x v="58"/>
    <n v="111.754"/>
    <x v="927"/>
    <n v="31.26"/>
    <n v="50.271999999999998"/>
    <n v="29.995999999999999"/>
    <m/>
    <x v="1"/>
  </r>
  <r>
    <x v="2"/>
    <x v="6"/>
    <x v="12"/>
    <x v="9"/>
    <s v="SAI"/>
    <x v="3"/>
    <x v="6"/>
    <x v="19"/>
    <n v="0"/>
    <x v="1"/>
    <x v="16"/>
    <x v="68"/>
    <m/>
    <x v="19"/>
    <m/>
    <m/>
    <m/>
    <m/>
    <x v="1"/>
  </r>
  <r>
    <x v="2"/>
    <x v="7"/>
    <x v="20"/>
    <x v="17"/>
    <s v="GAS"/>
    <x v="12"/>
    <x v="4"/>
    <x v="0"/>
    <n v="25"/>
    <x v="0"/>
    <x v="0"/>
    <x v="28"/>
    <n v="84.037000000000006"/>
    <x v="928"/>
    <n v="27.87"/>
    <n v="28.164000000000001"/>
    <n v="27.742000000000001"/>
    <s v="19,26"/>
    <x v="1"/>
  </r>
  <r>
    <x v="2"/>
    <x v="7"/>
    <x v="20"/>
    <x v="9"/>
    <s v="SAI"/>
    <x v="3"/>
    <x v="0"/>
    <x v="1"/>
    <n v="18"/>
    <x v="0"/>
    <x v="0"/>
    <x v="28"/>
    <n v="83.882000000000005"/>
    <x v="929"/>
    <n v="27.548999999999999"/>
    <n v="28.347999999999999"/>
    <n v="27.747"/>
    <s v="22,26"/>
    <x v="1"/>
  </r>
  <r>
    <x v="2"/>
    <x v="7"/>
    <x v="20"/>
    <x v="13"/>
    <s v="STR"/>
    <x v="10"/>
    <x v="3"/>
    <x v="2"/>
    <n v="15"/>
    <x v="0"/>
    <x v="0"/>
    <x v="28"/>
    <n v="83.897000000000006"/>
    <x v="930"/>
    <n v="27.553999999999998"/>
    <n v="28.216999999999999"/>
    <n v="27.853999999999999"/>
    <n v="26"/>
    <x v="1"/>
  </r>
  <r>
    <x v="2"/>
    <x v="7"/>
    <x v="20"/>
    <x v="21"/>
    <s v="NOR"/>
    <x v="3"/>
    <x v="15"/>
    <x v="3"/>
    <n v="12"/>
    <x v="1"/>
    <x v="0"/>
    <x v="28"/>
    <n v="84.231999999999999"/>
    <x v="931"/>
    <n v="27.555"/>
    <n v="28.356999999999999"/>
    <n v="27.661000000000001"/>
    <s v="22,26"/>
    <x v="1"/>
  </r>
  <r>
    <x v="2"/>
    <x v="7"/>
    <x v="20"/>
    <x v="7"/>
    <s v="BOT"/>
    <x v="1"/>
    <x v="2"/>
    <x v="4"/>
    <n v="10"/>
    <x v="1"/>
    <x v="0"/>
    <x v="28"/>
    <n v="83.960999999999999"/>
    <x v="932"/>
    <n v="27.552"/>
    <n v="28.366"/>
    <n v="27.649000000000001"/>
    <s v="22,26"/>
    <x v="1"/>
  </r>
  <r>
    <x v="2"/>
    <x v="7"/>
    <x v="20"/>
    <x v="3"/>
    <s v="RIC"/>
    <x v="4"/>
    <x v="6"/>
    <x v="5"/>
    <n v="8"/>
    <x v="1"/>
    <x v="0"/>
    <x v="28"/>
    <n v="83.897999999999996"/>
    <x v="933"/>
    <n v="27.375"/>
    <n v="28.318999999999999"/>
    <n v="27.981000000000002"/>
    <s v="22,26"/>
    <x v="1"/>
  </r>
  <r>
    <x v="2"/>
    <x v="7"/>
    <x v="20"/>
    <x v="1"/>
    <s v="HAM"/>
    <x v="1"/>
    <x v="1"/>
    <x v="6"/>
    <n v="7"/>
    <x v="1"/>
    <x v="0"/>
    <x v="28"/>
    <n v="82.745999999999995"/>
    <x v="934"/>
    <n v="27.163"/>
    <n v="27.834"/>
    <n v="27.396000000000001"/>
    <s v="20,26,28"/>
    <x v="1"/>
  </r>
  <r>
    <x v="2"/>
    <x v="7"/>
    <x v="20"/>
    <x v="11"/>
    <s v="OCO"/>
    <x v="4"/>
    <x v="10"/>
    <x v="7"/>
    <n v="4"/>
    <x v="1"/>
    <x v="0"/>
    <x v="28"/>
    <n v="84.49"/>
    <x v="935"/>
    <n v="27.619"/>
    <n v="28.492000000000001"/>
    <n v="27.85"/>
    <s v="22,26"/>
    <x v="1"/>
  </r>
  <r>
    <x v="2"/>
    <x v="7"/>
    <x v="20"/>
    <x v="20"/>
    <s v="KVY"/>
    <x v="12"/>
    <x v="8"/>
    <x v="8"/>
    <n v="2"/>
    <x v="1"/>
    <x v="0"/>
    <x v="28"/>
    <n v="84.478999999999999"/>
    <x v="936"/>
    <n v="27.49"/>
    <n v="28.597999999999999"/>
    <n v="27.931999999999999"/>
    <s v="22,26"/>
    <x v="1"/>
  </r>
  <r>
    <x v="2"/>
    <x v="7"/>
    <x v="20"/>
    <x v="10"/>
    <s v="PER"/>
    <x v="10"/>
    <x v="5"/>
    <x v="9"/>
    <n v="1"/>
    <x v="1"/>
    <x v="0"/>
    <x v="28"/>
    <n v="84.335999999999999"/>
    <x v="937"/>
    <n v="27.483000000000001"/>
    <n v="28.568999999999999"/>
    <n v="27.952999999999999"/>
    <s v="22,26"/>
    <x v="1"/>
  </r>
  <r>
    <x v="2"/>
    <x v="7"/>
    <x v="20"/>
    <x v="26"/>
    <s v="LAT"/>
    <x v="7"/>
    <x v="17"/>
    <x v="10"/>
    <n v="0"/>
    <x v="1"/>
    <x v="0"/>
    <x v="28"/>
    <n v="84.998999999999995"/>
    <x v="938"/>
    <n v="27.928000000000001"/>
    <n v="28.652000000000001"/>
    <n v="28.062000000000001"/>
    <s v="16,26"/>
    <x v="1"/>
  </r>
  <r>
    <x v="2"/>
    <x v="7"/>
    <x v="20"/>
    <x v="15"/>
    <s v="GRO"/>
    <x v="9"/>
    <x v="14"/>
    <x v="11"/>
    <n v="0"/>
    <x v="1"/>
    <x v="0"/>
    <x v="28"/>
    <n v="84.784999999999997"/>
    <x v="939"/>
    <n v="27.791"/>
    <n v="28.696999999999999"/>
    <n v="28.218"/>
    <s v="22,26"/>
    <x v="1"/>
  </r>
  <r>
    <x v="2"/>
    <x v="7"/>
    <x v="20"/>
    <x v="2"/>
    <s v="RAI"/>
    <x v="11"/>
    <x v="11"/>
    <x v="12"/>
    <n v="0"/>
    <x v="1"/>
    <x v="0"/>
    <x v="28"/>
    <n v="84.834999999999994"/>
    <x v="940"/>
    <n v="27.824999999999999"/>
    <n v="28.725000000000001"/>
    <n v="28.015999999999998"/>
    <s v="18,26"/>
    <x v="1"/>
  </r>
  <r>
    <x v="2"/>
    <x v="7"/>
    <x v="20"/>
    <x v="24"/>
    <s v="RUS"/>
    <x v="7"/>
    <x v="19"/>
    <x v="13"/>
    <n v="0"/>
    <x v="1"/>
    <x v="0"/>
    <x v="28"/>
    <n v="84.421000000000006"/>
    <x v="941"/>
    <n v="27.890999999999998"/>
    <n v="28.635000000000002"/>
    <n v="27.826000000000001"/>
    <s v="22,26"/>
    <x v="1"/>
  </r>
  <r>
    <x v="2"/>
    <x v="7"/>
    <x v="20"/>
    <x v="22"/>
    <s v="ALB"/>
    <x v="2"/>
    <x v="9"/>
    <x v="14"/>
    <n v="0"/>
    <x v="1"/>
    <x v="0"/>
    <x v="28"/>
    <n v="84.888000000000005"/>
    <x v="942"/>
    <n v="27.515999999999998"/>
    <n v="28.757000000000001"/>
    <n v="28.119"/>
    <s v="22,26"/>
    <x v="1"/>
  </r>
  <r>
    <x v="2"/>
    <x v="7"/>
    <x v="20"/>
    <x v="23"/>
    <s v="GIO"/>
    <x v="11"/>
    <x v="12"/>
    <x v="15"/>
    <n v="0"/>
    <x v="1"/>
    <x v="0"/>
    <x v="28"/>
    <n v="84.855999999999995"/>
    <x v="943"/>
    <n v="27.945"/>
    <n v="28.402999999999999"/>
    <n v="28.385000000000002"/>
    <s v="20,26,30"/>
    <x v="1"/>
  </r>
  <r>
    <x v="2"/>
    <x v="7"/>
    <x v="20"/>
    <x v="5"/>
    <s v="VER"/>
    <x v="2"/>
    <x v="16"/>
    <x v="16"/>
    <n v="0"/>
    <x v="1"/>
    <x v="20"/>
    <x v="57"/>
    <n v="85.539000000000001"/>
    <x v="944"/>
    <n v="27.614000000000001"/>
    <n v="29.21"/>
    <n v="28.317"/>
    <s v="22,26,30"/>
    <x v="1"/>
  </r>
  <r>
    <x v="2"/>
    <x v="7"/>
    <x v="20"/>
    <x v="12"/>
    <s v="LEC"/>
    <x v="0"/>
    <x v="13"/>
    <x v="17"/>
    <n v="0"/>
    <x v="1"/>
    <x v="9"/>
    <x v="2"/>
    <n v="86.025999999999996"/>
    <x v="945"/>
    <n v="28.077999999999999"/>
    <n v="28.95"/>
    <n v="28.83"/>
    <s v="17,24"/>
    <x v="1"/>
  </r>
  <r>
    <x v="2"/>
    <x v="7"/>
    <x v="20"/>
    <x v="16"/>
    <s v="MAG"/>
    <x v="9"/>
    <x v="7"/>
    <x v="18"/>
    <n v="0"/>
    <x v="1"/>
    <x v="20"/>
    <x v="41"/>
    <n v="85.787000000000006"/>
    <x v="946"/>
    <n v="28.262"/>
    <n v="28.821999999999999"/>
    <n v="28.637"/>
    <s v="1,18"/>
    <x v="1"/>
  </r>
  <r>
    <x v="2"/>
    <x v="7"/>
    <x v="20"/>
    <x v="0"/>
    <s v="VET"/>
    <x v="0"/>
    <x v="18"/>
    <x v="19"/>
    <n v="0"/>
    <x v="1"/>
    <x v="5"/>
    <x v="5"/>
    <n v="87.106999999999999"/>
    <x v="947"/>
    <n v="28.189"/>
    <n v="29.581"/>
    <n v="29.195"/>
    <n v="6"/>
    <x v="1"/>
  </r>
  <r>
    <x v="2"/>
    <x v="8"/>
    <x v="23"/>
    <x v="1"/>
    <s v="HAM"/>
    <x v="1"/>
    <x v="1"/>
    <x v="0"/>
    <n v="26"/>
    <x v="0"/>
    <x v="0"/>
    <x v="48"/>
    <n v="78.832999999999998"/>
    <x v="948"/>
    <n v="28.718"/>
    <n v="21.555"/>
    <n v="28.56"/>
    <s v="7,8,32,44,45"/>
    <x v="1"/>
  </r>
  <r>
    <x v="2"/>
    <x v="8"/>
    <x v="23"/>
    <x v="7"/>
    <s v="BOT"/>
    <x v="1"/>
    <x v="2"/>
    <x v="1"/>
    <n v="18"/>
    <x v="0"/>
    <x v="0"/>
    <x v="48"/>
    <n v="79.432000000000002"/>
    <x v="949"/>
    <n v="29.004000000000001"/>
    <n v="21.741"/>
    <n v="28.637"/>
    <s v="7,8,31,43,45"/>
    <x v="1"/>
  </r>
  <r>
    <x v="2"/>
    <x v="8"/>
    <x v="23"/>
    <x v="22"/>
    <s v="ALB"/>
    <x v="2"/>
    <x v="5"/>
    <x v="2"/>
    <n v="15"/>
    <x v="0"/>
    <x v="0"/>
    <x v="48"/>
    <n v="80.039000000000001"/>
    <x v="950"/>
    <n v="29.003"/>
    <n v="22.061"/>
    <n v="28.529"/>
    <s v="7,8,32,43,45"/>
    <x v="1"/>
  </r>
  <r>
    <x v="2"/>
    <x v="8"/>
    <x v="23"/>
    <x v="3"/>
    <s v="RIC"/>
    <x v="4"/>
    <x v="3"/>
    <x v="3"/>
    <n v="12"/>
    <x v="1"/>
    <x v="0"/>
    <x v="48"/>
    <n v="80.426000000000002"/>
    <x v="951"/>
    <n v="29.396999999999998"/>
    <n v="22.058"/>
    <n v="28.777000000000001"/>
    <s v="7,8,27,43,45"/>
    <x v="1"/>
  </r>
  <r>
    <x v="2"/>
    <x v="8"/>
    <x v="23"/>
    <x v="10"/>
    <s v="PER"/>
    <x v="10"/>
    <x v="6"/>
    <x v="4"/>
    <n v="10"/>
    <x v="1"/>
    <x v="0"/>
    <x v="48"/>
    <n v="80.632000000000005"/>
    <x v="952"/>
    <n v="29.443000000000001"/>
    <n v="22.172999999999998"/>
    <n v="28.728000000000002"/>
    <s v="7,8,28,43,45"/>
    <x v="1"/>
  </r>
  <r>
    <x v="2"/>
    <x v="8"/>
    <x v="23"/>
    <x v="21"/>
    <s v="NOR"/>
    <x v="3"/>
    <x v="8"/>
    <x v="5"/>
    <n v="8"/>
    <x v="1"/>
    <x v="0"/>
    <x v="48"/>
    <n v="81.197999999999993"/>
    <x v="953"/>
    <n v="30.013999999999999"/>
    <n v="21.974"/>
    <n v="29.052"/>
    <s v="7,8,29,43,45"/>
    <x v="1"/>
  </r>
  <r>
    <x v="2"/>
    <x v="8"/>
    <x v="23"/>
    <x v="20"/>
    <s v="KVY"/>
    <x v="12"/>
    <x v="10"/>
    <x v="6"/>
    <n v="6"/>
    <x v="1"/>
    <x v="0"/>
    <x v="48"/>
    <n v="81.457999999999998"/>
    <x v="954"/>
    <n v="29.808"/>
    <n v="22.256"/>
    <n v="28.995000000000001"/>
    <s v="7,8,29,43,45"/>
    <x v="1"/>
  </r>
  <r>
    <x v="2"/>
    <x v="8"/>
    <x v="23"/>
    <x v="12"/>
    <s v="LEC"/>
    <x v="0"/>
    <x v="16"/>
    <x v="7"/>
    <n v="4"/>
    <x v="1"/>
    <x v="0"/>
    <x v="48"/>
    <n v="81.228999999999999"/>
    <x v="955"/>
    <n v="29.623999999999999"/>
    <n v="22.059000000000001"/>
    <n v="29.167999999999999"/>
    <s v="7,8,21,37,45"/>
    <x v="1"/>
  </r>
  <r>
    <x v="2"/>
    <x v="8"/>
    <x v="23"/>
    <x v="2"/>
    <s v="RAI"/>
    <x v="11"/>
    <x v="13"/>
    <x v="8"/>
    <n v="2"/>
    <x v="1"/>
    <x v="0"/>
    <x v="48"/>
    <n v="81.164000000000001"/>
    <x v="956"/>
    <n v="29.608000000000001"/>
    <n v="22.186"/>
    <n v="29.228000000000002"/>
    <s v="1,7,8,27,42,44"/>
    <x v="1"/>
  </r>
  <r>
    <x v="2"/>
    <x v="8"/>
    <x v="23"/>
    <x v="0"/>
    <s v="VET"/>
    <x v="0"/>
    <x v="11"/>
    <x v="9"/>
    <n v="1"/>
    <x v="1"/>
    <x v="0"/>
    <x v="48"/>
    <n v="81.201999999999998"/>
    <x v="957"/>
    <n v="29.805"/>
    <n v="22.170999999999999"/>
    <n v="29.202000000000002"/>
    <s v="1,7,8,28,43,45"/>
    <x v="1"/>
  </r>
  <r>
    <x v="2"/>
    <x v="8"/>
    <x v="23"/>
    <x v="24"/>
    <s v="RUS"/>
    <x v="7"/>
    <x v="12"/>
    <x v="10"/>
    <n v="0"/>
    <x v="1"/>
    <x v="0"/>
    <x v="48"/>
    <n v="81.644999999999996"/>
    <x v="958"/>
    <n v="29.977"/>
    <n v="22.350999999999999"/>
    <n v="29.184000000000001"/>
    <s v="7,8,29,43,45"/>
    <x v="1"/>
  </r>
  <r>
    <x v="2"/>
    <x v="8"/>
    <x v="23"/>
    <x v="15"/>
    <s v="GRO"/>
    <x v="9"/>
    <x v="7"/>
    <x v="11"/>
    <n v="0"/>
    <x v="1"/>
    <x v="0"/>
    <x v="48"/>
    <n v="82.263000000000005"/>
    <x v="959"/>
    <n v="30.202000000000002"/>
    <n v="22.573"/>
    <n v="29.488"/>
    <s v="7,8,28,42,44"/>
    <x v="1"/>
  </r>
  <r>
    <x v="2"/>
    <x v="8"/>
    <x v="23"/>
    <x v="13"/>
    <s v="STR"/>
    <x v="10"/>
    <x v="15"/>
    <x v="12"/>
    <n v="0"/>
    <x v="1"/>
    <x v="6"/>
    <x v="13"/>
    <n v="82.067999999999998"/>
    <x v="960"/>
    <n v="30.167000000000002"/>
    <n v="22.466999999999999"/>
    <n v="29.195"/>
    <s v="7,8,30"/>
    <x v="1"/>
  </r>
  <r>
    <x v="2"/>
    <x v="8"/>
    <x v="23"/>
    <x v="11"/>
    <s v="OCO"/>
    <x v="4"/>
    <x v="4"/>
    <x v="13"/>
    <n v="0"/>
    <x v="1"/>
    <x v="5"/>
    <x v="45"/>
    <m/>
    <x v="19"/>
    <m/>
    <m/>
    <m/>
    <s v="7,8"/>
    <x v="1"/>
  </r>
  <r>
    <x v="2"/>
    <x v="8"/>
    <x v="23"/>
    <x v="26"/>
    <s v="LAT"/>
    <x v="7"/>
    <x v="19"/>
    <x v="14"/>
    <n v="0"/>
    <x v="1"/>
    <x v="10"/>
    <x v="56"/>
    <m/>
    <x v="19"/>
    <m/>
    <m/>
    <m/>
    <m/>
    <x v="1"/>
  </r>
  <r>
    <x v="2"/>
    <x v="8"/>
    <x v="23"/>
    <x v="16"/>
    <s v="MAG"/>
    <x v="9"/>
    <x v="17"/>
    <x v="15"/>
    <n v="0"/>
    <x v="1"/>
    <x v="10"/>
    <x v="5"/>
    <m/>
    <x v="19"/>
    <m/>
    <m/>
    <m/>
    <m/>
    <x v="1"/>
  </r>
  <r>
    <x v="2"/>
    <x v="8"/>
    <x v="23"/>
    <x v="23"/>
    <s v="GIO"/>
    <x v="11"/>
    <x v="18"/>
    <x v="16"/>
    <n v="0"/>
    <x v="1"/>
    <x v="10"/>
    <x v="5"/>
    <m/>
    <x v="19"/>
    <m/>
    <m/>
    <m/>
    <m/>
    <x v="1"/>
  </r>
  <r>
    <x v="2"/>
    <x v="8"/>
    <x v="23"/>
    <x v="9"/>
    <s v="SAI"/>
    <x v="3"/>
    <x v="9"/>
    <x v="17"/>
    <n v="0"/>
    <x v="1"/>
    <x v="10"/>
    <x v="5"/>
    <m/>
    <x v="19"/>
    <m/>
    <m/>
    <m/>
    <m/>
    <x v="1"/>
  </r>
  <r>
    <x v="2"/>
    <x v="8"/>
    <x v="23"/>
    <x v="5"/>
    <s v="VER"/>
    <x v="2"/>
    <x v="0"/>
    <x v="18"/>
    <n v="0"/>
    <x v="1"/>
    <x v="10"/>
    <x v="16"/>
    <m/>
    <x v="19"/>
    <m/>
    <m/>
    <m/>
    <m/>
    <x v="1"/>
  </r>
  <r>
    <x v="2"/>
    <x v="8"/>
    <x v="23"/>
    <x v="17"/>
    <s v="GAS"/>
    <x v="12"/>
    <x v="14"/>
    <x v="19"/>
    <n v="0"/>
    <x v="1"/>
    <x v="10"/>
    <x v="16"/>
    <m/>
    <x v="19"/>
    <m/>
    <m/>
    <m/>
    <m/>
    <x v="1"/>
  </r>
  <r>
    <x v="2"/>
    <x v="9"/>
    <x v="14"/>
    <x v="7"/>
    <s v="BOT"/>
    <x v="1"/>
    <x v="0"/>
    <x v="0"/>
    <n v="26"/>
    <x v="0"/>
    <x v="0"/>
    <x v="28"/>
    <n v="97.03"/>
    <x v="961"/>
    <n v="34.770000000000003"/>
    <n v="33.5"/>
    <n v="28.76"/>
    <n v="26"/>
    <x v="1"/>
  </r>
  <r>
    <x v="2"/>
    <x v="9"/>
    <x v="14"/>
    <x v="5"/>
    <s v="VER"/>
    <x v="2"/>
    <x v="2"/>
    <x v="1"/>
    <n v="18"/>
    <x v="0"/>
    <x v="0"/>
    <x v="28"/>
    <n v="97.331999999999994"/>
    <x v="962"/>
    <n v="34.933"/>
    <n v="33.656999999999996"/>
    <n v="28.657"/>
    <n v="25"/>
    <x v="1"/>
  </r>
  <r>
    <x v="2"/>
    <x v="9"/>
    <x v="14"/>
    <x v="1"/>
    <s v="HAM"/>
    <x v="1"/>
    <x v="1"/>
    <x v="2"/>
    <n v="15"/>
    <x v="0"/>
    <x v="0"/>
    <x v="28"/>
    <n v="98.075000000000003"/>
    <x v="963"/>
    <n v="34.631"/>
    <n v="33.820999999999998"/>
    <n v="29.077999999999999"/>
    <n v="16"/>
    <x v="1"/>
  </r>
  <r>
    <x v="2"/>
    <x v="9"/>
    <x v="14"/>
    <x v="10"/>
    <s v="PER"/>
    <x v="10"/>
    <x v="5"/>
    <x v="3"/>
    <n v="12"/>
    <x v="1"/>
    <x v="0"/>
    <x v="28"/>
    <n v="98.141000000000005"/>
    <x v="964"/>
    <n v="35.234000000000002"/>
    <n v="33.906999999999996"/>
    <n v="28.641999999999999"/>
    <n v="20"/>
    <x v="1"/>
  </r>
  <r>
    <x v="2"/>
    <x v="9"/>
    <x v="14"/>
    <x v="3"/>
    <s v="RIC"/>
    <x v="4"/>
    <x v="16"/>
    <x v="4"/>
    <n v="10"/>
    <x v="1"/>
    <x v="0"/>
    <x v="28"/>
    <n v="97.885999999999996"/>
    <x v="965"/>
    <n v="35.134"/>
    <n v="34"/>
    <n v="28.751999999999999"/>
    <n v="15"/>
    <x v="1"/>
  </r>
  <r>
    <x v="2"/>
    <x v="9"/>
    <x v="14"/>
    <x v="12"/>
    <s v="LEC"/>
    <x v="0"/>
    <x v="4"/>
    <x v="5"/>
    <n v="8"/>
    <x v="1"/>
    <x v="0"/>
    <x v="28"/>
    <n v="99.052999999999997"/>
    <x v="966"/>
    <n v="35.539000000000001"/>
    <n v="34.412999999999997"/>
    <n v="29.100999999999999"/>
    <n v="28"/>
    <x v="1"/>
  </r>
  <r>
    <x v="2"/>
    <x v="9"/>
    <x v="14"/>
    <x v="11"/>
    <s v="OCO"/>
    <x v="4"/>
    <x v="6"/>
    <x v="6"/>
    <n v="6"/>
    <x v="1"/>
    <x v="0"/>
    <x v="28"/>
    <n v="99.215999999999994"/>
    <x v="967"/>
    <n v="35.485999999999997"/>
    <n v="34.24"/>
    <n v="29.384"/>
    <n v="18"/>
    <x v="1"/>
  </r>
  <r>
    <x v="2"/>
    <x v="9"/>
    <x v="14"/>
    <x v="20"/>
    <s v="KVY"/>
    <x v="12"/>
    <x v="8"/>
    <x v="7"/>
    <n v="4"/>
    <x v="1"/>
    <x v="0"/>
    <x v="28"/>
    <n v="99.132999999999996"/>
    <x v="968"/>
    <n v="35.26"/>
    <n v="33.921999999999997"/>
    <n v="29.734999999999999"/>
    <n v="30"/>
    <x v="1"/>
  </r>
  <r>
    <x v="2"/>
    <x v="9"/>
    <x v="14"/>
    <x v="17"/>
    <s v="GAS"/>
    <x v="12"/>
    <x v="9"/>
    <x v="8"/>
    <n v="2"/>
    <x v="1"/>
    <x v="0"/>
    <x v="28"/>
    <n v="97.230999999999995"/>
    <x v="969"/>
    <n v="34.994"/>
    <n v="33.54"/>
    <n v="28.696999999999999"/>
    <s v="18,42"/>
    <x v="1"/>
  </r>
  <r>
    <x v="2"/>
    <x v="9"/>
    <x v="14"/>
    <x v="22"/>
    <s v="ALB"/>
    <x v="2"/>
    <x v="7"/>
    <x v="9"/>
    <n v="1"/>
    <x v="1"/>
    <x v="0"/>
    <x v="28"/>
    <n v="98.376999999999995"/>
    <x v="970"/>
    <n v="35.35"/>
    <n v="33.840000000000003"/>
    <n v="28.919"/>
    <s v="1,27"/>
    <x v="1"/>
  </r>
  <r>
    <x v="2"/>
    <x v="9"/>
    <x v="14"/>
    <x v="23"/>
    <s v="GIO"/>
    <x v="11"/>
    <x v="18"/>
    <x v="10"/>
    <n v="0"/>
    <x v="1"/>
    <x v="1"/>
    <x v="33"/>
    <n v="99.766000000000005"/>
    <x v="971"/>
    <n v="35.732999999999997"/>
    <n v="34.493000000000002"/>
    <n v="29.486000000000001"/>
    <n v="16"/>
    <x v="1"/>
  </r>
  <r>
    <x v="2"/>
    <x v="9"/>
    <x v="14"/>
    <x v="16"/>
    <s v="MAG"/>
    <x v="9"/>
    <x v="12"/>
    <x v="11"/>
    <n v="0"/>
    <x v="1"/>
    <x v="1"/>
    <x v="33"/>
    <n v="100.38"/>
    <x v="972"/>
    <n v="35.869999999999997"/>
    <n v="34.756"/>
    <n v="29.545999999999999"/>
    <n v="19"/>
    <x v="1"/>
  </r>
  <r>
    <x v="2"/>
    <x v="9"/>
    <x v="14"/>
    <x v="0"/>
    <s v="VET"/>
    <x v="0"/>
    <x v="11"/>
    <x v="12"/>
    <n v="0"/>
    <x v="1"/>
    <x v="1"/>
    <x v="33"/>
    <n v="99.587999999999994"/>
    <x v="973"/>
    <n v="35.654000000000003"/>
    <n v="34.384999999999998"/>
    <n v="29.408999999999999"/>
    <n v="30"/>
    <x v="1"/>
  </r>
  <r>
    <x v="2"/>
    <x v="9"/>
    <x v="14"/>
    <x v="2"/>
    <s v="RAI"/>
    <x v="11"/>
    <x v="19"/>
    <x v="13"/>
    <n v="0"/>
    <x v="1"/>
    <x v="1"/>
    <x v="33"/>
    <n v="98.858000000000004"/>
    <x v="974"/>
    <n v="35.61"/>
    <n v="34.222999999999999"/>
    <n v="28.943000000000001"/>
    <n v="35"/>
    <x v="1"/>
  </r>
  <r>
    <x v="2"/>
    <x v="9"/>
    <x v="14"/>
    <x v="21"/>
    <s v="NOR"/>
    <x v="3"/>
    <x v="3"/>
    <x v="14"/>
    <n v="0"/>
    <x v="1"/>
    <x v="1"/>
    <x v="33"/>
    <n v="97.376999999999995"/>
    <x v="975"/>
    <n v="35.365000000000002"/>
    <n v="33.506999999999998"/>
    <n v="28.504999999999999"/>
    <s v="1,47"/>
    <x v="1"/>
  </r>
  <r>
    <x v="2"/>
    <x v="9"/>
    <x v="14"/>
    <x v="26"/>
    <s v="LAT"/>
    <x v="7"/>
    <x v="17"/>
    <x v="15"/>
    <n v="0"/>
    <x v="1"/>
    <x v="1"/>
    <x v="33"/>
    <n v="101.044"/>
    <x v="976"/>
    <n v="35.841000000000001"/>
    <n v="34.869"/>
    <n v="29.821999999999999"/>
    <n v="17"/>
    <x v="1"/>
  </r>
  <r>
    <x v="2"/>
    <x v="9"/>
    <x v="14"/>
    <x v="15"/>
    <s v="GRO"/>
    <x v="9"/>
    <x v="14"/>
    <x v="16"/>
    <n v="0"/>
    <x v="1"/>
    <x v="1"/>
    <x v="33"/>
    <n v="99.614000000000004"/>
    <x v="977"/>
    <n v="35.612000000000002"/>
    <n v="34.408000000000001"/>
    <n v="29.425999999999998"/>
    <s v="17,42"/>
    <x v="1"/>
  </r>
  <r>
    <x v="2"/>
    <x v="9"/>
    <x v="14"/>
    <x v="24"/>
    <s v="RUS"/>
    <x v="7"/>
    <x v="13"/>
    <x v="17"/>
    <n v="0"/>
    <x v="1"/>
    <x v="1"/>
    <x v="33"/>
    <n v="97.352000000000004"/>
    <x v="978"/>
    <n v="35.000999999999998"/>
    <n v="33.676000000000002"/>
    <n v="28.675000000000001"/>
    <s v="1,14,50"/>
    <x v="1"/>
  </r>
  <r>
    <x v="2"/>
    <x v="9"/>
    <x v="14"/>
    <x v="9"/>
    <s v="SAI"/>
    <x v="3"/>
    <x v="15"/>
    <x v="18"/>
    <n v="0"/>
    <x v="1"/>
    <x v="9"/>
    <x v="16"/>
    <m/>
    <x v="19"/>
    <m/>
    <m/>
    <m/>
    <m/>
    <x v="1"/>
  </r>
  <r>
    <x v="2"/>
    <x v="9"/>
    <x v="14"/>
    <x v="13"/>
    <s v="STR"/>
    <x v="10"/>
    <x v="10"/>
    <x v="19"/>
    <n v="0"/>
    <x v="1"/>
    <x v="10"/>
    <x v="16"/>
    <m/>
    <x v="19"/>
    <m/>
    <m/>
    <m/>
    <m/>
    <x v="1"/>
  </r>
  <r>
    <x v="2"/>
    <x v="10"/>
    <x v="24"/>
    <x v="1"/>
    <s v="HAM"/>
    <x v="1"/>
    <x v="2"/>
    <x v="0"/>
    <n v="25"/>
    <x v="0"/>
    <x v="0"/>
    <x v="47"/>
    <n v="88.144999999999996"/>
    <x v="979"/>
    <n v="28.824000000000002"/>
    <n v="36.582000000000001"/>
    <n v="22.652999999999999"/>
    <s v="16,45"/>
    <x v="0"/>
  </r>
  <r>
    <x v="2"/>
    <x v="10"/>
    <x v="24"/>
    <x v="5"/>
    <s v="VER"/>
    <x v="2"/>
    <x v="0"/>
    <x v="1"/>
    <n v="19"/>
    <x v="0"/>
    <x v="0"/>
    <x v="47"/>
    <n v="88.138999999999996"/>
    <x v="980"/>
    <n v="28.643000000000001"/>
    <n v="36.631"/>
    <n v="22.864999999999998"/>
    <s v="16,45"/>
    <x v="0"/>
  </r>
  <r>
    <x v="2"/>
    <x v="10"/>
    <x v="24"/>
    <x v="3"/>
    <s v="RIC"/>
    <x v="4"/>
    <x v="15"/>
    <x v="2"/>
    <n v="15"/>
    <x v="0"/>
    <x v="0"/>
    <x v="47"/>
    <n v="89.584000000000003"/>
    <x v="981"/>
    <n v="29.256"/>
    <n v="37.094000000000001"/>
    <n v="23.155999999999999"/>
    <s v="16,44"/>
    <x v="0"/>
  </r>
  <r>
    <x v="2"/>
    <x v="10"/>
    <x v="24"/>
    <x v="10"/>
    <s v="PER"/>
    <x v="10"/>
    <x v="9"/>
    <x v="3"/>
    <n v="12"/>
    <x v="1"/>
    <x v="0"/>
    <x v="47"/>
    <n v="89.7"/>
    <x v="982"/>
    <n v="29.265999999999998"/>
    <n v="37.250999999999998"/>
    <n v="23.146000000000001"/>
    <s v="28,45"/>
    <x v="0"/>
  </r>
  <r>
    <x v="2"/>
    <x v="10"/>
    <x v="24"/>
    <x v="9"/>
    <s v="SAI"/>
    <x v="3"/>
    <x v="4"/>
    <x v="4"/>
    <n v="10"/>
    <x v="1"/>
    <x v="0"/>
    <x v="47"/>
    <n v="90.129000000000005"/>
    <x v="983"/>
    <n v="29.533000000000001"/>
    <n v="37.384999999999998"/>
    <n v="23.193000000000001"/>
    <s v="28,44"/>
    <x v="0"/>
  </r>
  <r>
    <x v="2"/>
    <x v="10"/>
    <x v="24"/>
    <x v="17"/>
    <s v="GAS"/>
    <x v="12"/>
    <x v="10"/>
    <x v="5"/>
    <n v="8"/>
    <x v="1"/>
    <x v="0"/>
    <x v="47"/>
    <n v="90.11"/>
    <x v="984"/>
    <n v="29.343"/>
    <n v="37.414000000000001"/>
    <n v="23.13"/>
    <s v="30,44"/>
    <x v="0"/>
  </r>
  <r>
    <x v="2"/>
    <x v="10"/>
    <x v="24"/>
    <x v="12"/>
    <s v="LEC"/>
    <x v="0"/>
    <x v="5"/>
    <x v="6"/>
    <n v="6"/>
    <x v="1"/>
    <x v="0"/>
    <x v="47"/>
    <n v="90.712000000000003"/>
    <x v="985"/>
    <n v="29.571000000000002"/>
    <n v="37.723999999999997"/>
    <n v="23.388999999999999"/>
    <s v="10,35"/>
    <x v="0"/>
  </r>
  <r>
    <x v="2"/>
    <x v="10"/>
    <x v="24"/>
    <x v="6"/>
    <s v="HUL"/>
    <x v="10"/>
    <x v="17"/>
    <x v="7"/>
    <n v="4"/>
    <x v="1"/>
    <x v="0"/>
    <x v="47"/>
    <n v="90.733000000000004"/>
    <x v="986"/>
    <n v="29.655999999999999"/>
    <n v="37.719000000000001"/>
    <n v="23.100999999999999"/>
    <s v="29,44"/>
    <x v="0"/>
  </r>
  <r>
    <x v="2"/>
    <x v="10"/>
    <x v="24"/>
    <x v="15"/>
    <s v="GRO"/>
    <x v="9"/>
    <x v="14"/>
    <x v="8"/>
    <n v="2"/>
    <x v="1"/>
    <x v="0"/>
    <x v="47"/>
    <n v="91.561999999999998"/>
    <x v="987"/>
    <n v="29.843"/>
    <n v="37.817999999999998"/>
    <n v="23.728999999999999"/>
    <n v="28"/>
    <x v="0"/>
  </r>
  <r>
    <x v="2"/>
    <x v="10"/>
    <x v="24"/>
    <x v="23"/>
    <s v="GIO"/>
    <x v="11"/>
    <x v="11"/>
    <x v="9"/>
    <n v="1"/>
    <x v="1"/>
    <x v="0"/>
    <x v="47"/>
    <n v="90.909000000000006"/>
    <x v="988"/>
    <n v="29.672999999999998"/>
    <n v="37.808"/>
    <n v="23.425000000000001"/>
    <s v="15,36"/>
    <x v="0"/>
  </r>
  <r>
    <x v="2"/>
    <x v="10"/>
    <x v="24"/>
    <x v="0"/>
    <s v="VET"/>
    <x v="0"/>
    <x v="8"/>
    <x v="10"/>
    <n v="0"/>
    <x v="1"/>
    <x v="0"/>
    <x v="47"/>
    <n v="90.408000000000001"/>
    <x v="989"/>
    <n v="29.538"/>
    <n v="37.582999999999998"/>
    <n v="23.286999999999999"/>
    <s v="11,41"/>
    <x v="0"/>
  </r>
  <r>
    <x v="2"/>
    <x v="10"/>
    <x v="24"/>
    <x v="2"/>
    <s v="RAI"/>
    <x v="11"/>
    <x v="19"/>
    <x v="11"/>
    <n v="0"/>
    <x v="1"/>
    <x v="0"/>
    <x v="47"/>
    <n v="90.512"/>
    <x v="990"/>
    <n v="29.614000000000001"/>
    <n v="37.524999999999999"/>
    <n v="23.271999999999998"/>
    <s v="10,44"/>
    <x v="0"/>
  </r>
  <r>
    <x v="2"/>
    <x v="10"/>
    <x v="24"/>
    <x v="16"/>
    <s v="MAG"/>
    <x v="9"/>
    <x v="7"/>
    <x v="12"/>
    <n v="0"/>
    <x v="1"/>
    <x v="0"/>
    <x v="47"/>
    <n v="90.456000000000003"/>
    <x v="991"/>
    <n v="29.524000000000001"/>
    <n v="37.475000000000001"/>
    <n v="23.457000000000001"/>
    <s v="14,34"/>
    <x v="0"/>
  </r>
  <r>
    <x v="2"/>
    <x v="10"/>
    <x v="24"/>
    <x v="26"/>
    <s v="LAT"/>
    <x v="7"/>
    <x v="12"/>
    <x v="13"/>
    <n v="0"/>
    <x v="1"/>
    <x v="0"/>
    <x v="47"/>
    <n v="91.376999999999995"/>
    <x v="992"/>
    <n v="29.736999999999998"/>
    <n v="37.808999999999997"/>
    <n v="23.533000000000001"/>
    <s v="14,33"/>
    <x v="0"/>
  </r>
  <r>
    <x v="2"/>
    <x v="10"/>
    <x v="24"/>
    <x v="20"/>
    <s v="KVY"/>
    <x v="12"/>
    <x v="13"/>
    <x v="14"/>
    <n v="0"/>
    <x v="1"/>
    <x v="0"/>
    <x v="47"/>
    <n v="92.213999999999999"/>
    <x v="993"/>
    <n v="29.962"/>
    <n v="38.42"/>
    <n v="23.491"/>
    <s v="17,44"/>
    <x v="0"/>
  </r>
  <r>
    <x v="2"/>
    <x v="10"/>
    <x v="24"/>
    <x v="21"/>
    <s v="NOR"/>
    <x v="3"/>
    <x v="3"/>
    <x v="15"/>
    <n v="0"/>
    <x v="1"/>
    <x v="20"/>
    <x v="13"/>
    <n v="92.328000000000003"/>
    <x v="994"/>
    <n v="30.125"/>
    <n v="38.292000000000002"/>
    <n v="23.693999999999999"/>
    <n v="29"/>
    <x v="0"/>
  </r>
  <r>
    <x v="2"/>
    <x v="10"/>
    <x v="24"/>
    <x v="22"/>
    <s v="ALB"/>
    <x v="2"/>
    <x v="16"/>
    <x v="16"/>
    <n v="0"/>
    <x v="1"/>
    <x v="37"/>
    <x v="69"/>
    <n v="92.33"/>
    <x v="995"/>
    <n v="29.972999999999999"/>
    <n v="38.168999999999997"/>
    <n v="23.745999999999999"/>
    <s v="7,23"/>
    <x v="0"/>
  </r>
  <r>
    <x v="2"/>
    <x v="10"/>
    <x v="24"/>
    <x v="11"/>
    <s v="OCO"/>
    <x v="4"/>
    <x v="6"/>
    <x v="17"/>
    <n v="0"/>
    <x v="1"/>
    <x v="13"/>
    <x v="3"/>
    <n v="93.188999999999993"/>
    <x v="996"/>
    <n v="30.234999999999999"/>
    <n v="39.03"/>
    <n v="23.806000000000001"/>
    <n v="22"/>
    <x v="0"/>
  </r>
  <r>
    <x v="2"/>
    <x v="10"/>
    <x v="24"/>
    <x v="7"/>
    <s v="BOT"/>
    <x v="1"/>
    <x v="1"/>
    <x v="18"/>
    <n v="0"/>
    <x v="1"/>
    <x v="20"/>
    <x v="41"/>
    <n v="91.884"/>
    <x v="997"/>
    <n v="30.039000000000001"/>
    <n v="38.116999999999997"/>
    <n v="23.22"/>
    <s v="13,18"/>
    <x v="0"/>
  </r>
  <r>
    <x v="2"/>
    <x v="10"/>
    <x v="24"/>
    <x v="24"/>
    <s v="RUS"/>
    <x v="7"/>
    <x v="18"/>
    <x v="19"/>
    <n v="0"/>
    <x v="1"/>
    <x v="10"/>
    <x v="70"/>
    <n v="94.525999999999996"/>
    <x v="998"/>
    <n v="30.975999999999999"/>
    <n v="39.281999999999996"/>
    <n v="24.04"/>
    <n v="11"/>
    <x v="0"/>
  </r>
  <r>
    <x v="2"/>
    <x v="11"/>
    <x v="25"/>
    <x v="1"/>
    <s v="HAM"/>
    <x v="1"/>
    <x v="1"/>
    <x v="0"/>
    <n v="26"/>
    <x v="0"/>
    <x v="0"/>
    <x v="17"/>
    <n v="78.75"/>
    <x v="999"/>
    <n v="22.928000000000001"/>
    <n v="30.103000000000002"/>
    <n v="25.651"/>
    <n v="40"/>
    <x v="1"/>
  </r>
  <r>
    <x v="2"/>
    <x v="11"/>
    <x v="25"/>
    <x v="7"/>
    <s v="BOT"/>
    <x v="1"/>
    <x v="2"/>
    <x v="1"/>
    <n v="18"/>
    <x v="0"/>
    <x v="0"/>
    <x v="17"/>
    <n v="79.344999999999999"/>
    <x v="1000"/>
    <n v="22.989000000000001"/>
    <n v="30.396000000000001"/>
    <n v="25.914999999999999"/>
    <n v="41"/>
    <x v="1"/>
  </r>
  <r>
    <x v="2"/>
    <x v="11"/>
    <x v="25"/>
    <x v="5"/>
    <s v="VER"/>
    <x v="2"/>
    <x v="0"/>
    <x v="2"/>
    <n v="15"/>
    <x v="0"/>
    <x v="0"/>
    <x v="17"/>
    <n v="79.853999999999999"/>
    <x v="1001"/>
    <n v="23.286000000000001"/>
    <n v="30.564"/>
    <n v="25.829000000000001"/>
    <n v="23"/>
    <x v="1"/>
  </r>
  <r>
    <x v="2"/>
    <x v="11"/>
    <x v="25"/>
    <x v="12"/>
    <s v="LEC"/>
    <x v="0"/>
    <x v="5"/>
    <x v="3"/>
    <n v="12"/>
    <x v="1"/>
    <x v="0"/>
    <x v="17"/>
    <n v="80.408000000000001"/>
    <x v="1002"/>
    <n v="23.344000000000001"/>
    <n v="30.853999999999999"/>
    <n v="25.911000000000001"/>
    <n v="34"/>
    <x v="1"/>
  </r>
  <r>
    <x v="2"/>
    <x v="11"/>
    <x v="25"/>
    <x v="17"/>
    <s v="GAS"/>
    <x v="12"/>
    <x v="9"/>
    <x v="4"/>
    <n v="10"/>
    <x v="1"/>
    <x v="1"/>
    <x v="18"/>
    <n v="80.551000000000002"/>
    <x v="1003"/>
    <n v="23.623999999999999"/>
    <n v="30.859000000000002"/>
    <n v="25.866"/>
    <n v="28"/>
    <x v="1"/>
  </r>
  <r>
    <x v="2"/>
    <x v="11"/>
    <x v="25"/>
    <x v="9"/>
    <s v="SAI"/>
    <x v="3"/>
    <x v="6"/>
    <x v="5"/>
    <n v="8"/>
    <x v="1"/>
    <x v="1"/>
    <x v="18"/>
    <n v="80.268000000000001"/>
    <x v="1004"/>
    <n v="22.978999999999999"/>
    <n v="30.838000000000001"/>
    <n v="26.143000000000001"/>
    <n v="26"/>
    <x v="1"/>
  </r>
  <r>
    <x v="2"/>
    <x v="11"/>
    <x v="25"/>
    <x v="10"/>
    <s v="PER"/>
    <x v="10"/>
    <x v="16"/>
    <x v="6"/>
    <n v="6"/>
    <x v="1"/>
    <x v="1"/>
    <x v="18"/>
    <n v="80.802000000000007"/>
    <x v="1005"/>
    <n v="23.663"/>
    <n v="30.725999999999999"/>
    <n v="26.236000000000001"/>
    <s v="1,45"/>
    <x v="1"/>
  </r>
  <r>
    <x v="2"/>
    <x v="11"/>
    <x v="25"/>
    <x v="11"/>
    <s v="OCO"/>
    <x v="4"/>
    <x v="8"/>
    <x v="7"/>
    <n v="4"/>
    <x v="1"/>
    <x v="1"/>
    <x v="18"/>
    <n v="80.858999999999995"/>
    <x v="1006"/>
    <n v="23.498000000000001"/>
    <n v="30.931000000000001"/>
    <n v="26.172000000000001"/>
    <n v="53"/>
    <x v="1"/>
  </r>
  <r>
    <x v="2"/>
    <x v="11"/>
    <x v="25"/>
    <x v="3"/>
    <s v="RIC"/>
    <x v="4"/>
    <x v="4"/>
    <x v="8"/>
    <n v="2"/>
    <x v="1"/>
    <x v="1"/>
    <x v="18"/>
    <n v="80.906000000000006"/>
    <x v="1007"/>
    <n v="23.521000000000001"/>
    <n v="31.042000000000002"/>
    <n v="26.096"/>
    <n v="14"/>
    <x v="1"/>
  </r>
  <r>
    <x v="2"/>
    <x v="11"/>
    <x v="25"/>
    <x v="0"/>
    <s v="VET"/>
    <x v="0"/>
    <x v="7"/>
    <x v="9"/>
    <n v="1"/>
    <x v="1"/>
    <x v="1"/>
    <x v="18"/>
    <n v="80.730999999999995"/>
    <x v="1008"/>
    <n v="23.417000000000002"/>
    <n v="30.86"/>
    <n v="26.093"/>
    <n v="27"/>
    <x v="1"/>
  </r>
  <r>
    <x v="2"/>
    <x v="11"/>
    <x v="25"/>
    <x v="2"/>
    <s v="RAI"/>
    <x v="11"/>
    <x v="14"/>
    <x v="10"/>
    <n v="0"/>
    <x v="1"/>
    <x v="1"/>
    <x v="18"/>
    <n v="81.058000000000007"/>
    <x v="1009"/>
    <n v="23.594999999999999"/>
    <n v="30.831"/>
    <n v="26.077000000000002"/>
    <n v="11"/>
    <x v="1"/>
  </r>
  <r>
    <x v="2"/>
    <x v="11"/>
    <x v="25"/>
    <x v="22"/>
    <s v="ALB"/>
    <x v="2"/>
    <x v="15"/>
    <x v="11"/>
    <n v="0"/>
    <x v="1"/>
    <x v="1"/>
    <x v="18"/>
    <n v="79.89"/>
    <x v="1010"/>
    <n v="23.37"/>
    <n v="30.515999999999998"/>
    <n v="25.94"/>
    <s v="19,46"/>
    <x v="1"/>
  </r>
  <r>
    <x v="2"/>
    <x v="11"/>
    <x v="25"/>
    <x v="21"/>
    <s v="NOR"/>
    <x v="3"/>
    <x v="3"/>
    <x v="12"/>
    <n v="0"/>
    <x v="1"/>
    <x v="1"/>
    <x v="18"/>
    <n v="79.36"/>
    <x v="1011"/>
    <n v="23.111000000000001"/>
    <n v="30.295000000000002"/>
    <n v="25.864999999999998"/>
    <s v="18,43"/>
    <x v="1"/>
  </r>
  <r>
    <x v="2"/>
    <x v="11"/>
    <x v="25"/>
    <x v="24"/>
    <s v="RUS"/>
    <x v="7"/>
    <x v="11"/>
    <x v="13"/>
    <n v="0"/>
    <x v="1"/>
    <x v="1"/>
    <x v="18"/>
    <n v="80.882000000000005"/>
    <x v="1012"/>
    <n v="23.155999999999999"/>
    <n v="31.015999999999998"/>
    <n v="26.161999999999999"/>
    <n v="36"/>
    <x v="1"/>
  </r>
  <r>
    <x v="2"/>
    <x v="11"/>
    <x v="25"/>
    <x v="23"/>
    <s v="GIO"/>
    <x v="11"/>
    <x v="18"/>
    <x v="14"/>
    <n v="0"/>
    <x v="1"/>
    <x v="1"/>
    <x v="18"/>
    <n v="81.893000000000001"/>
    <x v="1013"/>
    <n v="23.823"/>
    <n v="31.337"/>
    <n v="26.474"/>
    <n v="28"/>
    <x v="1"/>
  </r>
  <r>
    <x v="2"/>
    <x v="11"/>
    <x v="25"/>
    <x v="16"/>
    <s v="MAG"/>
    <x v="9"/>
    <x v="19"/>
    <x v="15"/>
    <n v="0"/>
    <x v="1"/>
    <x v="1"/>
    <x v="18"/>
    <n v="81.459999999999994"/>
    <x v="1014"/>
    <n v="23.661000000000001"/>
    <n v="31.192"/>
    <n v="26.251999999999999"/>
    <n v="31"/>
    <x v="1"/>
  </r>
  <r>
    <x v="2"/>
    <x v="11"/>
    <x v="25"/>
    <x v="15"/>
    <s v="GRO"/>
    <x v="9"/>
    <x v="12"/>
    <x v="16"/>
    <n v="0"/>
    <x v="1"/>
    <x v="1"/>
    <x v="18"/>
    <n v="81.664000000000001"/>
    <x v="1015"/>
    <n v="23.544"/>
    <n v="31.370999999999999"/>
    <n v="26.408000000000001"/>
    <n v="26"/>
    <x v="1"/>
  </r>
  <r>
    <x v="2"/>
    <x v="11"/>
    <x v="25"/>
    <x v="26"/>
    <s v="LAT"/>
    <x v="7"/>
    <x v="17"/>
    <x v="17"/>
    <n v="0"/>
    <x v="1"/>
    <x v="11"/>
    <x v="19"/>
    <n v="81.858999999999995"/>
    <x v="1016"/>
    <n v="23.497"/>
    <n v="31.591000000000001"/>
    <n v="26.603000000000002"/>
    <n v="24"/>
    <x v="1"/>
  </r>
  <r>
    <x v="2"/>
    <x v="11"/>
    <x v="25"/>
    <x v="20"/>
    <s v="KVY"/>
    <x v="12"/>
    <x v="13"/>
    <x v="18"/>
    <n v="0"/>
    <x v="1"/>
    <x v="11"/>
    <x v="19"/>
    <n v="80.448999999999998"/>
    <x v="1017"/>
    <n v="23.338000000000001"/>
    <n v="30.931999999999999"/>
    <n v="26.157"/>
    <s v="25,55"/>
    <x v="1"/>
  </r>
  <r>
    <x v="2"/>
    <x v="11"/>
    <x v="25"/>
    <x v="13"/>
    <s v="STR"/>
    <x v="10"/>
    <x v="10"/>
    <x v="19"/>
    <n v="0"/>
    <x v="1"/>
    <x v="8"/>
    <x v="11"/>
    <n v="81.694000000000003"/>
    <x v="1018"/>
    <n v="23.722999999999999"/>
    <n v="31.135999999999999"/>
    <n v="26.655999999999999"/>
    <s v="18,34,51"/>
    <x v="1"/>
  </r>
  <r>
    <x v="2"/>
    <x v="12"/>
    <x v="26"/>
    <x v="1"/>
    <s v="HAM"/>
    <x v="1"/>
    <x v="2"/>
    <x v="0"/>
    <n v="26"/>
    <x v="0"/>
    <x v="0"/>
    <x v="20"/>
    <n v="75.483999999999995"/>
    <x v="1019"/>
    <n v="24.335999999999999"/>
    <n v="25.951000000000001"/>
    <n v="25.196999999999999"/>
    <s v="30,52"/>
    <x v="1"/>
  </r>
  <r>
    <x v="2"/>
    <x v="12"/>
    <x v="26"/>
    <x v="7"/>
    <s v="BOT"/>
    <x v="1"/>
    <x v="1"/>
    <x v="1"/>
    <n v="18"/>
    <x v="0"/>
    <x v="0"/>
    <x v="20"/>
    <n v="75.902000000000001"/>
    <x v="1020"/>
    <n v="24.411999999999999"/>
    <n v="26.097000000000001"/>
    <n v="25.393000000000001"/>
    <s v="19,51"/>
    <x v="1"/>
  </r>
  <r>
    <x v="2"/>
    <x v="12"/>
    <x v="26"/>
    <x v="3"/>
    <s v="RIC"/>
    <x v="4"/>
    <x v="16"/>
    <x v="2"/>
    <n v="15"/>
    <x v="0"/>
    <x v="0"/>
    <x v="20"/>
    <n v="77.552000000000007"/>
    <x v="1021"/>
    <n v="24.869"/>
    <n v="26.698"/>
    <n v="25.815000000000001"/>
    <n v="14"/>
    <x v="1"/>
  </r>
  <r>
    <x v="2"/>
    <x v="12"/>
    <x v="26"/>
    <x v="20"/>
    <s v="KVY"/>
    <x v="12"/>
    <x v="3"/>
    <x v="3"/>
    <n v="12"/>
    <x v="1"/>
    <x v="0"/>
    <x v="20"/>
    <n v="77.665999999999997"/>
    <x v="1022"/>
    <n v="24.832999999999998"/>
    <n v="26.951999999999899"/>
    <n v="25.87"/>
    <s v="14,51"/>
    <x v="1"/>
  </r>
  <r>
    <x v="2"/>
    <x v="12"/>
    <x v="26"/>
    <x v="12"/>
    <s v="LEC"/>
    <x v="0"/>
    <x v="6"/>
    <x v="4"/>
    <n v="10"/>
    <x v="1"/>
    <x v="0"/>
    <x v="20"/>
    <n v="78.173000000000002"/>
    <x v="1023"/>
    <n v="25.001999999999999"/>
    <n v="27.094000000000001"/>
    <n v="25.913"/>
    <n v="13"/>
    <x v="1"/>
  </r>
  <r>
    <x v="2"/>
    <x v="12"/>
    <x v="26"/>
    <x v="10"/>
    <s v="PER"/>
    <x v="10"/>
    <x v="8"/>
    <x v="5"/>
    <n v="8"/>
    <x v="1"/>
    <x v="0"/>
    <x v="20"/>
    <n v="78.084000000000003"/>
    <x v="1024"/>
    <n v="24.940999999999999"/>
    <n v="26.867000000000001"/>
    <n v="25.965"/>
    <s v="27,51"/>
    <x v="1"/>
  </r>
  <r>
    <x v="2"/>
    <x v="12"/>
    <x v="26"/>
    <x v="9"/>
    <s v="SAI"/>
    <x v="3"/>
    <x v="4"/>
    <x v="6"/>
    <n v="6"/>
    <x v="1"/>
    <x v="0"/>
    <x v="20"/>
    <n v="78.117999999999995"/>
    <x v="1025"/>
    <n v="24.683"/>
    <n v="27.064"/>
    <n v="26.106000000000002"/>
    <s v="17,51"/>
    <x v="1"/>
  </r>
  <r>
    <x v="2"/>
    <x v="12"/>
    <x v="26"/>
    <x v="21"/>
    <s v="NOR"/>
    <x v="3"/>
    <x v="9"/>
    <x v="7"/>
    <n v="4"/>
    <x v="1"/>
    <x v="0"/>
    <x v="20"/>
    <n v="78.069000000000003"/>
    <x v="1026"/>
    <n v="24.591000000000001"/>
    <n v="26.96"/>
    <n v="26.120999999999999"/>
    <s v="13,53"/>
    <x v="1"/>
  </r>
  <r>
    <x v="2"/>
    <x v="12"/>
    <x v="26"/>
    <x v="2"/>
    <s v="RAI"/>
    <x v="11"/>
    <x v="12"/>
    <x v="8"/>
    <n v="2"/>
    <x v="1"/>
    <x v="0"/>
    <x v="20"/>
    <n v="78.087999999999994"/>
    <x v="1027"/>
    <n v="24.721"/>
    <n v="27.009"/>
    <n v="26.358000000000001"/>
    <n v="48"/>
    <x v="1"/>
  </r>
  <r>
    <x v="2"/>
    <x v="12"/>
    <x v="26"/>
    <x v="23"/>
    <s v="GIO"/>
    <x v="11"/>
    <x v="17"/>
    <x v="9"/>
    <n v="1"/>
    <x v="1"/>
    <x v="0"/>
    <x v="20"/>
    <n v="78.793999999999997"/>
    <x v="1028"/>
    <n v="25.225000000000001"/>
    <n v="27.128"/>
    <n v="26.280999999999999"/>
    <n v="10"/>
    <x v="1"/>
  </r>
  <r>
    <x v="2"/>
    <x v="12"/>
    <x v="26"/>
    <x v="26"/>
    <s v="LAT"/>
    <x v="7"/>
    <x v="19"/>
    <x v="10"/>
    <n v="0"/>
    <x v="1"/>
    <x v="0"/>
    <x v="20"/>
    <n v="78.718999999999994"/>
    <x v="1029"/>
    <n v="24.875"/>
    <n v="27.061"/>
    <n v="26.417999999999999"/>
    <n v="34"/>
    <x v="1"/>
  </r>
  <r>
    <x v="2"/>
    <x v="12"/>
    <x v="26"/>
    <x v="0"/>
    <s v="VET"/>
    <x v="0"/>
    <x v="11"/>
    <x v="11"/>
    <n v="0"/>
    <x v="1"/>
    <x v="0"/>
    <x v="20"/>
    <n v="77.766999999999996"/>
    <x v="1030"/>
    <n v="24.596"/>
    <n v="27.01"/>
    <n v="26.04"/>
    <s v="39,51"/>
    <x v="1"/>
  </r>
  <r>
    <x v="2"/>
    <x v="12"/>
    <x v="26"/>
    <x v="13"/>
    <s v="STR"/>
    <x v="10"/>
    <x v="7"/>
    <x v="12"/>
    <n v="0"/>
    <x v="1"/>
    <x v="0"/>
    <x v="20"/>
    <n v="78.36"/>
    <x v="1031"/>
    <n v="24.92"/>
    <n v="27.013000000000002"/>
    <n v="26.126999999999999"/>
    <s v="1,29,52"/>
    <x v="1"/>
  </r>
  <r>
    <x v="2"/>
    <x v="12"/>
    <x v="26"/>
    <x v="15"/>
    <s v="GRO"/>
    <x v="9"/>
    <x v="14"/>
    <x v="13"/>
    <n v="0"/>
    <x v="1"/>
    <x v="0"/>
    <x v="20"/>
    <n v="78.822000000000003"/>
    <x v="1032"/>
    <n v="25.099"/>
    <n v="27.148"/>
    <n v="26.303999999999998"/>
    <s v="9,50"/>
    <x v="1"/>
  </r>
  <r>
    <x v="2"/>
    <x v="12"/>
    <x v="26"/>
    <x v="22"/>
    <s v="ALB"/>
    <x v="2"/>
    <x v="15"/>
    <x v="14"/>
    <n v="0"/>
    <x v="1"/>
    <x v="0"/>
    <x v="20"/>
    <n v="76.177000000000007"/>
    <x v="1033"/>
    <n v="24.568999999999999"/>
    <n v="26.047999999999998"/>
    <n v="25.56"/>
    <s v="14,59"/>
    <x v="1"/>
  </r>
  <r>
    <x v="2"/>
    <x v="12"/>
    <x v="26"/>
    <x v="24"/>
    <s v="RUS"/>
    <x v="7"/>
    <x v="13"/>
    <x v="15"/>
    <n v="0"/>
    <x v="1"/>
    <x v="9"/>
    <x v="33"/>
    <n v="78.811000000000007"/>
    <x v="1034"/>
    <n v="25.099"/>
    <n v="27.056999999999999"/>
    <n v="26.495999999999999"/>
    <n v="11"/>
    <x v="1"/>
  </r>
  <r>
    <x v="2"/>
    <x v="12"/>
    <x v="26"/>
    <x v="5"/>
    <s v="VER"/>
    <x v="2"/>
    <x v="0"/>
    <x v="16"/>
    <n v="0"/>
    <x v="1"/>
    <x v="6"/>
    <x v="11"/>
    <n v="77.637"/>
    <x v="1035"/>
    <n v="24.716999999999999"/>
    <n v="26.832999999999998"/>
    <n v="25.841999999999999"/>
    <n v="18"/>
    <x v="1"/>
  </r>
  <r>
    <x v="2"/>
    <x v="12"/>
    <x v="26"/>
    <x v="16"/>
    <s v="MAG"/>
    <x v="9"/>
    <x v="18"/>
    <x v="17"/>
    <n v="0"/>
    <x v="1"/>
    <x v="38"/>
    <x v="38"/>
    <n v="79.272999999999996"/>
    <x v="1036"/>
    <n v="25.47"/>
    <n v="27.260999999999999"/>
    <n v="26.529"/>
    <s v="27,47"/>
    <x v="1"/>
  </r>
  <r>
    <x v="2"/>
    <x v="12"/>
    <x v="26"/>
    <x v="11"/>
    <s v="OCO"/>
    <x v="4"/>
    <x v="10"/>
    <x v="18"/>
    <n v="0"/>
    <x v="1"/>
    <x v="13"/>
    <x v="34"/>
    <n v="79.605999999999995"/>
    <x v="1037"/>
    <n v="25.4"/>
    <n v="27.422999999999998"/>
    <n v="26.666"/>
    <n v="13"/>
    <x v="1"/>
  </r>
  <r>
    <x v="2"/>
    <x v="12"/>
    <x v="26"/>
    <x v="17"/>
    <s v="GAS"/>
    <x v="12"/>
    <x v="5"/>
    <x v="19"/>
    <n v="0"/>
    <x v="1"/>
    <x v="32"/>
    <x v="45"/>
    <n v="80.403000000000006"/>
    <x v="1038"/>
    <n v="25.503"/>
    <n v="27.869"/>
    <n v="26.882999999999999"/>
    <n v="8"/>
    <x v="1"/>
  </r>
  <r>
    <x v="2"/>
    <x v="20"/>
    <x v="27"/>
    <x v="1"/>
    <s v="HAM"/>
    <x v="1"/>
    <x v="15"/>
    <x v="0"/>
    <n v="25"/>
    <x v="0"/>
    <x v="0"/>
    <x v="0"/>
    <n v="99.412999999999997"/>
    <x v="1039"/>
    <n v="38.168999999999997"/>
    <n v="33.591999999999999"/>
    <n v="27.122"/>
    <n v="8"/>
    <x v="0"/>
  </r>
  <r>
    <x v="2"/>
    <x v="20"/>
    <x v="27"/>
    <x v="10"/>
    <s v="PER"/>
    <x v="10"/>
    <x v="0"/>
    <x v="1"/>
    <n v="18"/>
    <x v="0"/>
    <x v="0"/>
    <x v="0"/>
    <n v="100.392"/>
    <x v="1040"/>
    <n v="38.292000000000002"/>
    <n v="33.362000000000002"/>
    <n v="27.591000000000001"/>
    <n v="10"/>
    <x v="0"/>
  </r>
  <r>
    <x v="2"/>
    <x v="20"/>
    <x v="27"/>
    <x v="0"/>
    <s v="VET"/>
    <x v="0"/>
    <x v="8"/>
    <x v="2"/>
    <n v="15"/>
    <x v="0"/>
    <x v="0"/>
    <x v="0"/>
    <n v="99.662000000000006"/>
    <x v="1041"/>
    <n v="37.942999999999998"/>
    <n v="33.36"/>
    <n v="27.407"/>
    <s v="8,33"/>
    <x v="0"/>
  </r>
  <r>
    <x v="2"/>
    <x v="20"/>
    <x v="27"/>
    <x v="12"/>
    <s v="LEC"/>
    <x v="0"/>
    <x v="10"/>
    <x v="3"/>
    <n v="12"/>
    <x v="1"/>
    <x v="0"/>
    <x v="0"/>
    <n v="99.960999999999999"/>
    <x v="1042"/>
    <n v="36.982999999999997"/>
    <n v="33.139000000000003"/>
    <n v="27.376000000000001"/>
    <s v="6,30"/>
    <x v="0"/>
  </r>
  <r>
    <x v="2"/>
    <x v="20"/>
    <x v="27"/>
    <x v="9"/>
    <s v="SAI"/>
    <x v="3"/>
    <x v="7"/>
    <x v="4"/>
    <n v="10"/>
    <x v="1"/>
    <x v="0"/>
    <x v="0"/>
    <n v="98.754000000000005"/>
    <x v="1043"/>
    <n v="37.136000000000003"/>
    <n v="32.981999999999999"/>
    <n v="27.350999999999999"/>
    <s v="10,33"/>
    <x v="0"/>
  </r>
  <r>
    <x v="2"/>
    <x v="20"/>
    <x v="27"/>
    <x v="5"/>
    <s v="VER"/>
    <x v="2"/>
    <x v="2"/>
    <x v="5"/>
    <n v="8"/>
    <x v="1"/>
    <x v="0"/>
    <x v="0"/>
    <n v="98.430999999999997"/>
    <x v="1044"/>
    <n v="37.052999999999997"/>
    <n v="32.533000000000001"/>
    <n v="27.146000000000001"/>
    <s v="11,18,43"/>
    <x v="0"/>
  </r>
  <r>
    <x v="2"/>
    <x v="20"/>
    <x v="27"/>
    <x v="22"/>
    <s v="ALB"/>
    <x v="2"/>
    <x v="5"/>
    <x v="6"/>
    <n v="6"/>
    <x v="1"/>
    <x v="0"/>
    <x v="0"/>
    <n v="99.099000000000004"/>
    <x v="1045"/>
    <n v="37.893999999999998"/>
    <n v="33.146000000000001"/>
    <n v="27.736999999999998"/>
    <s v="12,34"/>
    <x v="0"/>
  </r>
  <r>
    <x v="2"/>
    <x v="20"/>
    <x v="27"/>
    <x v="21"/>
    <s v="NOR"/>
    <x v="3"/>
    <x v="11"/>
    <x v="7"/>
    <n v="5"/>
    <x v="1"/>
    <x v="0"/>
    <x v="0"/>
    <n v="96.805999999999997"/>
    <x v="1046"/>
    <n v="37.5"/>
    <n v="32.244"/>
    <n v="27.062000000000001"/>
    <s v="9,36"/>
    <x v="0"/>
  </r>
  <r>
    <x v="2"/>
    <x v="20"/>
    <x v="27"/>
    <x v="13"/>
    <s v="STR"/>
    <x v="10"/>
    <x v="1"/>
    <x v="8"/>
    <n v="2"/>
    <x v="1"/>
    <x v="0"/>
    <x v="0"/>
    <n v="99.921000000000006"/>
    <x v="1047"/>
    <n v="38.64"/>
    <n v="33.094000000000001"/>
    <n v="27.722999999999999"/>
    <s v="9,36"/>
    <x v="0"/>
  </r>
  <r>
    <x v="2"/>
    <x v="20"/>
    <x v="27"/>
    <x v="3"/>
    <s v="RIC"/>
    <x v="4"/>
    <x v="16"/>
    <x v="9"/>
    <n v="1"/>
    <x v="1"/>
    <x v="0"/>
    <x v="0"/>
    <n v="100.67700000000001"/>
    <x v="1048"/>
    <n v="38.148000000000003"/>
    <n v="34.036999999999999"/>
    <n v="28.032"/>
    <s v="10,32"/>
    <x v="0"/>
  </r>
  <r>
    <x v="2"/>
    <x v="20"/>
    <x v="27"/>
    <x v="11"/>
    <s v="OCO"/>
    <x v="4"/>
    <x v="6"/>
    <x v="10"/>
    <n v="0"/>
    <x v="1"/>
    <x v="1"/>
    <x v="1"/>
    <n v="101.006"/>
    <x v="1049"/>
    <n v="38.667000000000002"/>
    <n v="33.722999999999999"/>
    <n v="28.013000000000002"/>
    <s v="1,10"/>
    <x v="0"/>
  </r>
  <r>
    <x v="2"/>
    <x v="20"/>
    <x v="27"/>
    <x v="20"/>
    <s v="KVY"/>
    <x v="12"/>
    <x v="14"/>
    <x v="11"/>
    <n v="0"/>
    <x v="1"/>
    <x v="1"/>
    <x v="1"/>
    <n v="101.01900000000001"/>
    <x v="1050"/>
    <n v="38.380000000000003"/>
    <n v="33.436"/>
    <n v="28.132999999999999"/>
    <n v="8"/>
    <x v="0"/>
  </r>
  <r>
    <x v="2"/>
    <x v="20"/>
    <x v="27"/>
    <x v="17"/>
    <s v="GAS"/>
    <x v="12"/>
    <x v="19"/>
    <x v="12"/>
    <n v="0"/>
    <x v="1"/>
    <x v="1"/>
    <x v="1"/>
    <n v="99.585999999999999"/>
    <x v="1051"/>
    <n v="38.271000000000001"/>
    <n v="33.418999999999997"/>
    <n v="27.494"/>
    <s v="10,33"/>
    <x v="0"/>
  </r>
  <r>
    <x v="2"/>
    <x v="20"/>
    <x v="27"/>
    <x v="7"/>
    <s v="BOT"/>
    <x v="1"/>
    <x v="9"/>
    <x v="13"/>
    <n v="0"/>
    <x v="1"/>
    <x v="1"/>
    <x v="1"/>
    <n v="98.192999999999998"/>
    <x v="1052"/>
    <n v="37.777999999999999"/>
    <n v="33.225999999999999"/>
    <n v="27.189"/>
    <s v="7,46"/>
    <x v="0"/>
  </r>
  <r>
    <x v="2"/>
    <x v="20"/>
    <x v="27"/>
    <x v="2"/>
    <s v="RAI"/>
    <x v="11"/>
    <x v="3"/>
    <x v="14"/>
    <n v="0"/>
    <x v="1"/>
    <x v="1"/>
    <x v="1"/>
    <n v="99.742999999999995"/>
    <x v="1053"/>
    <n v="37.572000000000003"/>
    <n v="33.776000000000003"/>
    <n v="27.486000000000001"/>
    <s v="8,30,50"/>
    <x v="0"/>
  </r>
  <r>
    <x v="2"/>
    <x v="20"/>
    <x v="27"/>
    <x v="24"/>
    <s v="RUS"/>
    <x v="7"/>
    <x v="20"/>
    <x v="15"/>
    <n v="0"/>
    <x v="1"/>
    <x v="1"/>
    <x v="1"/>
    <n v="100.81399999999999"/>
    <x v="1054"/>
    <n v="38.363999999999997"/>
    <n v="34.030999999999999"/>
    <n v="28.245000000000001"/>
    <s v="32,42"/>
    <x v="0"/>
  </r>
  <r>
    <x v="2"/>
    <x v="20"/>
    <x v="27"/>
    <x v="16"/>
    <s v="MAG"/>
    <x v="9"/>
    <x v="13"/>
    <x v="16"/>
    <n v="0"/>
    <x v="1"/>
    <x v="33"/>
    <x v="35"/>
    <n v="100.94799999999999"/>
    <x v="1055"/>
    <n v="38.569000000000003"/>
    <n v="33.784999999999997"/>
    <n v="28.148"/>
    <s v="8,34,55"/>
    <x v="0"/>
  </r>
  <r>
    <x v="2"/>
    <x v="20"/>
    <x v="27"/>
    <x v="15"/>
    <s v="GRO"/>
    <x v="9"/>
    <x v="18"/>
    <x v="17"/>
    <n v="0"/>
    <x v="1"/>
    <x v="8"/>
    <x v="12"/>
    <n v="103.28100000000001"/>
    <x v="1056"/>
    <n v="38.478000000000002"/>
    <n v="34.75"/>
    <n v="28.568000000000001"/>
    <s v="8,36,49"/>
    <x v="0"/>
  </r>
  <r>
    <x v="2"/>
    <x v="20"/>
    <x v="27"/>
    <x v="26"/>
    <s v="LAT"/>
    <x v="7"/>
    <x v="20"/>
    <x v="18"/>
    <n v="0"/>
    <x v="1"/>
    <x v="8"/>
    <x v="22"/>
    <n v="103.495"/>
    <x v="1057"/>
    <n v="38.979999999999997"/>
    <n v="35.338000000000001"/>
    <n v="28.405999999999999"/>
    <s v="8,38,39"/>
    <x v="0"/>
  </r>
  <r>
    <x v="2"/>
    <x v="20"/>
    <x v="27"/>
    <x v="23"/>
    <s v="GIO"/>
    <x v="11"/>
    <x v="4"/>
    <x v="19"/>
    <n v="0"/>
    <x v="1"/>
    <x v="13"/>
    <x v="37"/>
    <n v="111.122"/>
    <x v="1058"/>
    <n v="42.151000000000003"/>
    <n v="39.250999999999998"/>
    <n v="29.72"/>
    <n v="8"/>
    <x v="0"/>
  </r>
  <r>
    <x v="2"/>
    <x v="13"/>
    <x v="1"/>
    <x v="1"/>
    <s v="HAM"/>
    <x v="1"/>
    <x v="1"/>
    <x v="0"/>
    <n v="25"/>
    <x v="0"/>
    <x v="0"/>
    <x v="1"/>
    <n v="92.864000000000004"/>
    <x v="1059"/>
    <n v="29.434999999999999"/>
    <n v="40.265000000000001"/>
    <n v="22.835999999999999"/>
    <s v="1,19,35"/>
    <x v="1"/>
  </r>
  <r>
    <x v="2"/>
    <x v="13"/>
    <x v="1"/>
    <x v="5"/>
    <s v="VER"/>
    <x v="2"/>
    <x v="0"/>
    <x v="1"/>
    <n v="19"/>
    <x v="0"/>
    <x v="0"/>
    <x v="1"/>
    <n v="92.013999999999996"/>
    <x v="1060"/>
    <n v="29.41"/>
    <n v="39.518000000000001"/>
    <n v="22.844999999999999"/>
    <s v="1,20,34,46"/>
    <x v="1"/>
  </r>
  <r>
    <x v="2"/>
    <x v="13"/>
    <x v="1"/>
    <x v="22"/>
    <s v="ALB"/>
    <x v="2"/>
    <x v="5"/>
    <x v="2"/>
    <n v="15"/>
    <x v="0"/>
    <x v="0"/>
    <x v="1"/>
    <n v="93.683999999999997"/>
    <x v="1061"/>
    <n v="29.925000000000001"/>
    <n v="40.540999999999997"/>
    <n v="23.024000000000001"/>
    <s v="1,19,34"/>
    <x v="1"/>
  </r>
  <r>
    <x v="2"/>
    <x v="13"/>
    <x v="1"/>
    <x v="21"/>
    <s v="NOR"/>
    <x v="3"/>
    <x v="9"/>
    <x v="3"/>
    <n v="12"/>
    <x v="1"/>
    <x v="0"/>
    <x v="1"/>
    <n v="93.587999999999994"/>
    <x v="1062"/>
    <n v="29.574999999999999"/>
    <n v="40.395000000000003"/>
    <n v="23.17"/>
    <s v="1,18,38"/>
    <x v="1"/>
  </r>
  <r>
    <x v="2"/>
    <x v="13"/>
    <x v="1"/>
    <x v="9"/>
    <s v="SAI"/>
    <x v="3"/>
    <x v="7"/>
    <x v="4"/>
    <n v="10"/>
    <x v="1"/>
    <x v="0"/>
    <x v="1"/>
    <n v="93.411000000000001"/>
    <x v="1063"/>
    <n v="29.725999999999999"/>
    <n v="40.383000000000003"/>
    <n v="23.076000000000001"/>
    <s v="1,21,39"/>
    <x v="1"/>
  </r>
  <r>
    <x v="2"/>
    <x v="13"/>
    <x v="1"/>
    <x v="17"/>
    <s v="GAS"/>
    <x v="12"/>
    <x v="3"/>
    <x v="5"/>
    <n v="8"/>
    <x v="1"/>
    <x v="0"/>
    <x v="1"/>
    <n v="94.816999999999993"/>
    <x v="1064"/>
    <n v="30.114000000000001"/>
    <n v="40.970999999999997"/>
    <n v="23.295999999999999"/>
    <s v="1,25"/>
    <x v="1"/>
  </r>
  <r>
    <x v="2"/>
    <x v="13"/>
    <x v="1"/>
    <x v="3"/>
    <s v="RIC"/>
    <x v="4"/>
    <x v="15"/>
    <x v="6"/>
    <n v="6"/>
    <x v="1"/>
    <x v="0"/>
    <x v="1"/>
    <n v="92.826999999999998"/>
    <x v="1065"/>
    <n v="29.358000000000001"/>
    <n v="40.26"/>
    <n v="23.091999999999999"/>
    <s v="1,16,36"/>
    <x v="1"/>
  </r>
  <r>
    <x v="2"/>
    <x v="13"/>
    <x v="1"/>
    <x v="7"/>
    <s v="BOT"/>
    <x v="1"/>
    <x v="2"/>
    <x v="7"/>
    <n v="4"/>
    <x v="1"/>
    <x v="0"/>
    <x v="1"/>
    <n v="93.352000000000004"/>
    <x v="1066"/>
    <n v="29.445"/>
    <n v="40.35"/>
    <n v="23.042000000000002"/>
    <s v="1,4,25,38"/>
    <x v="1"/>
  </r>
  <r>
    <x v="2"/>
    <x v="13"/>
    <x v="1"/>
    <x v="11"/>
    <s v="OCO"/>
    <x v="4"/>
    <x v="6"/>
    <x v="8"/>
    <n v="2"/>
    <x v="1"/>
    <x v="0"/>
    <x v="1"/>
    <n v="94.353999999999999"/>
    <x v="1067"/>
    <n v="29.907"/>
    <n v="40.817999999999998"/>
    <n v="23.295000000000002"/>
    <s v="1,17,34"/>
    <x v="1"/>
  </r>
  <r>
    <x v="2"/>
    <x v="13"/>
    <x v="1"/>
    <x v="12"/>
    <s v="LEC"/>
    <x v="0"/>
    <x v="10"/>
    <x v="9"/>
    <n v="1"/>
    <x v="1"/>
    <x v="1"/>
    <x v="7"/>
    <n v="93.625"/>
    <x v="1068"/>
    <n v="29.998000000000001"/>
    <n v="40.331000000000003"/>
    <n v="23.138999999999999"/>
    <s v="1,23,40"/>
    <x v="1"/>
  </r>
  <r>
    <x v="2"/>
    <x v="13"/>
    <x v="1"/>
    <x v="20"/>
    <s v="KVY"/>
    <x v="12"/>
    <x v="4"/>
    <x v="10"/>
    <n v="0"/>
    <x v="1"/>
    <x v="1"/>
    <x v="7"/>
    <n v="94.141000000000005"/>
    <x v="1069"/>
    <n v="29.707000000000001"/>
    <n v="40.945"/>
    <n v="23.393999999999998"/>
    <s v="1,17,33"/>
    <x v="1"/>
  </r>
  <r>
    <x v="2"/>
    <x v="13"/>
    <x v="1"/>
    <x v="24"/>
    <s v="RUS"/>
    <x v="7"/>
    <x v="11"/>
    <x v="11"/>
    <n v="0"/>
    <x v="1"/>
    <x v="1"/>
    <x v="7"/>
    <n v="95.042000000000002"/>
    <x v="1070"/>
    <n v="30.265000000000001"/>
    <n v="41.442"/>
    <n v="23.140999999999998"/>
    <s v="1,20,39"/>
    <x v="1"/>
  </r>
  <r>
    <x v="2"/>
    <x v="13"/>
    <x v="1"/>
    <x v="0"/>
    <s v="VET"/>
    <x v="0"/>
    <x v="8"/>
    <x v="12"/>
    <n v="0"/>
    <x v="1"/>
    <x v="1"/>
    <x v="7"/>
    <n v="93.861000000000004"/>
    <x v="1071"/>
    <n v="29.638000000000002"/>
    <n v="40.703000000000003"/>
    <n v="23.492999999999999"/>
    <s v="1,20,39"/>
    <x v="1"/>
  </r>
  <r>
    <x v="2"/>
    <x v="13"/>
    <x v="1"/>
    <x v="26"/>
    <s v="LAT"/>
    <x v="7"/>
    <x v="17"/>
    <x v="13"/>
    <n v="0"/>
    <x v="1"/>
    <x v="1"/>
    <x v="7"/>
    <n v="94.590999999999994"/>
    <x v="1072"/>
    <n v="30.245999999999999"/>
    <n v="40.911999999999999"/>
    <n v="23.219000000000001"/>
    <s v="1,21,37"/>
    <x v="1"/>
  </r>
  <r>
    <x v="2"/>
    <x v="13"/>
    <x v="1"/>
    <x v="2"/>
    <s v="RAI"/>
    <x v="11"/>
    <x v="18"/>
    <x v="14"/>
    <n v="0"/>
    <x v="1"/>
    <x v="1"/>
    <x v="7"/>
    <n v="93.572999999999993"/>
    <x v="1073"/>
    <n v="29.792000000000002"/>
    <n v="40.414999999999999"/>
    <n v="23.193999999999999"/>
    <s v="1,17,40"/>
    <x v="1"/>
  </r>
  <r>
    <x v="2"/>
    <x v="13"/>
    <x v="1"/>
    <x v="23"/>
    <s v="GIO"/>
    <x v="11"/>
    <x v="14"/>
    <x v="15"/>
    <n v="0"/>
    <x v="1"/>
    <x v="1"/>
    <x v="7"/>
    <n v="94.536000000000001"/>
    <x v="1074"/>
    <n v="30.151"/>
    <n v="40.945"/>
    <n v="23.44"/>
    <s v="1,20,53"/>
    <x v="1"/>
  </r>
  <r>
    <x v="2"/>
    <x v="13"/>
    <x v="1"/>
    <x v="16"/>
    <s v="MAG"/>
    <x v="9"/>
    <x v="12"/>
    <x v="16"/>
    <n v="0"/>
    <x v="1"/>
    <x v="1"/>
    <x v="7"/>
    <n v="95.241"/>
    <x v="1075"/>
    <n v="30.378"/>
    <n v="41.222000000000001"/>
    <n v="23.6"/>
    <s v="1,3,27,53"/>
    <x v="1"/>
  </r>
  <r>
    <x v="2"/>
    <x v="13"/>
    <x v="1"/>
    <x v="10"/>
    <s v="PER"/>
    <x v="10"/>
    <x v="16"/>
    <x v="17"/>
    <n v="0"/>
    <x v="1"/>
    <x v="3"/>
    <x v="36"/>
    <n v="93.629000000000005"/>
    <x v="1076"/>
    <n v="29.780999999999999"/>
    <n v="40.445"/>
    <n v="23.001000000000001"/>
    <s v="1,20,36"/>
    <x v="1"/>
  </r>
  <r>
    <x v="2"/>
    <x v="13"/>
    <x v="1"/>
    <x v="13"/>
    <s v="STR"/>
    <x v="10"/>
    <x v="13"/>
    <x v="18"/>
    <n v="0"/>
    <x v="1"/>
    <x v="10"/>
    <x v="71"/>
    <m/>
    <x v="19"/>
    <m/>
    <m/>
    <m/>
    <n v="1"/>
    <x v="1"/>
  </r>
  <r>
    <x v="2"/>
    <x v="13"/>
    <x v="1"/>
    <x v="15"/>
    <s v="GRO"/>
    <x v="9"/>
    <x v="19"/>
    <x v="19"/>
    <n v="0"/>
    <x v="1"/>
    <x v="10"/>
    <x v="16"/>
    <m/>
    <x v="19"/>
    <m/>
    <m/>
    <m/>
    <m/>
    <x v="1"/>
  </r>
  <r>
    <x v="2"/>
    <x v="14"/>
    <x v="28"/>
    <x v="10"/>
    <s v="PER"/>
    <x v="10"/>
    <x v="16"/>
    <x v="0"/>
    <n v="25"/>
    <x v="0"/>
    <x v="0"/>
    <x v="72"/>
    <n v="56.789000000000001"/>
    <x v="1077"/>
    <n v="19.670000000000002"/>
    <n v="19.927"/>
    <n v="16.72"/>
    <s v="1,47"/>
    <x v="1"/>
  </r>
  <r>
    <x v="2"/>
    <x v="14"/>
    <x v="28"/>
    <x v="11"/>
    <s v="OCO"/>
    <x v="4"/>
    <x v="8"/>
    <x v="1"/>
    <n v="18"/>
    <x v="0"/>
    <x v="0"/>
    <x v="72"/>
    <n v="57.35"/>
    <x v="1078"/>
    <n v="19.88"/>
    <n v="20.206"/>
    <n v="16.882999999999999"/>
    <n v="41"/>
    <x v="1"/>
  </r>
  <r>
    <x v="2"/>
    <x v="14"/>
    <x v="28"/>
    <x v="13"/>
    <s v="STR"/>
    <x v="10"/>
    <x v="4"/>
    <x v="2"/>
    <n v="15"/>
    <x v="0"/>
    <x v="0"/>
    <x v="72"/>
    <n v="57.387999999999998"/>
    <x v="1079"/>
    <n v="19.925000000000001"/>
    <n v="20.364000000000001"/>
    <n v="16.789000000000001"/>
    <n v="42"/>
    <x v="1"/>
  </r>
  <r>
    <x v="2"/>
    <x v="14"/>
    <x v="28"/>
    <x v="9"/>
    <s v="SAI"/>
    <x v="3"/>
    <x v="3"/>
    <x v="3"/>
    <n v="12"/>
    <x v="1"/>
    <x v="0"/>
    <x v="72"/>
    <n v="57.164999999999999"/>
    <x v="1080"/>
    <n v="19.710999999999999"/>
    <n v="20.169"/>
    <n v="16.712"/>
    <s v="28,55"/>
    <x v="1"/>
  </r>
  <r>
    <x v="2"/>
    <x v="14"/>
    <x v="28"/>
    <x v="3"/>
    <s v="RIC"/>
    <x v="4"/>
    <x v="6"/>
    <x v="4"/>
    <n v="10"/>
    <x v="1"/>
    <x v="0"/>
    <x v="72"/>
    <n v="56.978999999999999"/>
    <x v="1081"/>
    <n v="19.853999999999999"/>
    <n v="20.114000000000001"/>
    <n v="16.719000000000001"/>
    <s v="29,55"/>
    <x v="1"/>
  </r>
  <r>
    <x v="2"/>
    <x v="14"/>
    <x v="28"/>
    <x v="22"/>
    <s v="ALB"/>
    <x v="2"/>
    <x v="10"/>
    <x v="5"/>
    <n v="8"/>
    <x v="1"/>
    <x v="0"/>
    <x v="72"/>
    <n v="57.055999999999997"/>
    <x v="1082"/>
    <n v="19.645"/>
    <n v="20.081"/>
    <n v="16.759"/>
    <s v="47,62"/>
    <x v="1"/>
  </r>
  <r>
    <x v="2"/>
    <x v="14"/>
    <x v="28"/>
    <x v="20"/>
    <s v="KVY"/>
    <x v="12"/>
    <x v="15"/>
    <x v="6"/>
    <n v="6"/>
    <x v="1"/>
    <x v="0"/>
    <x v="72"/>
    <n v="57.000999999999998"/>
    <x v="1083"/>
    <n v="19.664999999999999"/>
    <n v="20.344999999999999"/>
    <n v="16.751000000000001"/>
    <s v="27,53"/>
    <x v="1"/>
  </r>
  <r>
    <x v="2"/>
    <x v="14"/>
    <x v="28"/>
    <x v="7"/>
    <s v="BOT"/>
    <x v="1"/>
    <x v="1"/>
    <x v="7"/>
    <n v="4"/>
    <x v="1"/>
    <x v="0"/>
    <x v="72"/>
    <n v="56.563000000000002"/>
    <x v="1084"/>
    <n v="19.745000000000001"/>
    <n v="19.849"/>
    <n v="16.748000000000001"/>
    <s v="49,62"/>
    <x v="1"/>
  </r>
  <r>
    <x v="2"/>
    <x v="14"/>
    <x v="28"/>
    <x v="24"/>
    <s v="RUS"/>
    <x v="1"/>
    <x v="2"/>
    <x v="8"/>
    <n v="3"/>
    <x v="1"/>
    <x v="0"/>
    <x v="72"/>
    <n v="55.404000000000003"/>
    <x v="1085"/>
    <n v="19.228999999999999"/>
    <n v="19.606000000000002"/>
    <n v="16.568999999999999"/>
    <s v="45,62,63,78"/>
    <x v="1"/>
  </r>
  <r>
    <x v="2"/>
    <x v="14"/>
    <x v="28"/>
    <x v="21"/>
    <s v="NOR"/>
    <x v="3"/>
    <x v="19"/>
    <x v="9"/>
    <n v="1"/>
    <x v="1"/>
    <x v="0"/>
    <x v="72"/>
    <n v="57.27"/>
    <x v="1086"/>
    <n v="19.809999999999999"/>
    <n v="20.22"/>
    <n v="16.745999999999999"/>
    <s v="20,54"/>
    <x v="1"/>
  </r>
  <r>
    <x v="2"/>
    <x v="14"/>
    <x v="28"/>
    <x v="17"/>
    <s v="GAS"/>
    <x v="12"/>
    <x v="9"/>
    <x v="10"/>
    <n v="0"/>
    <x v="1"/>
    <x v="0"/>
    <x v="72"/>
    <n v="57.22"/>
    <x v="1087"/>
    <n v="19.936"/>
    <n v="20.326000000000001"/>
    <n v="16.844000000000001"/>
    <s v="28,51"/>
    <x v="1"/>
  </r>
  <r>
    <x v="2"/>
    <x v="14"/>
    <x v="28"/>
    <x v="0"/>
    <s v="VET"/>
    <x v="0"/>
    <x v="13"/>
    <x v="11"/>
    <n v="0"/>
    <x v="1"/>
    <x v="0"/>
    <x v="72"/>
    <n v="56.905000000000001"/>
    <x v="1088"/>
    <n v="19.795999999999999"/>
    <n v="20.013999999999999"/>
    <n v="16.902999999999999"/>
    <s v="31,54,63"/>
    <x v="1"/>
  </r>
  <r>
    <x v="2"/>
    <x v="14"/>
    <x v="28"/>
    <x v="23"/>
    <s v="GIO"/>
    <x v="11"/>
    <x v="11"/>
    <x v="12"/>
    <n v="0"/>
    <x v="1"/>
    <x v="0"/>
    <x v="72"/>
    <n v="56.887"/>
    <x v="1089"/>
    <n v="19.843"/>
    <n v="20.13"/>
    <n v="16.803999999999998"/>
    <s v="26,54"/>
    <x v="1"/>
  </r>
  <r>
    <x v="2"/>
    <x v="14"/>
    <x v="28"/>
    <x v="2"/>
    <s v="RAI"/>
    <x v="11"/>
    <x v="12"/>
    <x v="13"/>
    <n v="0"/>
    <x v="1"/>
    <x v="0"/>
    <x v="72"/>
    <n v="57.375"/>
    <x v="1090"/>
    <n v="19.882000000000001"/>
    <n v="20.334"/>
    <n v="16.808"/>
    <s v="23,54,62"/>
    <x v="1"/>
  </r>
  <r>
    <x v="2"/>
    <x v="14"/>
    <x v="28"/>
    <x v="16"/>
    <s v="MAG"/>
    <x v="9"/>
    <x v="7"/>
    <x v="14"/>
    <n v="0"/>
    <x v="1"/>
    <x v="0"/>
    <x v="72"/>
    <n v="57.515999999999998"/>
    <x v="1091"/>
    <n v="20.103000000000002"/>
    <n v="20.276"/>
    <n v="17.126000000000001"/>
    <s v="26,54"/>
    <x v="1"/>
  </r>
  <r>
    <x v="2"/>
    <x v="14"/>
    <x v="28"/>
    <x v="27"/>
    <s v="AIT"/>
    <x v="7"/>
    <x v="18"/>
    <x v="15"/>
    <n v="0"/>
    <x v="1"/>
    <x v="0"/>
    <x v="72"/>
    <n v="57.392000000000003"/>
    <x v="1092"/>
    <n v="20.010999999999999"/>
    <n v="20.414999999999999"/>
    <n v="16.888999999999999"/>
    <s v="31,54,59"/>
    <x v="1"/>
  </r>
  <r>
    <x v="2"/>
    <x v="14"/>
    <x v="28"/>
    <x v="28"/>
    <s v="FIT"/>
    <x v="9"/>
    <x v="17"/>
    <x v="16"/>
    <n v="0"/>
    <x v="1"/>
    <x v="0"/>
    <x v="72"/>
    <n v="57.741999999999997"/>
    <x v="1093"/>
    <n v="20.126000000000001"/>
    <n v="20.401"/>
    <n v="17.071000000000002"/>
    <s v="31,53,63"/>
    <x v="1"/>
  </r>
  <r>
    <x v="2"/>
    <x v="14"/>
    <x v="28"/>
    <x v="26"/>
    <s v="LAT"/>
    <x v="7"/>
    <x v="14"/>
    <x v="17"/>
    <n v="0"/>
    <x v="1"/>
    <x v="3"/>
    <x v="28"/>
    <n v="58.206000000000003"/>
    <x v="1094"/>
    <n v="20.204000000000001"/>
    <n v="20.866"/>
    <n v="16.931999999999999"/>
    <n v="27"/>
    <x v="1"/>
  </r>
  <r>
    <x v="2"/>
    <x v="14"/>
    <x v="28"/>
    <x v="5"/>
    <s v="VER"/>
    <x v="2"/>
    <x v="0"/>
    <x v="18"/>
    <n v="0"/>
    <x v="1"/>
    <x v="9"/>
    <x v="16"/>
    <m/>
    <x v="19"/>
    <m/>
    <m/>
    <m/>
    <m/>
    <x v="1"/>
  </r>
  <r>
    <x v="2"/>
    <x v="14"/>
    <x v="28"/>
    <x v="12"/>
    <s v="LEC"/>
    <x v="0"/>
    <x v="5"/>
    <x v="19"/>
    <n v="0"/>
    <x v="1"/>
    <x v="10"/>
    <x v="16"/>
    <m/>
    <x v="19"/>
    <m/>
    <m/>
    <m/>
    <m/>
    <x v="1"/>
  </r>
  <r>
    <x v="2"/>
    <x v="15"/>
    <x v="19"/>
    <x v="5"/>
    <s v="VER"/>
    <x v="2"/>
    <x v="1"/>
    <x v="0"/>
    <n v="25"/>
    <x v="0"/>
    <x v="0"/>
    <x v="35"/>
    <n v="100.958"/>
    <x v="1095"/>
    <n v="17.564"/>
    <n v="43.314999999999998"/>
    <n v="39.871000000000002"/>
    <n v="10"/>
    <x v="1"/>
  </r>
  <r>
    <x v="2"/>
    <x v="15"/>
    <x v="19"/>
    <x v="7"/>
    <s v="BOT"/>
    <x v="1"/>
    <x v="2"/>
    <x v="1"/>
    <n v="18"/>
    <x v="0"/>
    <x v="0"/>
    <x v="35"/>
    <n v="101.131"/>
    <x v="1096"/>
    <n v="17.434000000000001"/>
    <n v="43.332999999999998"/>
    <n v="40.000999999999998"/>
    <n v="10"/>
    <x v="1"/>
  </r>
  <r>
    <x v="2"/>
    <x v="15"/>
    <x v="19"/>
    <x v="1"/>
    <s v="HAM"/>
    <x v="1"/>
    <x v="0"/>
    <x v="2"/>
    <n v="15"/>
    <x v="0"/>
    <x v="0"/>
    <x v="35"/>
    <n v="101.42"/>
    <x v="1097"/>
    <n v="17.491"/>
    <n v="43.317"/>
    <n v="40.128"/>
    <n v="10"/>
    <x v="1"/>
  </r>
  <r>
    <x v="2"/>
    <x v="15"/>
    <x v="19"/>
    <x v="22"/>
    <s v="ALB"/>
    <x v="2"/>
    <x v="16"/>
    <x v="3"/>
    <n v="12"/>
    <x v="1"/>
    <x v="0"/>
    <x v="35"/>
    <n v="101.227"/>
    <x v="1098"/>
    <n v="17.512"/>
    <n v="43.276000000000003"/>
    <n v="40.177"/>
    <n v="10"/>
    <x v="1"/>
  </r>
  <r>
    <x v="2"/>
    <x v="15"/>
    <x v="19"/>
    <x v="21"/>
    <s v="NOR"/>
    <x v="3"/>
    <x v="5"/>
    <x v="4"/>
    <n v="10"/>
    <x v="1"/>
    <x v="0"/>
    <x v="35"/>
    <n v="101.964"/>
    <x v="1099"/>
    <n v="17.608000000000001"/>
    <n v="43.186"/>
    <n v="40.521999999999998"/>
    <n v="10"/>
    <x v="1"/>
  </r>
  <r>
    <x v="2"/>
    <x v="15"/>
    <x v="19"/>
    <x v="9"/>
    <s v="SAI"/>
    <x v="3"/>
    <x v="15"/>
    <x v="5"/>
    <n v="8"/>
    <x v="1"/>
    <x v="0"/>
    <x v="35"/>
    <n v="101.947"/>
    <x v="1100"/>
    <n v="17.670000000000002"/>
    <n v="43.526000000000003"/>
    <n v="40.667999999999999"/>
    <n v="10"/>
    <x v="1"/>
  </r>
  <r>
    <x v="2"/>
    <x v="15"/>
    <x v="19"/>
    <x v="3"/>
    <s v="RIC"/>
    <x v="4"/>
    <x v="8"/>
    <x v="6"/>
    <n v="7"/>
    <x v="1"/>
    <x v="0"/>
    <x v="35"/>
    <n v="100.926"/>
    <x v="1101"/>
    <n v="17.48"/>
    <n v="43.164000000000001"/>
    <n v="39.793999999999997"/>
    <n v="39"/>
    <x v="1"/>
  </r>
  <r>
    <x v="2"/>
    <x v="15"/>
    <x v="19"/>
    <x v="17"/>
    <s v="GAS"/>
    <x v="12"/>
    <x v="9"/>
    <x v="7"/>
    <n v="4"/>
    <x v="1"/>
    <x v="0"/>
    <x v="35"/>
    <n v="102.474"/>
    <x v="1102"/>
    <n v="17.745000000000001"/>
    <n v="43.298000000000002"/>
    <n v="40.808"/>
    <n v="10"/>
    <x v="1"/>
  </r>
  <r>
    <x v="2"/>
    <x v="15"/>
    <x v="19"/>
    <x v="11"/>
    <s v="OCO"/>
    <x v="4"/>
    <x v="4"/>
    <x v="8"/>
    <n v="2"/>
    <x v="1"/>
    <x v="0"/>
    <x v="35"/>
    <n v="102.89400000000001"/>
    <x v="1103"/>
    <n v="17.683"/>
    <n v="43.594000000000001"/>
    <n v="41.06"/>
    <n v="10"/>
    <x v="1"/>
  </r>
  <r>
    <x v="2"/>
    <x v="15"/>
    <x v="19"/>
    <x v="13"/>
    <s v="STR"/>
    <x v="10"/>
    <x v="3"/>
    <x v="9"/>
    <n v="1"/>
    <x v="1"/>
    <x v="0"/>
    <x v="35"/>
    <n v="101.866"/>
    <x v="1104"/>
    <n v="17.675999999999998"/>
    <n v="42.362000000000002"/>
    <n v="40.747999999999998"/>
    <n v="10"/>
    <x v="1"/>
  </r>
  <r>
    <x v="2"/>
    <x v="15"/>
    <x v="19"/>
    <x v="20"/>
    <s v="KVY"/>
    <x v="12"/>
    <x v="6"/>
    <x v="10"/>
    <n v="0"/>
    <x v="1"/>
    <x v="1"/>
    <x v="36"/>
    <n v="102.70399999999999"/>
    <x v="1105"/>
    <n v="17.693000000000001"/>
    <n v="43.32"/>
    <n v="41.261000000000003"/>
    <n v="10"/>
    <x v="1"/>
  </r>
  <r>
    <x v="2"/>
    <x v="15"/>
    <x v="19"/>
    <x v="2"/>
    <s v="RAI"/>
    <x v="11"/>
    <x v="7"/>
    <x v="11"/>
    <n v="0"/>
    <x v="1"/>
    <x v="1"/>
    <x v="36"/>
    <n v="102.148"/>
    <x v="1106"/>
    <n v="17.718"/>
    <n v="43.59"/>
    <n v="40.774999999999999"/>
    <n v="10"/>
    <x v="1"/>
  </r>
  <r>
    <x v="2"/>
    <x v="15"/>
    <x v="19"/>
    <x v="12"/>
    <s v="LEC"/>
    <x v="0"/>
    <x v="10"/>
    <x v="12"/>
    <n v="0"/>
    <x v="1"/>
    <x v="1"/>
    <x v="36"/>
    <n v="101.908"/>
    <x v="1107"/>
    <n v="17.776"/>
    <n v="43.146000000000001"/>
    <n v="40.484000000000002"/>
    <n v="22"/>
    <x v="1"/>
  </r>
  <r>
    <x v="2"/>
    <x v="15"/>
    <x v="19"/>
    <x v="0"/>
    <s v="VET"/>
    <x v="0"/>
    <x v="13"/>
    <x v="13"/>
    <n v="0"/>
    <x v="1"/>
    <x v="1"/>
    <x v="36"/>
    <n v="101.47499999999999"/>
    <x v="1108"/>
    <n v="17.853000000000002"/>
    <n v="43.148000000000003"/>
    <n v="40.154000000000003"/>
    <n v="35"/>
    <x v="1"/>
  </r>
  <r>
    <x v="2"/>
    <x v="15"/>
    <x v="19"/>
    <x v="24"/>
    <s v="RUS"/>
    <x v="7"/>
    <x v="14"/>
    <x v="14"/>
    <n v="0"/>
    <x v="1"/>
    <x v="1"/>
    <x v="36"/>
    <n v="103.328"/>
    <x v="1109"/>
    <n v="17.760999999999999"/>
    <n v="43.728000000000002"/>
    <n v="41.457999999999998"/>
    <n v="10"/>
    <x v="1"/>
  </r>
  <r>
    <x v="2"/>
    <x v="15"/>
    <x v="19"/>
    <x v="23"/>
    <s v="GIO"/>
    <x v="11"/>
    <x v="11"/>
    <x v="15"/>
    <n v="0"/>
    <x v="1"/>
    <x v="1"/>
    <x v="36"/>
    <n v="101.675"/>
    <x v="1110"/>
    <n v="17.649000000000001"/>
    <n v="43.347999999999999"/>
    <n v="40.506999999999998"/>
    <n v="27"/>
    <x v="1"/>
  </r>
  <r>
    <x v="2"/>
    <x v="15"/>
    <x v="19"/>
    <x v="26"/>
    <s v="LAT"/>
    <x v="7"/>
    <x v="12"/>
    <x v="16"/>
    <n v="0"/>
    <x v="1"/>
    <x v="1"/>
    <x v="36"/>
    <n v="102.497"/>
    <x v="1111"/>
    <n v="17.734000000000002"/>
    <n v="43.621000000000002"/>
    <n v="40.735999999999997"/>
    <s v="11,35"/>
    <x v="1"/>
  </r>
  <r>
    <x v="2"/>
    <x v="15"/>
    <x v="19"/>
    <x v="16"/>
    <s v="MAG"/>
    <x v="9"/>
    <x v="17"/>
    <x v="17"/>
    <n v="0"/>
    <x v="1"/>
    <x v="1"/>
    <x v="36"/>
    <n v="101.999"/>
    <x v="1112"/>
    <n v="17.602"/>
    <n v="43.567999999999998"/>
    <n v="40.628999999999998"/>
    <s v="31,47"/>
    <x v="1"/>
  </r>
  <r>
    <x v="2"/>
    <x v="15"/>
    <x v="19"/>
    <x v="28"/>
    <s v="FIT"/>
    <x v="9"/>
    <x v="18"/>
    <x v="18"/>
    <n v="0"/>
    <x v="1"/>
    <x v="11"/>
    <x v="28"/>
    <n v="101.70699999999999"/>
    <x v="1113"/>
    <n v="17.672000000000001"/>
    <n v="43.359000000000002"/>
    <n v="40.676000000000002"/>
    <s v="10,34,48"/>
    <x v="1"/>
  </r>
  <r>
    <x v="2"/>
    <x v="15"/>
    <x v="19"/>
    <x v="10"/>
    <s v="PER"/>
    <x v="10"/>
    <x v="19"/>
    <x v="19"/>
    <n v="0"/>
    <x v="1"/>
    <x v="30"/>
    <x v="51"/>
    <n v="103.26300000000001"/>
    <x v="1114"/>
    <n v="18.064"/>
    <n v="43.496000000000002"/>
    <n v="41.573999999999998"/>
    <m/>
    <x v="1"/>
  </r>
  <r>
    <x v="3"/>
    <x v="0"/>
    <x v="1"/>
    <x v="1"/>
    <s v="HAM"/>
    <x v="1"/>
    <x v="2"/>
    <x v="0"/>
    <n v="25"/>
    <x v="0"/>
    <x v="0"/>
    <x v="7"/>
    <n v="94.015000000000001"/>
    <x v="1115"/>
    <n v="29.943999999999999"/>
    <n v="40.567"/>
    <n v="23.140999999999998"/>
    <s v="13,28"/>
    <x v="1"/>
  </r>
  <r>
    <x v="3"/>
    <x v="0"/>
    <x v="1"/>
    <x v="5"/>
    <s v="VER"/>
    <x v="2"/>
    <x v="1"/>
    <x v="1"/>
    <n v="18"/>
    <x v="0"/>
    <x v="0"/>
    <x v="7"/>
    <n v="93.227999999999994"/>
    <x v="1116"/>
    <n v="30.009"/>
    <n v="40.158999999999999"/>
    <n v="22.995000000000001"/>
    <s v="17,39"/>
    <x v="1"/>
  </r>
  <r>
    <x v="3"/>
    <x v="0"/>
    <x v="1"/>
    <x v="7"/>
    <s v="BOT"/>
    <x v="1"/>
    <x v="0"/>
    <x v="2"/>
    <n v="16"/>
    <x v="0"/>
    <x v="0"/>
    <x v="7"/>
    <n v="92.09"/>
    <x v="1117"/>
    <n v="29.64"/>
    <n v="39.508000000000003"/>
    <n v="22.942"/>
    <s v="16,30,54"/>
    <x v="1"/>
  </r>
  <r>
    <x v="3"/>
    <x v="0"/>
    <x v="1"/>
    <x v="21"/>
    <s v="NOR"/>
    <x v="3"/>
    <x v="6"/>
    <x v="3"/>
    <n v="12"/>
    <x v="1"/>
    <x v="0"/>
    <x v="7"/>
    <n v="94.396000000000001"/>
    <x v="1118"/>
    <n v="30.206"/>
    <n v="40.524999999999999"/>
    <n v="23.207000000000001"/>
    <s v="12,33"/>
    <x v="1"/>
  </r>
  <r>
    <x v="3"/>
    <x v="0"/>
    <x v="1"/>
    <x v="10"/>
    <s v="PER"/>
    <x v="2"/>
    <x v="20"/>
    <x v="4"/>
    <n v="10"/>
    <x v="1"/>
    <x v="0"/>
    <x v="7"/>
    <n v="93.97"/>
    <x v="1119"/>
    <n v="30.18"/>
    <n v="40.395000000000003"/>
    <n v="23.231000000000002"/>
    <s v="2,19,38"/>
    <x v="1"/>
  </r>
  <r>
    <x v="3"/>
    <x v="0"/>
    <x v="1"/>
    <x v="12"/>
    <s v="LEC"/>
    <x v="0"/>
    <x v="5"/>
    <x v="5"/>
    <n v="8"/>
    <x v="1"/>
    <x v="0"/>
    <x v="7"/>
    <n v="94.988"/>
    <x v="1120"/>
    <n v="30.31"/>
    <n v="40.78"/>
    <n v="23.460999999999999"/>
    <s v="12,32"/>
    <x v="1"/>
  </r>
  <r>
    <x v="3"/>
    <x v="0"/>
    <x v="1"/>
    <x v="3"/>
    <s v="RIC"/>
    <x v="3"/>
    <x v="15"/>
    <x v="6"/>
    <n v="6"/>
    <x v="1"/>
    <x v="0"/>
    <x v="7"/>
    <n v="94.932000000000002"/>
    <x v="1121"/>
    <n v="30.263999999999999"/>
    <n v="40.738999999999997"/>
    <n v="23.44"/>
    <s v="13,32"/>
    <x v="1"/>
  </r>
  <r>
    <x v="3"/>
    <x v="0"/>
    <x v="1"/>
    <x v="9"/>
    <s v="SAI"/>
    <x v="0"/>
    <x v="3"/>
    <x v="7"/>
    <n v="4"/>
    <x v="1"/>
    <x v="0"/>
    <x v="7"/>
    <n v="94.509"/>
    <x v="1122"/>
    <n v="30.4"/>
    <n v="40.529000000000003"/>
    <n v="23.378"/>
    <s v="15,37"/>
    <x v="1"/>
  </r>
  <r>
    <x v="3"/>
    <x v="0"/>
    <x v="1"/>
    <x v="29"/>
    <s v="TSU"/>
    <x v="12"/>
    <x v="13"/>
    <x v="8"/>
    <n v="2"/>
    <x v="1"/>
    <x v="0"/>
    <x v="7"/>
    <n v="94.760999999999996"/>
    <x v="1123"/>
    <n v="30.233000000000001"/>
    <n v="40.811999999999998"/>
    <n v="23.34"/>
    <s v="15,33"/>
    <x v="1"/>
  </r>
  <r>
    <x v="3"/>
    <x v="0"/>
    <x v="1"/>
    <x v="13"/>
    <s v="STR"/>
    <x v="13"/>
    <x v="4"/>
    <x v="9"/>
    <n v="1"/>
    <x v="1"/>
    <x v="0"/>
    <x v="7"/>
    <n v="94.864999999999995"/>
    <x v="1124"/>
    <n v="30.231999999999999"/>
    <n v="41.079000000000001"/>
    <n v="23.454999999999998"/>
    <s v="12,28"/>
    <x v="1"/>
  </r>
  <r>
    <x v="3"/>
    <x v="0"/>
    <x v="1"/>
    <x v="2"/>
    <s v="RAI"/>
    <x v="11"/>
    <x v="11"/>
    <x v="10"/>
    <n v="0"/>
    <x v="1"/>
    <x v="0"/>
    <x v="7"/>
    <n v="95.191999999999993"/>
    <x v="1125"/>
    <n v="30.616"/>
    <n v="40.981999999999999"/>
    <n v="23.356999999999999"/>
    <s v="13,29"/>
    <x v="1"/>
  </r>
  <r>
    <x v="3"/>
    <x v="0"/>
    <x v="1"/>
    <x v="23"/>
    <s v="GIO"/>
    <x v="11"/>
    <x v="10"/>
    <x v="11"/>
    <n v="0"/>
    <x v="1"/>
    <x v="1"/>
    <x v="35"/>
    <n v="95.122"/>
    <x v="1126"/>
    <n v="30.001999999999999"/>
    <n v="41.246000000000002"/>
    <n v="23.32"/>
    <s v="12,30"/>
    <x v="1"/>
  </r>
  <r>
    <x v="3"/>
    <x v="0"/>
    <x v="1"/>
    <x v="11"/>
    <s v="OCO"/>
    <x v="14"/>
    <x v="14"/>
    <x v="12"/>
    <n v="0"/>
    <x v="1"/>
    <x v="1"/>
    <x v="35"/>
    <n v="95.25"/>
    <x v="1127"/>
    <n v="30.044"/>
    <n v="41.256999999999998"/>
    <n v="23.452000000000002"/>
    <s v="13,31"/>
    <x v="1"/>
  </r>
  <r>
    <x v="3"/>
    <x v="0"/>
    <x v="1"/>
    <x v="24"/>
    <s v="RUS"/>
    <x v="7"/>
    <x v="7"/>
    <x v="13"/>
    <n v="0"/>
    <x v="1"/>
    <x v="1"/>
    <x v="35"/>
    <n v="95.036000000000001"/>
    <x v="1128"/>
    <n v="30.228000000000002"/>
    <n v="41.171999999999997"/>
    <n v="23.292999999999999"/>
    <s v="13,36"/>
    <x v="1"/>
  </r>
  <r>
    <x v="3"/>
    <x v="0"/>
    <x v="1"/>
    <x v="0"/>
    <s v="VET"/>
    <x v="13"/>
    <x v="17"/>
    <x v="14"/>
    <n v="0"/>
    <x v="1"/>
    <x v="1"/>
    <x v="35"/>
    <n v="95.566000000000003"/>
    <x v="1129"/>
    <n v="30.692"/>
    <n v="41.168999999999997"/>
    <n v="23.704999999999998"/>
    <n v="24"/>
    <x v="1"/>
  </r>
  <r>
    <x v="3"/>
    <x v="0"/>
    <x v="1"/>
    <x v="30"/>
    <s v="MSC"/>
    <x v="9"/>
    <x v="12"/>
    <x v="15"/>
    <n v="0"/>
    <x v="1"/>
    <x v="1"/>
    <x v="35"/>
    <n v="96.134"/>
    <x v="1130"/>
    <n v="30.497"/>
    <n v="41.381"/>
    <n v="23.888999999999999"/>
    <s v="14,33"/>
    <x v="1"/>
  </r>
  <r>
    <x v="3"/>
    <x v="0"/>
    <x v="1"/>
    <x v="17"/>
    <s v="GAS"/>
    <x v="12"/>
    <x v="16"/>
    <x v="16"/>
    <n v="0"/>
    <x v="1"/>
    <x v="21"/>
    <x v="33"/>
    <n v="94.09"/>
    <x v="1131"/>
    <n v="30.355"/>
    <n v="40.450000000000003"/>
    <n v="23.169"/>
    <s v="4,19,39,52"/>
    <x v="1"/>
  </r>
  <r>
    <x v="3"/>
    <x v="0"/>
    <x v="1"/>
    <x v="26"/>
    <s v="LAT"/>
    <x v="7"/>
    <x v="18"/>
    <x v="17"/>
    <n v="0"/>
    <x v="1"/>
    <x v="21"/>
    <x v="11"/>
    <n v="96.602000000000004"/>
    <x v="1132"/>
    <n v="30.861000000000001"/>
    <n v="42.064999999999998"/>
    <n v="23.675999999999998"/>
    <s v="14,32,51"/>
    <x v="1"/>
  </r>
  <r>
    <x v="3"/>
    <x v="0"/>
    <x v="1"/>
    <x v="4"/>
    <s v="ALO"/>
    <x v="14"/>
    <x v="9"/>
    <x v="18"/>
    <n v="0"/>
    <x v="1"/>
    <x v="5"/>
    <x v="40"/>
    <n v="96.063000000000002"/>
    <x v="1133"/>
    <n v="30.408000000000001"/>
    <n v="41.796999999999997"/>
    <n v="23.84"/>
    <s v="11,29,32"/>
    <x v="1"/>
  </r>
  <r>
    <x v="3"/>
    <x v="0"/>
    <x v="1"/>
    <x v="31"/>
    <s v="MAZ"/>
    <x v="9"/>
    <x v="19"/>
    <x v="19"/>
    <n v="0"/>
    <x v="1"/>
    <x v="9"/>
    <x v="16"/>
    <m/>
    <x v="19"/>
    <m/>
    <m/>
    <m/>
    <m/>
    <x v="1"/>
  </r>
  <r>
    <x v="3"/>
    <x v="1"/>
    <x v="26"/>
    <x v="5"/>
    <s v="VER"/>
    <x v="2"/>
    <x v="0"/>
    <x v="0"/>
    <n v="25"/>
    <x v="0"/>
    <x v="0"/>
    <x v="20"/>
    <n v="77.524000000000001"/>
    <x v="1134"/>
    <n v="24.870999999999999"/>
    <n v="26.640999999999998"/>
    <n v="25.890999999999998"/>
    <s v="27,33"/>
    <x v="0"/>
  </r>
  <r>
    <x v="3"/>
    <x v="1"/>
    <x v="26"/>
    <x v="1"/>
    <s v="HAM"/>
    <x v="1"/>
    <x v="1"/>
    <x v="1"/>
    <n v="19"/>
    <x v="0"/>
    <x v="0"/>
    <x v="20"/>
    <n v="76.701999999999998"/>
    <x v="1135"/>
    <n v="24.446000000000002"/>
    <n v="26.527000000000001"/>
    <n v="25.728999999999999"/>
    <s v="28,31,32,33"/>
    <x v="0"/>
  </r>
  <r>
    <x v="3"/>
    <x v="1"/>
    <x v="26"/>
    <x v="21"/>
    <s v="NOR"/>
    <x v="3"/>
    <x v="6"/>
    <x v="2"/>
    <n v="15"/>
    <x v="0"/>
    <x v="0"/>
    <x v="20"/>
    <n v="78.259"/>
    <x v="1136"/>
    <n v="24.937999999999999"/>
    <n v="27.123999999999999"/>
    <n v="26.138000000000002"/>
    <s v="28,33"/>
    <x v="0"/>
  </r>
  <r>
    <x v="3"/>
    <x v="1"/>
    <x v="26"/>
    <x v="12"/>
    <s v="LEC"/>
    <x v="0"/>
    <x v="5"/>
    <x v="3"/>
    <n v="12"/>
    <x v="1"/>
    <x v="0"/>
    <x v="20"/>
    <n v="78.379000000000005"/>
    <x v="1137"/>
    <n v="25.178999999999998"/>
    <n v="26.984999999999999"/>
    <n v="26.1"/>
    <s v="28,33"/>
    <x v="0"/>
  </r>
  <r>
    <x v="3"/>
    <x v="1"/>
    <x v="26"/>
    <x v="9"/>
    <s v="SAI"/>
    <x v="0"/>
    <x v="8"/>
    <x v="4"/>
    <n v="10"/>
    <x v="1"/>
    <x v="0"/>
    <x v="20"/>
    <n v="78.489999999999995"/>
    <x v="1138"/>
    <n v="25.021999999999998"/>
    <n v="27.030999999999999"/>
    <n v="26.262"/>
    <s v="27,33"/>
    <x v="0"/>
  </r>
  <r>
    <x v="3"/>
    <x v="1"/>
    <x v="26"/>
    <x v="3"/>
    <s v="RIC"/>
    <x v="3"/>
    <x v="15"/>
    <x v="5"/>
    <n v="8"/>
    <x v="1"/>
    <x v="0"/>
    <x v="20"/>
    <n v="79.340999999999994"/>
    <x v="1139"/>
    <n v="25.611999999999998"/>
    <n v="27.349"/>
    <n v="26.22"/>
    <s v="27,33"/>
    <x v="0"/>
  </r>
  <r>
    <x v="3"/>
    <x v="1"/>
    <x v="26"/>
    <x v="17"/>
    <s v="GAS"/>
    <x v="12"/>
    <x v="16"/>
    <x v="6"/>
    <n v="6"/>
    <x v="1"/>
    <x v="0"/>
    <x v="20"/>
    <n v="78.781999999999996"/>
    <x v="1140"/>
    <n v="25.295999999999999"/>
    <n v="27.109000000000002"/>
    <n v="26.327000000000002"/>
    <s v="14,26,32,33"/>
    <x v="0"/>
  </r>
  <r>
    <x v="3"/>
    <x v="1"/>
    <x v="26"/>
    <x v="13"/>
    <s v="STR"/>
    <x v="13"/>
    <x v="4"/>
    <x v="7"/>
    <n v="4"/>
    <x v="1"/>
    <x v="0"/>
    <x v="20"/>
    <n v="78.994"/>
    <x v="1141"/>
    <n v="25.468"/>
    <n v="27.155999999999999"/>
    <n v="26.259"/>
    <s v="27,32,33"/>
    <x v="0"/>
  </r>
  <r>
    <x v="3"/>
    <x v="1"/>
    <x v="26"/>
    <x v="11"/>
    <s v="OCO"/>
    <x v="14"/>
    <x v="9"/>
    <x v="8"/>
    <n v="2"/>
    <x v="1"/>
    <x v="0"/>
    <x v="20"/>
    <n v="79.417000000000002"/>
    <x v="1142"/>
    <n v="25.329000000000001"/>
    <n v="27.414000000000001"/>
    <n v="26.45"/>
    <s v="1,27,31,32,33"/>
    <x v="0"/>
  </r>
  <r>
    <x v="3"/>
    <x v="1"/>
    <x v="26"/>
    <x v="4"/>
    <s v="ALO"/>
    <x v="14"/>
    <x v="7"/>
    <x v="9"/>
    <n v="1"/>
    <x v="1"/>
    <x v="0"/>
    <x v="20"/>
    <n v="79.396000000000001"/>
    <x v="1143"/>
    <n v="25.02"/>
    <n v="27.416"/>
    <n v="26.53"/>
    <s v="28,32,33"/>
    <x v="0"/>
  </r>
  <r>
    <x v="3"/>
    <x v="1"/>
    <x v="26"/>
    <x v="10"/>
    <s v="PER"/>
    <x v="2"/>
    <x v="2"/>
    <x v="10"/>
    <n v="0"/>
    <x v="1"/>
    <x v="0"/>
    <x v="20"/>
    <n v="78.334000000000003"/>
    <x v="1144"/>
    <n v="24.946000000000002"/>
    <n v="26.96"/>
    <n v="26.004999999999999"/>
    <s v="28,33"/>
    <x v="0"/>
  </r>
  <r>
    <x v="3"/>
    <x v="1"/>
    <x v="26"/>
    <x v="29"/>
    <s v="TSU"/>
    <x v="12"/>
    <x v="17"/>
    <x v="11"/>
    <n v="0"/>
    <x v="1"/>
    <x v="0"/>
    <x v="20"/>
    <n v="78.352999999999994"/>
    <x v="1145"/>
    <n v="24.968"/>
    <n v="27.045999999999999"/>
    <n v="26.245999999999999"/>
    <s v="25,32,33"/>
    <x v="0"/>
  </r>
  <r>
    <x v="3"/>
    <x v="1"/>
    <x v="26"/>
    <x v="2"/>
    <s v="RAI"/>
    <x v="11"/>
    <x v="14"/>
    <x v="12"/>
    <n v="0"/>
    <x v="1"/>
    <x v="0"/>
    <x v="20"/>
    <n v="79.421999999999997"/>
    <x v="1146"/>
    <n v="25.667000000000002"/>
    <n v="27.244"/>
    <n v="26.356000000000002"/>
    <s v="26,32,33"/>
    <x v="0"/>
  </r>
  <r>
    <x v="3"/>
    <x v="1"/>
    <x v="26"/>
    <x v="23"/>
    <s v="GIO"/>
    <x v="11"/>
    <x v="18"/>
    <x v="13"/>
    <n v="0"/>
    <x v="1"/>
    <x v="1"/>
    <x v="52"/>
    <n v="79.47"/>
    <x v="1147"/>
    <n v="25.693000000000001"/>
    <n v="27.347000000000001"/>
    <n v="26.327999999999999"/>
    <s v="27,32,33,40"/>
    <x v="0"/>
  </r>
  <r>
    <x v="3"/>
    <x v="1"/>
    <x v="26"/>
    <x v="0"/>
    <s v="VET"/>
    <x v="13"/>
    <x v="20"/>
    <x v="14"/>
    <n v="0"/>
    <x v="1"/>
    <x v="13"/>
    <x v="46"/>
    <n v="79.073999999999998"/>
    <x v="1148"/>
    <n v="25.428999999999998"/>
    <n v="27.170999999999999"/>
    <n v="26.405000000000001"/>
    <s v="3,20,22,32,33,61"/>
    <x v="0"/>
  </r>
  <r>
    <x v="3"/>
    <x v="1"/>
    <x v="26"/>
    <x v="30"/>
    <s v="MSC"/>
    <x v="9"/>
    <x v="12"/>
    <x v="15"/>
    <n v="0"/>
    <x v="1"/>
    <x v="11"/>
    <x v="46"/>
    <n v="79.192999999999998"/>
    <x v="1149"/>
    <n v="25.280999999999999"/>
    <n v="27.266999999999999"/>
    <n v="26.498999999999999"/>
    <s v="5,21,31,32"/>
    <x v="0"/>
  </r>
  <r>
    <x v="3"/>
    <x v="1"/>
    <x v="26"/>
    <x v="31"/>
    <s v="MAZ"/>
    <x v="9"/>
    <x v="19"/>
    <x v="16"/>
    <n v="0"/>
    <x v="1"/>
    <x v="11"/>
    <x v="46"/>
    <n v="80.402000000000001"/>
    <x v="1150"/>
    <n v="26.018000000000001"/>
    <n v="27.681999999999999"/>
    <n v="26.640999999999998"/>
    <s v="12,23,31,32"/>
    <x v="0"/>
  </r>
  <r>
    <x v="3"/>
    <x v="1"/>
    <x v="26"/>
    <x v="7"/>
    <s v="BOT"/>
    <x v="1"/>
    <x v="3"/>
    <x v="17"/>
    <n v="0"/>
    <x v="1"/>
    <x v="10"/>
    <x v="50"/>
    <n v="88.484999999999999"/>
    <x v="1151"/>
    <n v="28.221"/>
    <n v="30.943000000000001"/>
    <n v="28.204999999999998"/>
    <n v="28"/>
    <x v="0"/>
  </r>
  <r>
    <x v="3"/>
    <x v="1"/>
    <x v="26"/>
    <x v="24"/>
    <s v="RUS"/>
    <x v="7"/>
    <x v="10"/>
    <x v="18"/>
    <n v="0"/>
    <x v="1"/>
    <x v="10"/>
    <x v="50"/>
    <n v="86.543000000000006"/>
    <x v="1152"/>
    <n v="28.106999999999999"/>
    <n v="30.042999999999999"/>
    <n v="28.318000000000001"/>
    <n v="26"/>
    <x v="0"/>
  </r>
  <r>
    <x v="3"/>
    <x v="1"/>
    <x v="26"/>
    <x v="26"/>
    <s v="LAT"/>
    <x v="7"/>
    <x v="11"/>
    <x v="19"/>
    <n v="0"/>
    <x v="1"/>
    <x v="10"/>
    <x v="16"/>
    <m/>
    <x v="19"/>
    <m/>
    <m/>
    <m/>
    <m/>
    <x v="0"/>
  </r>
  <r>
    <x v="3"/>
    <x v="2"/>
    <x v="25"/>
    <x v="1"/>
    <s v="HAM"/>
    <x v="1"/>
    <x v="2"/>
    <x v="0"/>
    <n v="25"/>
    <x v="0"/>
    <x v="0"/>
    <x v="17"/>
    <n v="80.933000000000007"/>
    <x v="1153"/>
    <n v="23.318999999999999"/>
    <n v="31.151"/>
    <n v="26.06"/>
    <s v="2,3,37"/>
    <x v="1"/>
  </r>
  <r>
    <x v="3"/>
    <x v="2"/>
    <x v="25"/>
    <x v="5"/>
    <s v="VER"/>
    <x v="2"/>
    <x v="0"/>
    <x v="1"/>
    <n v="18"/>
    <x v="0"/>
    <x v="0"/>
    <x v="17"/>
    <n v="79.849000000000004"/>
    <x v="1154"/>
    <n v="23.186"/>
    <n v="30.658000000000001"/>
    <n v="26.004999999999999"/>
    <s v="2,3,35,64"/>
    <x v="1"/>
  </r>
  <r>
    <x v="3"/>
    <x v="2"/>
    <x v="25"/>
    <x v="7"/>
    <s v="BOT"/>
    <x v="1"/>
    <x v="1"/>
    <x v="2"/>
    <n v="16"/>
    <x v="0"/>
    <x v="0"/>
    <x v="17"/>
    <n v="79.864999999999995"/>
    <x v="1155"/>
    <n v="23.356000000000002"/>
    <n v="30.617000000000001"/>
    <n v="25.891999999999999"/>
    <s v="2,3,36,63"/>
    <x v="1"/>
  </r>
  <r>
    <x v="3"/>
    <x v="2"/>
    <x v="25"/>
    <x v="10"/>
    <s v="PER"/>
    <x v="2"/>
    <x v="5"/>
    <x v="3"/>
    <n v="12"/>
    <x v="1"/>
    <x v="0"/>
    <x v="17"/>
    <n v="80.643000000000001"/>
    <x v="1156"/>
    <n v="23.568000000000001"/>
    <n v="30.895"/>
    <n v="26.169"/>
    <s v="2,3,51"/>
    <x v="1"/>
  </r>
  <r>
    <x v="3"/>
    <x v="2"/>
    <x v="25"/>
    <x v="21"/>
    <s v="NOR"/>
    <x v="3"/>
    <x v="6"/>
    <x v="4"/>
    <n v="10"/>
    <x v="1"/>
    <x v="0"/>
    <x v="17"/>
    <n v="81.695999999999998"/>
    <x v="1157"/>
    <n v="23.585000000000001"/>
    <n v="31.234999999999999"/>
    <n v="26.436"/>
    <s v="2,3,22"/>
    <x v="1"/>
  </r>
  <r>
    <x v="3"/>
    <x v="2"/>
    <x v="25"/>
    <x v="12"/>
    <s v="LEC"/>
    <x v="0"/>
    <x v="3"/>
    <x v="5"/>
    <n v="8"/>
    <x v="1"/>
    <x v="0"/>
    <x v="17"/>
    <n v="81.495999999999995"/>
    <x v="1158"/>
    <n v="23.920999999999999"/>
    <n v="31.199000000000002"/>
    <n v="26.285"/>
    <s v="2,3,25"/>
    <x v="1"/>
  </r>
  <r>
    <x v="3"/>
    <x v="2"/>
    <x v="25"/>
    <x v="11"/>
    <s v="OCO"/>
    <x v="14"/>
    <x v="15"/>
    <x v="6"/>
    <n v="6"/>
    <x v="1"/>
    <x v="0"/>
    <x v="17"/>
    <n v="81.885999999999996"/>
    <x v="1159"/>
    <n v="23.553999999999998"/>
    <n v="31.515000000000001"/>
    <n v="26.305"/>
    <s v="2,3,22"/>
    <x v="1"/>
  </r>
  <r>
    <x v="3"/>
    <x v="2"/>
    <x v="25"/>
    <x v="4"/>
    <s v="ALO"/>
    <x v="14"/>
    <x v="13"/>
    <x v="7"/>
    <n v="4"/>
    <x v="1"/>
    <x v="0"/>
    <x v="17"/>
    <n v="81.031999999999996"/>
    <x v="1160"/>
    <n v="23.347000000000001"/>
    <n v="31.152000000000001"/>
    <n v="26.184999999999999"/>
    <s v="2,3,40"/>
    <x v="1"/>
  </r>
  <r>
    <x v="3"/>
    <x v="2"/>
    <x v="25"/>
    <x v="3"/>
    <s v="RIC"/>
    <x v="3"/>
    <x v="14"/>
    <x v="8"/>
    <n v="2"/>
    <x v="1"/>
    <x v="0"/>
    <x v="17"/>
    <n v="81.986999999999995"/>
    <x v="1161"/>
    <n v="23.492999999999999"/>
    <n v="31.55"/>
    <n v="26.471"/>
    <s v="2,3,41"/>
    <x v="1"/>
  </r>
  <r>
    <x v="3"/>
    <x v="2"/>
    <x v="25"/>
    <x v="17"/>
    <s v="GAS"/>
    <x v="12"/>
    <x v="9"/>
    <x v="9"/>
    <n v="1"/>
    <x v="1"/>
    <x v="0"/>
    <x v="17"/>
    <n v="82.013999999999996"/>
    <x v="1162"/>
    <n v="23.72"/>
    <n v="31.635999999999999"/>
    <n v="26.411999999999999"/>
    <s v="2,3,24"/>
    <x v="1"/>
  </r>
  <r>
    <x v="3"/>
    <x v="2"/>
    <x v="25"/>
    <x v="9"/>
    <s v="SAI"/>
    <x v="0"/>
    <x v="16"/>
    <x v="10"/>
    <n v="0"/>
    <x v="1"/>
    <x v="0"/>
    <x v="17"/>
    <n v="82.325000000000003"/>
    <x v="1163"/>
    <n v="23.965"/>
    <n v="31.626999999999999"/>
    <n v="26.489000000000001"/>
    <s v="2,3,21"/>
    <x v="1"/>
  </r>
  <r>
    <x v="3"/>
    <x v="2"/>
    <x v="25"/>
    <x v="23"/>
    <s v="GIO"/>
    <x v="11"/>
    <x v="10"/>
    <x v="11"/>
    <n v="0"/>
    <x v="1"/>
    <x v="1"/>
    <x v="18"/>
    <n v="82.167000000000002"/>
    <x v="1164"/>
    <n v="23.817"/>
    <n v="31.541"/>
    <n v="26.390999999999998"/>
    <s v="2,3,22"/>
    <x v="1"/>
  </r>
  <r>
    <x v="3"/>
    <x v="2"/>
    <x v="25"/>
    <x v="0"/>
    <s v="VET"/>
    <x v="13"/>
    <x v="4"/>
    <x v="12"/>
    <n v="0"/>
    <x v="1"/>
    <x v="1"/>
    <x v="18"/>
    <n v="82.415999999999997"/>
    <x v="1165"/>
    <n v="23.806999999999999"/>
    <n v="31.56"/>
    <n v="26.535"/>
    <s v="2,3,22"/>
    <x v="1"/>
  </r>
  <r>
    <x v="3"/>
    <x v="2"/>
    <x v="25"/>
    <x v="13"/>
    <s v="STR"/>
    <x v="13"/>
    <x v="18"/>
    <x v="13"/>
    <n v="0"/>
    <x v="1"/>
    <x v="1"/>
    <x v="18"/>
    <n v="81.97"/>
    <x v="1166"/>
    <n v="23.655999999999999"/>
    <n v="31.606000000000002"/>
    <n v="26.449000000000002"/>
    <s v="2,3,39"/>
    <x v="1"/>
  </r>
  <r>
    <x v="3"/>
    <x v="2"/>
    <x v="25"/>
    <x v="29"/>
    <s v="TSU"/>
    <x v="12"/>
    <x v="11"/>
    <x v="14"/>
    <n v="0"/>
    <x v="1"/>
    <x v="1"/>
    <x v="18"/>
    <n v="82.058000000000007"/>
    <x v="1167"/>
    <n v="23.977"/>
    <n v="31.361999999999998"/>
    <n v="26.474"/>
    <s v="2,3,21"/>
    <x v="1"/>
  </r>
  <r>
    <x v="3"/>
    <x v="2"/>
    <x v="25"/>
    <x v="24"/>
    <s v="RUS"/>
    <x v="7"/>
    <x v="8"/>
    <x v="15"/>
    <n v="0"/>
    <x v="1"/>
    <x v="1"/>
    <x v="18"/>
    <n v="82.653999999999996"/>
    <x v="1168"/>
    <n v="23.91"/>
    <n v="31.884"/>
    <n v="26.561"/>
    <s v="2,3,28"/>
    <x v="1"/>
  </r>
  <r>
    <x v="3"/>
    <x v="2"/>
    <x v="25"/>
    <x v="30"/>
    <s v="MSC"/>
    <x v="9"/>
    <x v="19"/>
    <x v="16"/>
    <n v="0"/>
    <x v="1"/>
    <x v="11"/>
    <x v="19"/>
    <n v="82.754999999999995"/>
    <x v="1169"/>
    <n v="23.984999999999999"/>
    <n v="32.079000000000001"/>
    <n v="26.690999999999999"/>
    <s v="2,3,32"/>
    <x v="1"/>
  </r>
  <r>
    <x v="3"/>
    <x v="2"/>
    <x v="25"/>
    <x v="26"/>
    <s v="LAT"/>
    <x v="7"/>
    <x v="12"/>
    <x v="17"/>
    <n v="0"/>
    <x v="1"/>
    <x v="11"/>
    <x v="19"/>
    <n v="83.155000000000001"/>
    <x v="1170"/>
    <n v="24.225000000000001"/>
    <n v="32.154000000000003"/>
    <n v="26.667999999999999"/>
    <s v="2,3,24"/>
    <x v="1"/>
  </r>
  <r>
    <x v="3"/>
    <x v="2"/>
    <x v="25"/>
    <x v="31"/>
    <s v="MAZ"/>
    <x v="9"/>
    <x v="17"/>
    <x v="18"/>
    <n v="0"/>
    <x v="1"/>
    <x v="11"/>
    <x v="19"/>
    <n v="83.641000000000005"/>
    <x v="1171"/>
    <n v="24.59"/>
    <n v="32.042999999999999"/>
    <n v="26.88"/>
    <s v="2,3,31,43"/>
    <x v="1"/>
  </r>
  <r>
    <x v="3"/>
    <x v="2"/>
    <x v="25"/>
    <x v="2"/>
    <s v="RAI"/>
    <x v="11"/>
    <x v="7"/>
    <x v="19"/>
    <n v="0"/>
    <x v="1"/>
    <x v="8"/>
    <x v="10"/>
    <m/>
    <x v="19"/>
    <m/>
    <m/>
    <m/>
    <m/>
    <x v="1"/>
  </r>
  <r>
    <x v="3"/>
    <x v="3"/>
    <x v="4"/>
    <x v="1"/>
    <s v="HAM"/>
    <x v="1"/>
    <x v="1"/>
    <x v="0"/>
    <n v="25"/>
    <x v="0"/>
    <x v="0"/>
    <x v="17"/>
    <n v="80.665000000000006"/>
    <x v="1172"/>
    <n v="22.385999999999999"/>
    <n v="30.376999999999999"/>
    <n v="27.265999999999998"/>
    <s v="28,42"/>
    <x v="1"/>
  </r>
  <r>
    <x v="3"/>
    <x v="3"/>
    <x v="4"/>
    <x v="5"/>
    <s v="VER"/>
    <x v="2"/>
    <x v="2"/>
    <x v="1"/>
    <n v="19"/>
    <x v="0"/>
    <x v="0"/>
    <x v="17"/>
    <n v="78.149000000000001"/>
    <x v="1173"/>
    <n v="22.271999999999998"/>
    <n v="29.204999999999998"/>
    <n v="26.672000000000001"/>
    <s v="24,60"/>
    <x v="1"/>
  </r>
  <r>
    <x v="3"/>
    <x v="3"/>
    <x v="4"/>
    <x v="7"/>
    <s v="BOT"/>
    <x v="1"/>
    <x v="0"/>
    <x v="2"/>
    <n v="15"/>
    <x v="0"/>
    <x v="0"/>
    <x v="17"/>
    <n v="79.430000000000007"/>
    <x v="1174"/>
    <n v="22.067"/>
    <n v="30.132000000000001"/>
    <n v="27.155000000000001"/>
    <s v="23,53"/>
    <x v="1"/>
  </r>
  <r>
    <x v="3"/>
    <x v="3"/>
    <x v="4"/>
    <x v="12"/>
    <s v="LEC"/>
    <x v="0"/>
    <x v="5"/>
    <x v="3"/>
    <n v="12"/>
    <x v="1"/>
    <x v="0"/>
    <x v="17"/>
    <n v="80.459000000000003"/>
    <x v="1175"/>
    <n v="22.890999999999998"/>
    <n v="30.190999999999999"/>
    <n v="27.266999999999999"/>
    <s v="28,58"/>
    <x v="1"/>
  </r>
  <r>
    <x v="3"/>
    <x v="3"/>
    <x v="4"/>
    <x v="10"/>
    <s v="PER"/>
    <x v="2"/>
    <x v="3"/>
    <x v="4"/>
    <n v="10"/>
    <x v="1"/>
    <x v="0"/>
    <x v="17"/>
    <n v="79.483000000000004"/>
    <x v="1176"/>
    <n v="22.800999999999998"/>
    <n v="29.792999999999999"/>
    <n v="26.888999999999999"/>
    <s v="27,57"/>
    <x v="1"/>
  </r>
  <r>
    <x v="3"/>
    <x v="3"/>
    <x v="4"/>
    <x v="3"/>
    <s v="RIC"/>
    <x v="3"/>
    <x v="6"/>
    <x v="5"/>
    <n v="8"/>
    <x v="1"/>
    <x v="0"/>
    <x v="17"/>
    <n v="81.852999999999994"/>
    <x v="1177"/>
    <n v="22.870999999999999"/>
    <n v="30.664999999999999"/>
    <n v="27.902999999999999"/>
    <s v="25,46"/>
    <x v="1"/>
  </r>
  <r>
    <x v="3"/>
    <x v="3"/>
    <x v="4"/>
    <x v="9"/>
    <s v="SAI"/>
    <x v="0"/>
    <x v="15"/>
    <x v="6"/>
    <n v="6"/>
    <x v="1"/>
    <x v="0"/>
    <x v="17"/>
    <n v="81.567999999999998"/>
    <x v="1178"/>
    <n v="22.725999999999999"/>
    <n v="30.823"/>
    <n v="27.757000000000001"/>
    <s v="22,46"/>
    <x v="1"/>
  </r>
  <r>
    <x v="3"/>
    <x v="3"/>
    <x v="4"/>
    <x v="21"/>
    <s v="NOR"/>
    <x v="3"/>
    <x v="9"/>
    <x v="7"/>
    <n v="4"/>
    <x v="1"/>
    <x v="1"/>
    <x v="18"/>
    <n v="81.278999999999996"/>
    <x v="1179"/>
    <n v="22.433"/>
    <n v="30.646000000000001"/>
    <n v="27.856000000000002"/>
    <s v="23,51"/>
    <x v="1"/>
  </r>
  <r>
    <x v="3"/>
    <x v="3"/>
    <x v="4"/>
    <x v="11"/>
    <s v="OCO"/>
    <x v="14"/>
    <x v="16"/>
    <x v="8"/>
    <n v="2"/>
    <x v="1"/>
    <x v="1"/>
    <x v="18"/>
    <n v="83.311000000000007"/>
    <x v="1180"/>
    <n v="23.361999999999998"/>
    <n v="31.399000000000001"/>
    <n v="28.274999999999999"/>
    <n v="23"/>
    <x v="1"/>
  </r>
  <r>
    <x v="3"/>
    <x v="3"/>
    <x v="4"/>
    <x v="17"/>
    <s v="GAS"/>
    <x v="12"/>
    <x v="10"/>
    <x v="9"/>
    <n v="1"/>
    <x v="1"/>
    <x v="1"/>
    <x v="18"/>
    <n v="81.375"/>
    <x v="1181"/>
    <n v="22.669"/>
    <n v="30.523"/>
    <n v="27.678000000000001"/>
    <s v="18,47"/>
    <x v="1"/>
  </r>
  <r>
    <x v="3"/>
    <x v="3"/>
    <x v="4"/>
    <x v="13"/>
    <s v="STR"/>
    <x v="13"/>
    <x v="8"/>
    <x v="10"/>
    <n v="0"/>
    <x v="1"/>
    <x v="1"/>
    <x v="18"/>
    <n v="82.606999999999999"/>
    <x v="1182"/>
    <n v="22.83"/>
    <n v="31.143000000000001"/>
    <n v="28.148"/>
    <s v="22,39"/>
    <x v="1"/>
  </r>
  <r>
    <x v="3"/>
    <x v="3"/>
    <x v="4"/>
    <x v="2"/>
    <s v="RAI"/>
    <x v="11"/>
    <x v="18"/>
    <x v="11"/>
    <n v="0"/>
    <x v="1"/>
    <x v="1"/>
    <x v="18"/>
    <n v="82.867999999999995"/>
    <x v="1183"/>
    <n v="22.96"/>
    <n v="31.248999999999999"/>
    <n v="27.975999999999999"/>
    <n v="37"/>
    <x v="1"/>
  </r>
  <r>
    <x v="3"/>
    <x v="3"/>
    <x v="4"/>
    <x v="0"/>
    <s v="VET"/>
    <x v="13"/>
    <x v="13"/>
    <x v="12"/>
    <n v="0"/>
    <x v="1"/>
    <x v="1"/>
    <x v="18"/>
    <n v="82.82"/>
    <x v="1184"/>
    <n v="23.003"/>
    <n v="31.061"/>
    <n v="28.28"/>
    <s v="21,38"/>
    <x v="1"/>
  </r>
  <r>
    <x v="3"/>
    <x v="3"/>
    <x v="4"/>
    <x v="24"/>
    <s v="RUS"/>
    <x v="7"/>
    <x v="7"/>
    <x v="13"/>
    <n v="0"/>
    <x v="1"/>
    <x v="1"/>
    <x v="18"/>
    <n v="83.207999999999998"/>
    <x v="1185"/>
    <n v="23.318999999999999"/>
    <n v="31.271000000000001"/>
    <n v="28.617999999999999"/>
    <s v="9,28"/>
    <x v="1"/>
  </r>
  <r>
    <x v="3"/>
    <x v="3"/>
    <x v="4"/>
    <x v="23"/>
    <s v="GIO"/>
    <x v="11"/>
    <x v="11"/>
    <x v="14"/>
    <n v="0"/>
    <x v="1"/>
    <x v="1"/>
    <x v="18"/>
    <n v="82.802000000000007"/>
    <x v="1186"/>
    <n v="23.225999999999999"/>
    <n v="31.138999999999999"/>
    <n v="28.181999999999999"/>
    <s v="8,39"/>
    <x v="1"/>
  </r>
  <r>
    <x v="3"/>
    <x v="3"/>
    <x v="4"/>
    <x v="26"/>
    <s v="LAT"/>
    <x v="7"/>
    <x v="19"/>
    <x v="15"/>
    <n v="0"/>
    <x v="1"/>
    <x v="1"/>
    <x v="18"/>
    <n v="82.905000000000001"/>
    <x v="1187"/>
    <n v="23.22"/>
    <n v="31.065999999999999"/>
    <n v="28.192"/>
    <s v="9,27,50"/>
    <x v="1"/>
  </r>
  <r>
    <x v="3"/>
    <x v="3"/>
    <x v="4"/>
    <x v="4"/>
    <s v="ALO"/>
    <x v="14"/>
    <x v="4"/>
    <x v="16"/>
    <n v="0"/>
    <x v="1"/>
    <x v="1"/>
    <x v="18"/>
    <n v="81.182000000000002"/>
    <x v="1188"/>
    <n v="22.821000000000002"/>
    <n v="30.3"/>
    <n v="27.677"/>
    <s v="21,61"/>
    <x v="1"/>
  </r>
  <r>
    <x v="3"/>
    <x v="3"/>
    <x v="4"/>
    <x v="30"/>
    <s v="MSC"/>
    <x v="9"/>
    <x v="12"/>
    <x v="17"/>
    <n v="0"/>
    <x v="1"/>
    <x v="11"/>
    <x v="19"/>
    <n v="82.637"/>
    <x v="1189"/>
    <n v="23.190999999999999"/>
    <n v="30.975999999999999"/>
    <n v="27.992999999999999"/>
    <s v="23,50"/>
    <x v="1"/>
  </r>
  <r>
    <x v="3"/>
    <x v="3"/>
    <x v="4"/>
    <x v="31"/>
    <s v="MAZ"/>
    <x v="9"/>
    <x v="17"/>
    <x v="18"/>
    <n v="0"/>
    <x v="1"/>
    <x v="11"/>
    <x v="19"/>
    <n v="84.04"/>
    <x v="1190"/>
    <n v="23.495999999999999"/>
    <n v="31.891999999999999"/>
    <n v="28.547999999999998"/>
    <s v="22,42"/>
    <x v="1"/>
  </r>
  <r>
    <x v="3"/>
    <x v="3"/>
    <x v="4"/>
    <x v="29"/>
    <s v="TSU"/>
    <x v="12"/>
    <x v="14"/>
    <x v="19"/>
    <n v="0"/>
    <x v="1"/>
    <x v="7"/>
    <x v="56"/>
    <n v="84.825000000000003"/>
    <x v="1191"/>
    <n v="23.859000000000002"/>
    <n v="31.994"/>
    <n v="28.937000000000001"/>
    <m/>
    <x v="1"/>
  </r>
  <r>
    <x v="3"/>
    <x v="4"/>
    <x v="5"/>
    <x v="5"/>
    <s v="VER"/>
    <x v="2"/>
    <x v="2"/>
    <x v="0"/>
    <n v="25"/>
    <x v="0"/>
    <x v="0"/>
    <x v="24"/>
    <n v="74.649000000000001"/>
    <x v="1192"/>
    <n v="19.606000000000002"/>
    <n v="34.975000000000001"/>
    <n v="19.891999999999999"/>
    <n v="34"/>
    <x v="1"/>
  </r>
  <r>
    <x v="3"/>
    <x v="4"/>
    <x v="5"/>
    <x v="9"/>
    <s v="SAI"/>
    <x v="0"/>
    <x v="5"/>
    <x v="1"/>
    <n v="18"/>
    <x v="0"/>
    <x v="0"/>
    <x v="24"/>
    <n v="74.620999999999995"/>
    <x v="1193"/>
    <n v="19.521999999999998"/>
    <n v="34.890999999999998"/>
    <n v="19.951000000000001"/>
    <n v="32"/>
    <x v="1"/>
  </r>
  <r>
    <x v="3"/>
    <x v="4"/>
    <x v="5"/>
    <x v="21"/>
    <s v="NOR"/>
    <x v="3"/>
    <x v="16"/>
    <x v="2"/>
    <n v="15"/>
    <x v="0"/>
    <x v="0"/>
    <x v="24"/>
    <n v="74.67"/>
    <x v="1194"/>
    <n v="19.491"/>
    <n v="34.938000000000002"/>
    <n v="20.032"/>
    <n v="30"/>
    <x v="1"/>
  </r>
  <r>
    <x v="3"/>
    <x v="4"/>
    <x v="5"/>
    <x v="10"/>
    <s v="PER"/>
    <x v="2"/>
    <x v="9"/>
    <x v="3"/>
    <n v="12"/>
    <x v="1"/>
    <x v="0"/>
    <x v="24"/>
    <n v="74.552000000000007"/>
    <x v="1195"/>
    <n v="19.626999999999999"/>
    <n v="34.76"/>
    <n v="19.891999999999999"/>
    <n v="35"/>
    <x v="1"/>
  </r>
  <r>
    <x v="3"/>
    <x v="4"/>
    <x v="5"/>
    <x v="0"/>
    <s v="VET"/>
    <x v="13"/>
    <x v="3"/>
    <x v="4"/>
    <n v="10"/>
    <x v="1"/>
    <x v="0"/>
    <x v="24"/>
    <n v="75.316000000000003"/>
    <x v="1196"/>
    <n v="19.885000000000002"/>
    <n v="35.008000000000003"/>
    <n v="20.151"/>
    <n v="31"/>
    <x v="1"/>
  </r>
  <r>
    <x v="3"/>
    <x v="4"/>
    <x v="5"/>
    <x v="17"/>
    <s v="GAS"/>
    <x v="12"/>
    <x v="15"/>
    <x v="5"/>
    <n v="8"/>
    <x v="1"/>
    <x v="0"/>
    <x v="24"/>
    <n v="75.412000000000006"/>
    <x v="1197"/>
    <n v="19.902000000000001"/>
    <n v="35.122999999999998"/>
    <n v="20.239000000000001"/>
    <n v="30"/>
    <x v="1"/>
  </r>
  <r>
    <x v="3"/>
    <x v="4"/>
    <x v="5"/>
    <x v="1"/>
    <s v="HAM"/>
    <x v="1"/>
    <x v="6"/>
    <x v="6"/>
    <n v="7"/>
    <x v="1"/>
    <x v="0"/>
    <x v="24"/>
    <n v="72.909000000000006"/>
    <x v="1198"/>
    <n v="19.178999999999998"/>
    <n v="34.040999999999997"/>
    <n v="19.689"/>
    <s v="29,67"/>
    <x v="1"/>
  </r>
  <r>
    <x v="3"/>
    <x v="4"/>
    <x v="5"/>
    <x v="13"/>
    <s v="STR"/>
    <x v="13"/>
    <x v="13"/>
    <x v="7"/>
    <n v="4"/>
    <x v="1"/>
    <x v="1"/>
    <x v="25"/>
    <n v="74.674000000000007"/>
    <x v="1199"/>
    <n v="19.734000000000002"/>
    <n v="34.908000000000001"/>
    <n v="20.032"/>
    <n v="58"/>
    <x v="1"/>
  </r>
  <r>
    <x v="3"/>
    <x v="4"/>
    <x v="5"/>
    <x v="11"/>
    <s v="OCO"/>
    <x v="14"/>
    <x v="8"/>
    <x v="8"/>
    <n v="2"/>
    <x v="1"/>
    <x v="1"/>
    <x v="25"/>
    <n v="75.316000000000003"/>
    <x v="1200"/>
    <n v="19.905999999999999"/>
    <n v="35.091000000000001"/>
    <n v="20.318999999999999"/>
    <n v="37"/>
    <x v="1"/>
  </r>
  <r>
    <x v="3"/>
    <x v="4"/>
    <x v="5"/>
    <x v="23"/>
    <s v="GIO"/>
    <x v="11"/>
    <x v="4"/>
    <x v="9"/>
    <n v="1"/>
    <x v="1"/>
    <x v="1"/>
    <x v="25"/>
    <n v="75.331000000000003"/>
    <x v="1201"/>
    <n v="19.923999999999999"/>
    <n v="35.142000000000003"/>
    <n v="20.192"/>
    <n v="33"/>
    <x v="1"/>
  </r>
  <r>
    <x v="3"/>
    <x v="4"/>
    <x v="5"/>
    <x v="2"/>
    <s v="RAI"/>
    <x v="11"/>
    <x v="11"/>
    <x v="10"/>
    <n v="0"/>
    <x v="1"/>
    <x v="1"/>
    <x v="25"/>
    <n v="74.971000000000004"/>
    <x v="1202"/>
    <n v="19.741"/>
    <n v="35.128999999999998"/>
    <n v="19.97"/>
    <n v="43"/>
    <x v="1"/>
  </r>
  <r>
    <x v="3"/>
    <x v="4"/>
    <x v="5"/>
    <x v="3"/>
    <s v="RIC"/>
    <x v="3"/>
    <x v="10"/>
    <x v="11"/>
    <n v="0"/>
    <x v="1"/>
    <x v="1"/>
    <x v="25"/>
    <n v="74.578000000000003"/>
    <x v="1203"/>
    <n v="19.661000000000001"/>
    <n v="34.914000000000001"/>
    <n v="19.916"/>
    <n v="36"/>
    <x v="1"/>
  </r>
  <r>
    <x v="3"/>
    <x v="4"/>
    <x v="5"/>
    <x v="4"/>
    <s v="ALO"/>
    <x v="14"/>
    <x v="18"/>
    <x v="12"/>
    <n v="0"/>
    <x v="1"/>
    <x v="1"/>
    <x v="25"/>
    <n v="75.025999999999996"/>
    <x v="1204"/>
    <n v="19.742000000000001"/>
    <n v="35.087000000000003"/>
    <n v="20.120999999999999"/>
    <n v="45"/>
    <x v="1"/>
  </r>
  <r>
    <x v="3"/>
    <x v="4"/>
    <x v="5"/>
    <x v="24"/>
    <s v="RUS"/>
    <x v="7"/>
    <x v="7"/>
    <x v="13"/>
    <n v="0"/>
    <x v="1"/>
    <x v="1"/>
    <x v="25"/>
    <n v="75.539000000000001"/>
    <x v="1205"/>
    <n v="19.713000000000001"/>
    <n v="35.369"/>
    <n v="20.318000000000001"/>
    <n v="31"/>
    <x v="1"/>
  </r>
  <r>
    <x v="3"/>
    <x v="4"/>
    <x v="5"/>
    <x v="26"/>
    <s v="LAT"/>
    <x v="7"/>
    <x v="12"/>
    <x v="14"/>
    <n v="0"/>
    <x v="1"/>
    <x v="1"/>
    <x v="25"/>
    <n v="75.572999999999993"/>
    <x v="1206"/>
    <n v="19.82"/>
    <n v="35.374000000000002"/>
    <n v="20.238"/>
    <n v="43"/>
    <x v="1"/>
  </r>
  <r>
    <x v="3"/>
    <x v="4"/>
    <x v="5"/>
    <x v="29"/>
    <s v="TSU"/>
    <x v="12"/>
    <x v="14"/>
    <x v="15"/>
    <n v="0"/>
    <x v="1"/>
    <x v="1"/>
    <x v="25"/>
    <n v="74.037000000000006"/>
    <x v="1207"/>
    <n v="19.437000000000001"/>
    <n v="34.512"/>
    <n v="19.93"/>
    <n v="64"/>
    <x v="1"/>
  </r>
  <r>
    <x v="3"/>
    <x v="4"/>
    <x v="5"/>
    <x v="31"/>
    <s v="MAZ"/>
    <x v="9"/>
    <x v="19"/>
    <x v="16"/>
    <n v="0"/>
    <x v="1"/>
    <x v="12"/>
    <x v="73"/>
    <n v="76.866"/>
    <x v="1208"/>
    <n v="20.311"/>
    <n v="35.777000000000001"/>
    <n v="20.556999999999999"/>
    <n v="34"/>
    <x v="1"/>
  </r>
  <r>
    <x v="3"/>
    <x v="4"/>
    <x v="5"/>
    <x v="30"/>
    <s v="MSC"/>
    <x v="9"/>
    <x v="17"/>
    <x v="17"/>
    <n v="0"/>
    <x v="1"/>
    <x v="12"/>
    <x v="73"/>
    <n v="76.424999999999997"/>
    <x v="1209"/>
    <n v="20.225999999999999"/>
    <n v="35.630000000000003"/>
    <n v="20.376999999999999"/>
    <n v="37"/>
    <x v="1"/>
  </r>
  <r>
    <x v="3"/>
    <x v="4"/>
    <x v="5"/>
    <x v="7"/>
    <s v="BOT"/>
    <x v="1"/>
    <x v="0"/>
    <x v="18"/>
    <n v="0"/>
    <x v="1"/>
    <x v="39"/>
    <x v="57"/>
    <n v="75.706000000000003"/>
    <x v="1210"/>
    <n v="19.917000000000002"/>
    <n v="35.457999999999998"/>
    <n v="20.312999999999999"/>
    <n v="30"/>
    <x v="1"/>
  </r>
  <r>
    <x v="3"/>
    <x v="4"/>
    <x v="5"/>
    <x v="12"/>
    <s v="LEC"/>
    <x v="0"/>
    <x v="1"/>
    <x v="19"/>
    <n v="0"/>
    <x v="1"/>
    <x v="40"/>
    <x v="68"/>
    <m/>
    <x v="19"/>
    <m/>
    <m/>
    <m/>
    <m/>
    <x v="1"/>
  </r>
  <r>
    <x v="3"/>
    <x v="5"/>
    <x v="3"/>
    <x v="10"/>
    <s v="PER"/>
    <x v="2"/>
    <x v="15"/>
    <x v="0"/>
    <n v="25"/>
    <x v="0"/>
    <x v="0"/>
    <x v="11"/>
    <n v="104.687"/>
    <x v="1211"/>
    <n v="36.987000000000002"/>
    <n v="41.95"/>
    <n v="25.131"/>
    <s v="13,47,48"/>
    <x v="1"/>
  </r>
  <r>
    <x v="3"/>
    <x v="5"/>
    <x v="3"/>
    <x v="0"/>
    <s v="VET"/>
    <x v="13"/>
    <x v="8"/>
    <x v="1"/>
    <n v="18"/>
    <x v="0"/>
    <x v="0"/>
    <x v="11"/>
    <n v="104.89"/>
    <x v="1212"/>
    <n v="37.228000000000002"/>
    <n v="42.354999999999997"/>
    <n v="24.97"/>
    <s v="18,47,48"/>
    <x v="1"/>
  </r>
  <r>
    <x v="3"/>
    <x v="5"/>
    <x v="3"/>
    <x v="17"/>
    <s v="GAS"/>
    <x v="12"/>
    <x v="5"/>
    <x v="2"/>
    <n v="15"/>
    <x v="0"/>
    <x v="0"/>
    <x v="11"/>
    <n v="105.22"/>
    <x v="1213"/>
    <n v="37.201999999999998"/>
    <n v="42.033999999999999"/>
    <n v="25.405999999999999"/>
    <s v="11,47,48"/>
    <x v="1"/>
  </r>
  <r>
    <x v="3"/>
    <x v="5"/>
    <x v="3"/>
    <x v="12"/>
    <s v="LEC"/>
    <x v="0"/>
    <x v="1"/>
    <x v="3"/>
    <n v="12"/>
    <x v="1"/>
    <x v="0"/>
    <x v="11"/>
    <n v="105.38200000000001"/>
    <x v="1214"/>
    <n v="37.246000000000002"/>
    <n v="42.348999999999997"/>
    <n v="25.236999999999998"/>
    <s v="9,47,48"/>
    <x v="1"/>
  </r>
  <r>
    <x v="3"/>
    <x v="5"/>
    <x v="3"/>
    <x v="21"/>
    <s v="NOR"/>
    <x v="3"/>
    <x v="9"/>
    <x v="4"/>
    <n v="10"/>
    <x v="1"/>
    <x v="0"/>
    <x v="11"/>
    <n v="105.32599999999999"/>
    <x v="1215"/>
    <n v="37.542000000000002"/>
    <n v="42.518000000000001"/>
    <n v="24.981000000000002"/>
    <s v="7,47,48"/>
    <x v="1"/>
  </r>
  <r>
    <x v="3"/>
    <x v="5"/>
    <x v="3"/>
    <x v="4"/>
    <s v="ALO"/>
    <x v="14"/>
    <x v="3"/>
    <x v="5"/>
    <n v="8"/>
    <x v="1"/>
    <x v="0"/>
    <x v="11"/>
    <n v="105.624"/>
    <x v="1216"/>
    <n v="37.664000000000001"/>
    <n v="42.505000000000003"/>
    <n v="25.065000000000001"/>
    <s v="7,34,47,48"/>
    <x v="1"/>
  </r>
  <r>
    <x v="3"/>
    <x v="5"/>
    <x v="3"/>
    <x v="29"/>
    <s v="TSU"/>
    <x v="12"/>
    <x v="6"/>
    <x v="6"/>
    <n v="6"/>
    <x v="1"/>
    <x v="0"/>
    <x v="11"/>
    <n v="104.93899999999999"/>
    <x v="1217"/>
    <n v="37.290999999999997"/>
    <n v="42.322000000000003"/>
    <n v="24.937000000000001"/>
    <s v="9,47,48"/>
    <x v="1"/>
  </r>
  <r>
    <x v="3"/>
    <x v="5"/>
    <x v="3"/>
    <x v="9"/>
    <s v="SAI"/>
    <x v="0"/>
    <x v="16"/>
    <x v="7"/>
    <n v="4"/>
    <x v="1"/>
    <x v="0"/>
    <x v="11"/>
    <n v="105.7"/>
    <x v="1218"/>
    <n v="37.417999999999999"/>
    <n v="42.567"/>
    <n v="25.148"/>
    <s v="10,47,48"/>
    <x v="1"/>
  </r>
  <r>
    <x v="3"/>
    <x v="5"/>
    <x v="3"/>
    <x v="3"/>
    <s v="RIC"/>
    <x v="3"/>
    <x v="13"/>
    <x v="8"/>
    <n v="2"/>
    <x v="1"/>
    <x v="0"/>
    <x v="11"/>
    <n v="105.71299999999999"/>
    <x v="1219"/>
    <n v="37.61"/>
    <n v="42.725000000000001"/>
    <n v="25.033000000000001"/>
    <s v="11,47,48"/>
    <x v="1"/>
  </r>
  <r>
    <x v="3"/>
    <x v="5"/>
    <x v="3"/>
    <x v="2"/>
    <s v="RAI"/>
    <x v="11"/>
    <x v="11"/>
    <x v="9"/>
    <n v="1"/>
    <x v="1"/>
    <x v="0"/>
    <x v="11"/>
    <n v="105.601"/>
    <x v="1220"/>
    <n v="37.581000000000003"/>
    <n v="42.588999999999999"/>
    <n v="24.984999999999999"/>
    <s v="13,47,48"/>
    <x v="1"/>
  </r>
  <r>
    <x v="3"/>
    <x v="5"/>
    <x v="3"/>
    <x v="23"/>
    <s v="GIO"/>
    <x v="11"/>
    <x v="17"/>
    <x v="10"/>
    <n v="0"/>
    <x v="1"/>
    <x v="0"/>
    <x v="11"/>
    <n v="105.575"/>
    <x v="1221"/>
    <n v="37.688000000000002"/>
    <n v="42.731000000000002"/>
    <n v="24.905000000000001"/>
    <s v="2,34,47,48"/>
    <x v="1"/>
  </r>
  <r>
    <x v="3"/>
    <x v="5"/>
    <x v="3"/>
    <x v="7"/>
    <s v="BOT"/>
    <x v="1"/>
    <x v="4"/>
    <x v="11"/>
    <n v="0"/>
    <x v="1"/>
    <x v="0"/>
    <x v="11"/>
    <n v="105.66500000000001"/>
    <x v="1222"/>
    <n v="37.640999999999998"/>
    <n v="42.674999999999997"/>
    <n v="25.094999999999999"/>
    <s v="11,47,48"/>
    <x v="1"/>
  </r>
  <r>
    <x v="3"/>
    <x v="5"/>
    <x v="3"/>
    <x v="30"/>
    <s v="MSC"/>
    <x v="9"/>
    <x v="18"/>
    <x v="12"/>
    <n v="0"/>
    <x v="1"/>
    <x v="0"/>
    <x v="11"/>
    <n v="107.624"/>
    <x v="1223"/>
    <n v="37.936999999999998"/>
    <n v="42.771000000000001"/>
    <n v="25.109000000000002"/>
    <s v="8,34,44,47,48"/>
    <x v="1"/>
  </r>
  <r>
    <x v="3"/>
    <x v="5"/>
    <x v="3"/>
    <x v="31"/>
    <s v="MAZ"/>
    <x v="9"/>
    <x v="12"/>
    <x v="13"/>
    <n v="0"/>
    <x v="1"/>
    <x v="0"/>
    <x v="11"/>
    <n v="107.747"/>
    <x v="1224"/>
    <n v="38.167999999999999"/>
    <n v="43.154000000000003"/>
    <n v="25.693000000000001"/>
    <s v="9,34,44,46,47,48"/>
    <x v="1"/>
  </r>
  <r>
    <x v="3"/>
    <x v="5"/>
    <x v="3"/>
    <x v="1"/>
    <s v="HAM"/>
    <x v="1"/>
    <x v="2"/>
    <x v="14"/>
    <n v="0"/>
    <x v="1"/>
    <x v="0"/>
    <x v="11"/>
    <n v="104.76900000000001"/>
    <x v="1225"/>
    <n v="37.195999999999998"/>
    <n v="42.253"/>
    <n v="24.829000000000001"/>
    <s v="11,47,48"/>
    <x v="1"/>
  </r>
  <r>
    <x v="3"/>
    <x v="5"/>
    <x v="3"/>
    <x v="26"/>
    <s v="LAT"/>
    <x v="7"/>
    <x v="14"/>
    <x v="15"/>
    <n v="0"/>
    <x v="1"/>
    <x v="0"/>
    <x v="11"/>
    <n v="106.608"/>
    <x v="1226"/>
    <n v="37.744"/>
    <n v="43.212000000000003"/>
    <n v="25.033000000000001"/>
    <s v="9,48"/>
    <x v="1"/>
  </r>
  <r>
    <x v="3"/>
    <x v="5"/>
    <x v="3"/>
    <x v="24"/>
    <s v="RUS"/>
    <x v="7"/>
    <x v="7"/>
    <x v="16"/>
    <n v="0"/>
    <x v="1"/>
    <x v="13"/>
    <x v="66"/>
    <n v="105.959"/>
    <x v="1227"/>
    <n v="37.682000000000002"/>
    <n v="42.984000000000002"/>
    <n v="25.036000000000001"/>
    <s v="1,34,47,48"/>
    <x v="1"/>
  </r>
  <r>
    <x v="3"/>
    <x v="5"/>
    <x v="3"/>
    <x v="5"/>
    <s v="VER"/>
    <x v="2"/>
    <x v="0"/>
    <x v="17"/>
    <n v="0"/>
    <x v="1"/>
    <x v="9"/>
    <x v="21"/>
    <n v="104.48099999999999"/>
    <x v="1228"/>
    <n v="36.911000000000001"/>
    <n v="41.941000000000003"/>
    <n v="25.295999999999999"/>
    <n v="12"/>
    <x v="1"/>
  </r>
  <r>
    <x v="3"/>
    <x v="5"/>
    <x v="3"/>
    <x v="13"/>
    <s v="STR"/>
    <x v="13"/>
    <x v="19"/>
    <x v="18"/>
    <n v="0"/>
    <x v="1"/>
    <x v="9"/>
    <x v="57"/>
    <n v="106.20699999999999"/>
    <x v="1229"/>
    <n v="37.64"/>
    <n v="42.752000000000002"/>
    <n v="25.596"/>
    <m/>
    <x v="1"/>
  </r>
  <r>
    <x v="3"/>
    <x v="5"/>
    <x v="3"/>
    <x v="11"/>
    <s v="OCO"/>
    <x v="14"/>
    <x v="10"/>
    <x v="19"/>
    <n v="0"/>
    <x v="1"/>
    <x v="15"/>
    <x v="71"/>
    <n v="110.85"/>
    <x v="1230"/>
    <n v="39.768999999999998"/>
    <n v="45.238"/>
    <n v="25.843"/>
    <n v="3"/>
    <x v="1"/>
  </r>
  <r>
    <x v="3"/>
    <x v="6"/>
    <x v="7"/>
    <x v="5"/>
    <s v="VER"/>
    <x v="2"/>
    <x v="1"/>
    <x v="0"/>
    <n v="26"/>
    <x v="0"/>
    <x v="0"/>
    <x v="28"/>
    <n v="96.403999999999996"/>
    <x v="1231"/>
    <n v="24.510999999999999"/>
    <n v="28.885000000000002"/>
    <n v="42.9"/>
    <s v="18,32"/>
    <x v="1"/>
  </r>
  <r>
    <x v="3"/>
    <x v="6"/>
    <x v="7"/>
    <x v="1"/>
    <s v="HAM"/>
    <x v="1"/>
    <x v="2"/>
    <x v="1"/>
    <n v="18"/>
    <x v="0"/>
    <x v="0"/>
    <x v="28"/>
    <n v="97.41"/>
    <x v="1232"/>
    <n v="24.704000000000001"/>
    <n v="28.922000000000001"/>
    <n v="43.031999999999996"/>
    <n v="19"/>
    <x v="1"/>
  </r>
  <r>
    <x v="3"/>
    <x v="6"/>
    <x v="7"/>
    <x v="10"/>
    <s v="PER"/>
    <x v="2"/>
    <x v="5"/>
    <x v="2"/>
    <n v="15"/>
    <x v="0"/>
    <x v="0"/>
    <x v="28"/>
    <n v="96.692999999999998"/>
    <x v="1233"/>
    <n v="24.652000000000001"/>
    <n v="28.850999999999999"/>
    <n v="42.981999999999999"/>
    <n v="24"/>
    <x v="1"/>
  </r>
  <r>
    <x v="3"/>
    <x v="6"/>
    <x v="7"/>
    <x v="7"/>
    <s v="BOT"/>
    <x v="1"/>
    <x v="0"/>
    <x v="3"/>
    <n v="12"/>
    <x v="1"/>
    <x v="0"/>
    <x v="28"/>
    <n v="96.96"/>
    <x v="1234"/>
    <n v="24.64"/>
    <n v="28.805"/>
    <n v="43.264000000000003"/>
    <n v="17"/>
    <x v="1"/>
  </r>
  <r>
    <x v="3"/>
    <x v="6"/>
    <x v="7"/>
    <x v="21"/>
    <s v="NOR"/>
    <x v="3"/>
    <x v="3"/>
    <x v="4"/>
    <n v="10"/>
    <x v="1"/>
    <x v="0"/>
    <x v="28"/>
    <n v="97.424999999999997"/>
    <x v="1235"/>
    <n v="24.64"/>
    <n v="28.817"/>
    <n v="43.188000000000002"/>
    <n v="24"/>
    <x v="1"/>
  </r>
  <r>
    <x v="3"/>
    <x v="6"/>
    <x v="7"/>
    <x v="3"/>
    <s v="RIC"/>
    <x v="3"/>
    <x v="4"/>
    <x v="5"/>
    <n v="8"/>
    <x v="1"/>
    <x v="0"/>
    <x v="28"/>
    <n v="98.323999999999998"/>
    <x v="1236"/>
    <n v="24.841999999999999"/>
    <n v="29.097000000000001"/>
    <n v="43.737000000000002"/>
    <n v="16"/>
    <x v="1"/>
  </r>
  <r>
    <x v="3"/>
    <x v="6"/>
    <x v="7"/>
    <x v="17"/>
    <s v="GAS"/>
    <x v="12"/>
    <x v="15"/>
    <x v="6"/>
    <n v="6"/>
    <x v="1"/>
    <x v="0"/>
    <x v="28"/>
    <n v="98.102999999999994"/>
    <x v="1237"/>
    <n v="24.78"/>
    <n v="29.376000000000001"/>
    <n v="43.509"/>
    <n v="17"/>
    <x v="1"/>
  </r>
  <r>
    <x v="3"/>
    <x v="6"/>
    <x v="7"/>
    <x v="4"/>
    <s v="ALO"/>
    <x v="14"/>
    <x v="9"/>
    <x v="7"/>
    <n v="4"/>
    <x v="1"/>
    <x v="0"/>
    <x v="28"/>
    <n v="97.646000000000001"/>
    <x v="1238"/>
    <n v="24.686"/>
    <n v="29.116"/>
    <n v="43.366999999999997"/>
    <n v="18"/>
    <x v="1"/>
  </r>
  <r>
    <x v="3"/>
    <x v="6"/>
    <x v="7"/>
    <x v="0"/>
    <s v="VET"/>
    <x v="13"/>
    <x v="10"/>
    <x v="8"/>
    <n v="2"/>
    <x v="1"/>
    <x v="0"/>
    <x v="28"/>
    <n v="97.138000000000005"/>
    <x v="1239"/>
    <n v="24.68"/>
    <n v="29.073"/>
    <n v="43.375999999999998"/>
    <n v="37"/>
    <x v="1"/>
  </r>
  <r>
    <x v="3"/>
    <x v="6"/>
    <x v="7"/>
    <x v="13"/>
    <s v="STR"/>
    <x v="13"/>
    <x v="19"/>
    <x v="9"/>
    <n v="1"/>
    <x v="1"/>
    <x v="0"/>
    <x v="28"/>
    <n v="97.828000000000003"/>
    <x v="1240"/>
    <n v="24.803999999999998"/>
    <n v="28.905000000000001"/>
    <n v="43.545999999999999"/>
    <n v="34"/>
    <x v="1"/>
  </r>
  <r>
    <x v="3"/>
    <x v="6"/>
    <x v="7"/>
    <x v="9"/>
    <s v="SAI"/>
    <x v="0"/>
    <x v="16"/>
    <x v="10"/>
    <n v="0"/>
    <x v="1"/>
    <x v="0"/>
    <x v="28"/>
    <n v="98.930999999999997"/>
    <x v="1241"/>
    <n v="24.943000000000001"/>
    <n v="29.457000000000001"/>
    <n v="43.953000000000003"/>
    <n v="17"/>
    <x v="1"/>
  </r>
  <r>
    <x v="3"/>
    <x v="6"/>
    <x v="7"/>
    <x v="24"/>
    <s v="RUS"/>
    <x v="7"/>
    <x v="11"/>
    <x v="11"/>
    <n v="0"/>
    <x v="1"/>
    <x v="1"/>
    <x v="33"/>
    <n v="98.313999999999993"/>
    <x v="1242"/>
    <n v="24.986999999999998"/>
    <n v="28.893999999999998"/>
    <n v="43.737000000000002"/>
    <n v="17"/>
    <x v="1"/>
  </r>
  <r>
    <x v="3"/>
    <x v="6"/>
    <x v="7"/>
    <x v="29"/>
    <s v="TSU"/>
    <x v="12"/>
    <x v="20"/>
    <x v="12"/>
    <n v="0"/>
    <x v="1"/>
    <x v="1"/>
    <x v="33"/>
    <n v="98.98"/>
    <x v="1243"/>
    <n v="25.099"/>
    <n v="29.547999999999998"/>
    <n v="44.008000000000003"/>
    <n v="15"/>
    <x v="1"/>
  </r>
  <r>
    <x v="3"/>
    <x v="6"/>
    <x v="7"/>
    <x v="11"/>
    <s v="OCO"/>
    <x v="14"/>
    <x v="8"/>
    <x v="13"/>
    <n v="0"/>
    <x v="1"/>
    <x v="1"/>
    <x v="33"/>
    <n v="98.644999999999996"/>
    <x v="1244"/>
    <n v="25.062999999999999"/>
    <n v="29.358000000000001"/>
    <n v="43.942999999999998"/>
    <n v="28"/>
    <x v="1"/>
  </r>
  <r>
    <x v="3"/>
    <x v="6"/>
    <x v="7"/>
    <x v="23"/>
    <s v="GIO"/>
    <x v="11"/>
    <x v="13"/>
    <x v="14"/>
    <n v="0"/>
    <x v="1"/>
    <x v="1"/>
    <x v="33"/>
    <n v="98.701999999999998"/>
    <x v="1245"/>
    <n v="24.946999999999999"/>
    <n v="29.603000000000002"/>
    <n v="43.926000000000002"/>
    <n v="28"/>
    <x v="1"/>
  </r>
  <r>
    <x v="3"/>
    <x v="6"/>
    <x v="7"/>
    <x v="12"/>
    <s v="LEC"/>
    <x v="0"/>
    <x v="6"/>
    <x v="15"/>
    <n v="0"/>
    <x v="1"/>
    <x v="1"/>
    <x v="33"/>
    <n v="97.680999999999997"/>
    <x v="1246"/>
    <n v="24.648"/>
    <n v="29.349"/>
    <n v="43.418999999999997"/>
    <s v="14,38"/>
    <x v="1"/>
  </r>
  <r>
    <x v="3"/>
    <x v="6"/>
    <x v="7"/>
    <x v="2"/>
    <s v="RAI"/>
    <x v="11"/>
    <x v="18"/>
    <x v="16"/>
    <n v="0"/>
    <x v="1"/>
    <x v="1"/>
    <x v="33"/>
    <n v="97.992000000000004"/>
    <x v="1247"/>
    <n v="24.771000000000001"/>
    <n v="29.488"/>
    <n v="43.51"/>
    <n v="33"/>
    <x v="1"/>
  </r>
  <r>
    <x v="3"/>
    <x v="6"/>
    <x v="7"/>
    <x v="26"/>
    <s v="LAT"/>
    <x v="7"/>
    <x v="14"/>
    <x v="17"/>
    <n v="0"/>
    <x v="1"/>
    <x v="1"/>
    <x v="33"/>
    <n v="98.313000000000002"/>
    <x v="1248"/>
    <n v="24.847000000000001"/>
    <n v="29.407"/>
    <n v="43.81"/>
    <n v="18"/>
    <x v="1"/>
  </r>
  <r>
    <x v="3"/>
    <x v="6"/>
    <x v="7"/>
    <x v="30"/>
    <s v="MSC"/>
    <x v="9"/>
    <x v="7"/>
    <x v="18"/>
    <n v="0"/>
    <x v="1"/>
    <x v="1"/>
    <x v="33"/>
    <n v="98.846999999999994"/>
    <x v="1249"/>
    <n v="25.02"/>
    <n v="29.95"/>
    <n v="43.865000000000002"/>
    <n v="15"/>
    <x v="1"/>
  </r>
  <r>
    <x v="3"/>
    <x v="6"/>
    <x v="7"/>
    <x v="31"/>
    <s v="MAZ"/>
    <x v="9"/>
    <x v="12"/>
    <x v="19"/>
    <n v="0"/>
    <x v="1"/>
    <x v="1"/>
    <x v="33"/>
    <n v="99.316999999999993"/>
    <x v="1250"/>
    <n v="25.434999999999999"/>
    <n v="29.853999999999999"/>
    <n v="43.981999999999999"/>
    <n v="31"/>
    <x v="1"/>
  </r>
  <r>
    <x v="3"/>
    <x v="7"/>
    <x v="21"/>
    <x v="5"/>
    <s v="VER"/>
    <x v="2"/>
    <x v="1"/>
    <x v="0"/>
    <n v="25"/>
    <x v="0"/>
    <x v="0"/>
    <x v="27"/>
    <n v="68.016999999999996"/>
    <x v="1251"/>
    <n v="16.87"/>
    <n v="30.384"/>
    <n v="20.677"/>
    <n v="29"/>
    <x v="1"/>
  </r>
  <r>
    <x v="3"/>
    <x v="7"/>
    <x v="21"/>
    <x v="1"/>
    <s v="HAM"/>
    <x v="1"/>
    <x v="2"/>
    <x v="1"/>
    <n v="19"/>
    <x v="0"/>
    <x v="0"/>
    <x v="27"/>
    <n v="67.058000000000007"/>
    <x v="1252"/>
    <n v="17.006"/>
    <n v="29.673999999999999"/>
    <n v="20.257000000000001"/>
    <s v="28,69"/>
    <x v="1"/>
  </r>
  <r>
    <x v="3"/>
    <x v="7"/>
    <x v="21"/>
    <x v="7"/>
    <s v="BOT"/>
    <x v="1"/>
    <x v="16"/>
    <x v="2"/>
    <n v="15"/>
    <x v="0"/>
    <x v="0"/>
    <x v="27"/>
    <n v="68.619"/>
    <x v="1253"/>
    <n v="17.128"/>
    <n v="30.515000000000001"/>
    <n v="20.622"/>
    <n v="27"/>
    <x v="1"/>
  </r>
  <r>
    <x v="3"/>
    <x v="7"/>
    <x v="21"/>
    <x v="10"/>
    <s v="PER"/>
    <x v="2"/>
    <x v="5"/>
    <x v="3"/>
    <n v="12"/>
    <x v="1"/>
    <x v="0"/>
    <x v="27"/>
    <n v="67.894000000000005"/>
    <x v="1254"/>
    <n v="16.925999999999998"/>
    <n v="30.111999999999998"/>
    <n v="20.533999999999999"/>
    <s v="26,54"/>
    <x v="1"/>
  </r>
  <r>
    <x v="3"/>
    <x v="7"/>
    <x v="21"/>
    <x v="21"/>
    <s v="NOR"/>
    <x v="3"/>
    <x v="0"/>
    <x v="4"/>
    <n v="10"/>
    <x v="1"/>
    <x v="1"/>
    <x v="29"/>
    <n v="68.903000000000006"/>
    <x v="1255"/>
    <n v="17.155999999999999"/>
    <n v="30.681000000000001"/>
    <n v="20.613"/>
    <n v="31"/>
    <x v="1"/>
  </r>
  <r>
    <x v="3"/>
    <x v="7"/>
    <x v="21"/>
    <x v="9"/>
    <s v="SAI"/>
    <x v="0"/>
    <x v="10"/>
    <x v="5"/>
    <n v="8"/>
    <x v="1"/>
    <x v="1"/>
    <x v="29"/>
    <n v="68.608999999999995"/>
    <x v="1256"/>
    <n v="17.081"/>
    <n v="30.495999999999999"/>
    <n v="20.652000000000001"/>
    <n v="41"/>
    <x v="1"/>
  </r>
  <r>
    <x v="3"/>
    <x v="7"/>
    <x v="21"/>
    <x v="12"/>
    <s v="LEC"/>
    <x v="0"/>
    <x v="6"/>
    <x v="6"/>
    <n v="6"/>
    <x v="1"/>
    <x v="1"/>
    <x v="29"/>
    <n v="68.738"/>
    <x v="1257"/>
    <n v="17.143999999999998"/>
    <n v="30.597999999999999"/>
    <n v="20.602"/>
    <s v="1,37"/>
    <x v="1"/>
  </r>
  <r>
    <x v="3"/>
    <x v="7"/>
    <x v="21"/>
    <x v="13"/>
    <s v="STR"/>
    <x v="13"/>
    <x v="9"/>
    <x v="7"/>
    <n v="4"/>
    <x v="1"/>
    <x v="1"/>
    <x v="29"/>
    <n v="69.787000000000006"/>
    <x v="1258"/>
    <n v="17.132999999999999"/>
    <n v="31.045999999999999"/>
    <n v="21.085000000000001"/>
    <n v="28"/>
    <x v="1"/>
  </r>
  <r>
    <x v="3"/>
    <x v="7"/>
    <x v="21"/>
    <x v="4"/>
    <s v="ALO"/>
    <x v="14"/>
    <x v="3"/>
    <x v="8"/>
    <n v="2"/>
    <x v="1"/>
    <x v="1"/>
    <x v="29"/>
    <n v="69.748999999999995"/>
    <x v="1259"/>
    <n v="17.146999999999998"/>
    <n v="31.091000000000001"/>
    <n v="20.965"/>
    <n v="27"/>
    <x v="1"/>
  </r>
  <r>
    <x v="3"/>
    <x v="7"/>
    <x v="21"/>
    <x v="29"/>
    <s v="TSU"/>
    <x v="12"/>
    <x v="8"/>
    <x v="9"/>
    <n v="1"/>
    <x v="1"/>
    <x v="1"/>
    <x v="29"/>
    <n v="69.650000000000006"/>
    <x v="1260"/>
    <n v="16.885000000000002"/>
    <n v="31.157"/>
    <n v="20.866"/>
    <n v="26"/>
    <x v="1"/>
  </r>
  <r>
    <x v="3"/>
    <x v="7"/>
    <x v="21"/>
    <x v="2"/>
    <s v="RAI"/>
    <x v="11"/>
    <x v="12"/>
    <x v="10"/>
    <n v="0"/>
    <x v="1"/>
    <x v="1"/>
    <x v="29"/>
    <n v="69.128"/>
    <x v="1261"/>
    <n v="17.07"/>
    <n v="30.738"/>
    <n v="20.984000000000002"/>
    <n v="36"/>
    <x v="1"/>
  </r>
  <r>
    <x v="3"/>
    <x v="7"/>
    <x v="21"/>
    <x v="0"/>
    <s v="VET"/>
    <x v="13"/>
    <x v="11"/>
    <x v="11"/>
    <n v="0"/>
    <x v="1"/>
    <x v="1"/>
    <x v="29"/>
    <n v="69.820999999999998"/>
    <x v="1262"/>
    <n v="17.172000000000001"/>
    <n v="31.146000000000001"/>
    <n v="20.940999999999999"/>
    <n v="27"/>
    <x v="1"/>
  </r>
  <r>
    <x v="3"/>
    <x v="7"/>
    <x v="21"/>
    <x v="3"/>
    <s v="RIC"/>
    <x v="3"/>
    <x v="13"/>
    <x v="12"/>
    <n v="0"/>
    <x v="1"/>
    <x v="1"/>
    <x v="29"/>
    <n v="69.305000000000007"/>
    <x v="1263"/>
    <n v="16.805"/>
    <n v="30.861000000000001"/>
    <n v="20.891999999999999"/>
    <n v="41"/>
    <x v="1"/>
  </r>
  <r>
    <x v="3"/>
    <x v="7"/>
    <x v="21"/>
    <x v="11"/>
    <s v="OCO"/>
    <x v="14"/>
    <x v="18"/>
    <x v="13"/>
    <n v="0"/>
    <x v="1"/>
    <x v="1"/>
    <x v="29"/>
    <n v="69.575999999999993"/>
    <x v="1264"/>
    <n v="17.105"/>
    <n v="30.9"/>
    <n v="20.959"/>
    <n v="36"/>
    <x v="1"/>
  </r>
  <r>
    <x v="3"/>
    <x v="7"/>
    <x v="21"/>
    <x v="23"/>
    <s v="GIO"/>
    <x v="11"/>
    <x v="7"/>
    <x v="14"/>
    <n v="0"/>
    <x v="1"/>
    <x v="1"/>
    <x v="29"/>
    <n v="69.722999999999999"/>
    <x v="1265"/>
    <n v="17.138000000000002"/>
    <n v="31.091000000000001"/>
    <n v="21.132000000000001"/>
    <n v="23"/>
    <x v="1"/>
  </r>
  <r>
    <x v="3"/>
    <x v="7"/>
    <x v="21"/>
    <x v="30"/>
    <s v="MSC"/>
    <x v="9"/>
    <x v="19"/>
    <x v="15"/>
    <n v="0"/>
    <x v="1"/>
    <x v="11"/>
    <x v="30"/>
    <n v="70.004999999999995"/>
    <x v="1266"/>
    <n v="17.172000000000001"/>
    <n v="31.266999999999999"/>
    <n v="21.157"/>
    <n v="33"/>
    <x v="1"/>
  </r>
  <r>
    <x v="3"/>
    <x v="7"/>
    <x v="21"/>
    <x v="26"/>
    <s v="LAT"/>
    <x v="7"/>
    <x v="14"/>
    <x v="16"/>
    <n v="0"/>
    <x v="1"/>
    <x v="12"/>
    <x v="31"/>
    <n v="70.103999999999999"/>
    <x v="1267"/>
    <n v="17.306000000000001"/>
    <n v="31.25"/>
    <n v="21.177"/>
    <s v="1,25"/>
    <x v="1"/>
  </r>
  <r>
    <x v="3"/>
    <x v="7"/>
    <x v="21"/>
    <x v="31"/>
    <s v="MAZ"/>
    <x v="9"/>
    <x v="17"/>
    <x v="17"/>
    <n v="0"/>
    <x v="1"/>
    <x v="12"/>
    <x v="31"/>
    <n v="70.950999999999993"/>
    <x v="1268"/>
    <n v="17.363"/>
    <n v="31.62"/>
    <n v="21.521000000000001"/>
    <n v="21"/>
    <x v="1"/>
  </r>
  <r>
    <x v="3"/>
    <x v="7"/>
    <x v="21"/>
    <x v="24"/>
    <s v="RUS"/>
    <x v="7"/>
    <x v="4"/>
    <x v="18"/>
    <n v="0"/>
    <x v="1"/>
    <x v="3"/>
    <x v="74"/>
    <n v="70.498999999999995"/>
    <x v="1269"/>
    <n v="17.084"/>
    <n v="31.73"/>
    <n v="21.329000000000001"/>
    <s v="25,26,36"/>
    <x v="1"/>
  </r>
  <r>
    <x v="3"/>
    <x v="7"/>
    <x v="21"/>
    <x v="17"/>
    <s v="GAS"/>
    <x v="12"/>
    <x v="15"/>
    <x v="19"/>
    <n v="0"/>
    <x v="1"/>
    <x v="10"/>
    <x v="16"/>
    <m/>
    <x v="19"/>
    <m/>
    <m/>
    <m/>
    <n v="1"/>
    <x v="1"/>
  </r>
  <r>
    <x v="3"/>
    <x v="8"/>
    <x v="8"/>
    <x v="5"/>
    <s v="VER"/>
    <x v="2"/>
    <x v="1"/>
    <x v="0"/>
    <n v="26"/>
    <x v="0"/>
    <x v="0"/>
    <x v="27"/>
    <n v="66.2"/>
    <x v="1270"/>
    <n v="16.748999999999999"/>
    <n v="29.33"/>
    <n v="20.064"/>
    <s v="32,60"/>
    <x v="0"/>
  </r>
  <r>
    <x v="3"/>
    <x v="8"/>
    <x v="8"/>
    <x v="7"/>
    <s v="BOT"/>
    <x v="1"/>
    <x v="16"/>
    <x v="1"/>
    <n v="18"/>
    <x v="0"/>
    <x v="0"/>
    <x v="27"/>
    <n v="68.373999999999995"/>
    <x v="1271"/>
    <n v="16.995000000000001"/>
    <n v="30.44"/>
    <n v="20.613"/>
    <n v="30"/>
    <x v="0"/>
  </r>
  <r>
    <x v="3"/>
    <x v="8"/>
    <x v="8"/>
    <x v="21"/>
    <s v="NOR"/>
    <x v="3"/>
    <x v="2"/>
    <x v="2"/>
    <n v="15"/>
    <x v="0"/>
    <x v="0"/>
    <x v="27"/>
    <n v="68.471000000000004"/>
    <x v="1272"/>
    <n v="16.89"/>
    <n v="30.251000000000001"/>
    <n v="20.526"/>
    <n v="30"/>
    <x v="0"/>
  </r>
  <r>
    <x v="3"/>
    <x v="8"/>
    <x v="8"/>
    <x v="1"/>
    <s v="HAM"/>
    <x v="1"/>
    <x v="5"/>
    <x v="3"/>
    <n v="12"/>
    <x v="1"/>
    <x v="0"/>
    <x v="27"/>
    <n v="68.126000000000005"/>
    <x v="1273"/>
    <n v="17.068000000000001"/>
    <n v="30.195"/>
    <n v="20.57"/>
    <s v="31,53"/>
    <x v="0"/>
  </r>
  <r>
    <x v="3"/>
    <x v="8"/>
    <x v="8"/>
    <x v="9"/>
    <s v="SAI"/>
    <x v="0"/>
    <x v="4"/>
    <x v="4"/>
    <n v="10"/>
    <x v="1"/>
    <x v="0"/>
    <x v="27"/>
    <n v="67.762"/>
    <x v="1274"/>
    <n v="16.960999999999999"/>
    <n v="30.268999999999998"/>
    <n v="20.439"/>
    <n v="48"/>
    <x v="0"/>
  </r>
  <r>
    <x v="3"/>
    <x v="8"/>
    <x v="8"/>
    <x v="10"/>
    <s v="PER"/>
    <x v="2"/>
    <x v="0"/>
    <x v="5"/>
    <n v="8"/>
    <x v="1"/>
    <x v="0"/>
    <x v="27"/>
    <n v="68.191999999999993"/>
    <x v="1275"/>
    <n v="16.853999999999999"/>
    <n v="30.36"/>
    <n v="20.542000000000002"/>
    <n v="32"/>
    <x v="0"/>
  </r>
  <r>
    <x v="3"/>
    <x v="8"/>
    <x v="8"/>
    <x v="3"/>
    <s v="RIC"/>
    <x v="3"/>
    <x v="13"/>
    <x v="6"/>
    <n v="6"/>
    <x v="1"/>
    <x v="0"/>
    <x v="27"/>
    <n v="68.819999999999993"/>
    <x v="1276"/>
    <n v="16.978000000000002"/>
    <n v="30.774000000000001"/>
    <n v="20.556999999999999"/>
    <n v="29"/>
    <x v="0"/>
  </r>
  <r>
    <x v="3"/>
    <x v="8"/>
    <x v="8"/>
    <x v="12"/>
    <s v="LEC"/>
    <x v="0"/>
    <x v="10"/>
    <x v="7"/>
    <n v="4"/>
    <x v="1"/>
    <x v="0"/>
    <x v="27"/>
    <n v="68.697999999999993"/>
    <x v="1277"/>
    <n v="16.972000000000001"/>
    <n v="30.367000000000001"/>
    <n v="20.728999999999999"/>
    <n v="34"/>
    <x v="0"/>
  </r>
  <r>
    <x v="3"/>
    <x v="8"/>
    <x v="8"/>
    <x v="17"/>
    <s v="GAS"/>
    <x v="12"/>
    <x v="15"/>
    <x v="8"/>
    <n v="2"/>
    <x v="1"/>
    <x v="0"/>
    <x v="27"/>
    <n v="68.146000000000001"/>
    <x v="1278"/>
    <n v="16.771999999999998"/>
    <n v="30.341000000000001"/>
    <n v="20.515000000000001"/>
    <s v="13,45"/>
    <x v="0"/>
  </r>
  <r>
    <x v="3"/>
    <x v="8"/>
    <x v="8"/>
    <x v="4"/>
    <s v="ALO"/>
    <x v="14"/>
    <x v="11"/>
    <x v="9"/>
    <n v="1"/>
    <x v="1"/>
    <x v="1"/>
    <x v="29"/>
    <n v="68.405000000000001"/>
    <x v="1279"/>
    <n v="16.957000000000001"/>
    <n v="30.504999999999999"/>
    <n v="20.524999999999999"/>
    <n v="32"/>
    <x v="0"/>
  </r>
  <r>
    <x v="3"/>
    <x v="8"/>
    <x v="8"/>
    <x v="24"/>
    <s v="RUS"/>
    <x v="7"/>
    <x v="3"/>
    <x v="10"/>
    <n v="0"/>
    <x v="1"/>
    <x v="1"/>
    <x v="29"/>
    <n v="68.900000000000006"/>
    <x v="1280"/>
    <n v="17.11"/>
    <n v="30.763999999999999"/>
    <n v="20.632999999999999"/>
    <n v="30"/>
    <x v="0"/>
  </r>
  <r>
    <x v="3"/>
    <x v="8"/>
    <x v="8"/>
    <x v="29"/>
    <s v="TSU"/>
    <x v="12"/>
    <x v="6"/>
    <x v="11"/>
    <n v="0"/>
    <x v="1"/>
    <x v="1"/>
    <x v="29"/>
    <n v="68.454999999999998"/>
    <x v="1281"/>
    <n v="17.010000000000002"/>
    <n v="30.437999999999999"/>
    <n v="20.721"/>
    <s v="12,51"/>
    <x v="0"/>
  </r>
  <r>
    <x v="3"/>
    <x v="8"/>
    <x v="8"/>
    <x v="13"/>
    <s v="STR"/>
    <x v="13"/>
    <x v="9"/>
    <x v="12"/>
    <n v="0"/>
    <x v="1"/>
    <x v="1"/>
    <x v="29"/>
    <n v="68.659000000000006"/>
    <x v="1282"/>
    <n v="16.815999999999999"/>
    <n v="30.507999999999999"/>
    <n v="20.681000000000001"/>
    <s v="14,46"/>
    <x v="0"/>
  </r>
  <r>
    <x v="3"/>
    <x v="8"/>
    <x v="8"/>
    <x v="23"/>
    <s v="GIO"/>
    <x v="11"/>
    <x v="7"/>
    <x v="13"/>
    <n v="0"/>
    <x v="1"/>
    <x v="1"/>
    <x v="29"/>
    <n v="69.042000000000002"/>
    <x v="1283"/>
    <n v="17.004000000000001"/>
    <n v="30.657"/>
    <n v="20.856000000000002"/>
    <s v="1,29"/>
    <x v="0"/>
  </r>
  <r>
    <x v="3"/>
    <x v="8"/>
    <x v="8"/>
    <x v="2"/>
    <s v="RAI"/>
    <x v="11"/>
    <x v="14"/>
    <x v="14"/>
    <n v="0"/>
    <x v="1"/>
    <x v="1"/>
    <x v="29"/>
    <n v="68.52"/>
    <x v="1284"/>
    <n v="17.088000000000001"/>
    <n v="30.375"/>
    <n v="20.663"/>
    <n v="37"/>
    <x v="0"/>
  </r>
  <r>
    <x v="3"/>
    <x v="8"/>
    <x v="8"/>
    <x v="26"/>
    <s v="LAT"/>
    <x v="7"/>
    <x v="12"/>
    <x v="15"/>
    <n v="0"/>
    <x v="1"/>
    <x v="1"/>
    <x v="29"/>
    <n v="68.873999999999995"/>
    <x v="1285"/>
    <n v="17.221"/>
    <n v="31.009"/>
    <n v="20.582000000000001"/>
    <n v="33"/>
    <x v="0"/>
  </r>
  <r>
    <x v="3"/>
    <x v="8"/>
    <x v="8"/>
    <x v="0"/>
    <s v="VET"/>
    <x v="13"/>
    <x v="8"/>
    <x v="16"/>
    <n v="0"/>
    <x v="1"/>
    <x v="10"/>
    <x v="29"/>
    <n v="68.42"/>
    <x v="1286"/>
    <n v="16.928999999999998"/>
    <n v="30.315999999999999"/>
    <n v="20.69"/>
    <s v="17,49,70"/>
    <x v="0"/>
  </r>
  <r>
    <x v="3"/>
    <x v="8"/>
    <x v="8"/>
    <x v="30"/>
    <s v="MSC"/>
    <x v="9"/>
    <x v="19"/>
    <x v="17"/>
    <n v="0"/>
    <x v="1"/>
    <x v="11"/>
    <x v="30"/>
    <n v="69.394000000000005"/>
    <x v="1287"/>
    <n v="17.312000000000001"/>
    <n v="30.963000000000001"/>
    <n v="20.922999999999998"/>
    <n v="34"/>
    <x v="0"/>
  </r>
  <r>
    <x v="3"/>
    <x v="8"/>
    <x v="8"/>
    <x v="31"/>
    <s v="MAZ"/>
    <x v="9"/>
    <x v="17"/>
    <x v="18"/>
    <n v="0"/>
    <x v="1"/>
    <x v="11"/>
    <x v="30"/>
    <n v="69.757000000000005"/>
    <x v="1288"/>
    <n v="17.259"/>
    <n v="31.033999999999999"/>
    <n v="21.222000000000001"/>
    <s v="27,45"/>
    <x v="0"/>
  </r>
  <r>
    <x v="3"/>
    <x v="8"/>
    <x v="8"/>
    <x v="11"/>
    <s v="OCO"/>
    <x v="14"/>
    <x v="18"/>
    <x v="19"/>
    <n v="0"/>
    <x v="1"/>
    <x v="10"/>
    <x v="16"/>
    <m/>
    <x v="19"/>
    <m/>
    <m/>
    <m/>
    <m/>
    <x v="0"/>
  </r>
  <r>
    <x v="3"/>
    <x v="9"/>
    <x v="9"/>
    <x v="1"/>
    <s v="HAM"/>
    <x v="1"/>
    <x v="2"/>
    <x v="0"/>
    <n v="25"/>
    <x v="0"/>
    <x v="0"/>
    <x v="33"/>
    <n v="89.698999999999998"/>
    <x v="1289"/>
    <n v="28.698"/>
    <n v="36.289000000000001"/>
    <n v="24.619"/>
    <s v="2,27"/>
    <x v="1"/>
  </r>
  <r>
    <x v="3"/>
    <x v="9"/>
    <x v="9"/>
    <x v="12"/>
    <s v="LEC"/>
    <x v="0"/>
    <x v="5"/>
    <x v="1"/>
    <n v="18"/>
    <x v="0"/>
    <x v="0"/>
    <x v="33"/>
    <n v="90.569000000000003"/>
    <x v="1290"/>
    <n v="29.04"/>
    <n v="36.670999999999999"/>
    <n v="24.853999999999999"/>
    <s v="2,29"/>
    <x v="1"/>
  </r>
  <r>
    <x v="3"/>
    <x v="9"/>
    <x v="9"/>
    <x v="7"/>
    <s v="BOT"/>
    <x v="1"/>
    <x v="0"/>
    <x v="2"/>
    <n v="15"/>
    <x v="0"/>
    <x v="0"/>
    <x v="33"/>
    <n v="90.524000000000001"/>
    <x v="1291"/>
    <n v="28.844000000000001"/>
    <n v="36.79"/>
    <n v="24.847999999999999"/>
    <s v="2,22"/>
    <x v="1"/>
  </r>
  <r>
    <x v="3"/>
    <x v="9"/>
    <x v="9"/>
    <x v="21"/>
    <s v="NOR"/>
    <x v="3"/>
    <x v="16"/>
    <x v="3"/>
    <n v="12"/>
    <x v="1"/>
    <x v="0"/>
    <x v="33"/>
    <n v="91.42"/>
    <x v="1292"/>
    <n v="29.100999999999999"/>
    <n v="36.975999999999999"/>
    <n v="25.155000000000001"/>
    <s v="2,21"/>
    <x v="1"/>
  </r>
  <r>
    <x v="3"/>
    <x v="9"/>
    <x v="9"/>
    <x v="3"/>
    <s v="RIC"/>
    <x v="3"/>
    <x v="15"/>
    <x v="4"/>
    <n v="10"/>
    <x v="1"/>
    <x v="0"/>
    <x v="33"/>
    <n v="91.284000000000006"/>
    <x v="1293"/>
    <n v="29.404"/>
    <n v="36.728999999999999"/>
    <n v="25.045999999999999"/>
    <s v="2,20"/>
    <x v="1"/>
  </r>
  <r>
    <x v="3"/>
    <x v="9"/>
    <x v="9"/>
    <x v="9"/>
    <s v="SAI"/>
    <x v="0"/>
    <x v="4"/>
    <x v="5"/>
    <n v="8"/>
    <x v="1"/>
    <x v="0"/>
    <x v="33"/>
    <n v="91.222999999999999"/>
    <x v="1294"/>
    <n v="29.042000000000002"/>
    <n v="36.759"/>
    <n v="25.1"/>
    <s v="2,28"/>
    <x v="1"/>
  </r>
  <r>
    <x v="3"/>
    <x v="9"/>
    <x v="9"/>
    <x v="4"/>
    <s v="ALO"/>
    <x v="14"/>
    <x v="6"/>
    <x v="6"/>
    <n v="6"/>
    <x v="1"/>
    <x v="0"/>
    <x v="33"/>
    <n v="91.697999999999993"/>
    <x v="1295"/>
    <n v="29.356999999999999"/>
    <n v="37.036999999999999"/>
    <n v="25.25"/>
    <s v="2,24"/>
    <x v="1"/>
  </r>
  <r>
    <x v="3"/>
    <x v="9"/>
    <x v="9"/>
    <x v="13"/>
    <s v="STR"/>
    <x v="13"/>
    <x v="11"/>
    <x v="7"/>
    <n v="4"/>
    <x v="1"/>
    <x v="0"/>
    <x v="33"/>
    <n v="91.992000000000004"/>
    <x v="1296"/>
    <n v="29.042000000000002"/>
    <n v="37.28"/>
    <n v="25.321000000000002"/>
    <s v="2,23"/>
    <x v="1"/>
  </r>
  <r>
    <x v="3"/>
    <x v="9"/>
    <x v="9"/>
    <x v="11"/>
    <s v="OCO"/>
    <x v="14"/>
    <x v="9"/>
    <x v="8"/>
    <n v="2"/>
    <x v="1"/>
    <x v="0"/>
    <x v="33"/>
    <n v="92.21"/>
    <x v="1297"/>
    <n v="29.33"/>
    <n v="37.319000000000003"/>
    <n v="25.283000000000001"/>
    <s v="2,19"/>
    <x v="1"/>
  </r>
  <r>
    <x v="3"/>
    <x v="9"/>
    <x v="9"/>
    <x v="29"/>
    <s v="TSU"/>
    <x v="12"/>
    <x v="14"/>
    <x v="9"/>
    <n v="1"/>
    <x v="1"/>
    <x v="0"/>
    <x v="33"/>
    <n v="90.825999999999993"/>
    <x v="1298"/>
    <n v="29.059000000000001"/>
    <n v="36.692999999999998"/>
    <n v="24.998000000000001"/>
    <s v="2,30"/>
    <x v="1"/>
  </r>
  <r>
    <x v="3"/>
    <x v="9"/>
    <x v="9"/>
    <x v="17"/>
    <s v="GAS"/>
    <x v="12"/>
    <x v="8"/>
    <x v="10"/>
    <n v="0"/>
    <x v="1"/>
    <x v="0"/>
    <x v="33"/>
    <n v="90.266000000000005"/>
    <x v="1299"/>
    <n v="28.849"/>
    <n v="36.424999999999997"/>
    <n v="24.411000000000001"/>
    <s v="2,28,46"/>
    <x v="1"/>
  </r>
  <r>
    <x v="3"/>
    <x v="9"/>
    <x v="9"/>
    <x v="24"/>
    <s v="RUS"/>
    <x v="7"/>
    <x v="10"/>
    <x v="11"/>
    <n v="0"/>
    <x v="1"/>
    <x v="1"/>
    <x v="11"/>
    <n v="92.049000000000007"/>
    <x v="1300"/>
    <n v="29.32"/>
    <n v="37.338999999999999"/>
    <n v="25.321999999999999"/>
    <s v="2,18"/>
    <x v="1"/>
  </r>
  <r>
    <x v="3"/>
    <x v="9"/>
    <x v="9"/>
    <x v="23"/>
    <s v="GIO"/>
    <x v="11"/>
    <x v="7"/>
    <x v="12"/>
    <n v="0"/>
    <x v="1"/>
    <x v="1"/>
    <x v="11"/>
    <n v="92.346000000000004"/>
    <x v="1301"/>
    <n v="29.417000000000002"/>
    <n v="37.533999999999999"/>
    <n v="25.37"/>
    <s v="2,23"/>
    <x v="1"/>
  </r>
  <r>
    <x v="3"/>
    <x v="9"/>
    <x v="9"/>
    <x v="26"/>
    <s v="LAT"/>
    <x v="7"/>
    <x v="18"/>
    <x v="13"/>
    <n v="0"/>
    <x v="1"/>
    <x v="1"/>
    <x v="11"/>
    <n v="92.477000000000004"/>
    <x v="1302"/>
    <n v="29.349"/>
    <n v="37.463000000000001"/>
    <n v="25.260999999999999"/>
    <s v="2,19"/>
    <x v="1"/>
  </r>
  <r>
    <x v="3"/>
    <x v="9"/>
    <x v="9"/>
    <x v="2"/>
    <s v="RAI"/>
    <x v="11"/>
    <x v="13"/>
    <x v="14"/>
    <n v="0"/>
    <x v="1"/>
    <x v="1"/>
    <x v="11"/>
    <n v="91.894999999999996"/>
    <x v="1303"/>
    <n v="29.513000000000002"/>
    <n v="37.139000000000003"/>
    <n v="25.018999999999998"/>
    <s v="2,18"/>
    <x v="1"/>
  </r>
  <r>
    <x v="3"/>
    <x v="9"/>
    <x v="9"/>
    <x v="10"/>
    <s v="PER"/>
    <x v="2"/>
    <x v="20"/>
    <x v="15"/>
    <n v="0"/>
    <x v="1"/>
    <x v="1"/>
    <x v="11"/>
    <n v="88.617000000000004"/>
    <x v="1304"/>
    <n v="28.547000000000001"/>
    <n v="35.631"/>
    <n v="24.439"/>
    <s v="2,18,38,48"/>
    <x v="1"/>
  </r>
  <r>
    <x v="3"/>
    <x v="9"/>
    <x v="9"/>
    <x v="31"/>
    <s v="MAZ"/>
    <x v="9"/>
    <x v="19"/>
    <x v="16"/>
    <n v="0"/>
    <x v="1"/>
    <x v="1"/>
    <x v="11"/>
    <n v="92.909000000000006"/>
    <x v="1305"/>
    <n v="29.632999999999999"/>
    <n v="37.630000000000003"/>
    <n v="25.539000000000001"/>
    <s v="2,25"/>
    <x v="1"/>
  </r>
  <r>
    <x v="3"/>
    <x v="9"/>
    <x v="9"/>
    <x v="30"/>
    <s v="MSC"/>
    <x v="9"/>
    <x v="12"/>
    <x v="17"/>
    <n v="0"/>
    <x v="1"/>
    <x v="1"/>
    <x v="11"/>
    <n v="92.861999999999995"/>
    <x v="1306"/>
    <n v="29.297999999999998"/>
    <n v="37.813000000000002"/>
    <n v="25.393999999999998"/>
    <s v="2,24"/>
    <x v="1"/>
  </r>
  <r>
    <x v="3"/>
    <x v="9"/>
    <x v="9"/>
    <x v="0"/>
    <s v="VET"/>
    <x v="13"/>
    <x v="3"/>
    <x v="18"/>
    <n v="0"/>
    <x v="1"/>
    <x v="21"/>
    <x v="14"/>
    <n v="93.058999999999997"/>
    <x v="1307"/>
    <n v="29.074000000000002"/>
    <n v="37.875999999999998"/>
    <n v="25.567"/>
    <s v="2,18,40"/>
    <x v="1"/>
  </r>
  <r>
    <x v="3"/>
    <x v="9"/>
    <x v="9"/>
    <x v="5"/>
    <s v="VER"/>
    <x v="2"/>
    <x v="1"/>
    <x v="19"/>
    <n v="0"/>
    <x v="1"/>
    <x v="10"/>
    <x v="16"/>
    <m/>
    <x v="19"/>
    <m/>
    <m/>
    <m/>
    <m/>
    <x v="1"/>
  </r>
  <r>
    <x v="3"/>
    <x v="10"/>
    <x v="11"/>
    <x v="11"/>
    <s v="OCO"/>
    <x v="14"/>
    <x v="3"/>
    <x v="0"/>
    <n v="25"/>
    <x v="0"/>
    <x v="0"/>
    <x v="29"/>
    <n v="81.421000000000006"/>
    <x v="1308"/>
    <n v="29.404"/>
    <n v="28.707999999999998"/>
    <n v="23.099"/>
    <s v="2,3,37"/>
    <x v="0"/>
  </r>
  <r>
    <x v="3"/>
    <x v="10"/>
    <x v="11"/>
    <x v="1"/>
    <s v="HAM"/>
    <x v="1"/>
    <x v="1"/>
    <x v="1"/>
    <n v="18"/>
    <x v="0"/>
    <x v="0"/>
    <x v="29"/>
    <n v="78.715000000000003"/>
    <x v="1309"/>
    <n v="28.491"/>
    <n v="28.012"/>
    <n v="22.181000000000001"/>
    <s v="2,4,19,47"/>
    <x v="0"/>
  </r>
  <r>
    <x v="3"/>
    <x v="10"/>
    <x v="11"/>
    <x v="9"/>
    <s v="SAI"/>
    <x v="0"/>
    <x v="7"/>
    <x v="2"/>
    <n v="15"/>
    <x v="0"/>
    <x v="0"/>
    <x v="29"/>
    <n v="81.423000000000002"/>
    <x v="1310"/>
    <n v="29.408999999999999"/>
    <n v="28.81"/>
    <n v="23.082000000000001"/>
    <s v="2,3,32"/>
    <x v="0"/>
  </r>
  <r>
    <x v="3"/>
    <x v="10"/>
    <x v="11"/>
    <x v="4"/>
    <s v="ALO"/>
    <x v="14"/>
    <x v="9"/>
    <x v="3"/>
    <n v="12"/>
    <x v="1"/>
    <x v="0"/>
    <x v="29"/>
    <n v="80.358999999999995"/>
    <x v="1311"/>
    <n v="29.356999999999999"/>
    <n v="28.256"/>
    <n v="22.71"/>
    <s v="2,3,39"/>
    <x v="0"/>
  </r>
  <r>
    <x v="3"/>
    <x v="10"/>
    <x v="11"/>
    <x v="17"/>
    <s v="GAS"/>
    <x v="12"/>
    <x v="16"/>
    <x v="4"/>
    <n v="11"/>
    <x v="1"/>
    <x v="0"/>
    <x v="29"/>
    <n v="78.394000000000005"/>
    <x v="1312"/>
    <n v="28.652999999999999"/>
    <n v="27.690999999999999"/>
    <n v="22.05"/>
    <s v="2,3,30,68"/>
    <x v="0"/>
  </r>
  <r>
    <x v="3"/>
    <x v="10"/>
    <x v="11"/>
    <x v="29"/>
    <s v="TSU"/>
    <x v="12"/>
    <x v="14"/>
    <x v="5"/>
    <n v="8"/>
    <x v="1"/>
    <x v="0"/>
    <x v="29"/>
    <n v="82.45"/>
    <x v="1313"/>
    <n v="29.658999999999999"/>
    <n v="29.440999999999999"/>
    <n v="23.213000000000001"/>
    <s v="2,3,22"/>
    <x v="0"/>
  </r>
  <r>
    <x v="3"/>
    <x v="10"/>
    <x v="11"/>
    <x v="26"/>
    <s v="LAT"/>
    <x v="7"/>
    <x v="12"/>
    <x v="6"/>
    <n v="6"/>
    <x v="1"/>
    <x v="0"/>
    <x v="29"/>
    <n v="82.831000000000003"/>
    <x v="1314"/>
    <n v="29.558"/>
    <n v="29.596"/>
    <n v="23.381"/>
    <s v="2,3,23"/>
    <x v="0"/>
  </r>
  <r>
    <x v="3"/>
    <x v="10"/>
    <x v="11"/>
    <x v="24"/>
    <s v="RUS"/>
    <x v="7"/>
    <x v="18"/>
    <x v="7"/>
    <n v="4"/>
    <x v="1"/>
    <x v="0"/>
    <x v="29"/>
    <n v="82.111999999999995"/>
    <x v="1315"/>
    <n v="29.533000000000001"/>
    <n v="29.178000000000001"/>
    <n v="23.247"/>
    <s v="2,3,21"/>
    <x v="0"/>
  </r>
  <r>
    <x v="3"/>
    <x v="10"/>
    <x v="11"/>
    <x v="5"/>
    <s v="VER"/>
    <x v="2"/>
    <x v="0"/>
    <x v="8"/>
    <n v="2"/>
    <x v="1"/>
    <x v="0"/>
    <x v="29"/>
    <n v="80.944999999999993"/>
    <x v="1316"/>
    <n v="29.012"/>
    <n v="28.885000000000002"/>
    <n v="22.809000000000001"/>
    <s v="1,2,3,20,40"/>
    <x v="0"/>
  </r>
  <r>
    <x v="3"/>
    <x v="10"/>
    <x v="11"/>
    <x v="2"/>
    <s v="RAI"/>
    <x v="11"/>
    <x v="13"/>
    <x v="9"/>
    <n v="1"/>
    <x v="1"/>
    <x v="1"/>
    <x v="30"/>
    <n v="81.518000000000001"/>
    <x v="1317"/>
    <n v="29.001000000000001"/>
    <n v="29.047000000000001"/>
    <n v="23.015999999999998"/>
    <s v="2,3,15,53"/>
    <x v="0"/>
  </r>
  <r>
    <x v="3"/>
    <x v="10"/>
    <x v="11"/>
    <x v="3"/>
    <s v="RIC"/>
    <x v="3"/>
    <x v="8"/>
    <x v="10"/>
    <n v="0"/>
    <x v="1"/>
    <x v="1"/>
    <x v="30"/>
    <n v="82.802000000000007"/>
    <x v="1318"/>
    <n v="29.532"/>
    <n v="29.433"/>
    <n v="23.628"/>
    <s v="2,3,20"/>
    <x v="0"/>
  </r>
  <r>
    <x v="3"/>
    <x v="10"/>
    <x v="11"/>
    <x v="30"/>
    <s v="MSC"/>
    <x v="9"/>
    <x v="17"/>
    <x v="11"/>
    <n v="0"/>
    <x v="1"/>
    <x v="1"/>
    <x v="30"/>
    <n v="82.710999999999999"/>
    <x v="1319"/>
    <n v="29.734999999999999"/>
    <n v="29.279"/>
    <n v="23.334"/>
    <s v="2,3,34"/>
    <x v="0"/>
  </r>
  <r>
    <x v="3"/>
    <x v="10"/>
    <x v="11"/>
    <x v="23"/>
    <s v="GIO"/>
    <x v="11"/>
    <x v="20"/>
    <x v="12"/>
    <n v="0"/>
    <x v="1"/>
    <x v="1"/>
    <x v="30"/>
    <n v="82.736000000000004"/>
    <x v="1320"/>
    <n v="29.37"/>
    <n v="29.454999999999998"/>
    <n v="23.495999999999999"/>
    <s v="1,2,3,11,33"/>
    <x v="0"/>
  </r>
  <r>
    <x v="3"/>
    <x v="10"/>
    <x v="11"/>
    <x v="31"/>
    <s v="MAZ"/>
    <x v="9"/>
    <x v="19"/>
    <x v="13"/>
    <n v="0"/>
    <x v="1"/>
    <x v="10"/>
    <x v="71"/>
    <m/>
    <x v="19"/>
    <m/>
    <m/>
    <m/>
    <s v="1,2,3"/>
    <x v="0"/>
  </r>
  <r>
    <x v="3"/>
    <x v="10"/>
    <x v="11"/>
    <x v="21"/>
    <s v="NOR"/>
    <x v="3"/>
    <x v="15"/>
    <x v="14"/>
    <n v="0"/>
    <x v="1"/>
    <x v="10"/>
    <x v="10"/>
    <m/>
    <x v="19"/>
    <m/>
    <m/>
    <m/>
    <s v="1,2"/>
    <x v="0"/>
  </r>
  <r>
    <x v="3"/>
    <x v="10"/>
    <x v="11"/>
    <x v="7"/>
    <s v="BOT"/>
    <x v="1"/>
    <x v="2"/>
    <x v="15"/>
    <n v="0"/>
    <x v="1"/>
    <x v="10"/>
    <x v="16"/>
    <m/>
    <x v="19"/>
    <m/>
    <m/>
    <m/>
    <m/>
    <x v="0"/>
  </r>
  <r>
    <x v="3"/>
    <x v="10"/>
    <x v="11"/>
    <x v="10"/>
    <s v="PER"/>
    <x v="2"/>
    <x v="5"/>
    <x v="16"/>
    <n v="0"/>
    <x v="1"/>
    <x v="10"/>
    <x v="16"/>
    <m/>
    <x v="19"/>
    <m/>
    <m/>
    <m/>
    <m/>
    <x v="0"/>
  </r>
  <r>
    <x v="3"/>
    <x v="10"/>
    <x v="11"/>
    <x v="12"/>
    <s v="LEC"/>
    <x v="0"/>
    <x v="6"/>
    <x v="17"/>
    <n v="0"/>
    <x v="1"/>
    <x v="10"/>
    <x v="16"/>
    <m/>
    <x v="19"/>
    <m/>
    <m/>
    <m/>
    <m/>
    <x v="0"/>
  </r>
  <r>
    <x v="3"/>
    <x v="10"/>
    <x v="11"/>
    <x v="13"/>
    <s v="STR"/>
    <x v="13"/>
    <x v="10"/>
    <x v="18"/>
    <n v="0"/>
    <x v="1"/>
    <x v="10"/>
    <x v="16"/>
    <m/>
    <x v="19"/>
    <m/>
    <m/>
    <m/>
    <m/>
    <x v="0"/>
  </r>
  <r>
    <x v="3"/>
    <x v="10"/>
    <x v="11"/>
    <x v="0"/>
    <s v="VET"/>
    <x v="13"/>
    <x v="4"/>
    <x v="19"/>
    <n v="0"/>
    <x v="1"/>
    <x v="26"/>
    <x v="29"/>
    <n v="81.459000000000003"/>
    <x v="1321"/>
    <n v="29.233000000000001"/>
    <n v="28.965"/>
    <n v="23.041"/>
    <s v="2,3,36"/>
    <x v="0"/>
  </r>
  <r>
    <x v="3"/>
    <x v="11"/>
    <x v="12"/>
    <x v="5"/>
    <s v="VER"/>
    <x v="2"/>
    <x v="1"/>
    <x v="0"/>
    <n v="12.5"/>
    <x v="0"/>
    <x v="0"/>
    <x v="71"/>
    <m/>
    <x v="19"/>
    <m/>
    <m/>
    <m/>
    <n v="3"/>
    <x v="0"/>
  </r>
  <r>
    <x v="3"/>
    <x v="11"/>
    <x v="12"/>
    <x v="24"/>
    <s v="RUS"/>
    <x v="7"/>
    <x v="2"/>
    <x v="1"/>
    <n v="9"/>
    <x v="0"/>
    <x v="0"/>
    <x v="71"/>
    <m/>
    <x v="19"/>
    <m/>
    <m/>
    <m/>
    <n v="3"/>
    <x v="0"/>
  </r>
  <r>
    <x v="3"/>
    <x v="11"/>
    <x v="12"/>
    <x v="1"/>
    <s v="HAM"/>
    <x v="1"/>
    <x v="0"/>
    <x v="2"/>
    <n v="7.5"/>
    <x v="0"/>
    <x v="0"/>
    <x v="71"/>
    <m/>
    <x v="19"/>
    <m/>
    <m/>
    <m/>
    <n v="3"/>
    <x v="0"/>
  </r>
  <r>
    <x v="3"/>
    <x v="11"/>
    <x v="12"/>
    <x v="3"/>
    <s v="RIC"/>
    <x v="3"/>
    <x v="5"/>
    <x v="3"/>
    <n v="6"/>
    <x v="1"/>
    <x v="0"/>
    <x v="71"/>
    <m/>
    <x v="19"/>
    <m/>
    <m/>
    <m/>
    <n v="3"/>
    <x v="0"/>
  </r>
  <r>
    <x v="3"/>
    <x v="11"/>
    <x v="12"/>
    <x v="0"/>
    <s v="VET"/>
    <x v="13"/>
    <x v="16"/>
    <x v="4"/>
    <n v="5"/>
    <x v="1"/>
    <x v="0"/>
    <x v="71"/>
    <m/>
    <x v="19"/>
    <m/>
    <m/>
    <m/>
    <n v="3"/>
    <x v="0"/>
  </r>
  <r>
    <x v="3"/>
    <x v="11"/>
    <x v="12"/>
    <x v="17"/>
    <s v="GAS"/>
    <x v="12"/>
    <x v="15"/>
    <x v="5"/>
    <n v="4"/>
    <x v="1"/>
    <x v="0"/>
    <x v="71"/>
    <m/>
    <x v="19"/>
    <m/>
    <m/>
    <m/>
    <n v="3"/>
    <x v="0"/>
  </r>
  <r>
    <x v="3"/>
    <x v="11"/>
    <x v="12"/>
    <x v="11"/>
    <s v="OCO"/>
    <x v="14"/>
    <x v="3"/>
    <x v="6"/>
    <n v="3"/>
    <x v="1"/>
    <x v="0"/>
    <x v="71"/>
    <m/>
    <x v="19"/>
    <m/>
    <m/>
    <m/>
    <n v="3"/>
    <x v="0"/>
  </r>
  <r>
    <x v="3"/>
    <x v="11"/>
    <x v="12"/>
    <x v="12"/>
    <s v="LEC"/>
    <x v="0"/>
    <x v="9"/>
    <x v="7"/>
    <n v="2"/>
    <x v="1"/>
    <x v="0"/>
    <x v="71"/>
    <m/>
    <x v="19"/>
    <m/>
    <m/>
    <m/>
    <n v="3"/>
    <x v="0"/>
  </r>
  <r>
    <x v="3"/>
    <x v="11"/>
    <x v="12"/>
    <x v="26"/>
    <s v="LAT"/>
    <x v="7"/>
    <x v="4"/>
    <x v="8"/>
    <n v="1"/>
    <x v="1"/>
    <x v="0"/>
    <x v="71"/>
    <m/>
    <x v="19"/>
    <m/>
    <m/>
    <m/>
    <n v="3"/>
    <x v="0"/>
  </r>
  <r>
    <x v="3"/>
    <x v="11"/>
    <x v="12"/>
    <x v="9"/>
    <s v="SAI"/>
    <x v="0"/>
    <x v="8"/>
    <x v="9"/>
    <n v="0.5"/>
    <x v="1"/>
    <x v="0"/>
    <x v="71"/>
    <m/>
    <x v="19"/>
    <m/>
    <m/>
    <m/>
    <n v="3"/>
    <x v="0"/>
  </r>
  <r>
    <x v="3"/>
    <x v="11"/>
    <x v="12"/>
    <x v="4"/>
    <s v="ALO"/>
    <x v="14"/>
    <x v="10"/>
    <x v="10"/>
    <n v="0"/>
    <x v="1"/>
    <x v="0"/>
    <x v="71"/>
    <m/>
    <x v="19"/>
    <m/>
    <m/>
    <m/>
    <n v="3"/>
    <x v="0"/>
  </r>
  <r>
    <x v="3"/>
    <x v="11"/>
    <x v="12"/>
    <x v="7"/>
    <s v="BOT"/>
    <x v="1"/>
    <x v="13"/>
    <x v="11"/>
    <n v="0"/>
    <x v="1"/>
    <x v="0"/>
    <x v="71"/>
    <m/>
    <x v="19"/>
    <m/>
    <m/>
    <m/>
    <n v="3"/>
    <x v="0"/>
  </r>
  <r>
    <x v="3"/>
    <x v="11"/>
    <x v="12"/>
    <x v="23"/>
    <s v="GIO"/>
    <x v="11"/>
    <x v="11"/>
    <x v="12"/>
    <n v="0"/>
    <x v="1"/>
    <x v="0"/>
    <x v="71"/>
    <m/>
    <x v="19"/>
    <m/>
    <m/>
    <m/>
    <n v="3"/>
    <x v="0"/>
  </r>
  <r>
    <x v="3"/>
    <x v="11"/>
    <x v="12"/>
    <x v="21"/>
    <s v="NOR"/>
    <x v="3"/>
    <x v="7"/>
    <x v="13"/>
    <n v="0"/>
    <x v="1"/>
    <x v="0"/>
    <x v="71"/>
    <m/>
    <x v="19"/>
    <m/>
    <m/>
    <m/>
    <n v="3"/>
    <x v="0"/>
  </r>
  <r>
    <x v="3"/>
    <x v="11"/>
    <x v="12"/>
    <x v="29"/>
    <s v="TSU"/>
    <x v="12"/>
    <x v="14"/>
    <x v="14"/>
    <n v="0"/>
    <x v="1"/>
    <x v="0"/>
    <x v="71"/>
    <m/>
    <x v="19"/>
    <m/>
    <m/>
    <m/>
    <n v="3"/>
    <x v="0"/>
  </r>
  <r>
    <x v="3"/>
    <x v="11"/>
    <x v="12"/>
    <x v="30"/>
    <s v="MSC"/>
    <x v="9"/>
    <x v="18"/>
    <x v="15"/>
    <n v="0"/>
    <x v="1"/>
    <x v="0"/>
    <x v="71"/>
    <m/>
    <x v="19"/>
    <m/>
    <m/>
    <m/>
    <n v="3"/>
    <x v="0"/>
  </r>
  <r>
    <x v="3"/>
    <x v="11"/>
    <x v="12"/>
    <x v="31"/>
    <s v="MAZ"/>
    <x v="9"/>
    <x v="12"/>
    <x v="16"/>
    <n v="0"/>
    <x v="1"/>
    <x v="0"/>
    <x v="71"/>
    <m/>
    <x v="19"/>
    <m/>
    <m/>
    <m/>
    <n v="3"/>
    <x v="0"/>
  </r>
  <r>
    <x v="3"/>
    <x v="11"/>
    <x v="12"/>
    <x v="2"/>
    <s v="RAI"/>
    <x v="11"/>
    <x v="20"/>
    <x v="17"/>
    <n v="0"/>
    <x v="1"/>
    <x v="0"/>
    <x v="71"/>
    <m/>
    <x v="19"/>
    <m/>
    <m/>
    <m/>
    <n v="3"/>
    <x v="0"/>
  </r>
  <r>
    <x v="3"/>
    <x v="11"/>
    <x v="12"/>
    <x v="10"/>
    <s v="PER"/>
    <x v="2"/>
    <x v="20"/>
    <x v="18"/>
    <n v="0"/>
    <x v="1"/>
    <x v="0"/>
    <x v="71"/>
    <m/>
    <x v="19"/>
    <m/>
    <m/>
    <m/>
    <n v="3"/>
    <x v="0"/>
  </r>
  <r>
    <x v="3"/>
    <x v="11"/>
    <x v="12"/>
    <x v="13"/>
    <s v="STR"/>
    <x v="13"/>
    <x v="19"/>
    <x v="19"/>
    <n v="0"/>
    <x v="1"/>
    <x v="0"/>
    <x v="71"/>
    <m/>
    <x v="19"/>
    <m/>
    <m/>
    <m/>
    <n v="3"/>
    <x v="0"/>
  </r>
  <r>
    <x v="3"/>
    <x v="12"/>
    <x v="29"/>
    <x v="5"/>
    <s v="VER"/>
    <x v="2"/>
    <x v="1"/>
    <x v="0"/>
    <n v="25"/>
    <x v="0"/>
    <x v="0"/>
    <x v="75"/>
    <n v="73.275000000000006"/>
    <x v="1322"/>
    <n v="25.324999999999999"/>
    <n v="25.234999999999999"/>
    <n v="22.494"/>
    <s v="21,40"/>
    <x v="1"/>
  </r>
  <r>
    <x v="3"/>
    <x v="12"/>
    <x v="29"/>
    <x v="1"/>
    <s v="HAM"/>
    <x v="1"/>
    <x v="2"/>
    <x v="1"/>
    <n v="19"/>
    <x v="0"/>
    <x v="0"/>
    <x v="75"/>
    <n v="71.096999999999994"/>
    <x v="1323"/>
    <n v="24.776"/>
    <n v="24.327999999999999"/>
    <n v="21.992999999999999"/>
    <s v="20,39,70"/>
    <x v="1"/>
  </r>
  <r>
    <x v="3"/>
    <x v="12"/>
    <x v="29"/>
    <x v="7"/>
    <s v="BOT"/>
    <x v="1"/>
    <x v="0"/>
    <x v="2"/>
    <n v="15"/>
    <x v="0"/>
    <x v="0"/>
    <x v="75"/>
    <n v="72.549000000000007"/>
    <x v="1324"/>
    <n v="24.713999999999999"/>
    <n v="24.792000000000002"/>
    <n v="22.378"/>
    <s v="31,67"/>
    <x v="1"/>
  </r>
  <r>
    <x v="3"/>
    <x v="12"/>
    <x v="29"/>
    <x v="17"/>
    <s v="GAS"/>
    <x v="12"/>
    <x v="5"/>
    <x v="3"/>
    <n v="12"/>
    <x v="1"/>
    <x v="1"/>
    <x v="27"/>
    <n v="74.817999999999998"/>
    <x v="1325"/>
    <n v="25.4"/>
    <n v="26.32"/>
    <n v="22.738"/>
    <n v="24"/>
    <x v="1"/>
  </r>
  <r>
    <x v="3"/>
    <x v="12"/>
    <x v="29"/>
    <x v="12"/>
    <s v="LEC"/>
    <x v="0"/>
    <x v="16"/>
    <x v="4"/>
    <n v="10"/>
    <x v="1"/>
    <x v="1"/>
    <x v="27"/>
    <n v="74.78"/>
    <x v="1326"/>
    <n v="25.821000000000002"/>
    <n v="25.965"/>
    <n v="22.834"/>
    <n v="34"/>
    <x v="1"/>
  </r>
  <r>
    <x v="3"/>
    <x v="12"/>
    <x v="29"/>
    <x v="4"/>
    <s v="ALO"/>
    <x v="14"/>
    <x v="9"/>
    <x v="5"/>
    <n v="8"/>
    <x v="1"/>
    <x v="1"/>
    <x v="27"/>
    <n v="74.322999999999993"/>
    <x v="1327"/>
    <n v="25.466000000000001"/>
    <n v="26.001999999999999"/>
    <n v="22.765000000000001"/>
    <n v="33"/>
    <x v="1"/>
  </r>
  <r>
    <x v="3"/>
    <x v="12"/>
    <x v="29"/>
    <x v="9"/>
    <s v="SAI"/>
    <x v="0"/>
    <x v="15"/>
    <x v="6"/>
    <n v="6"/>
    <x v="1"/>
    <x v="1"/>
    <x v="27"/>
    <n v="75.260000000000005"/>
    <x v="1328"/>
    <n v="25.922999999999998"/>
    <n v="26.225999999999999"/>
    <n v="22.829000000000001"/>
    <n v="31"/>
    <x v="1"/>
  </r>
  <r>
    <x v="3"/>
    <x v="12"/>
    <x v="29"/>
    <x v="10"/>
    <s v="PER"/>
    <x v="2"/>
    <x v="20"/>
    <x v="7"/>
    <n v="4"/>
    <x v="1"/>
    <x v="1"/>
    <x v="27"/>
    <n v="73.460999999999999"/>
    <x v="1329"/>
    <n v="25.379000000000001"/>
    <n v="25.222999999999999"/>
    <n v="22.425999999999998"/>
    <s v="8,47"/>
    <x v="1"/>
  </r>
  <r>
    <x v="3"/>
    <x v="12"/>
    <x v="29"/>
    <x v="11"/>
    <s v="OCO"/>
    <x v="14"/>
    <x v="3"/>
    <x v="8"/>
    <n v="2"/>
    <x v="1"/>
    <x v="1"/>
    <x v="27"/>
    <n v="74.674999999999997"/>
    <x v="1330"/>
    <n v="25.585999999999999"/>
    <n v="26.187999999999999"/>
    <n v="22.823"/>
    <n v="31"/>
    <x v="1"/>
  </r>
  <r>
    <x v="3"/>
    <x v="12"/>
    <x v="29"/>
    <x v="21"/>
    <s v="NOR"/>
    <x v="3"/>
    <x v="13"/>
    <x v="9"/>
    <n v="1"/>
    <x v="1"/>
    <x v="1"/>
    <x v="27"/>
    <n v="74.236000000000004"/>
    <x v="1331"/>
    <n v="25.670999999999999"/>
    <n v="25.663"/>
    <n v="22.745999999999999"/>
    <n v="42"/>
    <x v="1"/>
  </r>
  <r>
    <x v="3"/>
    <x v="12"/>
    <x v="29"/>
    <x v="3"/>
    <s v="RIC"/>
    <x v="3"/>
    <x v="4"/>
    <x v="10"/>
    <n v="0"/>
    <x v="1"/>
    <x v="1"/>
    <x v="27"/>
    <n v="74.92"/>
    <x v="1332"/>
    <n v="25.914999999999999"/>
    <n v="26.013000000000002"/>
    <n v="22.821000000000002"/>
    <n v="30"/>
    <x v="1"/>
  </r>
  <r>
    <x v="3"/>
    <x v="12"/>
    <x v="29"/>
    <x v="13"/>
    <s v="STR"/>
    <x v="13"/>
    <x v="10"/>
    <x v="11"/>
    <n v="0"/>
    <x v="1"/>
    <x v="11"/>
    <x v="29"/>
    <n v="75.611000000000004"/>
    <x v="1333"/>
    <n v="25.864999999999998"/>
    <n v="26.457999999999998"/>
    <n v="23.079000000000001"/>
    <n v="27"/>
    <x v="1"/>
  </r>
  <r>
    <x v="3"/>
    <x v="12"/>
    <x v="29"/>
    <x v="0"/>
    <s v="VET"/>
    <x v="13"/>
    <x v="7"/>
    <x v="12"/>
    <n v="0"/>
    <x v="1"/>
    <x v="11"/>
    <x v="29"/>
    <n v="73.957999999999998"/>
    <x v="1334"/>
    <n v="25.47"/>
    <n v="25.713000000000001"/>
    <n v="22.558"/>
    <s v="10,44"/>
    <x v="1"/>
  </r>
  <r>
    <x v="3"/>
    <x v="12"/>
    <x v="29"/>
    <x v="23"/>
    <s v="GIO"/>
    <x v="11"/>
    <x v="6"/>
    <x v="13"/>
    <n v="0"/>
    <x v="1"/>
    <x v="11"/>
    <x v="29"/>
    <n v="75.125"/>
    <x v="1335"/>
    <n v="25.844999999999999"/>
    <n v="26.283999999999999"/>
    <n v="22.899000000000001"/>
    <s v="27,33"/>
    <x v="1"/>
  </r>
  <r>
    <x v="3"/>
    <x v="12"/>
    <x v="29"/>
    <x v="25"/>
    <s v="KUB"/>
    <x v="11"/>
    <x v="14"/>
    <x v="14"/>
    <n v="0"/>
    <x v="1"/>
    <x v="11"/>
    <x v="29"/>
    <n v="75.441999999999993"/>
    <x v="1336"/>
    <n v="26.018999999999998"/>
    <n v="26.329000000000001"/>
    <n v="22.998999999999999"/>
    <n v="40"/>
    <x v="1"/>
  </r>
  <r>
    <x v="3"/>
    <x v="12"/>
    <x v="29"/>
    <x v="26"/>
    <s v="LAT"/>
    <x v="7"/>
    <x v="20"/>
    <x v="15"/>
    <n v="0"/>
    <x v="1"/>
    <x v="11"/>
    <x v="29"/>
    <n v="75.790000000000006"/>
    <x v="1337"/>
    <n v="26.016999999999999"/>
    <n v="26.402000000000001"/>
    <n v="23.184000000000001"/>
    <n v="23"/>
    <x v="1"/>
  </r>
  <r>
    <x v="3"/>
    <x v="12"/>
    <x v="29"/>
    <x v="24"/>
    <s v="RUS"/>
    <x v="7"/>
    <x v="8"/>
    <x v="16"/>
    <n v="0"/>
    <x v="1"/>
    <x v="13"/>
    <x v="30"/>
    <n v="75.628"/>
    <x v="1338"/>
    <n v="25.768000000000001"/>
    <n v="26.571999999999999"/>
    <n v="23.123000000000001"/>
    <s v="27,68,69"/>
    <x v="1"/>
  </r>
  <r>
    <x v="3"/>
    <x v="12"/>
    <x v="29"/>
    <x v="30"/>
    <s v="MSC"/>
    <x v="9"/>
    <x v="18"/>
    <x v="17"/>
    <n v="0"/>
    <x v="1"/>
    <x v="12"/>
    <x v="30"/>
    <n v="75.927000000000007"/>
    <x v="1339"/>
    <n v="25.824000000000002"/>
    <n v="26.501999999999999"/>
    <n v="23.149000000000001"/>
    <s v="4,30"/>
    <x v="1"/>
  </r>
  <r>
    <x v="3"/>
    <x v="12"/>
    <x v="29"/>
    <x v="29"/>
    <s v="TSU"/>
    <x v="12"/>
    <x v="11"/>
    <x v="18"/>
    <n v="0"/>
    <x v="1"/>
    <x v="20"/>
    <x v="66"/>
    <n v="75.783000000000001"/>
    <x v="1340"/>
    <n v="26.25"/>
    <n v="26.475999999999999"/>
    <n v="23.056000000000001"/>
    <s v="31,48"/>
    <x v="1"/>
  </r>
  <r>
    <x v="3"/>
    <x v="12"/>
    <x v="29"/>
    <x v="31"/>
    <s v="MAZ"/>
    <x v="9"/>
    <x v="12"/>
    <x v="19"/>
    <n v="0"/>
    <x v="1"/>
    <x v="18"/>
    <x v="32"/>
    <n v="76.066000000000003"/>
    <x v="1341"/>
    <n v="26.242000000000001"/>
    <n v="26.436"/>
    <n v="23.315000000000001"/>
    <s v="33,41"/>
    <x v="1"/>
  </r>
  <r>
    <x v="3"/>
    <x v="20"/>
    <x v="20"/>
    <x v="3"/>
    <s v="RIC"/>
    <x v="3"/>
    <x v="2"/>
    <x v="0"/>
    <n v="26"/>
    <x v="0"/>
    <x v="0"/>
    <x v="28"/>
    <n v="84.811999999999998"/>
    <x v="1342"/>
    <n v="27.922999999999998"/>
    <n v="28.797999999999998"/>
    <n v="27.937000000000001"/>
    <n v="22"/>
    <x v="1"/>
  </r>
  <r>
    <x v="3"/>
    <x v="20"/>
    <x v="20"/>
    <x v="21"/>
    <s v="NOR"/>
    <x v="3"/>
    <x v="0"/>
    <x v="1"/>
    <n v="18"/>
    <x v="0"/>
    <x v="0"/>
    <x v="28"/>
    <n v="84.971000000000004"/>
    <x v="1343"/>
    <n v="27.701000000000001"/>
    <n v="28.917000000000002"/>
    <n v="28.023"/>
    <n v="24"/>
    <x v="1"/>
  </r>
  <r>
    <x v="3"/>
    <x v="20"/>
    <x v="20"/>
    <x v="7"/>
    <s v="BOT"/>
    <x v="1"/>
    <x v="19"/>
    <x v="2"/>
    <n v="15"/>
    <x v="0"/>
    <x v="0"/>
    <x v="28"/>
    <n v="84.826999999999998"/>
    <x v="1344"/>
    <n v="27.651"/>
    <n v="28.931999999999999"/>
    <n v="28.081"/>
    <n v="26"/>
    <x v="1"/>
  </r>
  <r>
    <x v="3"/>
    <x v="20"/>
    <x v="20"/>
    <x v="12"/>
    <s v="LEC"/>
    <x v="0"/>
    <x v="16"/>
    <x v="3"/>
    <n v="12"/>
    <x v="1"/>
    <x v="0"/>
    <x v="28"/>
    <n v="85.319000000000003"/>
    <x v="1345"/>
    <n v="27.998999999999999"/>
    <n v="28.882000000000001"/>
    <n v="28.373000000000001"/>
    <n v="26"/>
    <x v="1"/>
  </r>
  <r>
    <x v="3"/>
    <x v="20"/>
    <x v="20"/>
    <x v="10"/>
    <s v="PER"/>
    <x v="2"/>
    <x v="3"/>
    <x v="4"/>
    <n v="10"/>
    <x v="1"/>
    <x v="0"/>
    <x v="28"/>
    <n v="85.156000000000006"/>
    <x v="1346"/>
    <n v="27.638999999999999"/>
    <n v="28.934000000000001"/>
    <n v="28.213000000000001"/>
    <n v="26"/>
    <x v="1"/>
  </r>
  <r>
    <x v="3"/>
    <x v="20"/>
    <x v="20"/>
    <x v="9"/>
    <s v="SAI"/>
    <x v="0"/>
    <x v="15"/>
    <x v="5"/>
    <n v="8"/>
    <x v="1"/>
    <x v="0"/>
    <x v="28"/>
    <n v="85.558999999999997"/>
    <x v="1347"/>
    <n v="27.867000000000001"/>
    <n v="28.991"/>
    <n v="28.423999999999999"/>
    <n v="26"/>
    <x v="1"/>
  </r>
  <r>
    <x v="3"/>
    <x v="20"/>
    <x v="20"/>
    <x v="13"/>
    <s v="STR"/>
    <x v="13"/>
    <x v="9"/>
    <x v="6"/>
    <n v="6"/>
    <x v="1"/>
    <x v="0"/>
    <x v="28"/>
    <n v="85.852999999999994"/>
    <x v="1348"/>
    <n v="28.213999999999999"/>
    <n v="29.02"/>
    <n v="28.381"/>
    <n v="25"/>
    <x v="1"/>
  </r>
  <r>
    <x v="3"/>
    <x v="20"/>
    <x v="20"/>
    <x v="4"/>
    <s v="ALO"/>
    <x v="14"/>
    <x v="4"/>
    <x v="7"/>
    <n v="4"/>
    <x v="1"/>
    <x v="0"/>
    <x v="28"/>
    <n v="85.471999999999994"/>
    <x v="1349"/>
    <n v="28.029"/>
    <n v="29.103999999999999"/>
    <n v="28.321000000000002"/>
    <n v="25"/>
    <x v="1"/>
  </r>
  <r>
    <x v="3"/>
    <x v="20"/>
    <x v="20"/>
    <x v="24"/>
    <s v="RUS"/>
    <x v="7"/>
    <x v="11"/>
    <x v="8"/>
    <n v="2"/>
    <x v="1"/>
    <x v="0"/>
    <x v="28"/>
    <n v="85.834999999999994"/>
    <x v="1350"/>
    <n v="28.027999999999999"/>
    <n v="29.190999999999999"/>
    <n v="28.356000000000002"/>
    <n v="26"/>
    <x v="1"/>
  </r>
  <r>
    <x v="3"/>
    <x v="20"/>
    <x v="20"/>
    <x v="11"/>
    <s v="OCO"/>
    <x v="14"/>
    <x v="10"/>
    <x v="9"/>
    <n v="1"/>
    <x v="1"/>
    <x v="0"/>
    <x v="28"/>
    <n v="85.566000000000003"/>
    <x v="1351"/>
    <n v="27.986000000000001"/>
    <n v="29.263999999999999"/>
    <n v="28.26"/>
    <n v="26"/>
    <x v="1"/>
  </r>
  <r>
    <x v="3"/>
    <x v="20"/>
    <x v="20"/>
    <x v="26"/>
    <s v="LAT"/>
    <x v="7"/>
    <x v="13"/>
    <x v="10"/>
    <n v="0"/>
    <x v="1"/>
    <x v="0"/>
    <x v="28"/>
    <n v="85.953000000000003"/>
    <x v="1352"/>
    <n v="28.048999999999999"/>
    <n v="29.372"/>
    <n v="28.387"/>
    <n v="23"/>
    <x v="1"/>
  </r>
  <r>
    <x v="3"/>
    <x v="20"/>
    <x v="20"/>
    <x v="0"/>
    <s v="VET"/>
    <x v="13"/>
    <x v="8"/>
    <x v="11"/>
    <n v="0"/>
    <x v="1"/>
    <x v="0"/>
    <x v="28"/>
    <n v="85.938000000000002"/>
    <x v="1353"/>
    <n v="27.975999999999999"/>
    <n v="29.152999999999999"/>
    <n v="28.373999999999999"/>
    <s v="22,26"/>
    <x v="1"/>
  </r>
  <r>
    <x v="3"/>
    <x v="20"/>
    <x v="20"/>
    <x v="23"/>
    <s v="GIO"/>
    <x v="11"/>
    <x v="6"/>
    <x v="12"/>
    <n v="0"/>
    <x v="1"/>
    <x v="0"/>
    <x v="28"/>
    <n v="85.718000000000004"/>
    <x v="1354"/>
    <n v="27.629000000000001"/>
    <n v="29.181000000000001"/>
    <n v="28.391999999999999"/>
    <s v="1,25"/>
    <x v="1"/>
  </r>
  <r>
    <x v="3"/>
    <x v="20"/>
    <x v="20"/>
    <x v="25"/>
    <s v="KUB"/>
    <x v="11"/>
    <x v="18"/>
    <x v="13"/>
    <n v="0"/>
    <x v="1"/>
    <x v="0"/>
    <x v="28"/>
    <n v="85.849000000000004"/>
    <x v="1355"/>
    <n v="27.849"/>
    <n v="29.175999999999998"/>
    <n v="28.667000000000002"/>
    <n v="26"/>
    <x v="1"/>
  </r>
  <r>
    <x v="3"/>
    <x v="20"/>
    <x v="20"/>
    <x v="30"/>
    <s v="MSC"/>
    <x v="9"/>
    <x v="12"/>
    <x v="14"/>
    <n v="0"/>
    <x v="1"/>
    <x v="0"/>
    <x v="28"/>
    <n v="86.706999999999994"/>
    <x v="1356"/>
    <n v="28.38"/>
    <n v="29.129000000000001"/>
    <n v="29.036999999999999"/>
    <n v="23"/>
    <x v="1"/>
  </r>
  <r>
    <x v="3"/>
    <x v="20"/>
    <x v="20"/>
    <x v="31"/>
    <s v="MAZ"/>
    <x v="9"/>
    <x v="14"/>
    <x v="15"/>
    <n v="0"/>
    <x v="1"/>
    <x v="20"/>
    <x v="76"/>
    <n v="87.201999999999998"/>
    <x v="1357"/>
    <n v="28.326000000000001"/>
    <n v="29.271999999999998"/>
    <n v="29.111000000000001"/>
    <s v="24,28,39"/>
    <x v="1"/>
  </r>
  <r>
    <x v="3"/>
    <x v="20"/>
    <x v="20"/>
    <x v="1"/>
    <s v="HAM"/>
    <x v="1"/>
    <x v="5"/>
    <x v="16"/>
    <n v="0"/>
    <x v="1"/>
    <x v="10"/>
    <x v="23"/>
    <n v="85.87"/>
    <x v="1358"/>
    <n v="27.835999999999999"/>
    <n v="29.216000000000001"/>
    <n v="28.42"/>
    <n v="25"/>
    <x v="1"/>
  </r>
  <r>
    <x v="3"/>
    <x v="20"/>
    <x v="20"/>
    <x v="5"/>
    <s v="VER"/>
    <x v="2"/>
    <x v="1"/>
    <x v="17"/>
    <n v="0"/>
    <x v="1"/>
    <x v="10"/>
    <x v="65"/>
    <n v="85.173000000000002"/>
    <x v="1359"/>
    <n v="28.001999999999999"/>
    <n v="28.75"/>
    <n v="28.420999999999999"/>
    <n v="23"/>
    <x v="1"/>
  </r>
  <r>
    <x v="3"/>
    <x v="20"/>
    <x v="20"/>
    <x v="17"/>
    <s v="GAS"/>
    <x v="12"/>
    <x v="20"/>
    <x v="18"/>
    <n v="0"/>
    <x v="1"/>
    <x v="23"/>
    <x v="71"/>
    <n v="89.004999999999995"/>
    <x v="1360"/>
    <n v="28.594000000000001"/>
    <n v="30.876999999999999"/>
    <n v="29.533999999999999"/>
    <n v="3"/>
    <x v="1"/>
  </r>
  <r>
    <x v="3"/>
    <x v="20"/>
    <x v="20"/>
    <x v="29"/>
    <s v="TSU"/>
    <x v="12"/>
    <x v="20"/>
    <x v="19"/>
    <n v="0"/>
    <x v="1"/>
    <x v="5"/>
    <x v="68"/>
    <m/>
    <x v="19"/>
    <m/>
    <m/>
    <m/>
    <m/>
    <x v="1"/>
  </r>
  <r>
    <x v="3"/>
    <x v="13"/>
    <x v="14"/>
    <x v="1"/>
    <s v="HAM"/>
    <x v="1"/>
    <x v="5"/>
    <x v="0"/>
    <n v="25"/>
    <x v="0"/>
    <x v="0"/>
    <x v="28"/>
    <n v="97.575000000000003"/>
    <x v="1361"/>
    <n v="35.177"/>
    <n v="33.710999999999999"/>
    <n v="28.314"/>
    <s v="26,49"/>
    <x v="0"/>
  </r>
  <r>
    <x v="3"/>
    <x v="13"/>
    <x v="14"/>
    <x v="5"/>
    <s v="VER"/>
    <x v="2"/>
    <x v="17"/>
    <x v="1"/>
    <n v="18"/>
    <x v="0"/>
    <x v="0"/>
    <x v="28"/>
    <n v="98.396000000000001"/>
    <x v="1362"/>
    <n v="34.811"/>
    <n v="34.258000000000003"/>
    <n v="29.234000000000002"/>
    <s v="26,48"/>
    <x v="0"/>
  </r>
  <r>
    <x v="3"/>
    <x v="13"/>
    <x v="14"/>
    <x v="9"/>
    <s v="SAI"/>
    <x v="0"/>
    <x v="2"/>
    <x v="2"/>
    <n v="15"/>
    <x v="0"/>
    <x v="0"/>
    <x v="28"/>
    <n v="99.293999999999997"/>
    <x v="1363"/>
    <n v="35.826999999999998"/>
    <n v="34.322000000000003"/>
    <n v="28.858000000000001"/>
    <s v="14,48"/>
    <x v="0"/>
  </r>
  <r>
    <x v="3"/>
    <x v="13"/>
    <x v="14"/>
    <x v="3"/>
    <s v="RIC"/>
    <x v="3"/>
    <x v="16"/>
    <x v="3"/>
    <n v="12"/>
    <x v="1"/>
    <x v="0"/>
    <x v="28"/>
    <n v="99.123999999999995"/>
    <x v="1364"/>
    <n v="35.292999999999999"/>
    <n v="34.253"/>
    <n v="29.033999999999999"/>
    <s v="22,48"/>
    <x v="0"/>
  </r>
  <r>
    <x v="3"/>
    <x v="13"/>
    <x v="14"/>
    <x v="7"/>
    <s v="BOT"/>
    <x v="1"/>
    <x v="14"/>
    <x v="4"/>
    <n v="10"/>
    <x v="1"/>
    <x v="0"/>
    <x v="28"/>
    <n v="98.215999999999994"/>
    <x v="1365"/>
    <n v="35.103000000000002"/>
    <n v="33.744999999999997"/>
    <n v="28.83"/>
    <s v="28,47"/>
    <x v="0"/>
  </r>
  <r>
    <x v="3"/>
    <x v="13"/>
    <x v="14"/>
    <x v="4"/>
    <s v="ALO"/>
    <x v="14"/>
    <x v="15"/>
    <x v="5"/>
    <n v="8"/>
    <x v="1"/>
    <x v="0"/>
    <x v="28"/>
    <n v="98.686000000000007"/>
    <x v="1366"/>
    <n v="35.094000000000001"/>
    <n v="34.252000000000002"/>
    <n v="28.856999999999999"/>
    <s v="36,50"/>
    <x v="0"/>
  </r>
  <r>
    <x v="3"/>
    <x v="13"/>
    <x v="14"/>
    <x v="21"/>
    <s v="NOR"/>
    <x v="3"/>
    <x v="1"/>
    <x v="6"/>
    <n v="7"/>
    <x v="1"/>
    <x v="0"/>
    <x v="28"/>
    <n v="97.423000000000002"/>
    <x v="1367"/>
    <n v="35.289000000000001"/>
    <n v="33.564999999999998"/>
    <n v="28.271000000000001"/>
    <s v="28,51"/>
    <x v="0"/>
  </r>
  <r>
    <x v="3"/>
    <x v="13"/>
    <x v="14"/>
    <x v="2"/>
    <s v="RAI"/>
    <x v="11"/>
    <x v="13"/>
    <x v="7"/>
    <n v="4"/>
    <x v="1"/>
    <x v="0"/>
    <x v="28"/>
    <n v="100.289"/>
    <x v="1368"/>
    <n v="35.825000000000003"/>
    <n v="34.567999999999998"/>
    <n v="29.472000000000001"/>
    <s v="15,47"/>
    <x v="0"/>
  </r>
  <r>
    <x v="3"/>
    <x v="13"/>
    <x v="14"/>
    <x v="10"/>
    <s v="PER"/>
    <x v="2"/>
    <x v="3"/>
    <x v="8"/>
    <n v="2"/>
    <x v="1"/>
    <x v="0"/>
    <x v="28"/>
    <n v="99.215000000000003"/>
    <x v="1369"/>
    <n v="35.472000000000001"/>
    <n v="34.387"/>
    <n v="28.591000000000001"/>
    <s v="36,50"/>
    <x v="0"/>
  </r>
  <r>
    <x v="3"/>
    <x v="13"/>
    <x v="14"/>
    <x v="24"/>
    <s v="RUS"/>
    <x v="7"/>
    <x v="0"/>
    <x v="9"/>
    <n v="1"/>
    <x v="1"/>
    <x v="0"/>
    <x v="28"/>
    <n v="100.596"/>
    <x v="1370"/>
    <n v="35.774999999999999"/>
    <n v="34.805"/>
    <n v="29.727"/>
    <s v="13,47"/>
    <x v="0"/>
  </r>
  <r>
    <x v="3"/>
    <x v="13"/>
    <x v="14"/>
    <x v="13"/>
    <s v="STR"/>
    <x v="13"/>
    <x v="6"/>
    <x v="10"/>
    <n v="0"/>
    <x v="1"/>
    <x v="0"/>
    <x v="28"/>
    <n v="100.464"/>
    <x v="1371"/>
    <n v="35.860999999999997"/>
    <n v="34.732999999999997"/>
    <n v="29.448"/>
    <s v="12,48"/>
    <x v="0"/>
  </r>
  <r>
    <x v="3"/>
    <x v="13"/>
    <x v="14"/>
    <x v="0"/>
    <s v="VET"/>
    <x v="13"/>
    <x v="4"/>
    <x v="11"/>
    <n v="0"/>
    <x v="1"/>
    <x v="1"/>
    <x v="33"/>
    <n v="99.251000000000005"/>
    <x v="1372"/>
    <n v="35.677999999999997"/>
    <n v="34.456000000000003"/>
    <n v="28.927"/>
    <s v="26,50"/>
    <x v="0"/>
  </r>
  <r>
    <x v="3"/>
    <x v="13"/>
    <x v="14"/>
    <x v="17"/>
    <s v="GAS"/>
    <x v="12"/>
    <x v="8"/>
    <x v="12"/>
    <n v="0"/>
    <x v="1"/>
    <x v="1"/>
    <x v="33"/>
    <n v="98.278999999999996"/>
    <x v="1373"/>
    <n v="35.340000000000003"/>
    <n v="34.017000000000003"/>
    <n v="28.922000000000001"/>
    <s v="33,50"/>
    <x v="0"/>
  </r>
  <r>
    <x v="3"/>
    <x v="13"/>
    <x v="14"/>
    <x v="11"/>
    <s v="OCO"/>
    <x v="14"/>
    <x v="9"/>
    <x v="13"/>
    <n v="0"/>
    <x v="1"/>
    <x v="1"/>
    <x v="33"/>
    <n v="100.598"/>
    <x v="1374"/>
    <n v="35.906999999999996"/>
    <n v="34.786999999999999"/>
    <n v="29.414999999999999"/>
    <s v="15,50"/>
    <x v="0"/>
  </r>
  <r>
    <x v="3"/>
    <x v="13"/>
    <x v="14"/>
    <x v="12"/>
    <s v="LEC"/>
    <x v="0"/>
    <x v="19"/>
    <x v="14"/>
    <n v="0"/>
    <x v="1"/>
    <x v="1"/>
    <x v="33"/>
    <n v="98.994"/>
    <x v="1375"/>
    <n v="35.372"/>
    <n v="34.061999999999998"/>
    <n v="28.896999999999998"/>
    <s v="35,51"/>
    <x v="0"/>
  </r>
  <r>
    <x v="3"/>
    <x v="13"/>
    <x v="14"/>
    <x v="23"/>
    <s v="GIO"/>
    <x v="11"/>
    <x v="18"/>
    <x v="15"/>
    <n v="0"/>
    <x v="1"/>
    <x v="1"/>
    <x v="33"/>
    <n v="99.058000000000007"/>
    <x v="1376"/>
    <n v="35.887"/>
    <n v="34.290999999999997"/>
    <n v="28.786000000000001"/>
    <s v="36,50"/>
    <x v="0"/>
  </r>
  <r>
    <x v="3"/>
    <x v="13"/>
    <x v="14"/>
    <x v="29"/>
    <s v="TSU"/>
    <x v="12"/>
    <x v="10"/>
    <x v="16"/>
    <n v="0"/>
    <x v="1"/>
    <x v="1"/>
    <x v="33"/>
    <n v="99.96"/>
    <x v="1377"/>
    <n v="35.695999999999998"/>
    <n v="34.676000000000002"/>
    <n v="29.391999999999999"/>
    <s v="13,47,49"/>
    <x v="0"/>
  </r>
  <r>
    <x v="3"/>
    <x v="13"/>
    <x v="14"/>
    <x v="31"/>
    <s v="MAZ"/>
    <x v="9"/>
    <x v="7"/>
    <x v="17"/>
    <n v="0"/>
    <x v="1"/>
    <x v="11"/>
    <x v="11"/>
    <n v="101.71299999999999"/>
    <x v="1378"/>
    <n v="36.383000000000003"/>
    <n v="35.331000000000003"/>
    <n v="29.803000000000001"/>
    <s v="14,46"/>
    <x v="0"/>
  </r>
  <r>
    <x v="3"/>
    <x v="13"/>
    <x v="14"/>
    <x v="26"/>
    <s v="LAT"/>
    <x v="7"/>
    <x v="12"/>
    <x v="18"/>
    <n v="0"/>
    <x v="1"/>
    <x v="9"/>
    <x v="38"/>
    <n v="100"/>
    <x v="1379"/>
    <n v="35.764000000000003"/>
    <n v="34.499000000000002"/>
    <n v="29.648"/>
    <s v="13,47"/>
    <x v="0"/>
  </r>
  <r>
    <x v="3"/>
    <x v="13"/>
    <x v="14"/>
    <x v="30"/>
    <s v="MSC"/>
    <x v="9"/>
    <x v="11"/>
    <x v="19"/>
    <n v="0"/>
    <x v="1"/>
    <x v="14"/>
    <x v="40"/>
    <n v="100.276"/>
    <x v="1380"/>
    <n v="35.981000000000002"/>
    <n v="34.762999999999998"/>
    <n v="29.245999999999999"/>
    <s v="20,32"/>
    <x v="0"/>
  </r>
  <r>
    <x v="3"/>
    <x v="14"/>
    <x v="27"/>
    <x v="7"/>
    <s v="BOT"/>
    <x v="1"/>
    <x v="1"/>
    <x v="0"/>
    <n v="26"/>
    <x v="0"/>
    <x v="0"/>
    <x v="0"/>
    <n v="90.432000000000002"/>
    <x v="1381"/>
    <n v="33.728000000000002"/>
    <n v="31.623000000000001"/>
    <n v="25.081"/>
    <n v="37"/>
    <x v="1"/>
  </r>
  <r>
    <x v="3"/>
    <x v="14"/>
    <x v="27"/>
    <x v="5"/>
    <s v="VER"/>
    <x v="2"/>
    <x v="2"/>
    <x v="1"/>
    <n v="18"/>
    <x v="0"/>
    <x v="0"/>
    <x v="0"/>
    <n v="92.759"/>
    <x v="1382"/>
    <n v="34.587000000000003"/>
    <n v="32.340000000000003"/>
    <n v="25.623999999999999"/>
    <n v="36"/>
    <x v="1"/>
  </r>
  <r>
    <x v="3"/>
    <x v="14"/>
    <x v="27"/>
    <x v="10"/>
    <s v="PER"/>
    <x v="2"/>
    <x v="15"/>
    <x v="2"/>
    <n v="15"/>
    <x v="0"/>
    <x v="0"/>
    <x v="0"/>
    <n v="92.459000000000003"/>
    <x v="1383"/>
    <n v="34.414999999999999"/>
    <n v="32.289000000000001"/>
    <n v="25.678000000000001"/>
    <n v="37"/>
    <x v="1"/>
  </r>
  <r>
    <x v="3"/>
    <x v="14"/>
    <x v="27"/>
    <x v="12"/>
    <s v="LEC"/>
    <x v="0"/>
    <x v="0"/>
    <x v="3"/>
    <n v="12"/>
    <x v="1"/>
    <x v="0"/>
    <x v="0"/>
    <n v="92.736999999999995"/>
    <x v="1384"/>
    <n v="34.533000000000001"/>
    <n v="32.335999999999999"/>
    <n v="25.425999999999998"/>
    <n v="47"/>
    <x v="1"/>
  </r>
  <r>
    <x v="3"/>
    <x v="14"/>
    <x v="27"/>
    <x v="1"/>
    <s v="HAM"/>
    <x v="1"/>
    <x v="8"/>
    <x v="4"/>
    <n v="10"/>
    <x v="1"/>
    <x v="0"/>
    <x v="0"/>
    <n v="92.763000000000005"/>
    <x v="1385"/>
    <n v="33.978000000000002"/>
    <n v="32.302"/>
    <n v="25.292000000000002"/>
    <n v="50"/>
    <x v="1"/>
  </r>
  <r>
    <x v="3"/>
    <x v="14"/>
    <x v="27"/>
    <x v="17"/>
    <s v="GAS"/>
    <x v="12"/>
    <x v="5"/>
    <x v="5"/>
    <n v="8"/>
    <x v="1"/>
    <x v="0"/>
    <x v="0"/>
    <n v="92.813999999999993"/>
    <x v="1386"/>
    <n v="34.459000000000003"/>
    <n v="32.393000000000001"/>
    <n v="25.806999999999999"/>
    <n v="39"/>
    <x v="1"/>
  </r>
  <r>
    <x v="3"/>
    <x v="14"/>
    <x v="27"/>
    <x v="21"/>
    <s v="NOR"/>
    <x v="3"/>
    <x v="6"/>
    <x v="6"/>
    <n v="6"/>
    <x v="1"/>
    <x v="0"/>
    <x v="0"/>
    <n v="92.445999999999998"/>
    <x v="1387"/>
    <n v="34.551000000000002"/>
    <n v="32.067"/>
    <n v="25.76"/>
    <n v="34"/>
    <x v="1"/>
  </r>
  <r>
    <x v="3"/>
    <x v="14"/>
    <x v="27"/>
    <x v="9"/>
    <s v="SAI"/>
    <x v="0"/>
    <x v="19"/>
    <x v="7"/>
    <n v="4"/>
    <x v="1"/>
    <x v="0"/>
    <x v="0"/>
    <n v="91.921000000000006"/>
    <x v="1388"/>
    <n v="34.277999999999999"/>
    <n v="31.971"/>
    <n v="25.529"/>
    <n v="36"/>
    <x v="1"/>
  </r>
  <r>
    <x v="3"/>
    <x v="14"/>
    <x v="27"/>
    <x v="13"/>
    <s v="STR"/>
    <x v="13"/>
    <x v="3"/>
    <x v="8"/>
    <n v="2"/>
    <x v="1"/>
    <x v="0"/>
    <x v="0"/>
    <n v="92.608000000000004"/>
    <x v="1389"/>
    <n v="34.624000000000002"/>
    <n v="32.377000000000002"/>
    <n v="25.513999999999999"/>
    <n v="39"/>
    <x v="1"/>
  </r>
  <r>
    <x v="3"/>
    <x v="14"/>
    <x v="27"/>
    <x v="11"/>
    <s v="OCO"/>
    <x v="14"/>
    <x v="10"/>
    <x v="9"/>
    <n v="1"/>
    <x v="1"/>
    <x v="1"/>
    <x v="1"/>
    <n v="94.584000000000003"/>
    <x v="1390"/>
    <n v="35.301000000000002"/>
    <n v="33.046999999999997"/>
    <n v="26.006"/>
    <m/>
    <x v="1"/>
  </r>
  <r>
    <x v="3"/>
    <x v="14"/>
    <x v="27"/>
    <x v="23"/>
    <s v="GIO"/>
    <x v="11"/>
    <x v="14"/>
    <x v="10"/>
    <n v="0"/>
    <x v="1"/>
    <x v="1"/>
    <x v="1"/>
    <n v="92.903999999999996"/>
    <x v="1391"/>
    <n v="34.713000000000001"/>
    <n v="32.494999999999997"/>
    <n v="25.594999999999999"/>
    <n v="40"/>
    <x v="1"/>
  </r>
  <r>
    <x v="3"/>
    <x v="14"/>
    <x v="27"/>
    <x v="2"/>
    <s v="RAI"/>
    <x v="11"/>
    <x v="18"/>
    <x v="11"/>
    <n v="0"/>
    <x v="1"/>
    <x v="1"/>
    <x v="1"/>
    <n v="92.585999999999999"/>
    <x v="1392"/>
    <n v="34.426000000000002"/>
    <n v="32.610999999999997"/>
    <n v="25.548999999999999"/>
    <n v="37"/>
    <x v="1"/>
  </r>
  <r>
    <x v="3"/>
    <x v="14"/>
    <x v="27"/>
    <x v="3"/>
    <s v="RIC"/>
    <x v="3"/>
    <x v="17"/>
    <x v="12"/>
    <n v="0"/>
    <x v="1"/>
    <x v="1"/>
    <x v="1"/>
    <n v="93.254999999999995"/>
    <x v="1393"/>
    <n v="34.701999999999998"/>
    <n v="32.643999999999998"/>
    <n v="25.824000000000002"/>
    <n v="21"/>
    <x v="1"/>
  </r>
  <r>
    <x v="3"/>
    <x v="14"/>
    <x v="27"/>
    <x v="29"/>
    <s v="TSU"/>
    <x v="12"/>
    <x v="9"/>
    <x v="13"/>
    <n v="0"/>
    <x v="1"/>
    <x v="1"/>
    <x v="1"/>
    <n v="92.843999999999994"/>
    <x v="1394"/>
    <n v="34.774000000000001"/>
    <n v="32.386000000000003"/>
    <n v="25.655000000000001"/>
    <n v="35"/>
    <x v="1"/>
  </r>
  <r>
    <x v="3"/>
    <x v="14"/>
    <x v="27"/>
    <x v="24"/>
    <s v="RUS"/>
    <x v="7"/>
    <x v="13"/>
    <x v="14"/>
    <n v="0"/>
    <x v="1"/>
    <x v="1"/>
    <x v="1"/>
    <n v="93.399000000000001"/>
    <x v="1395"/>
    <n v="35.055999999999997"/>
    <n v="32.393999999999998"/>
    <n v="25.777000000000001"/>
    <n v="35"/>
    <x v="1"/>
  </r>
  <r>
    <x v="3"/>
    <x v="14"/>
    <x v="27"/>
    <x v="4"/>
    <s v="ALO"/>
    <x v="14"/>
    <x v="16"/>
    <x v="15"/>
    <n v="0"/>
    <x v="1"/>
    <x v="1"/>
    <x v="1"/>
    <n v="93.251999999999995"/>
    <x v="1396"/>
    <n v="34.871000000000002"/>
    <n v="32.545999999999999"/>
    <n v="25.77"/>
    <n v="30"/>
    <x v="1"/>
  </r>
  <r>
    <x v="3"/>
    <x v="14"/>
    <x v="27"/>
    <x v="26"/>
    <s v="LAT"/>
    <x v="7"/>
    <x v="7"/>
    <x v="16"/>
    <n v="0"/>
    <x v="1"/>
    <x v="1"/>
    <x v="1"/>
    <n v="93.671999999999997"/>
    <x v="1397"/>
    <n v="34.85"/>
    <n v="32.598999999999997"/>
    <n v="25.756"/>
    <n v="34"/>
    <x v="1"/>
  </r>
  <r>
    <x v="3"/>
    <x v="14"/>
    <x v="27"/>
    <x v="0"/>
    <s v="VET"/>
    <x v="13"/>
    <x v="4"/>
    <x v="17"/>
    <n v="0"/>
    <x v="1"/>
    <x v="1"/>
    <x v="1"/>
    <n v="92.73"/>
    <x v="1398"/>
    <n v="34.584000000000003"/>
    <n v="32.262999999999998"/>
    <n v="25.797999999999998"/>
    <s v="36,37"/>
    <x v="1"/>
  </r>
  <r>
    <x v="3"/>
    <x v="14"/>
    <x v="27"/>
    <x v="30"/>
    <s v="MSC"/>
    <x v="9"/>
    <x v="11"/>
    <x v="18"/>
    <n v="0"/>
    <x v="1"/>
    <x v="11"/>
    <x v="7"/>
    <n v="94.209000000000003"/>
    <x v="1399"/>
    <n v="34.930999999999997"/>
    <n v="32.921999999999997"/>
    <n v="26.010999999999999"/>
    <n v="39"/>
    <x v="1"/>
  </r>
  <r>
    <x v="3"/>
    <x v="14"/>
    <x v="27"/>
    <x v="31"/>
    <s v="MAZ"/>
    <x v="9"/>
    <x v="12"/>
    <x v="19"/>
    <n v="0"/>
    <x v="1"/>
    <x v="11"/>
    <x v="7"/>
    <n v="95.438000000000002"/>
    <x v="1400"/>
    <n v="35.698999999999998"/>
    <n v="33.329000000000001"/>
    <n v="26.253"/>
    <n v="35"/>
    <x v="1"/>
  </r>
  <r>
    <x v="3"/>
    <x v="15"/>
    <x v="16"/>
    <x v="5"/>
    <s v="VER"/>
    <x v="2"/>
    <x v="1"/>
    <x v="0"/>
    <n v="25"/>
    <x v="0"/>
    <x v="0"/>
    <x v="7"/>
    <n v="99.096000000000004"/>
    <x v="1401"/>
    <n v="26.396999999999998"/>
    <n v="40.003"/>
    <n v="32.331000000000003"/>
    <s v="10,29"/>
    <x v="1"/>
  </r>
  <r>
    <x v="3"/>
    <x v="15"/>
    <x v="16"/>
    <x v="1"/>
    <s v="HAM"/>
    <x v="1"/>
    <x v="2"/>
    <x v="1"/>
    <n v="19"/>
    <x v="0"/>
    <x v="0"/>
    <x v="7"/>
    <n v="98.484999999999999"/>
    <x v="1402"/>
    <n v="26.446999999999999"/>
    <n v="39.661000000000001"/>
    <n v="32.311999999999998"/>
    <s v="13,37"/>
    <x v="1"/>
  </r>
  <r>
    <x v="3"/>
    <x v="15"/>
    <x v="16"/>
    <x v="10"/>
    <s v="PER"/>
    <x v="2"/>
    <x v="0"/>
    <x v="2"/>
    <n v="15"/>
    <x v="0"/>
    <x v="0"/>
    <x v="7"/>
    <n v="99.566000000000003"/>
    <x v="1403"/>
    <n v="26.861999999999998"/>
    <n v="40.125"/>
    <n v="32.579000000000001"/>
    <s v="12,30"/>
    <x v="1"/>
  </r>
  <r>
    <x v="3"/>
    <x v="15"/>
    <x v="16"/>
    <x v="12"/>
    <s v="LEC"/>
    <x v="0"/>
    <x v="5"/>
    <x v="3"/>
    <n v="12"/>
    <x v="1"/>
    <x v="0"/>
    <x v="7"/>
    <n v="99.302999999999997"/>
    <x v="1404"/>
    <n v="26.753"/>
    <n v="40.003999999999998"/>
    <n v="32.524999999999999"/>
    <s v="12,32"/>
    <x v="1"/>
  </r>
  <r>
    <x v="3"/>
    <x v="15"/>
    <x v="16"/>
    <x v="3"/>
    <s v="RIC"/>
    <x v="3"/>
    <x v="15"/>
    <x v="4"/>
    <n v="10"/>
    <x v="1"/>
    <x v="0"/>
    <x v="7"/>
    <n v="100.345"/>
    <x v="1405"/>
    <n v="26.71"/>
    <n v="40.351999999999997"/>
    <n v="33.125999999999998"/>
    <s v="11,30"/>
    <x v="1"/>
  </r>
  <r>
    <x v="3"/>
    <x v="15"/>
    <x v="16"/>
    <x v="7"/>
    <s v="BOT"/>
    <x v="1"/>
    <x v="9"/>
    <x v="5"/>
    <n v="8"/>
    <x v="1"/>
    <x v="0"/>
    <x v="7"/>
    <n v="100.14700000000001"/>
    <x v="1406"/>
    <n v="26.728999999999999"/>
    <n v="39.911000000000001"/>
    <n v="32.819000000000003"/>
    <s v="15,34"/>
    <x v="1"/>
  </r>
  <r>
    <x v="3"/>
    <x v="15"/>
    <x v="16"/>
    <x v="9"/>
    <s v="SAI"/>
    <x v="0"/>
    <x v="16"/>
    <x v="6"/>
    <n v="6"/>
    <x v="1"/>
    <x v="0"/>
    <x v="7"/>
    <n v="100.377"/>
    <x v="1407"/>
    <n v="26.693000000000001"/>
    <n v="40.137"/>
    <n v="32.997"/>
    <s v="11,29"/>
    <x v="1"/>
  </r>
  <r>
    <x v="3"/>
    <x v="15"/>
    <x v="16"/>
    <x v="21"/>
    <s v="NOR"/>
    <x v="3"/>
    <x v="6"/>
    <x v="7"/>
    <n v="4"/>
    <x v="1"/>
    <x v="0"/>
    <x v="7"/>
    <n v="100.22799999999999"/>
    <x v="1408"/>
    <n v="26.704999999999998"/>
    <n v="40.238999999999997"/>
    <n v="32.966000000000001"/>
    <s v="10,30"/>
    <x v="1"/>
  </r>
  <r>
    <x v="3"/>
    <x v="15"/>
    <x v="16"/>
    <x v="29"/>
    <s v="TSU"/>
    <x v="12"/>
    <x v="4"/>
    <x v="8"/>
    <n v="2"/>
    <x v="1"/>
    <x v="1"/>
    <x v="35"/>
    <n v="101.151"/>
    <x v="1409"/>
    <n v="27.077000000000002"/>
    <n v="40.747"/>
    <n v="33.168999999999997"/>
    <s v="9,32"/>
    <x v="1"/>
  </r>
  <r>
    <x v="3"/>
    <x v="15"/>
    <x v="16"/>
    <x v="0"/>
    <s v="VET"/>
    <x v="13"/>
    <x v="12"/>
    <x v="9"/>
    <n v="1"/>
    <x v="1"/>
    <x v="1"/>
    <x v="35"/>
    <n v="100.48099999999999"/>
    <x v="1410"/>
    <n v="27.225999999999999"/>
    <n v="40.295999999999999"/>
    <n v="32.896999999999998"/>
    <s v="17,38"/>
    <x v="1"/>
  </r>
  <r>
    <x v="3"/>
    <x v="15"/>
    <x v="16"/>
    <x v="23"/>
    <s v="GIO"/>
    <x v="11"/>
    <x v="10"/>
    <x v="10"/>
    <n v="0"/>
    <x v="1"/>
    <x v="1"/>
    <x v="35"/>
    <n v="100.792"/>
    <x v="1411"/>
    <n v="27.175000000000001"/>
    <n v="40.274999999999999"/>
    <n v="33.128"/>
    <s v="8,26"/>
    <x v="1"/>
  </r>
  <r>
    <x v="3"/>
    <x v="15"/>
    <x v="16"/>
    <x v="13"/>
    <s v="STR"/>
    <x v="13"/>
    <x v="13"/>
    <x v="11"/>
    <n v="0"/>
    <x v="1"/>
    <x v="1"/>
    <x v="35"/>
    <n v="101.18899999999999"/>
    <x v="1412"/>
    <n v="27.178999999999998"/>
    <n v="40.703000000000003"/>
    <n v="33.173000000000002"/>
    <s v="18,34"/>
    <x v="1"/>
  </r>
  <r>
    <x v="3"/>
    <x v="15"/>
    <x v="16"/>
    <x v="2"/>
    <s v="RAI"/>
    <x v="11"/>
    <x v="7"/>
    <x v="12"/>
    <n v="0"/>
    <x v="1"/>
    <x v="1"/>
    <x v="35"/>
    <n v="101.34"/>
    <x v="1413"/>
    <n v="27.114999999999998"/>
    <n v="40.551000000000002"/>
    <n v="33.344999999999999"/>
    <s v="12,31"/>
    <x v="1"/>
  </r>
  <r>
    <x v="3"/>
    <x v="15"/>
    <x v="16"/>
    <x v="24"/>
    <s v="RUS"/>
    <x v="7"/>
    <x v="17"/>
    <x v="13"/>
    <n v="0"/>
    <x v="1"/>
    <x v="1"/>
    <x v="35"/>
    <n v="101.12"/>
    <x v="1414"/>
    <n v="27.266999999999999"/>
    <n v="40.655999999999999"/>
    <n v="33.14"/>
    <s v="9,31"/>
    <x v="1"/>
  </r>
  <r>
    <x v="3"/>
    <x v="15"/>
    <x v="16"/>
    <x v="26"/>
    <s v="LAT"/>
    <x v="7"/>
    <x v="11"/>
    <x v="14"/>
    <n v="0"/>
    <x v="1"/>
    <x v="1"/>
    <x v="35"/>
    <n v="101.818"/>
    <x v="1415"/>
    <n v="27.138999999999999"/>
    <n v="40.872"/>
    <n v="33.628999999999998"/>
    <s v="5,25"/>
    <x v="1"/>
  </r>
  <r>
    <x v="3"/>
    <x v="15"/>
    <x v="16"/>
    <x v="30"/>
    <s v="MSC"/>
    <x v="9"/>
    <x v="14"/>
    <x v="15"/>
    <n v="0"/>
    <x v="1"/>
    <x v="11"/>
    <x v="36"/>
    <n v="101.395"/>
    <x v="1416"/>
    <n v="27.33"/>
    <n v="40.662999999999997"/>
    <n v="33.332999999999998"/>
    <s v="11,34"/>
    <x v="1"/>
  </r>
  <r>
    <x v="3"/>
    <x v="15"/>
    <x v="16"/>
    <x v="31"/>
    <s v="MAZ"/>
    <x v="9"/>
    <x v="18"/>
    <x v="16"/>
    <n v="0"/>
    <x v="1"/>
    <x v="11"/>
    <x v="36"/>
    <n v="102.886"/>
    <x v="1417"/>
    <n v="27.629000000000001"/>
    <n v="41.14"/>
    <n v="33.658999999999999"/>
    <s v="1,24,37"/>
    <x v="1"/>
  </r>
  <r>
    <x v="3"/>
    <x v="15"/>
    <x v="16"/>
    <x v="4"/>
    <s v="ALO"/>
    <x v="14"/>
    <x v="19"/>
    <x v="17"/>
    <n v="0"/>
    <x v="1"/>
    <x v="41"/>
    <x v="12"/>
    <n v="100.06699999999999"/>
    <x v="1418"/>
    <n v="26.849"/>
    <n v="39.935000000000002"/>
    <n v="32.871000000000002"/>
    <s v="7,28,39,49"/>
    <x v="1"/>
  </r>
  <r>
    <x v="3"/>
    <x v="15"/>
    <x v="16"/>
    <x v="11"/>
    <s v="OCO"/>
    <x v="14"/>
    <x v="8"/>
    <x v="18"/>
    <n v="0"/>
    <x v="1"/>
    <x v="24"/>
    <x v="14"/>
    <n v="102.194"/>
    <x v="1419"/>
    <n v="27.341000000000001"/>
    <n v="41.006999999999998"/>
    <n v="33.549999999999997"/>
    <s v="3,25,40"/>
    <x v="1"/>
  </r>
  <r>
    <x v="3"/>
    <x v="15"/>
    <x v="16"/>
    <x v="17"/>
    <s v="GAS"/>
    <x v="12"/>
    <x v="3"/>
    <x v="19"/>
    <n v="0"/>
    <x v="1"/>
    <x v="23"/>
    <x v="4"/>
    <n v="102.015"/>
    <x v="1420"/>
    <n v="27.45"/>
    <n v="40.911000000000001"/>
    <n v="33.654000000000003"/>
    <s v="10,14"/>
    <x v="1"/>
  </r>
  <r>
    <x v="3"/>
    <x v="16"/>
    <x v="30"/>
    <x v="5"/>
    <s v="VER"/>
    <x v="2"/>
    <x v="0"/>
    <x v="0"/>
    <n v="25"/>
    <x v="0"/>
    <x v="0"/>
    <x v="27"/>
    <n v="78.998999999999995"/>
    <x v="1421"/>
    <n v="27.95"/>
    <n v="30.318999999999999"/>
    <n v="20.387"/>
    <n v="33"/>
    <x v="1"/>
  </r>
  <r>
    <x v="3"/>
    <x v="16"/>
    <x v="30"/>
    <x v="1"/>
    <s v="HAM"/>
    <x v="1"/>
    <x v="2"/>
    <x v="1"/>
    <n v="18"/>
    <x v="0"/>
    <x v="0"/>
    <x v="27"/>
    <n v="79.819999999999993"/>
    <x v="1422"/>
    <n v="27.937999999999999"/>
    <n v="30.774999999999999"/>
    <n v="20.675000000000001"/>
    <n v="29"/>
    <x v="1"/>
  </r>
  <r>
    <x v="3"/>
    <x v="16"/>
    <x v="30"/>
    <x v="10"/>
    <s v="PER"/>
    <x v="2"/>
    <x v="5"/>
    <x v="2"/>
    <n v="15"/>
    <x v="0"/>
    <x v="0"/>
    <x v="27"/>
    <n v="79.468000000000004"/>
    <x v="1423"/>
    <n v="28.08"/>
    <n v="30.489000000000001"/>
    <n v="20.46"/>
    <n v="40"/>
    <x v="1"/>
  </r>
  <r>
    <x v="3"/>
    <x v="16"/>
    <x v="30"/>
    <x v="17"/>
    <s v="GAS"/>
    <x v="12"/>
    <x v="16"/>
    <x v="3"/>
    <n v="12"/>
    <x v="1"/>
    <x v="0"/>
    <x v="27"/>
    <n v="80.510000000000005"/>
    <x v="1424"/>
    <n v="28.544"/>
    <n v="31.042999999999999"/>
    <n v="20.777999999999999"/>
    <n v="31"/>
    <x v="1"/>
  </r>
  <r>
    <x v="3"/>
    <x v="16"/>
    <x v="30"/>
    <x v="12"/>
    <s v="LEC"/>
    <x v="0"/>
    <x v="3"/>
    <x v="4"/>
    <n v="10"/>
    <x v="1"/>
    <x v="0"/>
    <x v="27"/>
    <n v="80.665000000000006"/>
    <x v="1425"/>
    <n v="28.093"/>
    <n v="31.141999999999999"/>
    <n v="20.893999999999998"/>
    <n v="30"/>
    <x v="1"/>
  </r>
  <r>
    <x v="3"/>
    <x v="16"/>
    <x v="30"/>
    <x v="9"/>
    <s v="SAI"/>
    <x v="0"/>
    <x v="15"/>
    <x v="5"/>
    <n v="8"/>
    <x v="1"/>
    <x v="1"/>
    <x v="29"/>
    <n v="80.081000000000003"/>
    <x v="1426"/>
    <n v="28.355"/>
    <n v="30.928000000000001"/>
    <n v="20.667000000000002"/>
    <n v="42"/>
    <x v="1"/>
  </r>
  <r>
    <x v="3"/>
    <x v="16"/>
    <x v="30"/>
    <x v="0"/>
    <s v="VET"/>
    <x v="13"/>
    <x v="9"/>
    <x v="6"/>
    <n v="6"/>
    <x v="1"/>
    <x v="1"/>
    <x v="29"/>
    <n v="80.459999999999994"/>
    <x v="1427"/>
    <n v="28.661999999999999"/>
    <n v="30.991"/>
    <n v="20.806999999999999"/>
    <n v="33"/>
    <x v="1"/>
  </r>
  <r>
    <x v="3"/>
    <x v="16"/>
    <x v="30"/>
    <x v="2"/>
    <s v="RAI"/>
    <x v="11"/>
    <x v="4"/>
    <x v="7"/>
    <n v="4"/>
    <x v="1"/>
    <x v="1"/>
    <x v="29"/>
    <n v="80.712999999999994"/>
    <x v="1428"/>
    <n v="28.289000000000001"/>
    <n v="31.363"/>
    <n v="20.896000000000001"/>
    <n v="32"/>
    <x v="1"/>
  </r>
  <r>
    <x v="3"/>
    <x v="16"/>
    <x v="30"/>
    <x v="4"/>
    <s v="ALO"/>
    <x v="14"/>
    <x v="10"/>
    <x v="8"/>
    <n v="2"/>
    <x v="1"/>
    <x v="1"/>
    <x v="29"/>
    <n v="80.710999999999999"/>
    <x v="1429"/>
    <n v="28.280999999999999"/>
    <n v="30.914000000000001"/>
    <n v="20.864999999999998"/>
    <n v="39"/>
    <x v="1"/>
  </r>
  <r>
    <x v="3"/>
    <x v="16"/>
    <x v="30"/>
    <x v="21"/>
    <s v="NOR"/>
    <x v="3"/>
    <x v="12"/>
    <x v="9"/>
    <n v="1"/>
    <x v="1"/>
    <x v="1"/>
    <x v="29"/>
    <n v="80.617000000000004"/>
    <x v="1430"/>
    <n v="28.373000000000001"/>
    <n v="31.128"/>
    <n v="20.925999999999998"/>
    <n v="44"/>
    <x v="1"/>
  </r>
  <r>
    <x v="3"/>
    <x v="16"/>
    <x v="30"/>
    <x v="23"/>
    <s v="GIO"/>
    <x v="11"/>
    <x v="8"/>
    <x v="10"/>
    <n v="0"/>
    <x v="1"/>
    <x v="1"/>
    <x v="29"/>
    <n v="81.522999999999996"/>
    <x v="1431"/>
    <n v="28.577999999999999"/>
    <n v="31.702999999999999"/>
    <n v="21.058"/>
    <n v="16"/>
    <x v="1"/>
  </r>
  <r>
    <x v="3"/>
    <x v="16"/>
    <x v="30"/>
    <x v="3"/>
    <s v="RIC"/>
    <x v="3"/>
    <x v="6"/>
    <x v="11"/>
    <n v="0"/>
    <x v="1"/>
    <x v="1"/>
    <x v="29"/>
    <n v="81.069000000000003"/>
    <x v="1432"/>
    <n v="28.454999999999998"/>
    <n v="31.38"/>
    <n v="20.905999999999999"/>
    <s v="1,38"/>
    <x v="1"/>
  </r>
  <r>
    <x v="3"/>
    <x v="16"/>
    <x v="30"/>
    <x v="11"/>
    <s v="OCO"/>
    <x v="14"/>
    <x v="19"/>
    <x v="12"/>
    <n v="0"/>
    <x v="1"/>
    <x v="1"/>
    <x v="29"/>
    <n v="81.347999999999999"/>
    <x v="1433"/>
    <n v="28.683"/>
    <n v="31.491"/>
    <n v="21.024999999999999"/>
    <n v="14"/>
    <x v="1"/>
  </r>
  <r>
    <x v="3"/>
    <x v="16"/>
    <x v="30"/>
    <x v="13"/>
    <s v="STR"/>
    <x v="13"/>
    <x v="17"/>
    <x v="13"/>
    <n v="0"/>
    <x v="1"/>
    <x v="11"/>
    <x v="30"/>
    <n v="80.930000000000007"/>
    <x v="1434"/>
    <n v="28.198"/>
    <n v="31.305"/>
    <n v="20.93"/>
    <s v="12,34"/>
    <x v="1"/>
  </r>
  <r>
    <x v="3"/>
    <x v="16"/>
    <x v="30"/>
    <x v="7"/>
    <s v="BOT"/>
    <x v="1"/>
    <x v="1"/>
    <x v="14"/>
    <n v="0"/>
    <x v="1"/>
    <x v="11"/>
    <x v="30"/>
    <n v="77.774000000000001"/>
    <x v="1435"/>
    <n v="27.391999999999999"/>
    <n v="29.991"/>
    <n v="20.390999999999998"/>
    <s v="1,40,63,67"/>
    <x v="1"/>
  </r>
  <r>
    <x v="3"/>
    <x v="16"/>
    <x v="30"/>
    <x v="24"/>
    <s v="RUS"/>
    <x v="7"/>
    <x v="14"/>
    <x v="15"/>
    <n v="0"/>
    <x v="1"/>
    <x v="11"/>
    <x v="30"/>
    <n v="82.016000000000005"/>
    <x v="1436"/>
    <n v="29.010999999999999"/>
    <n v="31.812000000000001"/>
    <n v="21.056999999999999"/>
    <n v="15"/>
    <x v="1"/>
  </r>
  <r>
    <x v="3"/>
    <x v="16"/>
    <x v="30"/>
    <x v="26"/>
    <s v="LAT"/>
    <x v="7"/>
    <x v="13"/>
    <x v="16"/>
    <n v="0"/>
    <x v="1"/>
    <x v="11"/>
    <x v="30"/>
    <n v="81.546000000000006"/>
    <x v="1437"/>
    <n v="28.814"/>
    <n v="31.210999999999999"/>
    <n v="21.11"/>
    <s v="11,49"/>
    <x v="1"/>
  </r>
  <r>
    <x v="3"/>
    <x v="16"/>
    <x v="30"/>
    <x v="31"/>
    <s v="MAZ"/>
    <x v="9"/>
    <x v="7"/>
    <x v="17"/>
    <n v="0"/>
    <x v="1"/>
    <x v="12"/>
    <x v="31"/>
    <n v="81.402000000000001"/>
    <x v="1438"/>
    <n v="28.722000000000001"/>
    <n v="31.608000000000001"/>
    <n v="21.071999999999999"/>
    <s v="13,58"/>
    <x v="1"/>
  </r>
  <r>
    <x v="3"/>
    <x v="16"/>
    <x v="30"/>
    <x v="30"/>
    <s v="MSC"/>
    <x v="9"/>
    <x v="11"/>
    <x v="18"/>
    <n v="0"/>
    <x v="1"/>
    <x v="10"/>
    <x v="16"/>
    <m/>
    <x v="19"/>
    <m/>
    <m/>
    <m/>
    <m/>
    <x v="1"/>
  </r>
  <r>
    <x v="3"/>
    <x v="16"/>
    <x v="30"/>
    <x v="29"/>
    <s v="TSU"/>
    <x v="12"/>
    <x v="18"/>
    <x v="19"/>
    <n v="0"/>
    <x v="1"/>
    <x v="10"/>
    <x v="16"/>
    <m/>
    <x v="19"/>
    <m/>
    <m/>
    <m/>
    <m/>
    <x v="1"/>
  </r>
  <r>
    <x v="3"/>
    <x v="17"/>
    <x v="31"/>
    <x v="1"/>
    <s v="HAM"/>
    <x v="1"/>
    <x v="4"/>
    <x v="0"/>
    <n v="25"/>
    <x v="0"/>
    <x v="0"/>
    <x v="27"/>
    <n v="71.981999999999999"/>
    <x v="1439"/>
    <n v="18.280999999999999"/>
    <n v="36.877000000000002"/>
    <n v="16.396000000000001"/>
    <s v="7,8,26,43"/>
    <x v="1"/>
  </r>
  <r>
    <x v="3"/>
    <x v="17"/>
    <x v="31"/>
    <x v="5"/>
    <s v="VER"/>
    <x v="2"/>
    <x v="2"/>
    <x v="1"/>
    <n v="18"/>
    <x v="0"/>
    <x v="0"/>
    <x v="27"/>
    <n v="72.486000000000004"/>
    <x v="1440"/>
    <n v="18.643000000000001"/>
    <n v="36.923000000000002"/>
    <n v="16.744"/>
    <s v="7,8,27,40"/>
    <x v="1"/>
  </r>
  <r>
    <x v="3"/>
    <x v="17"/>
    <x v="31"/>
    <x v="7"/>
    <s v="BOT"/>
    <x v="1"/>
    <x v="1"/>
    <x v="2"/>
    <n v="15"/>
    <x v="0"/>
    <x v="0"/>
    <x v="27"/>
    <n v="72.525999999999996"/>
    <x v="1441"/>
    <n v="18.492000000000001"/>
    <n v="37.177"/>
    <n v="16.782"/>
    <s v="7,8,30,41"/>
    <x v="1"/>
  </r>
  <r>
    <x v="3"/>
    <x v="17"/>
    <x v="31"/>
    <x v="10"/>
    <s v="PER"/>
    <x v="2"/>
    <x v="5"/>
    <x v="3"/>
    <n v="13"/>
    <x v="1"/>
    <x v="0"/>
    <x v="27"/>
    <n v="71.010000000000005"/>
    <x v="1442"/>
    <n v="18.367000000000001"/>
    <n v="36.014000000000003"/>
    <n v="16.544"/>
    <s v="7,8,28,42,69"/>
    <x v="1"/>
  </r>
  <r>
    <x v="3"/>
    <x v="17"/>
    <x v="31"/>
    <x v="12"/>
    <s v="LEC"/>
    <x v="0"/>
    <x v="15"/>
    <x v="4"/>
    <n v="10"/>
    <x v="1"/>
    <x v="0"/>
    <x v="27"/>
    <n v="72.822000000000003"/>
    <x v="1443"/>
    <n v="18.613"/>
    <n v="37.072000000000003"/>
    <n v="16.826999999999899"/>
    <s v="7,8,27,52"/>
    <x v="1"/>
  </r>
  <r>
    <x v="3"/>
    <x v="17"/>
    <x v="31"/>
    <x v="9"/>
    <s v="SAI"/>
    <x v="0"/>
    <x v="0"/>
    <x v="5"/>
    <n v="8"/>
    <x v="1"/>
    <x v="0"/>
    <x v="27"/>
    <n v="72.709999999999994"/>
    <x v="1444"/>
    <n v="18.658000000000001"/>
    <n v="37.1"/>
    <n v="16.850000000000001"/>
    <s v="7,8,26,53"/>
    <x v="1"/>
  </r>
  <r>
    <x v="3"/>
    <x v="17"/>
    <x v="31"/>
    <x v="17"/>
    <s v="GAS"/>
    <x v="12"/>
    <x v="6"/>
    <x v="6"/>
    <n v="6"/>
    <x v="1"/>
    <x v="1"/>
    <x v="29"/>
    <n v="73.227000000000004"/>
    <x v="1445"/>
    <n v="18.695"/>
    <n v="37.595999999999997"/>
    <n v="16.63"/>
    <s v="7,8,25,51"/>
    <x v="1"/>
  </r>
  <r>
    <x v="3"/>
    <x v="17"/>
    <x v="31"/>
    <x v="11"/>
    <s v="OCO"/>
    <x v="14"/>
    <x v="3"/>
    <x v="7"/>
    <n v="4"/>
    <x v="1"/>
    <x v="1"/>
    <x v="29"/>
    <n v="74.430000000000007"/>
    <x v="1446"/>
    <n v="18.907"/>
    <n v="38.206000000000003"/>
    <n v="16.922999999999998"/>
    <s v="7,8,30"/>
    <x v="1"/>
  </r>
  <r>
    <x v="3"/>
    <x v="17"/>
    <x v="31"/>
    <x v="4"/>
    <s v="ALO"/>
    <x v="14"/>
    <x v="10"/>
    <x v="8"/>
    <n v="2"/>
    <x v="1"/>
    <x v="1"/>
    <x v="29"/>
    <n v="73.921999999999997"/>
    <x v="1447"/>
    <n v="18.763999999999999"/>
    <n v="37.959000000000003"/>
    <n v="16.777000000000001"/>
    <s v="7,8,34"/>
    <x v="1"/>
  </r>
  <r>
    <x v="3"/>
    <x v="17"/>
    <x v="31"/>
    <x v="21"/>
    <s v="NOR"/>
    <x v="3"/>
    <x v="16"/>
    <x v="9"/>
    <n v="1"/>
    <x v="1"/>
    <x v="1"/>
    <x v="29"/>
    <n v="73.760999999999996"/>
    <x v="1448"/>
    <n v="18.853000000000002"/>
    <n v="38.015999999999998"/>
    <n v="16.751000000000001"/>
    <s v="1,6,7,8,37"/>
    <x v="1"/>
  </r>
  <r>
    <x v="3"/>
    <x v="17"/>
    <x v="31"/>
    <x v="0"/>
    <s v="VET"/>
    <x v="13"/>
    <x v="9"/>
    <x v="10"/>
    <n v="0"/>
    <x v="1"/>
    <x v="1"/>
    <x v="29"/>
    <n v="73.634"/>
    <x v="1449"/>
    <n v="18.757000000000001"/>
    <n v="37.847999999999999"/>
    <n v="16.817"/>
    <s v="7,8,28,55"/>
    <x v="1"/>
  </r>
  <r>
    <x v="3"/>
    <x v="17"/>
    <x v="31"/>
    <x v="2"/>
    <s v="RAI"/>
    <x v="11"/>
    <x v="20"/>
    <x v="11"/>
    <n v="0"/>
    <x v="1"/>
    <x v="1"/>
    <x v="29"/>
    <n v="72.620999999999995"/>
    <x v="1450"/>
    <n v="18.707999999999998"/>
    <n v="37.212000000000003"/>
    <n v="16.701000000000001"/>
    <s v="7,8,28,52"/>
    <x v="1"/>
  </r>
  <r>
    <x v="3"/>
    <x v="17"/>
    <x v="31"/>
    <x v="24"/>
    <s v="RUS"/>
    <x v="7"/>
    <x v="18"/>
    <x v="12"/>
    <n v="0"/>
    <x v="1"/>
    <x v="1"/>
    <x v="29"/>
    <n v="74.355000000000004"/>
    <x v="1451"/>
    <n v="18.905999999999999"/>
    <n v="38.258000000000003"/>
    <n v="16.997"/>
    <s v="6,7,8,41"/>
    <x v="1"/>
  </r>
  <r>
    <x v="3"/>
    <x v="17"/>
    <x v="31"/>
    <x v="23"/>
    <s v="GIO"/>
    <x v="11"/>
    <x v="13"/>
    <x v="13"/>
    <n v="0"/>
    <x v="1"/>
    <x v="1"/>
    <x v="29"/>
    <n v="74.227000000000004"/>
    <x v="1452"/>
    <n v="18.878"/>
    <n v="38.4"/>
    <n v="16.817"/>
    <s v="7,8,29,42"/>
    <x v="1"/>
  </r>
  <r>
    <x v="3"/>
    <x v="17"/>
    <x v="31"/>
    <x v="29"/>
    <s v="TSU"/>
    <x v="12"/>
    <x v="7"/>
    <x v="14"/>
    <n v="0"/>
    <x v="1"/>
    <x v="1"/>
    <x v="29"/>
    <n v="74.203999999999994"/>
    <x v="1453"/>
    <n v="19.04"/>
    <n v="38.100999999999999"/>
    <n v="16.841999999999999"/>
    <s v="4,6,7,8,39"/>
    <x v="1"/>
  </r>
  <r>
    <x v="3"/>
    <x v="17"/>
    <x v="31"/>
    <x v="26"/>
    <s v="LAT"/>
    <x v="7"/>
    <x v="14"/>
    <x v="15"/>
    <n v="0"/>
    <x v="1"/>
    <x v="1"/>
    <x v="29"/>
    <n v="74.616"/>
    <x v="1454"/>
    <n v="18.96"/>
    <n v="38.445999999999998"/>
    <n v="16.951999999999899"/>
    <s v="7,8,13,39"/>
    <x v="1"/>
  </r>
  <r>
    <x v="3"/>
    <x v="17"/>
    <x v="31"/>
    <x v="31"/>
    <s v="MAZ"/>
    <x v="9"/>
    <x v="19"/>
    <x v="16"/>
    <n v="0"/>
    <x v="1"/>
    <x v="11"/>
    <x v="30"/>
    <n v="74.953999999999994"/>
    <x v="1455"/>
    <n v="19.177"/>
    <n v="38.356000000000002"/>
    <n v="17.2"/>
    <s v="7,8,34"/>
    <x v="1"/>
  </r>
  <r>
    <x v="3"/>
    <x v="17"/>
    <x v="31"/>
    <x v="30"/>
    <s v="MSC"/>
    <x v="9"/>
    <x v="12"/>
    <x v="17"/>
    <n v="0"/>
    <x v="1"/>
    <x v="11"/>
    <x v="30"/>
    <n v="73.793000000000006"/>
    <x v="1456"/>
    <n v="18.779"/>
    <n v="37.898000000000003"/>
    <n v="17.073"/>
    <s v="7,8,11,29,61"/>
    <x v="1"/>
  </r>
  <r>
    <x v="3"/>
    <x v="17"/>
    <x v="31"/>
    <x v="3"/>
    <s v="RIC"/>
    <x v="3"/>
    <x v="8"/>
    <x v="18"/>
    <n v="0"/>
    <x v="1"/>
    <x v="22"/>
    <x v="12"/>
    <n v="74.442999999999998"/>
    <x v="1457"/>
    <n v="18.98"/>
    <n v="38.344000000000001"/>
    <n v="16.902000000000001"/>
    <s v="7,8,30,49"/>
    <x v="1"/>
  </r>
  <r>
    <x v="3"/>
    <x v="17"/>
    <x v="31"/>
    <x v="13"/>
    <s v="STR"/>
    <x v="13"/>
    <x v="11"/>
    <x v="19"/>
    <n v="0"/>
    <x v="1"/>
    <x v="8"/>
    <x v="38"/>
    <n v="75.343999999999994"/>
    <x v="1458"/>
    <n v="19.103999999999999"/>
    <n v="38.826000000000001"/>
    <n v="17.007999999999999"/>
    <s v="7,8,22,47"/>
    <x v="1"/>
  </r>
  <r>
    <x v="3"/>
    <x v="18"/>
    <x v="32"/>
    <x v="1"/>
    <s v="HAM"/>
    <x v="1"/>
    <x v="1"/>
    <x v="0"/>
    <n v="25"/>
    <x v="0"/>
    <x v="0"/>
    <x v="1"/>
    <n v="85.084000000000003"/>
    <x v="1459"/>
    <n v="27.699000000000002"/>
    <n v="28.199000000000002"/>
    <n v="28.937999999999999"/>
    <s v="18,42"/>
    <x v="0"/>
  </r>
  <r>
    <x v="3"/>
    <x v="18"/>
    <x v="32"/>
    <x v="5"/>
    <s v="VER"/>
    <x v="2"/>
    <x v="6"/>
    <x v="1"/>
    <n v="19"/>
    <x v="0"/>
    <x v="0"/>
    <x v="1"/>
    <n v="83.195999999999998"/>
    <x v="1460"/>
    <n v="27.402999999999999"/>
    <n v="27.54"/>
    <n v="28.195"/>
    <s v="17,41,55"/>
    <x v="0"/>
  </r>
  <r>
    <x v="3"/>
    <x v="18"/>
    <x v="32"/>
    <x v="4"/>
    <s v="ALO"/>
    <x v="14"/>
    <x v="0"/>
    <x v="2"/>
    <n v="15"/>
    <x v="0"/>
    <x v="0"/>
    <x v="1"/>
    <n v="86.682000000000002"/>
    <x v="1461"/>
    <n v="28.274000000000001"/>
    <n v="29.11"/>
    <n v="29.196999999999999"/>
    <n v="23"/>
    <x v="0"/>
  </r>
  <r>
    <x v="3"/>
    <x v="18"/>
    <x v="32"/>
    <x v="10"/>
    <s v="PER"/>
    <x v="2"/>
    <x v="8"/>
    <x v="3"/>
    <n v="12"/>
    <x v="1"/>
    <x v="0"/>
    <x v="1"/>
    <n v="85.613"/>
    <x v="1462"/>
    <n v="28.155000000000001"/>
    <n v="28.343"/>
    <n v="28.873000000000001"/>
    <s v="19,41"/>
    <x v="0"/>
  </r>
  <r>
    <x v="3"/>
    <x v="18"/>
    <x v="32"/>
    <x v="11"/>
    <s v="OCO"/>
    <x v="14"/>
    <x v="9"/>
    <x v="4"/>
    <n v="10"/>
    <x v="1"/>
    <x v="0"/>
    <x v="1"/>
    <n v="87.061000000000007"/>
    <x v="1463"/>
    <n v="28.433"/>
    <n v="29.222999999999999"/>
    <n v="29.305"/>
    <n v="24"/>
    <x v="0"/>
  </r>
  <r>
    <x v="3"/>
    <x v="18"/>
    <x v="32"/>
    <x v="13"/>
    <s v="STR"/>
    <x v="13"/>
    <x v="10"/>
    <x v="5"/>
    <n v="8"/>
    <x v="1"/>
    <x v="0"/>
    <x v="1"/>
    <n v="87.355999999999995"/>
    <x v="1464"/>
    <n v="28.757999999999999"/>
    <n v="29.24"/>
    <n v="29.248000000000001"/>
    <n v="23"/>
    <x v="0"/>
  </r>
  <r>
    <x v="3"/>
    <x v="18"/>
    <x v="32"/>
    <x v="9"/>
    <s v="SAI"/>
    <x v="0"/>
    <x v="16"/>
    <x v="6"/>
    <n v="6"/>
    <x v="1"/>
    <x v="0"/>
    <x v="1"/>
    <n v="86.57"/>
    <x v="1465"/>
    <n v="28.454999999999998"/>
    <n v="29.109000000000002"/>
    <n v="28.971"/>
    <n v="27"/>
    <x v="0"/>
  </r>
  <r>
    <x v="3"/>
    <x v="18"/>
    <x v="32"/>
    <x v="12"/>
    <s v="LEC"/>
    <x v="0"/>
    <x v="13"/>
    <x v="7"/>
    <n v="4"/>
    <x v="1"/>
    <x v="0"/>
    <x v="1"/>
    <n v="86.555000000000007"/>
    <x v="1466"/>
    <n v="28.526"/>
    <n v="29.111000000000001"/>
    <n v="28.838999999999999"/>
    <n v="27"/>
    <x v="0"/>
  </r>
  <r>
    <x v="3"/>
    <x v="18"/>
    <x v="32"/>
    <x v="21"/>
    <s v="NOR"/>
    <x v="3"/>
    <x v="5"/>
    <x v="8"/>
    <n v="2"/>
    <x v="1"/>
    <x v="1"/>
    <x v="7"/>
    <n v="85.745999999999995"/>
    <x v="1467"/>
    <n v="28.117999999999999"/>
    <n v="28.765999999999998"/>
    <n v="28.641999999999999"/>
    <s v="25,49"/>
    <x v="0"/>
  </r>
  <r>
    <x v="3"/>
    <x v="18"/>
    <x v="32"/>
    <x v="0"/>
    <s v="VET"/>
    <x v="13"/>
    <x v="4"/>
    <x v="9"/>
    <n v="1"/>
    <x v="1"/>
    <x v="1"/>
    <x v="7"/>
    <n v="86.433999999999997"/>
    <x v="1468"/>
    <n v="28.436"/>
    <n v="28.966000000000001"/>
    <n v="29.010999999999999"/>
    <n v="26"/>
    <x v="0"/>
  </r>
  <r>
    <x v="3"/>
    <x v="18"/>
    <x v="32"/>
    <x v="17"/>
    <s v="GAS"/>
    <x v="12"/>
    <x v="2"/>
    <x v="10"/>
    <n v="0"/>
    <x v="1"/>
    <x v="1"/>
    <x v="7"/>
    <n v="87.019000000000005"/>
    <x v="1469"/>
    <n v="28.681999999999999"/>
    <n v="29.02"/>
    <n v="29.14"/>
    <s v="13,35"/>
    <x v="0"/>
  </r>
  <r>
    <x v="3"/>
    <x v="18"/>
    <x v="32"/>
    <x v="3"/>
    <s v="RIC"/>
    <x v="3"/>
    <x v="11"/>
    <x v="11"/>
    <n v="0"/>
    <x v="1"/>
    <x v="1"/>
    <x v="7"/>
    <n v="87.197999999999993"/>
    <x v="1470"/>
    <n v="28.324000000000002"/>
    <n v="29.416"/>
    <n v="29.186"/>
    <n v="26"/>
    <x v="0"/>
  </r>
  <r>
    <x v="3"/>
    <x v="18"/>
    <x v="32"/>
    <x v="29"/>
    <s v="TSU"/>
    <x v="12"/>
    <x v="3"/>
    <x v="12"/>
    <n v="0"/>
    <x v="1"/>
    <x v="1"/>
    <x v="7"/>
    <n v="87.043000000000006"/>
    <x v="1471"/>
    <n v="28.545999999999999"/>
    <n v="29.138999999999999"/>
    <n v="29.231999999999999"/>
    <s v="9,34"/>
    <x v="0"/>
  </r>
  <r>
    <x v="3"/>
    <x v="18"/>
    <x v="32"/>
    <x v="2"/>
    <s v="RAI"/>
    <x v="11"/>
    <x v="14"/>
    <x v="13"/>
    <n v="0"/>
    <x v="1"/>
    <x v="1"/>
    <x v="7"/>
    <n v="86.358000000000004"/>
    <x v="1472"/>
    <n v="28.207000000000001"/>
    <n v="29.146999999999998"/>
    <n v="28.954000000000001"/>
    <s v="10,30"/>
    <x v="0"/>
  </r>
  <r>
    <x v="3"/>
    <x v="18"/>
    <x v="32"/>
    <x v="23"/>
    <s v="GIO"/>
    <x v="11"/>
    <x v="12"/>
    <x v="14"/>
    <n v="0"/>
    <x v="1"/>
    <x v="1"/>
    <x v="7"/>
    <n v="87.822999999999993"/>
    <x v="1473"/>
    <n v="28.751999999999999"/>
    <n v="29.51"/>
    <n v="29.277000000000001"/>
    <s v="15,32"/>
    <x v="0"/>
  </r>
  <r>
    <x v="3"/>
    <x v="18"/>
    <x v="32"/>
    <x v="30"/>
    <s v="MSC"/>
    <x v="9"/>
    <x v="19"/>
    <x v="15"/>
    <n v="0"/>
    <x v="1"/>
    <x v="1"/>
    <x v="7"/>
    <n v="88.412000000000006"/>
    <x v="1474"/>
    <n v="28.896000000000001"/>
    <n v="29.710999999999999"/>
    <n v="29.454000000000001"/>
    <n v="22"/>
    <x v="0"/>
  </r>
  <r>
    <x v="3"/>
    <x v="18"/>
    <x v="32"/>
    <x v="24"/>
    <s v="RUS"/>
    <x v="7"/>
    <x v="7"/>
    <x v="16"/>
    <n v="0"/>
    <x v="1"/>
    <x v="11"/>
    <x v="35"/>
    <n v="85.768000000000001"/>
    <x v="1475"/>
    <n v="28.247"/>
    <n v="28.620999999999999"/>
    <n v="28.9"/>
    <s v="17,49"/>
    <x v="0"/>
  </r>
  <r>
    <x v="3"/>
    <x v="18"/>
    <x v="32"/>
    <x v="31"/>
    <s v="MAZ"/>
    <x v="9"/>
    <x v="17"/>
    <x v="17"/>
    <n v="0"/>
    <x v="1"/>
    <x v="11"/>
    <x v="35"/>
    <n v="87.34"/>
    <x v="1476"/>
    <n v="28.748000000000001"/>
    <n v="29.312999999999999"/>
    <n v="29.279"/>
    <n v="31"/>
    <x v="0"/>
  </r>
  <r>
    <x v="3"/>
    <x v="18"/>
    <x v="32"/>
    <x v="26"/>
    <s v="LAT"/>
    <x v="7"/>
    <x v="18"/>
    <x v="18"/>
    <n v="0"/>
    <x v="1"/>
    <x v="6"/>
    <x v="11"/>
    <n v="88.731999999999999"/>
    <x v="1477"/>
    <n v="29.032"/>
    <n v="29.841000000000001"/>
    <n v="29.550999999999998"/>
    <n v="18"/>
    <x v="0"/>
  </r>
  <r>
    <x v="3"/>
    <x v="18"/>
    <x v="32"/>
    <x v="7"/>
    <s v="BOT"/>
    <x v="1"/>
    <x v="15"/>
    <x v="19"/>
    <n v="0"/>
    <x v="1"/>
    <x v="28"/>
    <x v="12"/>
    <n v="87.245999999999995"/>
    <x v="1478"/>
    <n v="28.59"/>
    <n v="28.826999999999899"/>
    <n v="29.555"/>
    <s v="33,49"/>
    <x v="0"/>
  </r>
  <r>
    <x v="3"/>
    <x v="19"/>
    <x v="33"/>
    <x v="1"/>
    <s v="HAM"/>
    <x v="1"/>
    <x v="1"/>
    <x v="0"/>
    <n v="26"/>
    <x v="0"/>
    <x v="0"/>
    <x v="43"/>
    <n v="90.733999999999995"/>
    <x v="1479"/>
    <n v="33.564"/>
    <n v="28.712"/>
    <n v="28.337"/>
    <s v="10,13,15"/>
    <x v="1"/>
  </r>
  <r>
    <x v="3"/>
    <x v="19"/>
    <x v="33"/>
    <x v="5"/>
    <s v="VER"/>
    <x v="2"/>
    <x v="0"/>
    <x v="1"/>
    <n v="18"/>
    <x v="0"/>
    <x v="0"/>
    <x v="43"/>
    <n v="91.488"/>
    <x v="1480"/>
    <n v="33.664000000000001"/>
    <n v="29.065000000000001"/>
    <n v="28.544"/>
    <s v="13,15"/>
    <x v="1"/>
  </r>
  <r>
    <x v="3"/>
    <x v="19"/>
    <x v="33"/>
    <x v="7"/>
    <s v="BOT"/>
    <x v="1"/>
    <x v="2"/>
    <x v="2"/>
    <n v="15"/>
    <x v="0"/>
    <x v="0"/>
    <x v="43"/>
    <n v="91.408000000000001"/>
    <x v="1481"/>
    <n v="33.777000000000001"/>
    <n v="28.888999999999999"/>
    <n v="28.521000000000001"/>
    <s v="10,13,15"/>
    <x v="1"/>
  </r>
  <r>
    <x v="3"/>
    <x v="19"/>
    <x v="33"/>
    <x v="11"/>
    <s v="OCO"/>
    <x v="14"/>
    <x v="9"/>
    <x v="3"/>
    <n v="12"/>
    <x v="1"/>
    <x v="0"/>
    <x v="43"/>
    <n v="91.796999999999997"/>
    <x v="1482"/>
    <n v="33.466999999999999"/>
    <n v="29.28"/>
    <n v="28.856000000000002"/>
    <s v="13,15"/>
    <x v="1"/>
  </r>
  <r>
    <x v="3"/>
    <x v="19"/>
    <x v="33"/>
    <x v="3"/>
    <s v="RIC"/>
    <x v="3"/>
    <x v="8"/>
    <x v="4"/>
    <n v="10"/>
    <x v="1"/>
    <x v="0"/>
    <x v="43"/>
    <n v="92.715999999999994"/>
    <x v="1483"/>
    <n v="34.237000000000002"/>
    <n v="29.375"/>
    <n v="28.920999999999999"/>
    <s v="13,15"/>
    <x v="1"/>
  </r>
  <r>
    <x v="3"/>
    <x v="19"/>
    <x v="33"/>
    <x v="17"/>
    <s v="GAS"/>
    <x v="12"/>
    <x v="15"/>
    <x v="5"/>
    <n v="8"/>
    <x v="1"/>
    <x v="0"/>
    <x v="43"/>
    <n v="92.296999999999997"/>
    <x v="1484"/>
    <n v="33.875"/>
    <n v="29.448"/>
    <n v="28.916"/>
    <s v="13,15"/>
    <x v="1"/>
  </r>
  <r>
    <x v="3"/>
    <x v="19"/>
    <x v="33"/>
    <x v="12"/>
    <s v="LEC"/>
    <x v="0"/>
    <x v="5"/>
    <x v="6"/>
    <n v="6"/>
    <x v="1"/>
    <x v="0"/>
    <x v="43"/>
    <n v="91.600999999999999"/>
    <x v="1485"/>
    <n v="33.783000000000001"/>
    <n v="29.138000000000002"/>
    <n v="28.56"/>
    <s v="10,13,15"/>
    <x v="1"/>
  </r>
  <r>
    <x v="3"/>
    <x v="19"/>
    <x v="33"/>
    <x v="9"/>
    <s v="SAI"/>
    <x v="0"/>
    <x v="7"/>
    <x v="7"/>
    <n v="4"/>
    <x v="1"/>
    <x v="0"/>
    <x v="43"/>
    <n v="91.850999999999999"/>
    <x v="1486"/>
    <n v="33.694000000000003"/>
    <n v="28.995999999999999"/>
    <n v="28.821000000000002"/>
    <s v="13,15"/>
    <x v="1"/>
  </r>
  <r>
    <x v="3"/>
    <x v="19"/>
    <x v="33"/>
    <x v="23"/>
    <s v="GIO"/>
    <x v="11"/>
    <x v="4"/>
    <x v="8"/>
    <n v="2"/>
    <x v="1"/>
    <x v="0"/>
    <x v="43"/>
    <n v="92.864999999999995"/>
    <x v="1487"/>
    <n v="34.128999999999998"/>
    <n v="29.516999999999999"/>
    <n v="29.152999999999999"/>
    <s v="13,15"/>
    <x v="1"/>
  </r>
  <r>
    <x v="3"/>
    <x v="19"/>
    <x v="33"/>
    <x v="21"/>
    <s v="NOR"/>
    <x v="3"/>
    <x v="6"/>
    <x v="9"/>
    <n v="1"/>
    <x v="1"/>
    <x v="0"/>
    <x v="43"/>
    <n v="91.914000000000001"/>
    <x v="1488"/>
    <n v="33.741"/>
    <n v="29.216000000000001"/>
    <n v="28.777000000000001"/>
    <s v="10,13,15"/>
    <x v="1"/>
  </r>
  <r>
    <x v="3"/>
    <x v="19"/>
    <x v="33"/>
    <x v="13"/>
    <s v="STR"/>
    <x v="13"/>
    <x v="12"/>
    <x v="10"/>
    <n v="0"/>
    <x v="1"/>
    <x v="0"/>
    <x v="43"/>
    <n v="92.804000000000002"/>
    <x v="1489"/>
    <n v="34.048000000000002"/>
    <n v="29.622"/>
    <n v="29.126000000000001"/>
    <s v="9,13,15"/>
    <x v="1"/>
  </r>
  <r>
    <x v="3"/>
    <x v="19"/>
    <x v="33"/>
    <x v="26"/>
    <s v="LAT"/>
    <x v="7"/>
    <x v="14"/>
    <x v="11"/>
    <n v="0"/>
    <x v="1"/>
    <x v="0"/>
    <x v="43"/>
    <n v="92.751000000000005"/>
    <x v="1490"/>
    <n v="34.076999999999998"/>
    <n v="29.495000000000001"/>
    <n v="29.178999999999998"/>
    <s v="10,13,15"/>
    <x v="1"/>
  </r>
  <r>
    <x v="3"/>
    <x v="19"/>
    <x v="33"/>
    <x v="4"/>
    <s v="ALO"/>
    <x v="14"/>
    <x v="13"/>
    <x v="12"/>
    <n v="0"/>
    <x v="1"/>
    <x v="1"/>
    <x v="12"/>
    <n v="91.632999999999996"/>
    <x v="1491"/>
    <n v="33.706000000000003"/>
    <n v="29.163"/>
    <n v="28.709"/>
    <s v="10,13,15,44"/>
    <x v="1"/>
  </r>
  <r>
    <x v="3"/>
    <x v="19"/>
    <x v="33"/>
    <x v="29"/>
    <s v="TSU"/>
    <x v="12"/>
    <x v="3"/>
    <x v="13"/>
    <n v="0"/>
    <x v="1"/>
    <x v="1"/>
    <x v="12"/>
    <n v="92.506"/>
    <x v="1492"/>
    <n v="33.811999999999998"/>
    <n v="29.48"/>
    <n v="29.053000000000001"/>
    <s v="13,15,23"/>
    <x v="1"/>
  </r>
  <r>
    <x v="3"/>
    <x v="19"/>
    <x v="33"/>
    <x v="2"/>
    <s v="RAI"/>
    <x v="11"/>
    <x v="10"/>
    <x v="14"/>
    <n v="0"/>
    <x v="1"/>
    <x v="1"/>
    <x v="12"/>
    <n v="92.778000000000006"/>
    <x v="1493"/>
    <n v="34.002000000000002"/>
    <n v="29.32"/>
    <n v="29.122"/>
    <s v="13,15,26"/>
    <x v="1"/>
  </r>
  <r>
    <x v="3"/>
    <x v="19"/>
    <x v="33"/>
    <x v="0"/>
    <s v="VET"/>
    <x v="13"/>
    <x v="18"/>
    <x v="15"/>
    <n v="0"/>
    <x v="1"/>
    <x v="8"/>
    <x v="44"/>
    <n v="94.03"/>
    <x v="1494"/>
    <n v="34.744"/>
    <n v="29.86"/>
    <n v="29.282"/>
    <s v="13,15,44"/>
    <x v="1"/>
  </r>
  <r>
    <x v="3"/>
    <x v="19"/>
    <x v="33"/>
    <x v="10"/>
    <s v="PER"/>
    <x v="2"/>
    <x v="16"/>
    <x v="16"/>
    <n v="0"/>
    <x v="1"/>
    <x v="10"/>
    <x v="67"/>
    <n v="94.138000000000005"/>
    <x v="1495"/>
    <n v="34.886000000000003"/>
    <n v="29.795000000000002"/>
    <n v="29.161999999999999"/>
    <s v="10,13"/>
    <x v="1"/>
  </r>
  <r>
    <x v="3"/>
    <x v="19"/>
    <x v="33"/>
    <x v="31"/>
    <s v="MAZ"/>
    <x v="9"/>
    <x v="17"/>
    <x v="17"/>
    <n v="0"/>
    <x v="1"/>
    <x v="10"/>
    <x v="67"/>
    <n v="97.043000000000006"/>
    <x v="1496"/>
    <n v="36.395000000000003"/>
    <n v="30.617000000000001"/>
    <n v="29.957000000000001"/>
    <n v="13"/>
    <x v="1"/>
  </r>
  <r>
    <x v="3"/>
    <x v="19"/>
    <x v="33"/>
    <x v="24"/>
    <s v="RUS"/>
    <x v="7"/>
    <x v="11"/>
    <x v="18"/>
    <n v="0"/>
    <x v="1"/>
    <x v="10"/>
    <x v="67"/>
    <n v="96.13"/>
    <x v="1497"/>
    <n v="35.697000000000003"/>
    <n v="30.425999999999998"/>
    <n v="29.774999999999999"/>
    <s v="9,13"/>
    <x v="1"/>
  </r>
  <r>
    <x v="3"/>
    <x v="19"/>
    <x v="33"/>
    <x v="30"/>
    <s v="MSC"/>
    <x v="9"/>
    <x v="19"/>
    <x v="19"/>
    <n v="0"/>
    <x v="1"/>
    <x v="9"/>
    <x v="51"/>
    <n v="96.043000000000006"/>
    <x v="1498"/>
    <n v="35.869999999999997"/>
    <n v="30.324999999999999"/>
    <n v="29.704000000000001"/>
    <m/>
    <x v="1"/>
  </r>
  <r>
    <x v="3"/>
    <x v="21"/>
    <x v="19"/>
    <x v="5"/>
    <s v="VER"/>
    <x v="2"/>
    <x v="1"/>
    <x v="0"/>
    <n v="26"/>
    <x v="0"/>
    <x v="0"/>
    <x v="0"/>
    <n v="86.102999999999994"/>
    <x v="1499"/>
    <n v="17.420000000000002"/>
    <n v="37.323999999999998"/>
    <n v="30.687000000000001"/>
    <s v="13,36,53"/>
    <x v="1"/>
  </r>
  <r>
    <x v="3"/>
    <x v="21"/>
    <x v="19"/>
    <x v="1"/>
    <s v="HAM"/>
    <x v="1"/>
    <x v="2"/>
    <x v="1"/>
    <n v="18"/>
    <x v="0"/>
    <x v="0"/>
    <x v="0"/>
    <n v="86.614999999999995"/>
    <x v="1500"/>
    <n v="17.600000000000001"/>
    <n v="37.29"/>
    <n v="31.588000000000001"/>
    <n v="14"/>
    <x v="1"/>
  </r>
  <r>
    <x v="3"/>
    <x v="21"/>
    <x v="19"/>
    <x v="9"/>
    <s v="SAI"/>
    <x v="0"/>
    <x v="16"/>
    <x v="2"/>
    <n v="15"/>
    <x v="0"/>
    <x v="0"/>
    <x v="0"/>
    <n v="87.617999999999995"/>
    <x v="1501"/>
    <n v="17.786000000000001"/>
    <n v="38.029000000000003"/>
    <n v="31.687999999999999"/>
    <n v="19"/>
    <x v="1"/>
  </r>
  <r>
    <x v="3"/>
    <x v="21"/>
    <x v="19"/>
    <x v="29"/>
    <s v="TSU"/>
    <x v="12"/>
    <x v="3"/>
    <x v="3"/>
    <n v="12"/>
    <x v="1"/>
    <x v="0"/>
    <x v="0"/>
    <n v="87.495999999999995"/>
    <x v="1502"/>
    <n v="17.507999999999999"/>
    <n v="37.768000000000001"/>
    <n v="31.913"/>
    <s v="23,53"/>
    <x v="1"/>
  </r>
  <r>
    <x v="3"/>
    <x v="21"/>
    <x v="19"/>
    <x v="17"/>
    <s v="GAS"/>
    <x v="12"/>
    <x v="10"/>
    <x v="4"/>
    <n v="10"/>
    <x v="1"/>
    <x v="0"/>
    <x v="0"/>
    <n v="87.341999999999999"/>
    <x v="1503"/>
    <n v="17.629000000000001"/>
    <n v="37.343000000000004"/>
    <n v="31.89"/>
    <s v="36,54"/>
    <x v="1"/>
  </r>
  <r>
    <x v="3"/>
    <x v="21"/>
    <x v="19"/>
    <x v="7"/>
    <s v="BOT"/>
    <x v="1"/>
    <x v="15"/>
    <x v="5"/>
    <n v="8"/>
    <x v="1"/>
    <x v="0"/>
    <x v="0"/>
    <n v="86.861999999999995"/>
    <x v="1504"/>
    <n v="17.498000000000001"/>
    <n v="37.524000000000001"/>
    <n v="31.713000000000001"/>
    <n v="30"/>
    <x v="1"/>
  </r>
  <r>
    <x v="3"/>
    <x v="21"/>
    <x v="19"/>
    <x v="21"/>
    <s v="NOR"/>
    <x v="3"/>
    <x v="0"/>
    <x v="6"/>
    <n v="6"/>
    <x v="1"/>
    <x v="0"/>
    <x v="0"/>
    <n v="86.762"/>
    <x v="1505"/>
    <n v="17.466999999999999"/>
    <n v="37.576999999999998"/>
    <n v="31.495999999999999"/>
    <s v="17,48"/>
    <x v="1"/>
  </r>
  <r>
    <x v="3"/>
    <x v="21"/>
    <x v="19"/>
    <x v="4"/>
    <s v="ALO"/>
    <x v="14"/>
    <x v="8"/>
    <x v="7"/>
    <n v="4"/>
    <x v="1"/>
    <x v="0"/>
    <x v="0"/>
    <n v="87.606999999999999"/>
    <x v="1506"/>
    <n v="17.611000000000001"/>
    <n v="37.892000000000003"/>
    <n v="32.103999999999999"/>
    <n v="36"/>
    <x v="1"/>
  </r>
  <r>
    <x v="3"/>
    <x v="21"/>
    <x v="19"/>
    <x v="11"/>
    <s v="OCO"/>
    <x v="14"/>
    <x v="9"/>
    <x v="8"/>
    <n v="2"/>
    <x v="1"/>
    <x v="0"/>
    <x v="0"/>
    <n v="88.248999999999995"/>
    <x v="1507"/>
    <n v="17.774000000000001"/>
    <n v="37.807000000000002"/>
    <n v="32.619999999999997"/>
    <n v="15"/>
    <x v="1"/>
  </r>
  <r>
    <x v="3"/>
    <x v="21"/>
    <x v="19"/>
    <x v="12"/>
    <s v="LEC"/>
    <x v="0"/>
    <x v="6"/>
    <x v="9"/>
    <n v="1"/>
    <x v="1"/>
    <x v="0"/>
    <x v="0"/>
    <n v="88.337999999999994"/>
    <x v="1508"/>
    <n v="17.742000000000001"/>
    <n v="37.581000000000003"/>
    <n v="32.404000000000003"/>
    <s v="15,35"/>
    <x v="1"/>
  </r>
  <r>
    <x v="3"/>
    <x v="21"/>
    <x v="19"/>
    <x v="0"/>
    <s v="VET"/>
    <x v="13"/>
    <x v="7"/>
    <x v="10"/>
    <n v="0"/>
    <x v="1"/>
    <x v="0"/>
    <x v="0"/>
    <n v="88.302999999999997"/>
    <x v="1509"/>
    <n v="17.812999999999999"/>
    <n v="37.793999999999997"/>
    <n v="32.360999999999997"/>
    <n v="23"/>
    <x v="1"/>
  </r>
  <r>
    <x v="3"/>
    <x v="21"/>
    <x v="19"/>
    <x v="3"/>
    <s v="RIC"/>
    <x v="3"/>
    <x v="4"/>
    <x v="11"/>
    <n v="0"/>
    <x v="1"/>
    <x v="1"/>
    <x v="1"/>
    <n v="88.722999999999999"/>
    <x v="1510"/>
    <n v="17.79"/>
    <n v="37.640999999999998"/>
    <n v="32.545999999999999"/>
    <s v="18,52"/>
    <x v="1"/>
  </r>
  <r>
    <x v="3"/>
    <x v="21"/>
    <x v="19"/>
    <x v="13"/>
    <s v="STR"/>
    <x v="13"/>
    <x v="13"/>
    <x v="12"/>
    <n v="0"/>
    <x v="1"/>
    <x v="1"/>
    <x v="1"/>
    <n v="88.566999999999993"/>
    <x v="1511"/>
    <n v="17.802"/>
    <n v="38.286999999999999"/>
    <n v="32.244"/>
    <s v="21,52"/>
    <x v="1"/>
  </r>
  <r>
    <x v="3"/>
    <x v="21"/>
    <x v="19"/>
    <x v="30"/>
    <s v="MSC"/>
    <x v="9"/>
    <x v="19"/>
    <x v="13"/>
    <n v="0"/>
    <x v="1"/>
    <x v="1"/>
    <x v="1"/>
    <n v="89.456999999999994"/>
    <x v="1512"/>
    <n v="18.079000000000001"/>
    <n v="37.859000000000002"/>
    <n v="32.747"/>
    <s v="10,52"/>
    <x v="1"/>
  </r>
  <r>
    <x v="3"/>
    <x v="21"/>
    <x v="19"/>
    <x v="10"/>
    <s v="PER"/>
    <x v="2"/>
    <x v="5"/>
    <x v="14"/>
    <n v="0"/>
    <x v="1"/>
    <x v="3"/>
    <x v="35"/>
    <n v="86.418999999999997"/>
    <x v="1513"/>
    <n v="17.434999999999999"/>
    <n v="37.414999999999999"/>
    <n v="31.472999999999999"/>
    <s v="21,36,53,55"/>
    <x v="1"/>
  </r>
  <r>
    <x v="3"/>
    <x v="21"/>
    <x v="19"/>
    <x v="26"/>
    <s v="LAT"/>
    <x v="7"/>
    <x v="14"/>
    <x v="15"/>
    <n v="0"/>
    <x v="1"/>
    <x v="9"/>
    <x v="11"/>
    <n v="89.293000000000006"/>
    <x v="1514"/>
    <n v="17.837"/>
    <n v="38.078000000000003"/>
    <n v="32.844999999999999"/>
    <n v="28"/>
    <x v="1"/>
  </r>
  <r>
    <x v="3"/>
    <x v="21"/>
    <x v="19"/>
    <x v="23"/>
    <s v="GIO"/>
    <x v="11"/>
    <x v="11"/>
    <x v="16"/>
    <n v="0"/>
    <x v="1"/>
    <x v="13"/>
    <x v="8"/>
    <n v="89.441999999999993"/>
    <x v="1515"/>
    <n v="17.989000000000001"/>
    <n v="38.036000000000001"/>
    <n v="32.844999999999999"/>
    <n v="17"/>
    <x v="1"/>
  </r>
  <r>
    <x v="3"/>
    <x v="21"/>
    <x v="19"/>
    <x v="24"/>
    <s v="RUS"/>
    <x v="7"/>
    <x v="18"/>
    <x v="17"/>
    <n v="0"/>
    <x v="1"/>
    <x v="13"/>
    <x v="65"/>
    <n v="90.647000000000006"/>
    <x v="1516"/>
    <n v="18.204999999999998"/>
    <n v="38.401000000000003"/>
    <n v="33.771999999999998"/>
    <n v="26"/>
    <x v="1"/>
  </r>
  <r>
    <x v="3"/>
    <x v="21"/>
    <x v="19"/>
    <x v="2"/>
    <s v="RAI"/>
    <x v="11"/>
    <x v="12"/>
    <x v="18"/>
    <n v="0"/>
    <x v="1"/>
    <x v="5"/>
    <x v="23"/>
    <n v="89.697999999999993"/>
    <x v="1517"/>
    <n v="18.175000000000001"/>
    <n v="38.276000000000003"/>
    <n v="33.026000000000003"/>
    <s v="21,25"/>
    <x v="1"/>
  </r>
  <r>
    <x v="3"/>
    <x v="21"/>
    <x v="19"/>
    <x v="31"/>
    <s v="MAZ"/>
    <x v="9"/>
    <x v="21"/>
    <x v="20"/>
    <n v="0"/>
    <x v="1"/>
    <x v="38"/>
    <x v="68"/>
    <m/>
    <x v="19"/>
    <m/>
    <m/>
    <m/>
    <m/>
    <x v="1"/>
  </r>
  <r>
    <x v="4"/>
    <x v="0"/>
    <x v="1"/>
    <x v="12"/>
    <s v="LEC"/>
    <x v="0"/>
    <x v="1"/>
    <x v="0"/>
    <n v="26"/>
    <x v="0"/>
    <x v="0"/>
    <x v="1"/>
    <n v="94.57"/>
    <x v="1518"/>
    <n v="30.439"/>
    <n v="40.731999999999999"/>
    <n v="23.399000000000001"/>
    <s v="15,31,46"/>
    <x v="1"/>
  </r>
  <r>
    <x v="4"/>
    <x v="0"/>
    <x v="1"/>
    <x v="9"/>
    <s v="SAI"/>
    <x v="0"/>
    <x v="0"/>
    <x v="1"/>
    <n v="18"/>
    <x v="0"/>
    <x v="0"/>
    <x v="1"/>
    <n v="95.74"/>
    <x v="1519"/>
    <n v="30.754000000000001"/>
    <n v="41.222000000000001"/>
    <n v="23.654"/>
    <s v="14,33,44"/>
    <x v="1"/>
  </r>
  <r>
    <x v="4"/>
    <x v="0"/>
    <x v="1"/>
    <x v="1"/>
    <s v="HAM"/>
    <x v="1"/>
    <x v="16"/>
    <x v="2"/>
    <n v="15"/>
    <x v="0"/>
    <x v="0"/>
    <x v="1"/>
    <n v="96.227999999999994"/>
    <x v="1520"/>
    <n v="30.629000000000001"/>
    <n v="41.576000000000001"/>
    <n v="23.617999999999999"/>
    <s v="11,27,44"/>
    <x v="1"/>
  </r>
  <r>
    <x v="4"/>
    <x v="0"/>
    <x v="1"/>
    <x v="24"/>
    <s v="RUS"/>
    <x v="1"/>
    <x v="9"/>
    <x v="3"/>
    <n v="12"/>
    <x v="1"/>
    <x v="0"/>
    <x v="1"/>
    <n v="96.302000000000007"/>
    <x v="1521"/>
    <n v="30.808"/>
    <n v="41.554000000000002"/>
    <n v="23.608000000000001"/>
    <s v="15,33,45"/>
    <x v="1"/>
  </r>
  <r>
    <x v="4"/>
    <x v="0"/>
    <x v="1"/>
    <x v="16"/>
    <s v="MAG"/>
    <x v="9"/>
    <x v="6"/>
    <x v="4"/>
    <n v="10"/>
    <x v="1"/>
    <x v="0"/>
    <x v="1"/>
    <n v="96.623000000000005"/>
    <x v="1522"/>
    <n v="30.85"/>
    <n v="41.902999999999999"/>
    <n v="23.786999999999999"/>
    <s v="14,34,46"/>
    <x v="1"/>
  </r>
  <r>
    <x v="4"/>
    <x v="0"/>
    <x v="1"/>
    <x v="7"/>
    <s v="BOT"/>
    <x v="15"/>
    <x v="15"/>
    <x v="5"/>
    <n v="8"/>
    <x v="1"/>
    <x v="0"/>
    <x v="1"/>
    <n v="96.599000000000004"/>
    <x v="1523"/>
    <n v="30.675999999999998"/>
    <n v="41.82"/>
    <n v="23.744"/>
    <s v="14,36,45"/>
    <x v="1"/>
  </r>
  <r>
    <x v="4"/>
    <x v="0"/>
    <x v="1"/>
    <x v="11"/>
    <s v="OCO"/>
    <x v="14"/>
    <x v="8"/>
    <x v="6"/>
    <n v="6"/>
    <x v="1"/>
    <x v="0"/>
    <x v="1"/>
    <n v="97.11"/>
    <x v="1524"/>
    <n v="31.004999999999999"/>
    <n v="42.134999999999998"/>
    <n v="23.901"/>
    <s v="14,30,43"/>
    <x v="1"/>
  </r>
  <r>
    <x v="4"/>
    <x v="0"/>
    <x v="1"/>
    <x v="29"/>
    <s v="TSU"/>
    <x v="12"/>
    <x v="14"/>
    <x v="7"/>
    <n v="4"/>
    <x v="1"/>
    <x v="0"/>
    <x v="1"/>
    <n v="97.103999999999999"/>
    <x v="1525"/>
    <n v="30.710999999999999"/>
    <n v="42.241999999999997"/>
    <n v="23.837"/>
    <s v="15,29,44"/>
    <x v="1"/>
  </r>
  <r>
    <x v="4"/>
    <x v="0"/>
    <x v="1"/>
    <x v="4"/>
    <s v="ALO"/>
    <x v="14"/>
    <x v="3"/>
    <x v="8"/>
    <n v="2"/>
    <x v="1"/>
    <x v="0"/>
    <x v="1"/>
    <n v="96.733000000000004"/>
    <x v="1526"/>
    <n v="31.065000000000001"/>
    <n v="41.854999999999997"/>
    <n v="23.812999999999999"/>
    <s v="11,25,42"/>
    <x v="1"/>
  </r>
  <r>
    <x v="4"/>
    <x v="0"/>
    <x v="1"/>
    <x v="32"/>
    <s v="ZHO"/>
    <x v="15"/>
    <x v="7"/>
    <x v="9"/>
    <n v="1"/>
    <x v="1"/>
    <x v="0"/>
    <x v="1"/>
    <n v="96.685000000000002"/>
    <x v="1527"/>
    <n v="30.908000000000001"/>
    <n v="41.863999999999997"/>
    <n v="23.762"/>
    <s v="15,37,45"/>
    <x v="1"/>
  </r>
  <r>
    <x v="4"/>
    <x v="0"/>
    <x v="1"/>
    <x v="30"/>
    <s v="MSC"/>
    <x v="9"/>
    <x v="10"/>
    <x v="10"/>
    <n v="0"/>
    <x v="1"/>
    <x v="0"/>
    <x v="1"/>
    <n v="96.956000000000003"/>
    <x v="1528"/>
    <n v="31.047999999999998"/>
    <n v="41.911999999999999"/>
    <n v="23.995999999999999"/>
    <s v="12,35"/>
    <x v="1"/>
  </r>
  <r>
    <x v="4"/>
    <x v="0"/>
    <x v="1"/>
    <x v="13"/>
    <s v="STR"/>
    <x v="13"/>
    <x v="19"/>
    <x v="11"/>
    <n v="0"/>
    <x v="1"/>
    <x v="0"/>
    <x v="1"/>
    <n v="97.274000000000001"/>
    <x v="1529"/>
    <n v="31.143000000000001"/>
    <n v="42.101999999999997"/>
    <n v="24.007999999999999"/>
    <s v="18,38,45"/>
    <x v="1"/>
  </r>
  <r>
    <x v="4"/>
    <x v="0"/>
    <x v="1"/>
    <x v="22"/>
    <s v="ALB"/>
    <x v="7"/>
    <x v="11"/>
    <x v="12"/>
    <n v="0"/>
    <x v="1"/>
    <x v="0"/>
    <x v="1"/>
    <n v="97.701999999999998"/>
    <x v="1530"/>
    <n v="31.140999999999998"/>
    <n v="42.411000000000001"/>
    <n v="24.05"/>
    <s v="13,35,46"/>
    <x v="1"/>
  </r>
  <r>
    <x v="4"/>
    <x v="0"/>
    <x v="1"/>
    <x v="3"/>
    <s v="RIC"/>
    <x v="3"/>
    <x v="12"/>
    <x v="13"/>
    <n v="0"/>
    <x v="1"/>
    <x v="0"/>
    <x v="1"/>
    <n v="97.58"/>
    <x v="1531"/>
    <n v="31.184000000000001"/>
    <n v="42.192"/>
    <n v="24.076000000000001"/>
    <s v="17,33,44"/>
    <x v="1"/>
  </r>
  <r>
    <x v="4"/>
    <x v="0"/>
    <x v="1"/>
    <x v="21"/>
    <s v="NOR"/>
    <x v="3"/>
    <x v="13"/>
    <x v="14"/>
    <n v="0"/>
    <x v="1"/>
    <x v="0"/>
    <x v="1"/>
    <n v="96.988"/>
    <x v="1532"/>
    <n v="30.991"/>
    <n v="41.954000000000001"/>
    <n v="23.72"/>
    <s v="24,41,45"/>
    <x v="1"/>
  </r>
  <r>
    <x v="4"/>
    <x v="0"/>
    <x v="1"/>
    <x v="26"/>
    <s v="LAT"/>
    <x v="7"/>
    <x v="17"/>
    <x v="15"/>
    <n v="0"/>
    <x v="1"/>
    <x v="0"/>
    <x v="1"/>
    <n v="98.251000000000005"/>
    <x v="1533"/>
    <n v="31.140999999999998"/>
    <n v="42.973999999999997"/>
    <n v="24.036000000000001"/>
    <s v="14,32,45"/>
    <x v="1"/>
  </r>
  <r>
    <x v="4"/>
    <x v="0"/>
    <x v="1"/>
    <x v="6"/>
    <s v="HUL"/>
    <x v="13"/>
    <x v="18"/>
    <x v="16"/>
    <n v="0"/>
    <x v="1"/>
    <x v="0"/>
    <x v="1"/>
    <n v="98.242999999999995"/>
    <x v="1534"/>
    <n v="31.114000000000001"/>
    <n v="42.491"/>
    <n v="24.245999999999999"/>
    <s v="19,37,44"/>
    <x v="1"/>
  </r>
  <r>
    <x v="4"/>
    <x v="0"/>
    <x v="1"/>
    <x v="10"/>
    <s v="PER"/>
    <x v="2"/>
    <x v="5"/>
    <x v="17"/>
    <n v="0"/>
    <x v="1"/>
    <x v="17"/>
    <x v="1"/>
    <n v="96.088999999999999"/>
    <x v="1535"/>
    <n v="30.794"/>
    <n v="41.518999999999998"/>
    <n v="23.745000000000001"/>
    <s v="15,33,43"/>
    <x v="1"/>
  </r>
  <r>
    <x v="4"/>
    <x v="0"/>
    <x v="1"/>
    <x v="5"/>
    <s v="VER"/>
    <x v="2"/>
    <x v="2"/>
    <x v="18"/>
    <n v="0"/>
    <x v="1"/>
    <x v="17"/>
    <x v="36"/>
    <n v="95.44"/>
    <x v="1536"/>
    <n v="30.516999999999999"/>
    <n v="41.27"/>
    <n v="23.565000000000001"/>
    <s v="14,30,43,54"/>
    <x v="1"/>
  </r>
  <r>
    <x v="4"/>
    <x v="0"/>
    <x v="1"/>
    <x v="17"/>
    <s v="GAS"/>
    <x v="12"/>
    <x v="4"/>
    <x v="19"/>
    <n v="0"/>
    <x v="1"/>
    <x v="20"/>
    <x v="55"/>
    <n v="97.323999999999998"/>
    <x v="1537"/>
    <n v="31.029"/>
    <n v="42.223999999999997"/>
    <n v="23.928000000000001"/>
    <s v="14,32"/>
    <x v="1"/>
  </r>
  <r>
    <x v="4"/>
    <x v="1"/>
    <x v="33"/>
    <x v="5"/>
    <s v="VER"/>
    <x v="2"/>
    <x v="5"/>
    <x v="0"/>
    <n v="25"/>
    <x v="0"/>
    <x v="0"/>
    <x v="43"/>
    <n v="91.772000000000006"/>
    <x v="1538"/>
    <n v="33.738"/>
    <n v="29.113"/>
    <n v="28.486999999999998"/>
    <n v="16"/>
    <x v="1"/>
  </r>
  <r>
    <x v="4"/>
    <x v="1"/>
    <x v="33"/>
    <x v="12"/>
    <s v="LEC"/>
    <x v="0"/>
    <x v="2"/>
    <x v="1"/>
    <n v="19"/>
    <x v="0"/>
    <x v="0"/>
    <x v="43"/>
    <n v="91.634"/>
    <x v="1539"/>
    <n v="33.720999999999997"/>
    <n v="29.148"/>
    <n v="28.504999999999999"/>
    <n v="16"/>
    <x v="1"/>
  </r>
  <r>
    <x v="4"/>
    <x v="1"/>
    <x v="33"/>
    <x v="9"/>
    <s v="SAI"/>
    <x v="0"/>
    <x v="0"/>
    <x v="2"/>
    <n v="15"/>
    <x v="0"/>
    <x v="0"/>
    <x v="43"/>
    <n v="91.905000000000001"/>
    <x v="1540"/>
    <n v="33.759"/>
    <n v="29.262"/>
    <n v="28.805"/>
    <n v="16"/>
    <x v="1"/>
  </r>
  <r>
    <x v="4"/>
    <x v="1"/>
    <x v="33"/>
    <x v="10"/>
    <s v="PER"/>
    <x v="2"/>
    <x v="1"/>
    <x v="3"/>
    <n v="12"/>
    <x v="1"/>
    <x v="0"/>
    <x v="43"/>
    <n v="92.042000000000002"/>
    <x v="1541"/>
    <n v="34.030999999999999"/>
    <n v="29.239000000000001"/>
    <n v="28.7"/>
    <n v="15"/>
    <x v="1"/>
  </r>
  <r>
    <x v="4"/>
    <x v="1"/>
    <x v="33"/>
    <x v="24"/>
    <s v="RUS"/>
    <x v="1"/>
    <x v="15"/>
    <x v="4"/>
    <n v="10"/>
    <x v="1"/>
    <x v="0"/>
    <x v="43"/>
    <n v="92.820999999999998"/>
    <x v="1542"/>
    <n v="34.119"/>
    <n v="29.42"/>
    <n v="29.210999999999999"/>
    <n v="16"/>
    <x v="1"/>
  </r>
  <r>
    <x v="4"/>
    <x v="1"/>
    <x v="33"/>
    <x v="11"/>
    <s v="OCO"/>
    <x v="14"/>
    <x v="16"/>
    <x v="5"/>
    <n v="8"/>
    <x v="1"/>
    <x v="0"/>
    <x v="43"/>
    <n v="93.102999999999994"/>
    <x v="1543"/>
    <n v="34.165999999999997"/>
    <n v="29.707999999999998"/>
    <n v="29.161000000000001"/>
    <n v="16"/>
    <x v="1"/>
  </r>
  <r>
    <x v="4"/>
    <x v="1"/>
    <x v="33"/>
    <x v="21"/>
    <s v="NOR"/>
    <x v="3"/>
    <x v="8"/>
    <x v="6"/>
    <n v="6"/>
    <x v="1"/>
    <x v="0"/>
    <x v="43"/>
    <n v="92.753"/>
    <x v="1544"/>
    <n v="34.204000000000001"/>
    <n v="29.478999999999999"/>
    <n v="29.04"/>
    <n v="16"/>
    <x v="1"/>
  </r>
  <r>
    <x v="4"/>
    <x v="1"/>
    <x v="33"/>
    <x v="17"/>
    <s v="GAS"/>
    <x v="12"/>
    <x v="9"/>
    <x v="7"/>
    <n v="4"/>
    <x v="1"/>
    <x v="0"/>
    <x v="43"/>
    <n v="93.468000000000004"/>
    <x v="1545"/>
    <n v="34.551000000000002"/>
    <n v="29.672000000000001"/>
    <n v="29.062999999999999"/>
    <n v="15"/>
    <x v="1"/>
  </r>
  <r>
    <x v="4"/>
    <x v="1"/>
    <x v="33"/>
    <x v="16"/>
    <s v="MAG"/>
    <x v="9"/>
    <x v="4"/>
    <x v="8"/>
    <n v="2"/>
    <x v="1"/>
    <x v="0"/>
    <x v="43"/>
    <n v="92.778999999999996"/>
    <x v="1546"/>
    <n v="34.091000000000001"/>
    <n v="29.507000000000001"/>
    <n v="29.068000000000001"/>
    <n v="37"/>
    <x v="1"/>
  </r>
  <r>
    <x v="4"/>
    <x v="1"/>
    <x v="33"/>
    <x v="1"/>
    <s v="HAM"/>
    <x v="1"/>
    <x v="7"/>
    <x v="9"/>
    <n v="1"/>
    <x v="1"/>
    <x v="0"/>
    <x v="43"/>
    <n v="92.997"/>
    <x v="1547"/>
    <n v="34.264000000000003"/>
    <n v="29.527999999999999"/>
    <n v="29.14"/>
    <n v="40"/>
    <x v="1"/>
  </r>
  <r>
    <x v="4"/>
    <x v="1"/>
    <x v="33"/>
    <x v="32"/>
    <s v="ZHO"/>
    <x v="15"/>
    <x v="10"/>
    <x v="10"/>
    <n v="0"/>
    <x v="1"/>
    <x v="0"/>
    <x v="43"/>
    <n v="93.924000000000007"/>
    <x v="1548"/>
    <n v="34.823"/>
    <n v="29.798999999999999"/>
    <n v="29.204999999999998"/>
    <s v="16,27"/>
    <x v="1"/>
  </r>
  <r>
    <x v="4"/>
    <x v="1"/>
    <x v="33"/>
    <x v="6"/>
    <s v="HUL"/>
    <x v="13"/>
    <x v="18"/>
    <x v="11"/>
    <n v="0"/>
    <x v="1"/>
    <x v="0"/>
    <x v="43"/>
    <n v="93.650999999999996"/>
    <x v="1549"/>
    <n v="34.488999999999997"/>
    <n v="29.806999999999999"/>
    <n v="29.355"/>
    <n v="37"/>
    <x v="1"/>
  </r>
  <r>
    <x v="4"/>
    <x v="1"/>
    <x v="33"/>
    <x v="13"/>
    <s v="STR"/>
    <x v="13"/>
    <x v="13"/>
    <x v="12"/>
    <n v="0"/>
    <x v="1"/>
    <x v="1"/>
    <x v="12"/>
    <n v="94.445999999999998"/>
    <x v="1550"/>
    <n v="34.875999999999998"/>
    <n v="30.042000000000002"/>
    <n v="29.338999999999999"/>
    <n v="13"/>
    <x v="1"/>
  </r>
  <r>
    <x v="4"/>
    <x v="1"/>
    <x v="33"/>
    <x v="22"/>
    <s v="ALB"/>
    <x v="7"/>
    <x v="14"/>
    <x v="13"/>
    <n v="0"/>
    <x v="1"/>
    <x v="8"/>
    <x v="66"/>
    <n v="94.367999999999995"/>
    <x v="1551"/>
    <n v="34.89"/>
    <n v="29.882000000000001"/>
    <n v="29.117999999999999"/>
    <n v="13"/>
    <x v="1"/>
  </r>
  <r>
    <x v="4"/>
    <x v="1"/>
    <x v="33"/>
    <x v="7"/>
    <s v="BOT"/>
    <x v="15"/>
    <x v="3"/>
    <x v="14"/>
    <n v="0"/>
    <x v="1"/>
    <x v="42"/>
    <x v="74"/>
    <n v="93.978999999999999"/>
    <x v="1552"/>
    <n v="34.753"/>
    <n v="29.747"/>
    <n v="29.105"/>
    <s v="16,35,36"/>
    <x v="1"/>
  </r>
  <r>
    <x v="4"/>
    <x v="1"/>
    <x v="33"/>
    <x v="4"/>
    <s v="ALO"/>
    <x v="14"/>
    <x v="6"/>
    <x v="15"/>
    <n v="0"/>
    <x v="1"/>
    <x v="43"/>
    <x v="74"/>
    <n v="93.831000000000003"/>
    <x v="1553"/>
    <n v="34.905999999999999"/>
    <n v="29.803000000000001"/>
    <n v="28.99"/>
    <n v="16"/>
    <x v="1"/>
  </r>
  <r>
    <x v="4"/>
    <x v="1"/>
    <x v="33"/>
    <x v="3"/>
    <s v="RIC"/>
    <x v="3"/>
    <x v="11"/>
    <x v="16"/>
    <n v="0"/>
    <x v="1"/>
    <x v="13"/>
    <x v="74"/>
    <n v="94.486999999999995"/>
    <x v="1554"/>
    <n v="34.747"/>
    <n v="30.071999999999999"/>
    <n v="29.318000000000001"/>
    <s v="8,36"/>
    <x v="1"/>
  </r>
  <r>
    <x v="4"/>
    <x v="1"/>
    <x v="33"/>
    <x v="26"/>
    <s v="LAT"/>
    <x v="7"/>
    <x v="12"/>
    <x v="17"/>
    <n v="0"/>
    <x v="1"/>
    <x v="9"/>
    <x v="67"/>
    <n v="97.53"/>
    <x v="1555"/>
    <n v="36.445999999999998"/>
    <n v="30.931999999999999"/>
    <n v="30.122"/>
    <m/>
    <x v="1"/>
  </r>
  <r>
    <x v="4"/>
    <x v="1"/>
    <x v="33"/>
    <x v="29"/>
    <s v="TSU"/>
    <x v="12"/>
    <x v="19"/>
    <x v="18"/>
    <n v="0"/>
    <x v="1"/>
    <x v="20"/>
    <x v="68"/>
    <m/>
    <x v="19"/>
    <m/>
    <m/>
    <m/>
    <m/>
    <x v="1"/>
  </r>
  <r>
    <x v="4"/>
    <x v="1"/>
    <x v="33"/>
    <x v="30"/>
    <s v="MSC"/>
    <x v="9"/>
    <x v="21"/>
    <x v="20"/>
    <n v="0"/>
    <x v="1"/>
    <x v="33"/>
    <x v="68"/>
    <m/>
    <x v="19"/>
    <m/>
    <m/>
    <m/>
    <m/>
    <x v="1"/>
  </r>
  <r>
    <x v="4"/>
    <x v="2"/>
    <x v="0"/>
    <x v="12"/>
    <s v="LEC"/>
    <x v="0"/>
    <x v="1"/>
    <x v="0"/>
    <n v="26"/>
    <x v="0"/>
    <x v="0"/>
    <x v="0"/>
    <n v="80.260000000000005"/>
    <x v="1556"/>
    <n v="28.044"/>
    <n v="17.878"/>
    <n v="34.338000000000001"/>
    <n v="22"/>
    <x v="1"/>
  </r>
  <r>
    <x v="4"/>
    <x v="2"/>
    <x v="0"/>
    <x v="10"/>
    <s v="PER"/>
    <x v="2"/>
    <x v="0"/>
    <x v="1"/>
    <n v="18"/>
    <x v="0"/>
    <x v="0"/>
    <x v="0"/>
    <n v="81.093999999999994"/>
    <x v="1557"/>
    <n v="28.213999999999999"/>
    <n v="17.981000000000002"/>
    <n v="34.899000000000001"/>
    <n v="20"/>
    <x v="1"/>
  </r>
  <r>
    <x v="4"/>
    <x v="2"/>
    <x v="0"/>
    <x v="24"/>
    <s v="RUS"/>
    <x v="1"/>
    <x v="15"/>
    <x v="2"/>
    <n v="15"/>
    <x v="0"/>
    <x v="0"/>
    <x v="0"/>
    <n v="81.495000000000005"/>
    <x v="1558"/>
    <n v="28.206"/>
    <n v="18.106999999999999"/>
    <n v="35.182000000000002"/>
    <n v="23"/>
    <x v="1"/>
  </r>
  <r>
    <x v="4"/>
    <x v="2"/>
    <x v="0"/>
    <x v="1"/>
    <s v="HAM"/>
    <x v="1"/>
    <x v="16"/>
    <x v="3"/>
    <n v="12"/>
    <x v="1"/>
    <x v="0"/>
    <x v="0"/>
    <n v="81.885999999999996"/>
    <x v="1559"/>
    <n v="28.257000000000001"/>
    <n v="18.056999999999999"/>
    <n v="35.201000000000001"/>
    <n v="22"/>
    <x v="1"/>
  </r>
  <r>
    <x v="4"/>
    <x v="2"/>
    <x v="0"/>
    <x v="21"/>
    <s v="NOR"/>
    <x v="3"/>
    <x v="5"/>
    <x v="4"/>
    <n v="10"/>
    <x v="1"/>
    <x v="0"/>
    <x v="0"/>
    <n v="82.248000000000005"/>
    <x v="1560"/>
    <n v="28.582999999999998"/>
    <n v="18.393000000000001"/>
    <n v="35.18"/>
    <n v="20"/>
    <x v="1"/>
  </r>
  <r>
    <x v="4"/>
    <x v="2"/>
    <x v="0"/>
    <x v="3"/>
    <s v="RIC"/>
    <x v="3"/>
    <x v="6"/>
    <x v="5"/>
    <n v="8"/>
    <x v="1"/>
    <x v="0"/>
    <x v="0"/>
    <n v="82.450999999999993"/>
    <x v="1561"/>
    <n v="28.603000000000002"/>
    <n v="18.318000000000001"/>
    <n v="35.497999999999998"/>
    <n v="21"/>
    <x v="1"/>
  </r>
  <r>
    <x v="4"/>
    <x v="2"/>
    <x v="0"/>
    <x v="11"/>
    <s v="OCO"/>
    <x v="14"/>
    <x v="3"/>
    <x v="6"/>
    <n v="6"/>
    <x v="1"/>
    <x v="0"/>
    <x v="0"/>
    <n v="82.468999999999994"/>
    <x v="1562"/>
    <n v="28.617000000000001"/>
    <n v="18.146999999999998"/>
    <n v="35.47"/>
    <n v="17"/>
    <x v="1"/>
  </r>
  <r>
    <x v="4"/>
    <x v="2"/>
    <x v="0"/>
    <x v="7"/>
    <s v="BOT"/>
    <x v="15"/>
    <x v="10"/>
    <x v="7"/>
    <n v="4"/>
    <x v="1"/>
    <x v="0"/>
    <x v="0"/>
    <n v="81.650999999999996"/>
    <x v="1563"/>
    <n v="28.143999999999998"/>
    <n v="18.047999999999998"/>
    <n v="35.241"/>
    <n v="22"/>
    <x v="1"/>
  </r>
  <r>
    <x v="4"/>
    <x v="2"/>
    <x v="0"/>
    <x v="17"/>
    <s v="GAS"/>
    <x v="12"/>
    <x v="8"/>
    <x v="8"/>
    <n v="2"/>
    <x v="1"/>
    <x v="0"/>
    <x v="0"/>
    <n v="82.730999999999995"/>
    <x v="1564"/>
    <n v="28.695"/>
    <n v="18.379000000000001"/>
    <n v="35.512999999999998"/>
    <n v="21"/>
    <x v="1"/>
  </r>
  <r>
    <x v="4"/>
    <x v="2"/>
    <x v="0"/>
    <x v="22"/>
    <s v="ALB"/>
    <x v="7"/>
    <x v="17"/>
    <x v="9"/>
    <n v="1"/>
    <x v="1"/>
    <x v="0"/>
    <x v="0"/>
    <n v="82.588999999999999"/>
    <x v="1565"/>
    <n v="28.523"/>
    <n v="18.187999999999999"/>
    <n v="35.764000000000003"/>
    <n v="57"/>
    <x v="1"/>
  </r>
  <r>
    <x v="4"/>
    <x v="2"/>
    <x v="0"/>
    <x v="32"/>
    <s v="ZHO"/>
    <x v="15"/>
    <x v="11"/>
    <x v="10"/>
    <n v="0"/>
    <x v="1"/>
    <x v="0"/>
    <x v="0"/>
    <n v="82.540999999999997"/>
    <x v="1566"/>
    <n v="28.658999999999999"/>
    <n v="18.256"/>
    <n v="35.316000000000003"/>
    <n v="21"/>
    <x v="1"/>
  </r>
  <r>
    <x v="4"/>
    <x v="2"/>
    <x v="0"/>
    <x v="13"/>
    <s v="STR"/>
    <x v="13"/>
    <x v="19"/>
    <x v="11"/>
    <n v="0"/>
    <x v="1"/>
    <x v="0"/>
    <x v="0"/>
    <n v="83.591999999999999"/>
    <x v="1567"/>
    <n v="28.829000000000001"/>
    <n v="18.344999999999999"/>
    <n v="36.125"/>
    <s v="3,4,23"/>
    <x v="1"/>
  </r>
  <r>
    <x v="4"/>
    <x v="2"/>
    <x v="0"/>
    <x v="30"/>
    <s v="MSC"/>
    <x v="9"/>
    <x v="7"/>
    <x v="12"/>
    <n v="0"/>
    <x v="1"/>
    <x v="1"/>
    <x v="1"/>
    <n v="83.006"/>
    <x v="1568"/>
    <n v="28.66"/>
    <n v="18.411000000000001"/>
    <n v="35.744"/>
    <n v="14"/>
    <x v="1"/>
  </r>
  <r>
    <x v="4"/>
    <x v="2"/>
    <x v="0"/>
    <x v="16"/>
    <s v="MAG"/>
    <x v="9"/>
    <x v="14"/>
    <x v="13"/>
    <n v="0"/>
    <x v="1"/>
    <x v="1"/>
    <x v="1"/>
    <n v="83.070999999999998"/>
    <x v="1569"/>
    <n v="28.896999999999998"/>
    <n v="18.407"/>
    <n v="35.701999999999998"/>
    <n v="39"/>
    <x v="1"/>
  </r>
  <r>
    <x v="4"/>
    <x v="2"/>
    <x v="0"/>
    <x v="29"/>
    <s v="TSU"/>
    <x v="12"/>
    <x v="13"/>
    <x v="14"/>
    <n v="0"/>
    <x v="1"/>
    <x v="1"/>
    <x v="1"/>
    <n v="83.341999999999999"/>
    <x v="1570"/>
    <n v="28.806999999999999"/>
    <n v="18.419"/>
    <n v="35.976999999999997"/>
    <n v="18"/>
    <x v="1"/>
  </r>
  <r>
    <x v="4"/>
    <x v="2"/>
    <x v="0"/>
    <x v="26"/>
    <s v="LAT"/>
    <x v="7"/>
    <x v="12"/>
    <x v="15"/>
    <n v="0"/>
    <x v="1"/>
    <x v="1"/>
    <x v="1"/>
    <n v="83.882000000000005"/>
    <x v="1571"/>
    <n v="28.893000000000001"/>
    <n v="18.324999999999999"/>
    <n v="36.415999999999997"/>
    <s v="13,23"/>
    <x v="1"/>
  </r>
  <r>
    <x v="4"/>
    <x v="2"/>
    <x v="0"/>
    <x v="4"/>
    <s v="ALO"/>
    <x v="14"/>
    <x v="4"/>
    <x v="16"/>
    <n v="0"/>
    <x v="1"/>
    <x v="1"/>
    <x v="1"/>
    <n v="80.846000000000004"/>
    <x v="1572"/>
    <n v="28.013999999999999"/>
    <n v="18.047000000000001"/>
    <n v="34.784999999999997"/>
    <s v="39,53"/>
    <x v="1"/>
  </r>
  <r>
    <x v="4"/>
    <x v="2"/>
    <x v="0"/>
    <x v="5"/>
    <s v="VER"/>
    <x v="2"/>
    <x v="2"/>
    <x v="17"/>
    <n v="0"/>
    <x v="1"/>
    <x v="44"/>
    <x v="22"/>
    <n v="81.677000000000007"/>
    <x v="1573"/>
    <n v="28.416"/>
    <n v="18.141999999999999"/>
    <n v="35.119"/>
    <n v="18"/>
    <x v="1"/>
  </r>
  <r>
    <x v="4"/>
    <x v="2"/>
    <x v="0"/>
    <x v="0"/>
    <s v="VET"/>
    <x v="13"/>
    <x v="18"/>
    <x v="18"/>
    <n v="0"/>
    <x v="1"/>
    <x v="9"/>
    <x v="69"/>
    <n v="85.188999999999993"/>
    <x v="1574"/>
    <n v="29.359000000000002"/>
    <n v="18.562000000000001"/>
    <n v="36.968000000000004"/>
    <m/>
    <x v="1"/>
  </r>
  <r>
    <x v="4"/>
    <x v="2"/>
    <x v="0"/>
    <x v="9"/>
    <s v="SAI"/>
    <x v="0"/>
    <x v="9"/>
    <x v="19"/>
    <n v="0"/>
    <x v="1"/>
    <x v="31"/>
    <x v="10"/>
    <m/>
    <x v="19"/>
    <m/>
    <m/>
    <m/>
    <m/>
    <x v="1"/>
  </r>
  <r>
    <x v="4"/>
    <x v="3"/>
    <x v="26"/>
    <x v="5"/>
    <s v="VER"/>
    <x v="2"/>
    <x v="1"/>
    <x v="0"/>
    <n v="26"/>
    <x v="0"/>
    <x v="0"/>
    <x v="20"/>
    <n v="78.445999999999998"/>
    <x v="1575"/>
    <n v="25.088000000000001"/>
    <n v="27.016999999999999"/>
    <n v="26.341000000000001"/>
    <s v="19,51"/>
    <x v="1"/>
  </r>
  <r>
    <x v="4"/>
    <x v="3"/>
    <x v="26"/>
    <x v="10"/>
    <s v="PER"/>
    <x v="2"/>
    <x v="0"/>
    <x v="1"/>
    <n v="18"/>
    <x v="0"/>
    <x v="0"/>
    <x v="20"/>
    <n v="78.948999999999998"/>
    <x v="1576"/>
    <n v="25.222999999999999"/>
    <n v="27.082999999999998"/>
    <n v="26.545999999999999"/>
    <s v="18,50"/>
    <x v="1"/>
  </r>
  <r>
    <x v="4"/>
    <x v="3"/>
    <x v="26"/>
    <x v="21"/>
    <s v="NOR"/>
    <x v="3"/>
    <x v="16"/>
    <x v="2"/>
    <n v="15"/>
    <x v="0"/>
    <x v="0"/>
    <x v="20"/>
    <n v="80.903000000000006"/>
    <x v="1577"/>
    <n v="25.690999999999999"/>
    <n v="27.826000000000001"/>
    <n v="27.216000000000001"/>
    <n v="19"/>
    <x v="1"/>
  </r>
  <r>
    <x v="4"/>
    <x v="3"/>
    <x v="26"/>
    <x v="24"/>
    <s v="RUS"/>
    <x v="1"/>
    <x v="8"/>
    <x v="3"/>
    <n v="12"/>
    <x v="1"/>
    <x v="0"/>
    <x v="20"/>
    <n v="80.962000000000003"/>
    <x v="1578"/>
    <n v="25.795000000000002"/>
    <n v="27.875"/>
    <n v="26.96"/>
    <n v="18"/>
    <x v="1"/>
  </r>
  <r>
    <x v="4"/>
    <x v="3"/>
    <x v="26"/>
    <x v="7"/>
    <s v="BOT"/>
    <x v="15"/>
    <x v="6"/>
    <x v="4"/>
    <n v="10"/>
    <x v="1"/>
    <x v="0"/>
    <x v="20"/>
    <n v="80.757999999999996"/>
    <x v="1579"/>
    <n v="25.704999999999998"/>
    <n v="27.757000000000001"/>
    <n v="26.937000000000001"/>
    <n v="18"/>
    <x v="1"/>
  </r>
  <r>
    <x v="4"/>
    <x v="3"/>
    <x v="26"/>
    <x v="12"/>
    <s v="LEC"/>
    <x v="0"/>
    <x v="2"/>
    <x v="5"/>
    <n v="8"/>
    <x v="1"/>
    <x v="0"/>
    <x v="20"/>
    <n v="78.573999999999998"/>
    <x v="1580"/>
    <n v="24.853000000000002"/>
    <n v="27.084"/>
    <n v="26.251999999999999"/>
    <s v="19,49,53"/>
    <x v="1"/>
  </r>
  <r>
    <x v="4"/>
    <x v="3"/>
    <x v="26"/>
    <x v="29"/>
    <s v="TSU"/>
    <x v="12"/>
    <x v="10"/>
    <x v="6"/>
    <n v="6"/>
    <x v="1"/>
    <x v="0"/>
    <x v="20"/>
    <n v="80.543999999999997"/>
    <x v="1581"/>
    <n v="25.477"/>
    <n v="27.742000000000001"/>
    <n v="26.940999999999999"/>
    <n v="18"/>
    <x v="1"/>
  </r>
  <r>
    <x v="4"/>
    <x v="3"/>
    <x v="26"/>
    <x v="0"/>
    <s v="VET"/>
    <x v="13"/>
    <x v="13"/>
    <x v="7"/>
    <n v="4"/>
    <x v="1"/>
    <x v="0"/>
    <x v="20"/>
    <n v="81.210999999999999"/>
    <x v="1582"/>
    <n v="25.893000000000001"/>
    <n v="27.956"/>
    <n v="27.236000000000001"/>
    <n v="17"/>
    <x v="1"/>
  </r>
  <r>
    <x v="4"/>
    <x v="3"/>
    <x v="26"/>
    <x v="16"/>
    <s v="MAG"/>
    <x v="9"/>
    <x v="3"/>
    <x v="8"/>
    <n v="2"/>
    <x v="1"/>
    <x v="0"/>
    <x v="20"/>
    <n v="81.238"/>
    <x v="1583"/>
    <n v="25.879000000000001"/>
    <n v="27.981999999999999"/>
    <n v="27.148"/>
    <n v="18"/>
    <x v="1"/>
  </r>
  <r>
    <x v="4"/>
    <x v="3"/>
    <x v="26"/>
    <x v="13"/>
    <s v="STR"/>
    <x v="13"/>
    <x v="7"/>
    <x v="9"/>
    <n v="1"/>
    <x v="1"/>
    <x v="1"/>
    <x v="52"/>
    <n v="81.75"/>
    <x v="1584"/>
    <n v="26.073"/>
    <n v="28.14"/>
    <n v="27.379000000000001"/>
    <n v="18"/>
    <x v="1"/>
  </r>
  <r>
    <x v="4"/>
    <x v="3"/>
    <x v="26"/>
    <x v="22"/>
    <s v="ALB"/>
    <x v="7"/>
    <x v="12"/>
    <x v="10"/>
    <n v="0"/>
    <x v="1"/>
    <x v="1"/>
    <x v="52"/>
    <n v="81.757000000000005"/>
    <x v="1585"/>
    <n v="25.827999999999999"/>
    <n v="28.408000000000001"/>
    <n v="27.393999999999998"/>
    <n v="17"/>
    <x v="1"/>
  </r>
  <r>
    <x v="4"/>
    <x v="3"/>
    <x v="26"/>
    <x v="17"/>
    <s v="GAS"/>
    <x v="12"/>
    <x v="18"/>
    <x v="11"/>
    <n v="0"/>
    <x v="1"/>
    <x v="1"/>
    <x v="52"/>
    <n v="81.712999999999994"/>
    <x v="1586"/>
    <n v="25.626999999999999"/>
    <n v="28.216999999999999"/>
    <n v="27.257000000000001"/>
    <n v="17"/>
    <x v="1"/>
  </r>
  <r>
    <x v="4"/>
    <x v="3"/>
    <x v="26"/>
    <x v="1"/>
    <s v="HAM"/>
    <x v="1"/>
    <x v="11"/>
    <x v="12"/>
    <n v="0"/>
    <x v="1"/>
    <x v="1"/>
    <x v="52"/>
    <n v="81.418999999999997"/>
    <x v="1587"/>
    <n v="25.605"/>
    <n v="28.187000000000001"/>
    <n v="27.373000000000001"/>
    <n v="18"/>
    <x v="1"/>
  </r>
  <r>
    <x v="4"/>
    <x v="3"/>
    <x v="26"/>
    <x v="11"/>
    <s v="OCO"/>
    <x v="14"/>
    <x v="14"/>
    <x v="13"/>
    <n v="0"/>
    <x v="1"/>
    <x v="1"/>
    <x v="52"/>
    <n v="81.887"/>
    <x v="1588"/>
    <n v="26.113"/>
    <n v="28.21"/>
    <n v="27.349"/>
    <n v="18"/>
    <x v="1"/>
  </r>
  <r>
    <x v="4"/>
    <x v="3"/>
    <x v="26"/>
    <x v="32"/>
    <s v="ZHO"/>
    <x v="15"/>
    <x v="20"/>
    <x v="14"/>
    <n v="0"/>
    <x v="1"/>
    <x v="1"/>
    <x v="52"/>
    <n v="81.286000000000001"/>
    <x v="1589"/>
    <n v="25.7"/>
    <n v="28.064"/>
    <n v="27.236999999999998"/>
    <n v="18"/>
    <x v="1"/>
  </r>
  <r>
    <x v="4"/>
    <x v="3"/>
    <x v="26"/>
    <x v="26"/>
    <s v="LAT"/>
    <x v="7"/>
    <x v="19"/>
    <x v="15"/>
    <n v="0"/>
    <x v="1"/>
    <x v="1"/>
    <x v="52"/>
    <n v="81.337999999999994"/>
    <x v="1590"/>
    <n v="25.837"/>
    <n v="28.085999999999999"/>
    <n v="27.082999999999998"/>
    <n v="18"/>
    <x v="1"/>
  </r>
  <r>
    <x v="4"/>
    <x v="3"/>
    <x v="26"/>
    <x v="30"/>
    <s v="MSC"/>
    <x v="9"/>
    <x v="4"/>
    <x v="16"/>
    <n v="0"/>
    <x v="1"/>
    <x v="1"/>
    <x v="52"/>
    <n v="78.998999999999995"/>
    <x v="1591"/>
    <n v="25.091000000000001"/>
    <n v="27.331"/>
    <n v="26.42"/>
    <s v="18,52"/>
    <x v="1"/>
  </r>
  <r>
    <x v="4"/>
    <x v="3"/>
    <x v="26"/>
    <x v="3"/>
    <s v="RIC"/>
    <x v="3"/>
    <x v="15"/>
    <x v="17"/>
    <n v="0"/>
    <x v="1"/>
    <x v="1"/>
    <x v="52"/>
    <n v="81.576999999999998"/>
    <x v="1592"/>
    <n v="25.939"/>
    <n v="28.199000000000002"/>
    <n v="27.385000000000002"/>
    <s v="2,16,30"/>
    <x v="1"/>
  </r>
  <r>
    <x v="4"/>
    <x v="3"/>
    <x v="26"/>
    <x v="4"/>
    <s v="ALO"/>
    <x v="14"/>
    <x v="9"/>
    <x v="18"/>
    <n v="0"/>
    <x v="1"/>
    <x v="8"/>
    <x v="5"/>
    <n v="99.685000000000002"/>
    <x v="1593"/>
    <n v="32.192"/>
    <n v="34.052999999999997"/>
    <n v="33.44"/>
    <n v="6"/>
    <x v="1"/>
  </r>
  <r>
    <x v="4"/>
    <x v="3"/>
    <x v="26"/>
    <x v="9"/>
    <s v="SAI"/>
    <x v="0"/>
    <x v="5"/>
    <x v="19"/>
    <n v="0"/>
    <x v="1"/>
    <x v="10"/>
    <x v="16"/>
    <m/>
    <x v="19"/>
    <m/>
    <m/>
    <m/>
    <m/>
    <x v="1"/>
  </r>
  <r>
    <x v="4"/>
    <x v="4"/>
    <x v="34"/>
    <x v="5"/>
    <s v="VER"/>
    <x v="2"/>
    <x v="0"/>
    <x v="0"/>
    <n v="26"/>
    <x v="0"/>
    <x v="0"/>
    <x v="1"/>
    <n v="91.361000000000004"/>
    <x v="1594"/>
    <n v="30.364000000000001"/>
    <n v="35.137999999999998"/>
    <n v="25.757000000000001"/>
    <n v="26"/>
    <x v="0"/>
  </r>
  <r>
    <x v="4"/>
    <x v="4"/>
    <x v="34"/>
    <x v="12"/>
    <s v="LEC"/>
    <x v="0"/>
    <x v="1"/>
    <x v="1"/>
    <n v="18"/>
    <x v="0"/>
    <x v="0"/>
    <x v="1"/>
    <n v="91.488"/>
    <x v="1595"/>
    <n v="30.462"/>
    <n v="35.329000000000001"/>
    <n v="25.62"/>
    <n v="24"/>
    <x v="0"/>
  </r>
  <r>
    <x v="4"/>
    <x v="4"/>
    <x v="34"/>
    <x v="9"/>
    <s v="SAI"/>
    <x v="0"/>
    <x v="2"/>
    <x v="2"/>
    <n v="15"/>
    <x v="0"/>
    <x v="0"/>
    <x v="1"/>
    <n v="91.79"/>
    <x v="1596"/>
    <n v="30.414000000000001"/>
    <n v="35.317"/>
    <n v="25.841000000000001"/>
    <n v="27"/>
    <x v="0"/>
  </r>
  <r>
    <x v="4"/>
    <x v="4"/>
    <x v="34"/>
    <x v="10"/>
    <s v="PER"/>
    <x v="2"/>
    <x v="5"/>
    <x v="3"/>
    <n v="12"/>
    <x v="1"/>
    <x v="0"/>
    <x v="1"/>
    <n v="91.819000000000003"/>
    <x v="1597"/>
    <n v="30.57"/>
    <n v="35.268999999999998"/>
    <n v="25.728999999999999"/>
    <s v="27,41"/>
    <x v="0"/>
  </r>
  <r>
    <x v="4"/>
    <x v="4"/>
    <x v="34"/>
    <x v="24"/>
    <s v="RUS"/>
    <x v="1"/>
    <x v="10"/>
    <x v="4"/>
    <n v="10"/>
    <x v="1"/>
    <x v="0"/>
    <x v="1"/>
    <n v="92.194999999999993"/>
    <x v="1598"/>
    <n v="30.654"/>
    <n v="35.057000000000002"/>
    <n v="25.957000000000001"/>
    <n v="40"/>
    <x v="0"/>
  </r>
  <r>
    <x v="4"/>
    <x v="4"/>
    <x v="34"/>
    <x v="1"/>
    <s v="HAM"/>
    <x v="1"/>
    <x v="15"/>
    <x v="5"/>
    <n v="8"/>
    <x v="1"/>
    <x v="0"/>
    <x v="1"/>
    <n v="92.941000000000003"/>
    <x v="1599"/>
    <n v="30.928000000000001"/>
    <n v="35.734000000000002"/>
    <n v="25.805"/>
    <n v="22"/>
    <x v="0"/>
  </r>
  <r>
    <x v="4"/>
    <x v="4"/>
    <x v="34"/>
    <x v="7"/>
    <s v="BOT"/>
    <x v="15"/>
    <x v="16"/>
    <x v="6"/>
    <n v="6"/>
    <x v="1"/>
    <x v="0"/>
    <x v="1"/>
    <n v="93.183999999999997"/>
    <x v="1600"/>
    <n v="31.116"/>
    <n v="35.591999999999999"/>
    <n v="26.036000000000001"/>
    <n v="26"/>
    <x v="0"/>
  </r>
  <r>
    <x v="4"/>
    <x v="4"/>
    <x v="34"/>
    <x v="11"/>
    <s v="OCO"/>
    <x v="14"/>
    <x v="17"/>
    <x v="7"/>
    <n v="4"/>
    <x v="1"/>
    <x v="0"/>
    <x v="1"/>
    <n v="93.162999999999997"/>
    <x v="1601"/>
    <n v="31.594999999999999"/>
    <n v="35.457999999999998"/>
    <n v="25.908000000000001"/>
    <n v="41"/>
    <x v="0"/>
  </r>
  <r>
    <x v="4"/>
    <x v="4"/>
    <x v="34"/>
    <x v="22"/>
    <s v="ALB"/>
    <x v="7"/>
    <x v="12"/>
    <x v="8"/>
    <n v="2"/>
    <x v="1"/>
    <x v="0"/>
    <x v="1"/>
    <n v="93.447000000000003"/>
    <x v="1602"/>
    <n v="31.652000000000001"/>
    <n v="35.567"/>
    <n v="25.989000000000001"/>
    <n v="16"/>
    <x v="0"/>
  </r>
  <r>
    <x v="4"/>
    <x v="4"/>
    <x v="34"/>
    <x v="13"/>
    <s v="STR"/>
    <x v="13"/>
    <x v="20"/>
    <x v="9"/>
    <n v="1"/>
    <x v="1"/>
    <x v="0"/>
    <x v="1"/>
    <n v="93.311999999999998"/>
    <x v="1603"/>
    <n v="31.834"/>
    <n v="35.658000000000001"/>
    <n v="25.82"/>
    <n v="40"/>
    <x v="0"/>
  </r>
  <r>
    <x v="4"/>
    <x v="4"/>
    <x v="34"/>
    <x v="4"/>
    <s v="ALO"/>
    <x v="14"/>
    <x v="8"/>
    <x v="10"/>
    <n v="0"/>
    <x v="1"/>
    <x v="0"/>
    <x v="1"/>
    <n v="93.331000000000003"/>
    <x v="1604"/>
    <n v="31.376999999999999"/>
    <n v="35.118000000000002"/>
    <n v="26.067"/>
    <n v="15"/>
    <x v="0"/>
  </r>
  <r>
    <x v="4"/>
    <x v="4"/>
    <x v="34"/>
    <x v="29"/>
    <s v="TSU"/>
    <x v="12"/>
    <x v="9"/>
    <x v="11"/>
    <n v="0"/>
    <x v="1"/>
    <x v="0"/>
    <x v="1"/>
    <n v="93.034999999999997"/>
    <x v="1605"/>
    <n v="31.329000000000001"/>
    <n v="35.606999999999999"/>
    <n v="25.86"/>
    <s v="11,41"/>
    <x v="0"/>
  </r>
  <r>
    <x v="4"/>
    <x v="4"/>
    <x v="34"/>
    <x v="3"/>
    <s v="RIC"/>
    <x v="3"/>
    <x v="11"/>
    <x v="12"/>
    <n v="0"/>
    <x v="1"/>
    <x v="0"/>
    <x v="1"/>
    <n v="93.265000000000001"/>
    <x v="1606"/>
    <n v="31.047000000000001"/>
    <n v="35.198"/>
    <n v="25.98"/>
    <s v="30,41"/>
    <x v="0"/>
  </r>
  <r>
    <x v="4"/>
    <x v="4"/>
    <x v="34"/>
    <x v="26"/>
    <s v="LAT"/>
    <x v="7"/>
    <x v="19"/>
    <x v="13"/>
    <n v="0"/>
    <x v="1"/>
    <x v="0"/>
    <x v="1"/>
    <n v="94.168999999999997"/>
    <x v="1607"/>
    <n v="31.609000000000002"/>
    <n v="35.908000000000001"/>
    <n v="26.16"/>
    <n v="34"/>
    <x v="0"/>
  </r>
  <r>
    <x v="4"/>
    <x v="4"/>
    <x v="34"/>
    <x v="30"/>
    <s v="MSC"/>
    <x v="9"/>
    <x v="7"/>
    <x v="14"/>
    <n v="0"/>
    <x v="1"/>
    <x v="0"/>
    <x v="1"/>
    <n v="92.528000000000006"/>
    <x v="1608"/>
    <n v="31.178999999999998"/>
    <n v="35.451000000000001"/>
    <n v="25.898"/>
    <s v="14,54"/>
    <x v="0"/>
  </r>
  <r>
    <x v="4"/>
    <x v="4"/>
    <x v="34"/>
    <x v="16"/>
    <s v="MAG"/>
    <x v="9"/>
    <x v="14"/>
    <x v="15"/>
    <n v="0"/>
    <x v="1"/>
    <x v="45"/>
    <x v="1"/>
    <n v="93.510999999999996"/>
    <x v="1609"/>
    <n v="31.584"/>
    <n v="35.773000000000003"/>
    <n v="25.923999999999999"/>
    <s v="12,42,57"/>
    <x v="0"/>
  </r>
  <r>
    <x v="4"/>
    <x v="4"/>
    <x v="34"/>
    <x v="0"/>
    <s v="VET"/>
    <x v="13"/>
    <x v="20"/>
    <x v="16"/>
    <n v="0"/>
    <x v="1"/>
    <x v="10"/>
    <x v="36"/>
    <n v="93.478999999999999"/>
    <x v="1610"/>
    <n v="31.582999999999998"/>
    <n v="35.624000000000002"/>
    <n v="25.891999999999999"/>
    <s v="41,54"/>
    <x v="0"/>
  </r>
  <r>
    <x v="4"/>
    <x v="4"/>
    <x v="34"/>
    <x v="17"/>
    <s v="GAS"/>
    <x v="12"/>
    <x v="6"/>
    <x v="17"/>
    <n v="0"/>
    <x v="1"/>
    <x v="23"/>
    <x v="55"/>
    <n v="94.486999999999995"/>
    <x v="1611"/>
    <n v="31.882000000000001"/>
    <n v="36.039000000000001"/>
    <n v="26.167999999999999"/>
    <s v="16,40,45"/>
    <x v="0"/>
  </r>
  <r>
    <x v="4"/>
    <x v="4"/>
    <x v="34"/>
    <x v="21"/>
    <s v="NOR"/>
    <x v="3"/>
    <x v="3"/>
    <x v="18"/>
    <n v="0"/>
    <x v="1"/>
    <x v="10"/>
    <x v="14"/>
    <n v="93.411000000000001"/>
    <x v="1612"/>
    <n v="31.638000000000002"/>
    <n v="35.884"/>
    <n v="25.818999999999999"/>
    <n v="18"/>
    <x v="0"/>
  </r>
  <r>
    <x v="4"/>
    <x v="4"/>
    <x v="34"/>
    <x v="32"/>
    <s v="ZHO"/>
    <x v="15"/>
    <x v="18"/>
    <x v="19"/>
    <n v="0"/>
    <x v="1"/>
    <x v="46"/>
    <x v="5"/>
    <n v="95.730999999999995"/>
    <x v="1613"/>
    <n v="32.737000000000002"/>
    <n v="36.503"/>
    <n v="26.475999999999999"/>
    <n v="6"/>
    <x v="0"/>
  </r>
  <r>
    <x v="4"/>
    <x v="5"/>
    <x v="4"/>
    <x v="5"/>
    <s v="VER"/>
    <x v="2"/>
    <x v="2"/>
    <x v="0"/>
    <n v="25"/>
    <x v="0"/>
    <x v="0"/>
    <x v="17"/>
    <n v="85.456000000000003"/>
    <x v="1614"/>
    <n v="23.876999999999999"/>
    <n v="32.119999999999997"/>
    <n v="29.324999999999999"/>
    <s v="13,28,44"/>
    <x v="1"/>
  </r>
  <r>
    <x v="4"/>
    <x v="5"/>
    <x v="4"/>
    <x v="10"/>
    <s v="PER"/>
    <x v="2"/>
    <x v="16"/>
    <x v="1"/>
    <n v="19"/>
    <x v="0"/>
    <x v="0"/>
    <x v="17"/>
    <n v="84.108000000000004"/>
    <x v="1615"/>
    <n v="23.486000000000001"/>
    <n v="31.649000000000001"/>
    <n v="28.972999999999999"/>
    <s v="17,37,53"/>
    <x v="1"/>
  </r>
  <r>
    <x v="4"/>
    <x v="5"/>
    <x v="4"/>
    <x v="24"/>
    <s v="RUS"/>
    <x v="1"/>
    <x v="5"/>
    <x v="2"/>
    <n v="15"/>
    <x v="0"/>
    <x v="0"/>
    <x v="17"/>
    <n v="84.635999999999996"/>
    <x v="1616"/>
    <n v="23.405000000000001"/>
    <n v="32.127000000000002"/>
    <n v="29.103999999999999"/>
    <s v="13,36,51"/>
    <x v="1"/>
  </r>
  <r>
    <x v="4"/>
    <x v="5"/>
    <x v="4"/>
    <x v="9"/>
    <s v="SAI"/>
    <x v="0"/>
    <x v="0"/>
    <x v="3"/>
    <n v="12"/>
    <x v="1"/>
    <x v="0"/>
    <x v="17"/>
    <n v="85.984999999999999"/>
    <x v="1617"/>
    <n v="23.318999999999999"/>
    <n v="32.402000000000001"/>
    <n v="29.753"/>
    <s v="10,31,45"/>
    <x v="1"/>
  </r>
  <r>
    <x v="4"/>
    <x v="5"/>
    <x v="4"/>
    <x v="1"/>
    <s v="HAM"/>
    <x v="1"/>
    <x v="15"/>
    <x v="4"/>
    <n v="10"/>
    <x v="1"/>
    <x v="0"/>
    <x v="17"/>
    <n v="84.253"/>
    <x v="1618"/>
    <n v="23.123000000000001"/>
    <n v="31.960999999999999"/>
    <n v="29.047999999999998"/>
    <s v="1,22,48"/>
    <x v="1"/>
  </r>
  <r>
    <x v="4"/>
    <x v="5"/>
    <x v="4"/>
    <x v="7"/>
    <s v="BOT"/>
    <x v="15"/>
    <x v="6"/>
    <x v="5"/>
    <n v="8"/>
    <x v="1"/>
    <x v="0"/>
    <x v="17"/>
    <n v="86.394999999999996"/>
    <x v="1619"/>
    <n v="23.591999999999999"/>
    <n v="32.814"/>
    <n v="29.951000000000001"/>
    <s v="14,34"/>
    <x v="1"/>
  </r>
  <r>
    <x v="4"/>
    <x v="5"/>
    <x v="4"/>
    <x v="11"/>
    <s v="OCO"/>
    <x v="14"/>
    <x v="10"/>
    <x v="6"/>
    <n v="6"/>
    <x v="1"/>
    <x v="0"/>
    <x v="17"/>
    <n v="85.935000000000002"/>
    <x v="1620"/>
    <n v="23.878"/>
    <n v="32.432000000000002"/>
    <n v="29.553999999999998"/>
    <s v="13,35,52"/>
    <x v="1"/>
  </r>
  <r>
    <x v="4"/>
    <x v="5"/>
    <x v="4"/>
    <x v="21"/>
    <s v="NOR"/>
    <x v="3"/>
    <x v="8"/>
    <x v="7"/>
    <n v="4"/>
    <x v="1"/>
    <x v="0"/>
    <x v="17"/>
    <n v="85.619"/>
    <x v="1621"/>
    <n v="23.626999999999999"/>
    <n v="32.408999999999999"/>
    <n v="29.478999999999999"/>
    <s v="12,33,51"/>
    <x v="1"/>
  </r>
  <r>
    <x v="4"/>
    <x v="5"/>
    <x v="4"/>
    <x v="4"/>
    <s v="ALO"/>
    <x v="14"/>
    <x v="17"/>
    <x v="8"/>
    <n v="2"/>
    <x v="1"/>
    <x v="1"/>
    <x v="18"/>
    <n v="86.599000000000004"/>
    <x v="1622"/>
    <n v="23.821999999999999"/>
    <n v="32.656999999999996"/>
    <n v="29.719000000000001"/>
    <s v="10,31,53"/>
    <x v="1"/>
  </r>
  <r>
    <x v="4"/>
    <x v="5"/>
    <x v="4"/>
    <x v="29"/>
    <s v="TSU"/>
    <x v="12"/>
    <x v="13"/>
    <x v="9"/>
    <n v="1"/>
    <x v="1"/>
    <x v="1"/>
    <x v="18"/>
    <n v="86.828000000000003"/>
    <x v="1623"/>
    <n v="24.149000000000001"/>
    <n v="32.531999999999996"/>
    <n v="29.72"/>
    <s v="11,32,52"/>
    <x v="1"/>
  </r>
  <r>
    <x v="4"/>
    <x v="5"/>
    <x v="4"/>
    <x v="0"/>
    <s v="VET"/>
    <x v="13"/>
    <x v="14"/>
    <x v="10"/>
    <n v="0"/>
    <x v="1"/>
    <x v="1"/>
    <x v="18"/>
    <n v="87.629000000000005"/>
    <x v="1624"/>
    <n v="24.114999999999998"/>
    <n v="33.139000000000003"/>
    <n v="29.957000000000001"/>
    <s v="21,42"/>
    <x v="1"/>
  </r>
  <r>
    <x v="4"/>
    <x v="5"/>
    <x v="4"/>
    <x v="3"/>
    <s v="RIC"/>
    <x v="3"/>
    <x v="9"/>
    <x v="11"/>
    <n v="0"/>
    <x v="1"/>
    <x v="1"/>
    <x v="18"/>
    <n v="87.284999999999997"/>
    <x v="1625"/>
    <n v="24.100999999999999"/>
    <n v="32.756999999999998"/>
    <n v="30.262"/>
    <s v="11,31,48"/>
    <x v="1"/>
  </r>
  <r>
    <x v="4"/>
    <x v="5"/>
    <x v="4"/>
    <x v="17"/>
    <s v="GAS"/>
    <x v="12"/>
    <x v="11"/>
    <x v="12"/>
    <n v="0"/>
    <x v="1"/>
    <x v="1"/>
    <x v="18"/>
    <n v="86.986999999999995"/>
    <x v="1626"/>
    <n v="23.978000000000002"/>
    <n v="32.832000000000001"/>
    <n v="29.861999999999998"/>
    <s v="10,29,46"/>
    <x v="1"/>
  </r>
  <r>
    <x v="4"/>
    <x v="5"/>
    <x v="4"/>
    <x v="30"/>
    <s v="MSC"/>
    <x v="9"/>
    <x v="4"/>
    <x v="13"/>
    <n v="0"/>
    <x v="1"/>
    <x v="1"/>
    <x v="18"/>
    <n v="87.447000000000003"/>
    <x v="1627"/>
    <n v="24.241"/>
    <n v="33.006"/>
    <n v="29.940999999999999"/>
    <s v="12,30"/>
    <x v="1"/>
  </r>
  <r>
    <x v="4"/>
    <x v="5"/>
    <x v="4"/>
    <x v="13"/>
    <s v="STR"/>
    <x v="13"/>
    <x v="18"/>
    <x v="14"/>
    <n v="0"/>
    <x v="1"/>
    <x v="1"/>
    <x v="18"/>
    <n v="86.876000000000005"/>
    <x v="1628"/>
    <n v="24.071000000000002"/>
    <n v="32.802"/>
    <n v="29.875"/>
    <s v="14,27,46"/>
    <x v="1"/>
  </r>
  <r>
    <x v="4"/>
    <x v="5"/>
    <x v="4"/>
    <x v="26"/>
    <s v="LAT"/>
    <x v="7"/>
    <x v="19"/>
    <x v="15"/>
    <n v="0"/>
    <x v="1"/>
    <x v="11"/>
    <x v="19"/>
    <n v="87.245999999999995"/>
    <x v="1629"/>
    <n v="24.026"/>
    <n v="32.911999999999999"/>
    <n v="30.161999999999999"/>
    <s v="12,26,50"/>
    <x v="1"/>
  </r>
  <r>
    <x v="4"/>
    <x v="5"/>
    <x v="4"/>
    <x v="16"/>
    <s v="MAG"/>
    <x v="9"/>
    <x v="3"/>
    <x v="16"/>
    <n v="0"/>
    <x v="1"/>
    <x v="11"/>
    <x v="19"/>
    <n v="87.537000000000006"/>
    <x v="1630"/>
    <n v="24.238"/>
    <n v="32.850999999999999"/>
    <n v="30.161999999999999"/>
    <s v="1,29"/>
    <x v="1"/>
  </r>
  <r>
    <x v="4"/>
    <x v="5"/>
    <x v="4"/>
    <x v="22"/>
    <s v="ALB"/>
    <x v="7"/>
    <x v="12"/>
    <x v="17"/>
    <n v="0"/>
    <x v="1"/>
    <x v="11"/>
    <x v="19"/>
    <n v="88.281000000000006"/>
    <x v="1631"/>
    <n v="24.498000000000001"/>
    <n v="33.503999999999998"/>
    <n v="30.175999999999998"/>
    <s v="11,25,45,54"/>
    <x v="1"/>
  </r>
  <r>
    <x v="4"/>
    <x v="5"/>
    <x v="4"/>
    <x v="32"/>
    <s v="ZHO"/>
    <x v="15"/>
    <x v="7"/>
    <x v="18"/>
    <n v="0"/>
    <x v="1"/>
    <x v="22"/>
    <x v="34"/>
    <n v="88.415000000000006"/>
    <x v="1632"/>
    <n v="24.302"/>
    <n v="33.374000000000002"/>
    <n v="30.335999999999999"/>
    <s v="10,28"/>
    <x v="1"/>
  </r>
  <r>
    <x v="4"/>
    <x v="5"/>
    <x v="4"/>
    <x v="12"/>
    <s v="LEC"/>
    <x v="0"/>
    <x v="1"/>
    <x v="19"/>
    <n v="0"/>
    <x v="1"/>
    <x v="15"/>
    <x v="63"/>
    <n v="87.03"/>
    <x v="1633"/>
    <n v="24.119"/>
    <n v="32.649000000000001"/>
    <n v="29.853000000000002"/>
    <s v="21,27"/>
    <x v="1"/>
  </r>
  <r>
    <x v="4"/>
    <x v="6"/>
    <x v="5"/>
    <x v="10"/>
    <s v="PER"/>
    <x v="2"/>
    <x v="0"/>
    <x v="0"/>
    <n v="25"/>
    <x v="0"/>
    <x v="0"/>
    <x v="19"/>
    <n v="76.028000000000006"/>
    <x v="1634"/>
    <n v="20.163"/>
    <n v="35.664999999999999"/>
    <n v="20.067"/>
    <s v="16,22,30"/>
    <x v="0"/>
  </r>
  <r>
    <x v="4"/>
    <x v="6"/>
    <x v="5"/>
    <x v="9"/>
    <s v="SAI"/>
    <x v="0"/>
    <x v="2"/>
    <x v="1"/>
    <n v="18"/>
    <x v="0"/>
    <x v="0"/>
    <x v="19"/>
    <n v="76.421000000000006"/>
    <x v="1635"/>
    <n v="20.103000000000002"/>
    <n v="35.764000000000003"/>
    <n v="20.315999999999999"/>
    <s v="21,30"/>
    <x v="0"/>
  </r>
  <r>
    <x v="4"/>
    <x v="6"/>
    <x v="5"/>
    <x v="5"/>
    <s v="VER"/>
    <x v="2"/>
    <x v="5"/>
    <x v="2"/>
    <n v="15"/>
    <x v="0"/>
    <x v="0"/>
    <x v="19"/>
    <n v="76.052000000000007"/>
    <x v="1636"/>
    <n v="20.071999999999999"/>
    <n v="35.723999999999997"/>
    <n v="20.114999999999998"/>
    <s v="18,22,30"/>
    <x v="0"/>
  </r>
  <r>
    <x v="4"/>
    <x v="6"/>
    <x v="5"/>
    <x v="12"/>
    <s v="LEC"/>
    <x v="0"/>
    <x v="1"/>
    <x v="3"/>
    <n v="12"/>
    <x v="1"/>
    <x v="0"/>
    <x v="19"/>
    <n v="76.248999999999995"/>
    <x v="1637"/>
    <n v="20.113"/>
    <n v="35.789000000000001"/>
    <n v="20.329999999999998"/>
    <s v="18,21,30"/>
    <x v="0"/>
  </r>
  <r>
    <x v="4"/>
    <x v="6"/>
    <x v="5"/>
    <x v="24"/>
    <s v="RUS"/>
    <x v="1"/>
    <x v="15"/>
    <x v="4"/>
    <n v="10"/>
    <x v="1"/>
    <x v="0"/>
    <x v="19"/>
    <n v="76.83"/>
    <x v="1638"/>
    <n v="20.420000000000002"/>
    <n v="35.837000000000003"/>
    <n v="20.492000000000001"/>
    <s v="21,30"/>
    <x v="0"/>
  </r>
  <r>
    <x v="4"/>
    <x v="6"/>
    <x v="5"/>
    <x v="21"/>
    <s v="NOR"/>
    <x v="3"/>
    <x v="16"/>
    <x v="5"/>
    <n v="9"/>
    <x v="1"/>
    <x v="0"/>
    <x v="19"/>
    <n v="74.692999999999998"/>
    <x v="1639"/>
    <n v="19.686"/>
    <n v="35.136000000000003"/>
    <n v="19.733000000000001"/>
    <s v="17,22,30,51"/>
    <x v="0"/>
  </r>
  <r>
    <x v="4"/>
    <x v="6"/>
    <x v="5"/>
    <x v="4"/>
    <s v="ALO"/>
    <x v="14"/>
    <x v="6"/>
    <x v="6"/>
    <n v="6"/>
    <x v="1"/>
    <x v="0"/>
    <x v="19"/>
    <n v="75.882000000000005"/>
    <x v="1640"/>
    <n v="20.204999999999998"/>
    <n v="35.520000000000003"/>
    <n v="20.027000000000001"/>
    <s v="21,30"/>
    <x v="0"/>
  </r>
  <r>
    <x v="4"/>
    <x v="6"/>
    <x v="5"/>
    <x v="1"/>
    <s v="HAM"/>
    <x v="1"/>
    <x v="3"/>
    <x v="7"/>
    <n v="4"/>
    <x v="1"/>
    <x v="0"/>
    <x v="19"/>
    <n v="77.203000000000003"/>
    <x v="1641"/>
    <n v="20.231999999999999"/>
    <n v="36.195999999999998"/>
    <n v="20.56"/>
    <s v="15,22,30"/>
    <x v="0"/>
  </r>
  <r>
    <x v="4"/>
    <x v="6"/>
    <x v="5"/>
    <x v="7"/>
    <s v="BOT"/>
    <x v="15"/>
    <x v="10"/>
    <x v="8"/>
    <n v="2"/>
    <x v="1"/>
    <x v="0"/>
    <x v="19"/>
    <n v="77.599999999999994"/>
    <x v="1642"/>
    <n v="20.593"/>
    <n v="36.234000000000002"/>
    <n v="20.61"/>
    <s v="20,30"/>
    <x v="0"/>
  </r>
  <r>
    <x v="4"/>
    <x v="6"/>
    <x v="5"/>
    <x v="0"/>
    <s v="VET"/>
    <x v="13"/>
    <x v="9"/>
    <x v="9"/>
    <n v="1"/>
    <x v="1"/>
    <x v="0"/>
    <x v="19"/>
    <n v="77.558000000000007"/>
    <x v="1643"/>
    <n v="20.640999999999998"/>
    <n v="36.128"/>
    <n v="20.629000000000001"/>
    <s v="6,23,30"/>
    <x v="0"/>
  </r>
  <r>
    <x v="4"/>
    <x v="6"/>
    <x v="5"/>
    <x v="17"/>
    <s v="GAS"/>
    <x v="12"/>
    <x v="18"/>
    <x v="10"/>
    <n v="0"/>
    <x v="1"/>
    <x v="0"/>
    <x v="19"/>
    <n v="77.343999999999994"/>
    <x v="1644"/>
    <n v="20.547999999999998"/>
    <n v="36.338999999999999"/>
    <n v="20.457000000000001"/>
    <s v="2,22,30"/>
    <x v="0"/>
  </r>
  <r>
    <x v="4"/>
    <x v="6"/>
    <x v="5"/>
    <x v="11"/>
    <s v="OCO"/>
    <x v="14"/>
    <x v="4"/>
    <x v="11"/>
    <n v="0"/>
    <x v="1"/>
    <x v="0"/>
    <x v="19"/>
    <n v="77.570999999999998"/>
    <x v="1645"/>
    <n v="20.428999999999998"/>
    <n v="36.247999999999998"/>
    <n v="20.712"/>
    <s v="21,30"/>
    <x v="0"/>
  </r>
  <r>
    <x v="4"/>
    <x v="6"/>
    <x v="5"/>
    <x v="3"/>
    <s v="RIC"/>
    <x v="3"/>
    <x v="11"/>
    <x v="12"/>
    <n v="0"/>
    <x v="1"/>
    <x v="0"/>
    <x v="19"/>
    <n v="77.531999999999996"/>
    <x v="1646"/>
    <n v="20.486999999999998"/>
    <n v="36.401000000000003"/>
    <n v="20.556999999999999"/>
    <s v="19,30"/>
    <x v="0"/>
  </r>
  <r>
    <x v="4"/>
    <x v="6"/>
    <x v="5"/>
    <x v="13"/>
    <s v="STR"/>
    <x v="13"/>
    <x v="12"/>
    <x v="13"/>
    <n v="0"/>
    <x v="1"/>
    <x v="0"/>
    <x v="19"/>
    <n v="77.671999999999997"/>
    <x v="1647"/>
    <n v="20.571999999999999"/>
    <n v="36.335999999999999"/>
    <n v="20.693000000000001"/>
    <s v="1,2,24,29"/>
    <x v="0"/>
  </r>
  <r>
    <x v="4"/>
    <x v="6"/>
    <x v="5"/>
    <x v="26"/>
    <s v="LAT"/>
    <x v="7"/>
    <x v="19"/>
    <x v="14"/>
    <n v="0"/>
    <x v="1"/>
    <x v="1"/>
    <x v="20"/>
    <n v="78.578999999999994"/>
    <x v="1648"/>
    <n v="20.626999999999999"/>
    <n v="36.652999999999999"/>
    <n v="20.745000000000001"/>
    <s v="1,2,19,29"/>
    <x v="0"/>
  </r>
  <r>
    <x v="4"/>
    <x v="6"/>
    <x v="5"/>
    <x v="32"/>
    <s v="ZHO"/>
    <x v="15"/>
    <x v="17"/>
    <x v="15"/>
    <n v="0"/>
    <x v="1"/>
    <x v="1"/>
    <x v="20"/>
    <n v="78.2"/>
    <x v="1649"/>
    <n v="20.64"/>
    <n v="36.796999999999997"/>
    <n v="20.748000000000001"/>
    <s v="19,29"/>
    <x v="0"/>
  </r>
  <r>
    <x v="4"/>
    <x v="6"/>
    <x v="5"/>
    <x v="29"/>
    <s v="TSU"/>
    <x v="12"/>
    <x v="8"/>
    <x v="16"/>
    <n v="0"/>
    <x v="1"/>
    <x v="1"/>
    <x v="20"/>
    <n v="75.334000000000003"/>
    <x v="1650"/>
    <n v="20.001000000000001"/>
    <n v="35.197000000000003"/>
    <n v="20.135999999999999"/>
    <s v="6,21,29,56"/>
    <x v="0"/>
  </r>
  <r>
    <x v="4"/>
    <x v="6"/>
    <x v="5"/>
    <x v="22"/>
    <s v="ALB"/>
    <x v="7"/>
    <x v="14"/>
    <x v="17"/>
    <n v="0"/>
    <x v="1"/>
    <x v="24"/>
    <x v="12"/>
    <n v="78.022999999999996"/>
    <x v="1651"/>
    <n v="20.847999999999999"/>
    <n v="36.412999999999997"/>
    <n v="20.629000000000001"/>
    <s v="18,22,29,49"/>
    <x v="0"/>
  </r>
  <r>
    <x v="4"/>
    <x v="6"/>
    <x v="5"/>
    <x v="30"/>
    <s v="MSC"/>
    <x v="9"/>
    <x v="7"/>
    <x v="18"/>
    <n v="0"/>
    <x v="1"/>
    <x v="9"/>
    <x v="23"/>
    <n v="84.778000000000006"/>
    <x v="1652"/>
    <n v="22.254999999999999"/>
    <n v="39.607999999999997"/>
    <n v="22.376000000000001"/>
    <s v="4,17"/>
    <x v="0"/>
  </r>
  <r>
    <x v="4"/>
    <x v="6"/>
    <x v="5"/>
    <x v="16"/>
    <s v="MAG"/>
    <x v="9"/>
    <x v="13"/>
    <x v="19"/>
    <n v="0"/>
    <x v="1"/>
    <x v="32"/>
    <x v="54"/>
    <n v="93.754000000000005"/>
    <x v="1653"/>
    <n v="25.22"/>
    <n v="42.698999999999998"/>
    <n v="25.529"/>
    <n v="20"/>
    <x v="0"/>
  </r>
  <r>
    <x v="4"/>
    <x v="7"/>
    <x v="3"/>
    <x v="5"/>
    <s v="VER"/>
    <x v="2"/>
    <x v="0"/>
    <x v="0"/>
    <n v="25"/>
    <x v="0"/>
    <x v="0"/>
    <x v="11"/>
    <n v="106.05"/>
    <x v="1654"/>
    <n v="37.845999999999997"/>
    <n v="42.963999999999999"/>
    <n v="25.108000000000001"/>
    <s v="18,33"/>
    <x v="1"/>
  </r>
  <r>
    <x v="4"/>
    <x v="7"/>
    <x v="3"/>
    <x v="10"/>
    <s v="PER"/>
    <x v="2"/>
    <x v="2"/>
    <x v="1"/>
    <n v="19"/>
    <x v="0"/>
    <x v="0"/>
    <x v="11"/>
    <n v="106.04600000000001"/>
    <x v="1655"/>
    <n v="37.872"/>
    <n v="42.847999999999999"/>
    <n v="25.326000000000001"/>
    <s v="16,33"/>
    <x v="1"/>
  </r>
  <r>
    <x v="4"/>
    <x v="7"/>
    <x v="3"/>
    <x v="24"/>
    <s v="RUS"/>
    <x v="1"/>
    <x v="16"/>
    <x v="2"/>
    <n v="15"/>
    <x v="0"/>
    <x v="0"/>
    <x v="11"/>
    <n v="107.17700000000001"/>
    <x v="1656"/>
    <n v="38.11"/>
    <n v="43.195999999999998"/>
    <n v="25.696000000000002"/>
    <s v="9,33"/>
    <x v="1"/>
  </r>
  <r>
    <x v="4"/>
    <x v="7"/>
    <x v="3"/>
    <x v="1"/>
    <s v="HAM"/>
    <x v="1"/>
    <x v="6"/>
    <x v="3"/>
    <n v="12"/>
    <x v="1"/>
    <x v="0"/>
    <x v="11"/>
    <n v="107.044"/>
    <x v="1657"/>
    <n v="38.195"/>
    <n v="43.094999999999999"/>
    <n v="25.434999999999999"/>
    <s v="9,33"/>
    <x v="1"/>
  </r>
  <r>
    <x v="4"/>
    <x v="7"/>
    <x v="3"/>
    <x v="17"/>
    <s v="GAS"/>
    <x v="12"/>
    <x v="15"/>
    <x v="4"/>
    <n v="10"/>
    <x v="1"/>
    <x v="0"/>
    <x v="11"/>
    <n v="108.51900000000001"/>
    <x v="1658"/>
    <n v="38.658999999999999"/>
    <n v="43.941000000000003"/>
    <n v="25.425999999999998"/>
    <n v="9"/>
    <x v="1"/>
  </r>
  <r>
    <x v="4"/>
    <x v="7"/>
    <x v="3"/>
    <x v="0"/>
    <s v="VET"/>
    <x v="13"/>
    <x v="9"/>
    <x v="5"/>
    <n v="8"/>
    <x v="1"/>
    <x v="0"/>
    <x v="11"/>
    <n v="108.206"/>
    <x v="1659"/>
    <n v="38.707999999999998"/>
    <n v="43.987000000000002"/>
    <n v="25.317"/>
    <n v="9"/>
    <x v="1"/>
  </r>
  <r>
    <x v="4"/>
    <x v="7"/>
    <x v="3"/>
    <x v="4"/>
    <s v="ALO"/>
    <x v="14"/>
    <x v="4"/>
    <x v="6"/>
    <n v="6"/>
    <x v="1"/>
    <x v="0"/>
    <x v="11"/>
    <n v="107.989"/>
    <x v="1660"/>
    <n v="38.832999999999998"/>
    <n v="43.911000000000001"/>
    <n v="25.079000000000001"/>
    <n v="18"/>
    <x v="1"/>
  </r>
  <r>
    <x v="4"/>
    <x v="7"/>
    <x v="3"/>
    <x v="3"/>
    <s v="RIC"/>
    <x v="3"/>
    <x v="10"/>
    <x v="7"/>
    <n v="4"/>
    <x v="1"/>
    <x v="0"/>
    <x v="11"/>
    <n v="108.276"/>
    <x v="1661"/>
    <n v="38.524999999999999"/>
    <n v="43.771000000000001"/>
    <n v="25.626000000000001"/>
    <n v="33"/>
    <x v="1"/>
  </r>
  <r>
    <x v="4"/>
    <x v="7"/>
    <x v="3"/>
    <x v="21"/>
    <s v="NOR"/>
    <x v="3"/>
    <x v="8"/>
    <x v="8"/>
    <n v="2"/>
    <x v="1"/>
    <x v="0"/>
    <x v="11"/>
    <n v="107.997"/>
    <x v="1662"/>
    <n v="38.545999999999999"/>
    <n v="43.55"/>
    <n v="25.408999999999999"/>
    <n v="20"/>
    <x v="1"/>
  </r>
  <r>
    <x v="4"/>
    <x v="7"/>
    <x v="3"/>
    <x v="11"/>
    <s v="OCO"/>
    <x v="14"/>
    <x v="13"/>
    <x v="9"/>
    <n v="1"/>
    <x v="1"/>
    <x v="0"/>
    <x v="11"/>
    <n v="108.297"/>
    <x v="1663"/>
    <n v="38.734999999999999"/>
    <n v="43.994999999999997"/>
    <n v="25.417000000000002"/>
    <n v="33"/>
    <x v="1"/>
  </r>
  <r>
    <x v="4"/>
    <x v="7"/>
    <x v="3"/>
    <x v="7"/>
    <s v="BOT"/>
    <x v="15"/>
    <x v="7"/>
    <x v="10"/>
    <n v="0"/>
    <x v="1"/>
    <x v="1"/>
    <x v="43"/>
    <n v="108.179"/>
    <x v="1664"/>
    <n v="38.615000000000002"/>
    <n v="43.512999999999998"/>
    <n v="25.635000000000002"/>
    <n v="33"/>
    <x v="1"/>
  </r>
  <r>
    <x v="4"/>
    <x v="7"/>
    <x v="3"/>
    <x v="22"/>
    <s v="ALB"/>
    <x v="7"/>
    <x v="18"/>
    <x v="11"/>
    <n v="0"/>
    <x v="1"/>
    <x v="1"/>
    <x v="43"/>
    <n v="107.96599999999999"/>
    <x v="1665"/>
    <n v="38.408000000000001"/>
    <n v="43.84"/>
    <n v="25.434000000000001"/>
    <s v="9,29"/>
    <x v="1"/>
  </r>
  <r>
    <x v="4"/>
    <x v="7"/>
    <x v="3"/>
    <x v="29"/>
    <s v="TSU"/>
    <x v="12"/>
    <x v="3"/>
    <x v="12"/>
    <n v="0"/>
    <x v="1"/>
    <x v="1"/>
    <x v="43"/>
    <n v="107.523"/>
    <x v="1666"/>
    <n v="38.304000000000002"/>
    <n v="43.395000000000003"/>
    <n v="25.497"/>
    <s v="9,38"/>
    <x v="1"/>
  </r>
  <r>
    <x v="4"/>
    <x v="7"/>
    <x v="3"/>
    <x v="30"/>
    <s v="MSC"/>
    <x v="9"/>
    <x v="17"/>
    <x v="13"/>
    <n v="0"/>
    <x v="1"/>
    <x v="1"/>
    <x v="43"/>
    <n v="108.41"/>
    <x v="1667"/>
    <n v="38.658999999999999"/>
    <n v="43.709000000000003"/>
    <n v="25.712"/>
    <s v="9,23"/>
    <x v="1"/>
  </r>
  <r>
    <x v="4"/>
    <x v="7"/>
    <x v="3"/>
    <x v="26"/>
    <s v="LAT"/>
    <x v="7"/>
    <x v="12"/>
    <x v="14"/>
    <n v="0"/>
    <x v="1"/>
    <x v="1"/>
    <x v="43"/>
    <n v="109.583"/>
    <x v="1668"/>
    <n v="39.094999999999999"/>
    <n v="44.793999999999997"/>
    <n v="25.571999999999999"/>
    <s v="3,17"/>
    <x v="1"/>
  </r>
  <r>
    <x v="4"/>
    <x v="7"/>
    <x v="3"/>
    <x v="13"/>
    <s v="STR"/>
    <x v="13"/>
    <x v="19"/>
    <x v="15"/>
    <n v="0"/>
    <x v="1"/>
    <x v="47"/>
    <x v="21"/>
    <n v="108.038"/>
    <x v="1669"/>
    <n v="38.636000000000003"/>
    <n v="43.954999999999998"/>
    <n v="25.446999999999999"/>
    <s v="30,46"/>
    <x v="1"/>
  </r>
  <r>
    <x v="4"/>
    <x v="7"/>
    <x v="3"/>
    <x v="16"/>
    <s v="MAG"/>
    <x v="9"/>
    <x v="14"/>
    <x v="16"/>
    <n v="0"/>
    <x v="1"/>
    <x v="20"/>
    <x v="40"/>
    <n v="108.789"/>
    <x v="1670"/>
    <n v="38.895000000000003"/>
    <n v="44.265999999999998"/>
    <n v="25.445"/>
    <n v="9"/>
    <x v="1"/>
  </r>
  <r>
    <x v="4"/>
    <x v="7"/>
    <x v="3"/>
    <x v="32"/>
    <s v="ZHO"/>
    <x v="15"/>
    <x v="11"/>
    <x v="17"/>
    <n v="0"/>
    <x v="1"/>
    <x v="18"/>
    <x v="69"/>
    <n v="108.723"/>
    <x v="1671"/>
    <n v="38.930999999999997"/>
    <n v="44.143000000000001"/>
    <n v="25.265999999999998"/>
    <s v="9,23"/>
    <x v="1"/>
  </r>
  <r>
    <x v="4"/>
    <x v="7"/>
    <x v="3"/>
    <x v="12"/>
    <s v="LEC"/>
    <x v="0"/>
    <x v="1"/>
    <x v="18"/>
    <n v="0"/>
    <x v="1"/>
    <x v="20"/>
    <x v="77"/>
    <n v="107.53100000000001"/>
    <x v="1672"/>
    <n v="38.250999999999998"/>
    <n v="43.506999999999998"/>
    <n v="25.632000000000001"/>
    <s v="9,20"/>
    <x v="1"/>
  </r>
  <r>
    <x v="4"/>
    <x v="7"/>
    <x v="3"/>
    <x v="9"/>
    <s v="SAI"/>
    <x v="0"/>
    <x v="5"/>
    <x v="19"/>
    <n v="0"/>
    <x v="1"/>
    <x v="18"/>
    <x v="51"/>
    <n v="108.97799999999999"/>
    <x v="1673"/>
    <n v="38.9"/>
    <n v="44.281999999999996"/>
    <n v="25.66"/>
    <m/>
    <x v="1"/>
  </r>
  <r>
    <x v="4"/>
    <x v="8"/>
    <x v="6"/>
    <x v="5"/>
    <s v="VER"/>
    <x v="2"/>
    <x v="1"/>
    <x v="0"/>
    <n v="25"/>
    <x v="0"/>
    <x v="0"/>
    <x v="29"/>
    <n v="75.838999999999999"/>
    <x v="1674"/>
    <n v="21.061"/>
    <n v="24.087"/>
    <n v="30.582999999999998"/>
    <s v="9,43"/>
    <x v="1"/>
  </r>
  <r>
    <x v="4"/>
    <x v="8"/>
    <x v="6"/>
    <x v="9"/>
    <s v="SAI"/>
    <x v="0"/>
    <x v="0"/>
    <x v="1"/>
    <n v="19"/>
    <x v="0"/>
    <x v="0"/>
    <x v="29"/>
    <n v="75.748999999999995"/>
    <x v="1675"/>
    <n v="21.125"/>
    <n v="24.122"/>
    <n v="30.288"/>
    <s v="20,49"/>
    <x v="1"/>
  </r>
  <r>
    <x v="4"/>
    <x v="8"/>
    <x v="6"/>
    <x v="1"/>
    <s v="HAM"/>
    <x v="1"/>
    <x v="5"/>
    <x v="2"/>
    <n v="15"/>
    <x v="0"/>
    <x v="0"/>
    <x v="29"/>
    <n v="76.167000000000002"/>
    <x v="1676"/>
    <n v="21.141999999999999"/>
    <n v="24.222999999999999"/>
    <n v="30.47"/>
    <s v="9,44"/>
    <x v="1"/>
  </r>
  <r>
    <x v="4"/>
    <x v="8"/>
    <x v="6"/>
    <x v="24"/>
    <s v="RUS"/>
    <x v="1"/>
    <x v="3"/>
    <x v="3"/>
    <n v="12"/>
    <x v="1"/>
    <x v="0"/>
    <x v="29"/>
    <n v="76.418000000000006"/>
    <x v="1677"/>
    <n v="21.099"/>
    <n v="24.216999999999999"/>
    <n v="30.908999999999999"/>
    <s v="19,45"/>
    <x v="1"/>
  </r>
  <r>
    <x v="4"/>
    <x v="8"/>
    <x v="6"/>
    <x v="12"/>
    <s v="LEC"/>
    <x v="0"/>
    <x v="19"/>
    <x v="4"/>
    <n v="10"/>
    <x v="1"/>
    <x v="0"/>
    <x v="29"/>
    <n v="75.900999999999996"/>
    <x v="1678"/>
    <n v="21.178999999999998"/>
    <n v="24.303999999999998"/>
    <n v="30.399000000000001"/>
    <n v="41"/>
    <x v="1"/>
  </r>
  <r>
    <x v="4"/>
    <x v="8"/>
    <x v="6"/>
    <x v="11"/>
    <s v="OCO"/>
    <x v="14"/>
    <x v="6"/>
    <x v="5"/>
    <n v="8"/>
    <x v="1"/>
    <x v="0"/>
    <x v="29"/>
    <n v="77.11"/>
    <x v="1679"/>
    <n v="21.503"/>
    <n v="24.61"/>
    <n v="30.824000000000002"/>
    <s v="19,49"/>
    <x v="1"/>
  </r>
  <r>
    <x v="4"/>
    <x v="8"/>
    <x v="6"/>
    <x v="7"/>
    <s v="BOT"/>
    <x v="15"/>
    <x v="8"/>
    <x v="6"/>
    <n v="6"/>
    <x v="1"/>
    <x v="0"/>
    <x v="29"/>
    <n v="76.927000000000007"/>
    <x v="1680"/>
    <n v="21.663"/>
    <n v="24.503"/>
    <n v="30.544"/>
    <n v="49"/>
    <x v="1"/>
  </r>
  <r>
    <x v="4"/>
    <x v="8"/>
    <x v="6"/>
    <x v="32"/>
    <s v="ZHO"/>
    <x v="15"/>
    <x v="4"/>
    <x v="7"/>
    <n v="4"/>
    <x v="1"/>
    <x v="0"/>
    <x v="29"/>
    <n v="76.578000000000003"/>
    <x v="1681"/>
    <n v="21.367000000000001"/>
    <n v="24.556000000000001"/>
    <n v="30.449000000000002"/>
    <s v="19,49"/>
    <x v="1"/>
  </r>
  <r>
    <x v="4"/>
    <x v="8"/>
    <x v="6"/>
    <x v="4"/>
    <s v="ALO"/>
    <x v="14"/>
    <x v="2"/>
    <x v="8"/>
    <n v="2"/>
    <x v="1"/>
    <x v="0"/>
    <x v="29"/>
    <n v="77.010000000000005"/>
    <x v="1682"/>
    <n v="21.606000000000002"/>
    <n v="24.509"/>
    <n v="30.707000000000001"/>
    <s v="28,49"/>
    <x v="1"/>
  </r>
  <r>
    <x v="4"/>
    <x v="8"/>
    <x v="6"/>
    <x v="13"/>
    <s v="STR"/>
    <x v="13"/>
    <x v="18"/>
    <x v="9"/>
    <n v="1"/>
    <x v="1"/>
    <x v="0"/>
    <x v="29"/>
    <n v="77.421000000000006"/>
    <x v="1683"/>
    <n v="21.64"/>
    <n v="24.710999999999999"/>
    <n v="30.798999999999999"/>
    <n v="47"/>
    <x v="1"/>
  </r>
  <r>
    <x v="4"/>
    <x v="8"/>
    <x v="6"/>
    <x v="3"/>
    <s v="RIC"/>
    <x v="3"/>
    <x v="9"/>
    <x v="10"/>
    <n v="0"/>
    <x v="1"/>
    <x v="0"/>
    <x v="29"/>
    <n v="77.932000000000002"/>
    <x v="1684"/>
    <n v="21.812000000000001"/>
    <n v="24.875"/>
    <n v="31.094000000000001"/>
    <s v="19,49"/>
    <x v="1"/>
  </r>
  <r>
    <x v="4"/>
    <x v="8"/>
    <x v="6"/>
    <x v="0"/>
    <s v="VET"/>
    <x v="13"/>
    <x v="14"/>
    <x v="11"/>
    <n v="0"/>
    <x v="1"/>
    <x v="0"/>
    <x v="29"/>
    <n v="77.956000000000003"/>
    <x v="1685"/>
    <n v="21.856999999999999"/>
    <n v="24.84"/>
    <n v="31.210999999999999"/>
    <s v="5,19"/>
    <x v="1"/>
  </r>
  <r>
    <x v="4"/>
    <x v="8"/>
    <x v="6"/>
    <x v="22"/>
    <s v="ALB"/>
    <x v="7"/>
    <x v="10"/>
    <x v="12"/>
    <n v="0"/>
    <x v="1"/>
    <x v="0"/>
    <x v="29"/>
    <n v="77.950999999999993"/>
    <x v="1686"/>
    <n v="22.038"/>
    <n v="24.856999999999999"/>
    <n v="30.943000000000001"/>
    <s v="18,48"/>
    <x v="1"/>
  </r>
  <r>
    <x v="4"/>
    <x v="8"/>
    <x v="6"/>
    <x v="17"/>
    <s v="GAS"/>
    <x v="12"/>
    <x v="7"/>
    <x v="13"/>
    <n v="0"/>
    <x v="1"/>
    <x v="0"/>
    <x v="29"/>
    <n v="77.81"/>
    <x v="1687"/>
    <n v="21.917000000000002"/>
    <n v="24.809000000000001"/>
    <n v="30.8"/>
    <s v="5,36"/>
    <x v="1"/>
  </r>
  <r>
    <x v="4"/>
    <x v="8"/>
    <x v="6"/>
    <x v="21"/>
    <s v="NOR"/>
    <x v="3"/>
    <x v="11"/>
    <x v="14"/>
    <n v="0"/>
    <x v="1"/>
    <x v="0"/>
    <x v="29"/>
    <n v="77.495000000000005"/>
    <x v="1688"/>
    <n v="21.606999999999999"/>
    <n v="24.765000000000001"/>
    <n v="30.812000000000001"/>
    <s v="19,42"/>
    <x v="1"/>
  </r>
  <r>
    <x v="4"/>
    <x v="8"/>
    <x v="6"/>
    <x v="26"/>
    <s v="LAT"/>
    <x v="7"/>
    <x v="12"/>
    <x v="15"/>
    <n v="0"/>
    <x v="1"/>
    <x v="0"/>
    <x v="29"/>
    <n v="78.540000000000006"/>
    <x v="1689"/>
    <n v="22.231999999999999"/>
    <n v="24.991"/>
    <n v="31.109000000000002"/>
    <s v="9,37"/>
    <x v="1"/>
  </r>
  <r>
    <x v="4"/>
    <x v="8"/>
    <x v="6"/>
    <x v="16"/>
    <s v="MAG"/>
    <x v="9"/>
    <x v="16"/>
    <x v="16"/>
    <n v="0"/>
    <x v="1"/>
    <x v="0"/>
    <x v="29"/>
    <n v="78.046000000000006"/>
    <x v="1690"/>
    <n v="21.805"/>
    <n v="25.03"/>
    <n v="31.120999999999999"/>
    <n v="7"/>
    <x v="1"/>
  </r>
  <r>
    <x v="4"/>
    <x v="8"/>
    <x v="6"/>
    <x v="29"/>
    <s v="TSU"/>
    <x v="12"/>
    <x v="17"/>
    <x v="17"/>
    <n v="0"/>
    <x v="1"/>
    <x v="9"/>
    <x v="38"/>
    <n v="78.308999999999997"/>
    <x v="1691"/>
    <n v="21.911999999999999"/>
    <n v="24.986000000000001"/>
    <n v="31.062999999999999"/>
    <s v="9,47"/>
    <x v="1"/>
  </r>
  <r>
    <x v="4"/>
    <x v="8"/>
    <x v="6"/>
    <x v="30"/>
    <s v="MSC"/>
    <x v="9"/>
    <x v="15"/>
    <x v="18"/>
    <n v="0"/>
    <x v="1"/>
    <x v="3"/>
    <x v="62"/>
    <n v="78.966999999999999"/>
    <x v="1692"/>
    <n v="22.172000000000001"/>
    <n v="25.134"/>
    <n v="31.291"/>
    <m/>
    <x v="1"/>
  </r>
  <r>
    <x v="4"/>
    <x v="8"/>
    <x v="6"/>
    <x v="10"/>
    <s v="PER"/>
    <x v="2"/>
    <x v="13"/>
    <x v="19"/>
    <n v="0"/>
    <x v="1"/>
    <x v="13"/>
    <x v="45"/>
    <n v="78.843999999999994"/>
    <x v="1693"/>
    <n v="22.323"/>
    <n v="25.286000000000001"/>
    <n v="31.13"/>
    <m/>
    <x v="1"/>
  </r>
  <r>
    <x v="4"/>
    <x v="9"/>
    <x v="9"/>
    <x v="9"/>
    <s v="SAI"/>
    <x v="0"/>
    <x v="1"/>
    <x v="0"/>
    <n v="25"/>
    <x v="0"/>
    <x v="0"/>
    <x v="33"/>
    <n v="90.813000000000002"/>
    <x v="1694"/>
    <n v="29.125"/>
    <n v="36.622999999999998"/>
    <n v="24.954999999999998"/>
    <s v="1,20,39"/>
    <x v="0"/>
  </r>
  <r>
    <x v="4"/>
    <x v="9"/>
    <x v="9"/>
    <x v="10"/>
    <s v="PER"/>
    <x v="2"/>
    <x v="5"/>
    <x v="1"/>
    <n v="18"/>
    <x v="0"/>
    <x v="0"/>
    <x v="33"/>
    <n v="90.936999999999998"/>
    <x v="1695"/>
    <n v="29.004000000000001"/>
    <n v="36.747"/>
    <n v="24.92"/>
    <s v="1,5,39"/>
    <x v="0"/>
  </r>
  <r>
    <x v="4"/>
    <x v="9"/>
    <x v="9"/>
    <x v="1"/>
    <s v="HAM"/>
    <x v="1"/>
    <x v="16"/>
    <x v="2"/>
    <n v="16"/>
    <x v="0"/>
    <x v="0"/>
    <x v="33"/>
    <n v="90.51"/>
    <x v="1696"/>
    <n v="29.003"/>
    <n v="36.58"/>
    <n v="24.507000000000001"/>
    <s v="1,33,39"/>
    <x v="0"/>
  </r>
  <r>
    <x v="4"/>
    <x v="9"/>
    <x v="9"/>
    <x v="12"/>
    <s v="LEC"/>
    <x v="0"/>
    <x v="0"/>
    <x v="3"/>
    <n v="12"/>
    <x v="1"/>
    <x v="0"/>
    <x v="33"/>
    <n v="91.281999999999996"/>
    <x v="1697"/>
    <n v="29.190999999999999"/>
    <n v="36.875999999999998"/>
    <n v="24.928999999999998"/>
    <s v="1,25"/>
    <x v="0"/>
  </r>
  <r>
    <x v="4"/>
    <x v="9"/>
    <x v="9"/>
    <x v="4"/>
    <s v="ALO"/>
    <x v="14"/>
    <x v="6"/>
    <x v="4"/>
    <n v="10"/>
    <x v="1"/>
    <x v="0"/>
    <x v="33"/>
    <n v="91.608999999999995"/>
    <x v="1698"/>
    <n v="29.175000000000001"/>
    <n v="37.130000000000003"/>
    <n v="24.928000000000001"/>
    <s v="1,33,39"/>
    <x v="0"/>
  </r>
  <r>
    <x v="4"/>
    <x v="9"/>
    <x v="9"/>
    <x v="21"/>
    <s v="NOR"/>
    <x v="3"/>
    <x v="15"/>
    <x v="5"/>
    <n v="8"/>
    <x v="1"/>
    <x v="0"/>
    <x v="33"/>
    <n v="91.644999999999996"/>
    <x v="1699"/>
    <n v="29.219000000000001"/>
    <n v="37.353000000000002"/>
    <n v="24.835999999999999"/>
    <s v="1,34,40"/>
    <x v="0"/>
  </r>
  <r>
    <x v="4"/>
    <x v="9"/>
    <x v="9"/>
    <x v="5"/>
    <s v="VER"/>
    <x v="2"/>
    <x v="2"/>
    <x v="6"/>
    <n v="6"/>
    <x v="1"/>
    <x v="0"/>
    <x v="33"/>
    <n v="92.135000000000005"/>
    <x v="1700"/>
    <n v="29.254999999999999"/>
    <n v="37.558"/>
    <n v="25.260999999999999"/>
    <s v="1,12,23,39"/>
    <x v="0"/>
  </r>
  <r>
    <x v="4"/>
    <x v="9"/>
    <x v="9"/>
    <x v="30"/>
    <s v="MSC"/>
    <x v="9"/>
    <x v="19"/>
    <x v="7"/>
    <n v="4"/>
    <x v="1"/>
    <x v="0"/>
    <x v="33"/>
    <n v="92.108999999999995"/>
    <x v="1701"/>
    <n v="29.305"/>
    <n v="37.445"/>
    <n v="25.204000000000001"/>
    <s v="1,19,39"/>
    <x v="0"/>
  </r>
  <r>
    <x v="4"/>
    <x v="9"/>
    <x v="9"/>
    <x v="0"/>
    <s v="VET"/>
    <x v="13"/>
    <x v="12"/>
    <x v="8"/>
    <n v="2"/>
    <x v="1"/>
    <x v="0"/>
    <x v="33"/>
    <n v="92.471000000000004"/>
    <x v="1702"/>
    <n v="29.552"/>
    <n v="37.523000000000003"/>
    <n v="25.353000000000002"/>
    <s v="1,6,39"/>
    <x v="0"/>
  </r>
  <r>
    <x v="4"/>
    <x v="9"/>
    <x v="9"/>
    <x v="16"/>
    <s v="MAG"/>
    <x v="9"/>
    <x v="18"/>
    <x v="9"/>
    <n v="1"/>
    <x v="1"/>
    <x v="0"/>
    <x v="33"/>
    <n v="92.661000000000001"/>
    <x v="1703"/>
    <n v="29.696999999999999"/>
    <n v="37.6"/>
    <n v="25.273"/>
    <s v="1,22"/>
    <x v="0"/>
  </r>
  <r>
    <x v="4"/>
    <x v="9"/>
    <x v="9"/>
    <x v="13"/>
    <s v="STR"/>
    <x v="13"/>
    <x v="17"/>
    <x v="10"/>
    <n v="0"/>
    <x v="1"/>
    <x v="0"/>
    <x v="33"/>
    <n v="92.379000000000005"/>
    <x v="1704"/>
    <n v="29.353999999999999"/>
    <n v="37.497999999999998"/>
    <n v="25.303999999999998"/>
    <s v="1,15,40"/>
    <x v="0"/>
  </r>
  <r>
    <x v="4"/>
    <x v="9"/>
    <x v="9"/>
    <x v="26"/>
    <s v="LAT"/>
    <x v="7"/>
    <x v="4"/>
    <x v="11"/>
    <n v="0"/>
    <x v="1"/>
    <x v="0"/>
    <x v="33"/>
    <n v="93.286000000000001"/>
    <x v="1705"/>
    <n v="29.533999999999999"/>
    <n v="38.07"/>
    <n v="25.343"/>
    <s v="1,19,39"/>
    <x v="0"/>
  </r>
  <r>
    <x v="4"/>
    <x v="9"/>
    <x v="9"/>
    <x v="3"/>
    <s v="RIC"/>
    <x v="3"/>
    <x v="11"/>
    <x v="12"/>
    <n v="0"/>
    <x v="1"/>
    <x v="0"/>
    <x v="33"/>
    <n v="92.644000000000005"/>
    <x v="1706"/>
    <n v="29.57"/>
    <n v="37.633000000000003"/>
    <n v="25.440999999999999"/>
    <s v="1,20,32,38"/>
    <x v="0"/>
  </r>
  <r>
    <x v="4"/>
    <x v="9"/>
    <x v="9"/>
    <x v="29"/>
    <s v="TSU"/>
    <x v="12"/>
    <x v="13"/>
    <x v="13"/>
    <n v="0"/>
    <x v="1"/>
    <x v="0"/>
    <x v="33"/>
    <n v="93.831999999999994"/>
    <x v="1707"/>
    <n v="29.596"/>
    <n v="38.33"/>
    <n v="25.734999999999999"/>
    <s v="1,18,38"/>
    <x v="0"/>
  </r>
  <r>
    <x v="4"/>
    <x v="9"/>
    <x v="9"/>
    <x v="11"/>
    <s v="OCO"/>
    <x v="14"/>
    <x v="7"/>
    <x v="14"/>
    <n v="0"/>
    <x v="1"/>
    <x v="48"/>
    <x v="39"/>
    <n v="93.537000000000006"/>
    <x v="1708"/>
    <n v="29.707000000000001"/>
    <n v="37.875999999999998"/>
    <n v="25.620999999999999"/>
    <s v="1,22"/>
    <x v="0"/>
  </r>
  <r>
    <x v="4"/>
    <x v="9"/>
    <x v="9"/>
    <x v="17"/>
    <s v="GAS"/>
    <x v="12"/>
    <x v="8"/>
    <x v="15"/>
    <n v="0"/>
    <x v="1"/>
    <x v="8"/>
    <x v="65"/>
    <n v="94.614000000000004"/>
    <x v="1709"/>
    <n v="30.021999999999998"/>
    <n v="38.633000000000003"/>
    <n v="25.863"/>
    <s v="1,16,26"/>
    <x v="0"/>
  </r>
  <r>
    <x v="4"/>
    <x v="9"/>
    <x v="9"/>
    <x v="7"/>
    <s v="BOT"/>
    <x v="15"/>
    <x v="10"/>
    <x v="16"/>
    <n v="0"/>
    <x v="1"/>
    <x v="13"/>
    <x v="54"/>
    <n v="95.102999999999994"/>
    <x v="1710"/>
    <n v="29.867000000000001"/>
    <n v="38.924999999999997"/>
    <n v="25.998999999999999"/>
    <s v="1,20"/>
    <x v="0"/>
  </r>
  <r>
    <x v="4"/>
    <x v="9"/>
    <x v="9"/>
    <x v="24"/>
    <s v="RUS"/>
    <x v="1"/>
    <x v="3"/>
    <x v="17"/>
    <n v="0"/>
    <x v="1"/>
    <x v="10"/>
    <x v="16"/>
    <m/>
    <x v="19"/>
    <m/>
    <m/>
    <m/>
    <m/>
    <x v="0"/>
  </r>
  <r>
    <x v="4"/>
    <x v="9"/>
    <x v="9"/>
    <x v="32"/>
    <s v="ZHO"/>
    <x v="15"/>
    <x v="9"/>
    <x v="18"/>
    <n v="0"/>
    <x v="1"/>
    <x v="10"/>
    <x v="16"/>
    <m/>
    <x v="19"/>
    <m/>
    <m/>
    <m/>
    <m/>
    <x v="0"/>
  </r>
  <r>
    <x v="4"/>
    <x v="9"/>
    <x v="9"/>
    <x v="22"/>
    <s v="ALB"/>
    <x v="7"/>
    <x v="14"/>
    <x v="19"/>
    <n v="0"/>
    <x v="1"/>
    <x v="10"/>
    <x v="16"/>
    <m/>
    <x v="19"/>
    <m/>
    <m/>
    <m/>
    <m/>
    <x v="0"/>
  </r>
  <r>
    <x v="4"/>
    <x v="10"/>
    <x v="8"/>
    <x v="12"/>
    <s v="LEC"/>
    <x v="0"/>
    <x v="2"/>
    <x v="0"/>
    <n v="25"/>
    <x v="0"/>
    <x v="0"/>
    <x v="27"/>
    <n v="67.582999999999998"/>
    <x v="1711"/>
    <n v="17.181000000000001"/>
    <n v="30.093"/>
    <n v="20.268000000000001"/>
    <s v="26,49,58"/>
    <x v="1"/>
  </r>
  <r>
    <x v="4"/>
    <x v="10"/>
    <x v="8"/>
    <x v="5"/>
    <s v="VER"/>
    <x v="2"/>
    <x v="1"/>
    <x v="1"/>
    <n v="19"/>
    <x v="0"/>
    <x v="0"/>
    <x v="27"/>
    <n v="67.275000000000006"/>
    <x v="1712"/>
    <n v="17.085999999999999"/>
    <n v="29.866"/>
    <n v="20.265000000000001"/>
    <s v="13,36,58"/>
    <x v="1"/>
  </r>
  <r>
    <x v="4"/>
    <x v="10"/>
    <x v="8"/>
    <x v="1"/>
    <s v="HAM"/>
    <x v="1"/>
    <x v="3"/>
    <x v="2"/>
    <n v="15"/>
    <x v="0"/>
    <x v="0"/>
    <x v="27"/>
    <n v="69"/>
    <x v="1713"/>
    <n v="17.222000000000001"/>
    <n v="30.678000000000001"/>
    <n v="20.873000000000001"/>
    <s v="28,51"/>
    <x v="1"/>
  </r>
  <r>
    <x v="4"/>
    <x v="10"/>
    <x v="8"/>
    <x v="24"/>
    <s v="RUS"/>
    <x v="1"/>
    <x v="5"/>
    <x v="3"/>
    <n v="12"/>
    <x v="1"/>
    <x v="0"/>
    <x v="27"/>
    <n v="69.075000000000003"/>
    <x v="1714"/>
    <n v="17.196999999999999"/>
    <n v="30.908000000000001"/>
    <n v="20.782"/>
    <s v="11,40"/>
    <x v="1"/>
  </r>
  <r>
    <x v="4"/>
    <x v="10"/>
    <x v="8"/>
    <x v="11"/>
    <s v="OCO"/>
    <x v="14"/>
    <x v="15"/>
    <x v="4"/>
    <n v="10"/>
    <x v="1"/>
    <x v="0"/>
    <x v="27"/>
    <n v="69.558999999999997"/>
    <x v="1715"/>
    <n v="17.178000000000001"/>
    <n v="31.021999999999998"/>
    <n v="20.901"/>
    <s v="16,44"/>
    <x v="1"/>
  </r>
  <r>
    <x v="4"/>
    <x v="10"/>
    <x v="8"/>
    <x v="30"/>
    <s v="MSC"/>
    <x v="9"/>
    <x v="9"/>
    <x v="5"/>
    <n v="8"/>
    <x v="1"/>
    <x v="1"/>
    <x v="29"/>
    <n v="69.625"/>
    <x v="1716"/>
    <n v="17.234999999999999"/>
    <n v="31.010999999999999"/>
    <n v="21.123000000000001"/>
    <s v="16,43"/>
    <x v="1"/>
  </r>
  <r>
    <x v="4"/>
    <x v="10"/>
    <x v="8"/>
    <x v="21"/>
    <s v="NOR"/>
    <x v="3"/>
    <x v="4"/>
    <x v="6"/>
    <n v="6"/>
    <x v="1"/>
    <x v="1"/>
    <x v="29"/>
    <n v="69.304000000000002"/>
    <x v="1717"/>
    <n v="17.155999999999999"/>
    <n v="31.099"/>
    <n v="20.988"/>
    <s v="14,43"/>
    <x v="1"/>
  </r>
  <r>
    <x v="4"/>
    <x v="10"/>
    <x v="8"/>
    <x v="16"/>
    <s v="MAG"/>
    <x v="9"/>
    <x v="6"/>
    <x v="7"/>
    <n v="4"/>
    <x v="1"/>
    <x v="1"/>
    <x v="29"/>
    <n v="69.938000000000002"/>
    <x v="1718"/>
    <n v="17.315000000000001"/>
    <n v="31.170999999999999"/>
    <n v="21.088999999999999"/>
    <s v="15,41"/>
    <x v="1"/>
  </r>
  <r>
    <x v="4"/>
    <x v="10"/>
    <x v="8"/>
    <x v="3"/>
    <s v="RIC"/>
    <x v="3"/>
    <x v="8"/>
    <x v="8"/>
    <n v="2"/>
    <x v="1"/>
    <x v="1"/>
    <x v="29"/>
    <n v="69.924000000000007"/>
    <x v="1719"/>
    <n v="17.382999999999999"/>
    <n v="31.093"/>
    <n v="21.161999999999999"/>
    <s v="12,44"/>
    <x v="1"/>
  </r>
  <r>
    <x v="4"/>
    <x v="10"/>
    <x v="8"/>
    <x v="4"/>
    <s v="ALO"/>
    <x v="14"/>
    <x v="19"/>
    <x v="9"/>
    <n v="1"/>
    <x v="1"/>
    <x v="1"/>
    <x v="29"/>
    <n v="68.558000000000007"/>
    <x v="1720"/>
    <n v="16.942"/>
    <n v="30.553999999999998"/>
    <n v="20.803000000000001"/>
    <s v="27,57,58"/>
    <x v="1"/>
  </r>
  <r>
    <x v="4"/>
    <x v="10"/>
    <x v="8"/>
    <x v="7"/>
    <s v="BOT"/>
    <x v="15"/>
    <x v="20"/>
    <x v="10"/>
    <n v="0"/>
    <x v="1"/>
    <x v="1"/>
    <x v="29"/>
    <n v="69.266000000000005"/>
    <x v="1721"/>
    <n v="17.071999999999999"/>
    <n v="30.951999999999899"/>
    <n v="21.109000000000002"/>
    <s v="6,39"/>
    <x v="1"/>
  </r>
  <r>
    <x v="4"/>
    <x v="10"/>
    <x v="8"/>
    <x v="22"/>
    <s v="ALB"/>
    <x v="7"/>
    <x v="7"/>
    <x v="11"/>
    <n v="0"/>
    <x v="1"/>
    <x v="1"/>
    <x v="29"/>
    <n v="69.668999999999997"/>
    <x v="1722"/>
    <n v="17.071999999999999"/>
    <n v="31.181999999999999"/>
    <n v="21.21"/>
    <s v="11,41"/>
    <x v="1"/>
  </r>
  <r>
    <x v="4"/>
    <x v="10"/>
    <x v="8"/>
    <x v="13"/>
    <s v="STR"/>
    <x v="13"/>
    <x v="10"/>
    <x v="12"/>
    <n v="0"/>
    <x v="1"/>
    <x v="1"/>
    <x v="29"/>
    <n v="70.004000000000005"/>
    <x v="1723"/>
    <n v="17.244"/>
    <n v="31.07"/>
    <n v="21.148"/>
    <s v="29,48"/>
    <x v="1"/>
  </r>
  <r>
    <x v="4"/>
    <x v="10"/>
    <x v="8"/>
    <x v="32"/>
    <s v="ZHO"/>
    <x v="15"/>
    <x v="13"/>
    <x v="13"/>
    <n v="0"/>
    <x v="1"/>
    <x v="1"/>
    <x v="29"/>
    <n v="69.38"/>
    <x v="1724"/>
    <n v="17.050999999999998"/>
    <n v="31.071999999999999"/>
    <n v="20.94"/>
    <s v="24,46"/>
    <x v="1"/>
  </r>
  <r>
    <x v="4"/>
    <x v="10"/>
    <x v="8"/>
    <x v="17"/>
    <s v="GAS"/>
    <x v="12"/>
    <x v="11"/>
    <x v="14"/>
    <n v="0"/>
    <x v="1"/>
    <x v="1"/>
    <x v="29"/>
    <n v="70.103999999999999"/>
    <x v="1725"/>
    <n v="17.308"/>
    <n v="31.254000000000001"/>
    <n v="21.22"/>
    <s v="12,40"/>
    <x v="1"/>
  </r>
  <r>
    <x v="4"/>
    <x v="10"/>
    <x v="8"/>
    <x v="29"/>
    <s v="TSU"/>
    <x v="12"/>
    <x v="14"/>
    <x v="15"/>
    <n v="0"/>
    <x v="1"/>
    <x v="1"/>
    <x v="29"/>
    <n v="70.022999999999996"/>
    <x v="1726"/>
    <n v="17.395"/>
    <n v="31.213000000000001"/>
    <n v="21.369"/>
    <s v="26,46"/>
    <x v="1"/>
  </r>
  <r>
    <x v="4"/>
    <x v="10"/>
    <x v="8"/>
    <x v="0"/>
    <s v="VET"/>
    <x v="13"/>
    <x v="12"/>
    <x v="16"/>
    <n v="0"/>
    <x v="1"/>
    <x v="1"/>
    <x v="29"/>
    <n v="70"/>
    <x v="1727"/>
    <n v="17.294"/>
    <n v="31.029"/>
    <n v="21.209"/>
    <s v="20,44"/>
    <x v="1"/>
  </r>
  <r>
    <x v="4"/>
    <x v="10"/>
    <x v="8"/>
    <x v="9"/>
    <s v="SAI"/>
    <x v="0"/>
    <x v="0"/>
    <x v="17"/>
    <n v="0"/>
    <x v="1"/>
    <x v="20"/>
    <x v="1"/>
    <n v="68.649000000000001"/>
    <x v="1728"/>
    <n v="17.175000000000001"/>
    <n v="30.626000000000001"/>
    <n v="20.768000000000001"/>
    <s v="27,50"/>
    <x v="1"/>
  </r>
  <r>
    <x v="4"/>
    <x v="10"/>
    <x v="8"/>
    <x v="26"/>
    <s v="LAT"/>
    <x v="7"/>
    <x v="18"/>
    <x v="18"/>
    <n v="0"/>
    <x v="1"/>
    <x v="49"/>
    <x v="66"/>
    <n v="70.89"/>
    <x v="1729"/>
    <n v="17.353000000000002"/>
    <n v="31.51"/>
    <n v="21.664000000000001"/>
    <s v="12,35,48"/>
    <x v="1"/>
  </r>
  <r>
    <x v="4"/>
    <x v="10"/>
    <x v="8"/>
    <x v="10"/>
    <s v="PER"/>
    <x v="2"/>
    <x v="16"/>
    <x v="19"/>
    <n v="0"/>
    <x v="1"/>
    <x v="8"/>
    <x v="2"/>
    <n v="71.843000000000004"/>
    <x v="1730"/>
    <n v="17.997"/>
    <n v="31.771999999999998"/>
    <n v="21.992999999999999"/>
    <s v="1,24"/>
    <x v="1"/>
  </r>
  <r>
    <x v="4"/>
    <x v="11"/>
    <x v="7"/>
    <x v="5"/>
    <s v="VER"/>
    <x v="2"/>
    <x v="2"/>
    <x v="0"/>
    <n v="25"/>
    <x v="0"/>
    <x v="0"/>
    <x v="28"/>
    <n v="97.491"/>
    <x v="1731"/>
    <n v="24.667000000000002"/>
    <n v="29.577999999999999"/>
    <n v="43.137999999999998"/>
    <n v="16"/>
    <x v="1"/>
  </r>
  <r>
    <x v="4"/>
    <x v="11"/>
    <x v="7"/>
    <x v="1"/>
    <s v="HAM"/>
    <x v="1"/>
    <x v="5"/>
    <x v="1"/>
    <n v="18"/>
    <x v="0"/>
    <x v="0"/>
    <x v="28"/>
    <n v="97.668000000000006"/>
    <x v="1732"/>
    <n v="24.469000000000001"/>
    <n v="29.788"/>
    <n v="43.149000000000001"/>
    <n v="18"/>
    <x v="1"/>
  </r>
  <r>
    <x v="4"/>
    <x v="11"/>
    <x v="7"/>
    <x v="24"/>
    <s v="RUS"/>
    <x v="1"/>
    <x v="15"/>
    <x v="2"/>
    <n v="15"/>
    <x v="0"/>
    <x v="0"/>
    <x v="28"/>
    <n v="97.548000000000002"/>
    <x v="1733"/>
    <n v="24.664000000000001"/>
    <n v="29.678000000000001"/>
    <n v="42.866"/>
    <n v="18"/>
    <x v="1"/>
  </r>
  <r>
    <x v="4"/>
    <x v="11"/>
    <x v="7"/>
    <x v="10"/>
    <s v="PER"/>
    <x v="2"/>
    <x v="0"/>
    <x v="3"/>
    <n v="12"/>
    <x v="1"/>
    <x v="0"/>
    <x v="28"/>
    <n v="97.78"/>
    <x v="1734"/>
    <n v="24.715"/>
    <n v="29.489000000000001"/>
    <n v="43.2"/>
    <n v="18"/>
    <x v="1"/>
  </r>
  <r>
    <x v="4"/>
    <x v="11"/>
    <x v="7"/>
    <x v="9"/>
    <s v="SAI"/>
    <x v="0"/>
    <x v="19"/>
    <x v="4"/>
    <n v="11"/>
    <x v="1"/>
    <x v="0"/>
    <x v="28"/>
    <n v="95.781000000000006"/>
    <x v="1735"/>
    <n v="24.221"/>
    <n v="29.347000000000001"/>
    <n v="42.021999999999998"/>
    <s v="18,42"/>
    <x v="1"/>
  </r>
  <r>
    <x v="4"/>
    <x v="11"/>
    <x v="7"/>
    <x v="4"/>
    <s v="ALO"/>
    <x v="14"/>
    <x v="6"/>
    <x v="5"/>
    <n v="8"/>
    <x v="1"/>
    <x v="0"/>
    <x v="28"/>
    <n v="98.16"/>
    <x v="1736"/>
    <n v="24.803999999999998"/>
    <n v="30.012"/>
    <n v="43.304000000000002"/>
    <n v="18"/>
    <x v="1"/>
  </r>
  <r>
    <x v="4"/>
    <x v="11"/>
    <x v="7"/>
    <x v="21"/>
    <s v="NOR"/>
    <x v="3"/>
    <x v="16"/>
    <x v="6"/>
    <n v="6"/>
    <x v="1"/>
    <x v="0"/>
    <x v="28"/>
    <n v="98.984999999999999"/>
    <x v="1737"/>
    <n v="25.122"/>
    <n v="30.056999999999999"/>
    <n v="43.527000000000001"/>
    <n v="18"/>
    <x v="1"/>
  </r>
  <r>
    <x v="4"/>
    <x v="11"/>
    <x v="7"/>
    <x v="11"/>
    <s v="OCO"/>
    <x v="14"/>
    <x v="4"/>
    <x v="7"/>
    <n v="4"/>
    <x v="1"/>
    <x v="0"/>
    <x v="28"/>
    <n v="98.683999999999997"/>
    <x v="1738"/>
    <n v="25.045000000000002"/>
    <n v="30.006"/>
    <n v="43.4"/>
    <n v="18"/>
    <x v="1"/>
  </r>
  <r>
    <x v="4"/>
    <x v="11"/>
    <x v="7"/>
    <x v="3"/>
    <s v="RIC"/>
    <x v="3"/>
    <x v="9"/>
    <x v="8"/>
    <n v="2"/>
    <x v="1"/>
    <x v="0"/>
    <x v="28"/>
    <n v="99.132999999999996"/>
    <x v="1739"/>
    <n v="25.084"/>
    <n v="29.905999999999999"/>
    <n v="43.604999999999997"/>
    <n v="18"/>
    <x v="1"/>
  </r>
  <r>
    <x v="4"/>
    <x v="11"/>
    <x v="7"/>
    <x v="13"/>
    <s v="STR"/>
    <x v="13"/>
    <x v="7"/>
    <x v="9"/>
    <n v="1"/>
    <x v="1"/>
    <x v="0"/>
    <x v="28"/>
    <n v="99.185000000000002"/>
    <x v="1740"/>
    <n v="25.17"/>
    <n v="30.077000000000002"/>
    <n v="43.598999999999997"/>
    <n v="18"/>
    <x v="1"/>
  </r>
  <r>
    <x v="4"/>
    <x v="11"/>
    <x v="7"/>
    <x v="0"/>
    <s v="VET"/>
    <x v="13"/>
    <x v="10"/>
    <x v="10"/>
    <n v="0"/>
    <x v="1"/>
    <x v="0"/>
    <x v="28"/>
    <n v="99.043999999999997"/>
    <x v="1741"/>
    <n v="25.228000000000002"/>
    <n v="29.942"/>
    <n v="43.526000000000003"/>
    <n v="19"/>
    <x v="1"/>
  </r>
  <r>
    <x v="4"/>
    <x v="11"/>
    <x v="7"/>
    <x v="17"/>
    <s v="GAS"/>
    <x v="12"/>
    <x v="11"/>
    <x v="11"/>
    <n v="0"/>
    <x v="1"/>
    <x v="0"/>
    <x v="28"/>
    <n v="98.786000000000001"/>
    <x v="1742"/>
    <n v="24.963000000000001"/>
    <n v="29.954000000000001"/>
    <n v="43.603000000000002"/>
    <n v="18"/>
    <x v="1"/>
  </r>
  <r>
    <x v="4"/>
    <x v="11"/>
    <x v="7"/>
    <x v="22"/>
    <s v="ALB"/>
    <x v="7"/>
    <x v="13"/>
    <x v="12"/>
    <n v="0"/>
    <x v="1"/>
    <x v="0"/>
    <x v="28"/>
    <n v="99.198999999999998"/>
    <x v="1743"/>
    <n v="24.818000000000001"/>
    <n v="30.059000000000001"/>
    <n v="43.722000000000001"/>
    <n v="18"/>
    <x v="1"/>
  </r>
  <r>
    <x v="4"/>
    <x v="11"/>
    <x v="7"/>
    <x v="7"/>
    <s v="BOT"/>
    <x v="15"/>
    <x v="8"/>
    <x v="13"/>
    <n v="0"/>
    <x v="1"/>
    <x v="0"/>
    <x v="28"/>
    <n v="97.962999999999994"/>
    <x v="1744"/>
    <n v="24.809000000000001"/>
    <n v="29.795999999999999"/>
    <n v="43.192"/>
    <s v="18,36"/>
    <x v="1"/>
  </r>
  <r>
    <x v="4"/>
    <x v="11"/>
    <x v="7"/>
    <x v="30"/>
    <s v="MSC"/>
    <x v="9"/>
    <x v="18"/>
    <x v="14"/>
    <n v="0"/>
    <x v="1"/>
    <x v="0"/>
    <x v="28"/>
    <n v="99.067999999999998"/>
    <x v="1745"/>
    <n v="24.95"/>
    <n v="30.042999999999999"/>
    <n v="43.564999999999998"/>
    <s v="9,18"/>
    <x v="1"/>
  </r>
  <r>
    <x v="4"/>
    <x v="11"/>
    <x v="7"/>
    <x v="32"/>
    <s v="ZHO"/>
    <x v="15"/>
    <x v="14"/>
    <x v="15"/>
    <n v="0"/>
    <x v="1"/>
    <x v="50"/>
    <x v="66"/>
    <n v="99.367999999999995"/>
    <x v="1746"/>
    <n v="25.164000000000001"/>
    <n v="30.17"/>
    <n v="43.834000000000003"/>
    <s v="9,22"/>
    <x v="1"/>
  </r>
  <r>
    <x v="4"/>
    <x v="11"/>
    <x v="7"/>
    <x v="26"/>
    <s v="LAT"/>
    <x v="7"/>
    <x v="12"/>
    <x v="16"/>
    <n v="0"/>
    <x v="1"/>
    <x v="8"/>
    <x v="32"/>
    <n v="99.65"/>
    <x v="1747"/>
    <n v="25.215"/>
    <n v="30.071000000000002"/>
    <n v="44.154000000000003"/>
    <s v="19,38,41"/>
    <x v="1"/>
  </r>
  <r>
    <x v="4"/>
    <x v="11"/>
    <x v="7"/>
    <x v="16"/>
    <s v="MAG"/>
    <x v="9"/>
    <x v="17"/>
    <x v="17"/>
    <n v="0"/>
    <x v="1"/>
    <x v="8"/>
    <x v="39"/>
    <n v="99.265000000000001"/>
    <x v="1748"/>
    <n v="25.013999999999999"/>
    <n v="29.922999999999998"/>
    <n v="43.848999999999997"/>
    <s v="8,18,38"/>
    <x v="1"/>
  </r>
  <r>
    <x v="4"/>
    <x v="11"/>
    <x v="7"/>
    <x v="12"/>
    <s v="LEC"/>
    <x v="0"/>
    <x v="1"/>
    <x v="18"/>
    <n v="0"/>
    <x v="1"/>
    <x v="9"/>
    <x v="41"/>
    <n v="98.087999999999994"/>
    <x v="1749"/>
    <n v="24.872"/>
    <n v="29.872"/>
    <n v="43.183999999999997"/>
    <m/>
    <x v="1"/>
  </r>
  <r>
    <x v="4"/>
    <x v="11"/>
    <x v="7"/>
    <x v="29"/>
    <s v="TSU"/>
    <x v="12"/>
    <x v="3"/>
    <x v="19"/>
    <n v="0"/>
    <x v="1"/>
    <x v="49"/>
    <x v="41"/>
    <n v="100.21599999999999"/>
    <x v="1750"/>
    <n v="25.489000000000001"/>
    <n v="30.297999999999998"/>
    <n v="44.332999999999998"/>
    <s v="11,18"/>
    <x v="1"/>
  </r>
  <r>
    <x v="4"/>
    <x v="12"/>
    <x v="11"/>
    <x v="5"/>
    <s v="VER"/>
    <x v="2"/>
    <x v="4"/>
    <x v="0"/>
    <n v="25"/>
    <x v="0"/>
    <x v="0"/>
    <x v="29"/>
    <n v="82.126000000000005"/>
    <x v="1751"/>
    <n v="29.234000000000002"/>
    <n v="29.62"/>
    <n v="22.986999999999998"/>
    <s v="16,38"/>
    <x v="0"/>
  </r>
  <r>
    <x v="4"/>
    <x v="12"/>
    <x v="11"/>
    <x v="1"/>
    <s v="HAM"/>
    <x v="1"/>
    <x v="6"/>
    <x v="1"/>
    <n v="19"/>
    <x v="0"/>
    <x v="0"/>
    <x v="29"/>
    <n v="81.385999999999996"/>
    <x v="1752"/>
    <n v="28.986999999999998"/>
    <n v="29.308"/>
    <n v="22.707000000000001"/>
    <s v="19,51"/>
    <x v="0"/>
  </r>
  <r>
    <x v="4"/>
    <x v="12"/>
    <x v="11"/>
    <x v="24"/>
    <s v="RUS"/>
    <x v="1"/>
    <x v="1"/>
    <x v="2"/>
    <n v="15"/>
    <x v="0"/>
    <x v="0"/>
    <x v="29"/>
    <n v="82.766000000000005"/>
    <x v="1753"/>
    <n v="29.381"/>
    <n v="29.695"/>
    <n v="23.172000000000001"/>
    <s v="16,39"/>
    <x v="0"/>
  </r>
  <r>
    <x v="4"/>
    <x v="12"/>
    <x v="11"/>
    <x v="9"/>
    <s v="SAI"/>
    <x v="0"/>
    <x v="2"/>
    <x v="3"/>
    <n v="12"/>
    <x v="1"/>
    <x v="0"/>
    <x v="29"/>
    <n v="82"/>
    <x v="1754"/>
    <n v="29.347000000000001"/>
    <n v="29.454000000000001"/>
    <n v="22.998999999999999"/>
    <s v="17,47"/>
    <x v="0"/>
  </r>
  <r>
    <x v="4"/>
    <x v="12"/>
    <x v="11"/>
    <x v="10"/>
    <s v="PER"/>
    <x v="2"/>
    <x v="8"/>
    <x v="4"/>
    <n v="10"/>
    <x v="1"/>
    <x v="0"/>
    <x v="29"/>
    <n v="81.94"/>
    <x v="1755"/>
    <n v="29.175999999999998"/>
    <n v="29.475999999999999"/>
    <n v="22.843"/>
    <s v="18,42"/>
    <x v="0"/>
  </r>
  <r>
    <x v="4"/>
    <x v="12"/>
    <x v="11"/>
    <x v="12"/>
    <s v="LEC"/>
    <x v="0"/>
    <x v="0"/>
    <x v="5"/>
    <n v="8"/>
    <x v="1"/>
    <x v="0"/>
    <x v="29"/>
    <n v="81.622"/>
    <x v="1756"/>
    <n v="29.288"/>
    <n v="29.274999999999999"/>
    <n v="22.908999999999999"/>
    <s v="21,39,54"/>
    <x v="0"/>
  </r>
  <r>
    <x v="4"/>
    <x v="12"/>
    <x v="11"/>
    <x v="21"/>
    <s v="NOR"/>
    <x v="3"/>
    <x v="5"/>
    <x v="6"/>
    <n v="6"/>
    <x v="1"/>
    <x v="0"/>
    <x v="29"/>
    <n v="83.043000000000006"/>
    <x v="1757"/>
    <n v="29.771000000000001"/>
    <n v="29.873999999999999"/>
    <n v="23.288"/>
    <s v="14,42"/>
    <x v="0"/>
  </r>
  <r>
    <x v="4"/>
    <x v="12"/>
    <x v="11"/>
    <x v="4"/>
    <s v="ALO"/>
    <x v="14"/>
    <x v="15"/>
    <x v="7"/>
    <n v="4"/>
    <x v="1"/>
    <x v="1"/>
    <x v="30"/>
    <n v="83.978999999999999"/>
    <x v="1758"/>
    <n v="29.882000000000001"/>
    <n v="30.059000000000001"/>
    <n v="23.593"/>
    <n v="21"/>
    <x v="0"/>
  </r>
  <r>
    <x v="4"/>
    <x v="12"/>
    <x v="11"/>
    <x v="11"/>
    <s v="OCO"/>
    <x v="14"/>
    <x v="16"/>
    <x v="8"/>
    <n v="2"/>
    <x v="1"/>
    <x v="1"/>
    <x v="30"/>
    <n v="84.149000000000001"/>
    <x v="1759"/>
    <n v="29.96"/>
    <n v="30.306000000000001"/>
    <n v="23.651"/>
    <n v="23"/>
    <x v="0"/>
  </r>
  <r>
    <x v="4"/>
    <x v="12"/>
    <x v="11"/>
    <x v="0"/>
    <s v="VET"/>
    <x v="13"/>
    <x v="12"/>
    <x v="9"/>
    <n v="1"/>
    <x v="1"/>
    <x v="1"/>
    <x v="30"/>
    <n v="82.823999999999998"/>
    <x v="1760"/>
    <n v="29.523"/>
    <n v="29.802"/>
    <n v="23.265999999999998"/>
    <s v="15,46"/>
    <x v="0"/>
  </r>
  <r>
    <x v="4"/>
    <x v="12"/>
    <x v="11"/>
    <x v="13"/>
    <s v="STR"/>
    <x v="13"/>
    <x v="11"/>
    <x v="10"/>
    <n v="0"/>
    <x v="1"/>
    <x v="1"/>
    <x v="30"/>
    <n v="82.436999999999998"/>
    <x v="1761"/>
    <n v="29.388000000000002"/>
    <n v="29.771999999999998"/>
    <n v="23.087"/>
    <s v="14,46"/>
    <x v="0"/>
  </r>
  <r>
    <x v="4"/>
    <x v="12"/>
    <x v="11"/>
    <x v="17"/>
    <s v="GAS"/>
    <x v="12"/>
    <x v="20"/>
    <x v="11"/>
    <n v="0"/>
    <x v="1"/>
    <x v="1"/>
    <x v="30"/>
    <n v="83.198999999999998"/>
    <x v="1762"/>
    <n v="29.588000000000001"/>
    <n v="30.047999999999998"/>
    <n v="23.376999999999999"/>
    <s v="16,46"/>
    <x v="0"/>
  </r>
  <r>
    <x v="4"/>
    <x v="12"/>
    <x v="11"/>
    <x v="32"/>
    <s v="ZHO"/>
    <x v="15"/>
    <x v="10"/>
    <x v="12"/>
    <n v="0"/>
    <x v="1"/>
    <x v="1"/>
    <x v="30"/>
    <n v="82.028999999999996"/>
    <x v="1763"/>
    <n v="29.422000000000001"/>
    <n v="29.401"/>
    <n v="22.911999999999999"/>
    <s v="27,51"/>
    <x v="0"/>
  </r>
  <r>
    <x v="4"/>
    <x v="12"/>
    <x v="11"/>
    <x v="30"/>
    <s v="MSC"/>
    <x v="9"/>
    <x v="7"/>
    <x v="13"/>
    <n v="0"/>
    <x v="1"/>
    <x v="1"/>
    <x v="30"/>
    <n v="83.150999999999996"/>
    <x v="1764"/>
    <n v="29.782"/>
    <n v="29.847999999999999"/>
    <n v="23.315000000000001"/>
    <s v="21,41"/>
    <x v="0"/>
  </r>
  <r>
    <x v="4"/>
    <x v="12"/>
    <x v="11"/>
    <x v="3"/>
    <s v="RIC"/>
    <x v="3"/>
    <x v="9"/>
    <x v="14"/>
    <n v="0"/>
    <x v="1"/>
    <x v="1"/>
    <x v="30"/>
    <n v="83.59"/>
    <x v="1765"/>
    <n v="29.847000000000001"/>
    <n v="30.113"/>
    <n v="23.466999999999999"/>
    <s v="15,46"/>
    <x v="0"/>
  </r>
  <r>
    <x v="4"/>
    <x v="12"/>
    <x v="11"/>
    <x v="16"/>
    <s v="MAG"/>
    <x v="9"/>
    <x v="13"/>
    <x v="15"/>
    <n v="0"/>
    <x v="1"/>
    <x v="1"/>
    <x v="30"/>
    <n v="83.510999999999996"/>
    <x v="1766"/>
    <n v="29.687000000000001"/>
    <n v="30.125"/>
    <n v="23.324999999999999"/>
    <s v="6,35,67"/>
    <x v="0"/>
  </r>
  <r>
    <x v="4"/>
    <x v="12"/>
    <x v="11"/>
    <x v="22"/>
    <s v="ALB"/>
    <x v="7"/>
    <x v="18"/>
    <x v="16"/>
    <n v="0"/>
    <x v="1"/>
    <x v="1"/>
    <x v="30"/>
    <n v="83.046999999999997"/>
    <x v="1767"/>
    <n v="29.451000000000001"/>
    <n v="30.172000000000001"/>
    <n v="23.222999999999999"/>
    <s v="2,21,40"/>
    <x v="0"/>
  </r>
  <r>
    <x v="4"/>
    <x v="12"/>
    <x v="11"/>
    <x v="26"/>
    <s v="LAT"/>
    <x v="7"/>
    <x v="19"/>
    <x v="17"/>
    <n v="0"/>
    <x v="1"/>
    <x v="1"/>
    <x v="30"/>
    <n v="82.477999999999994"/>
    <x v="1768"/>
    <n v="29.414000000000001"/>
    <n v="29.78"/>
    <n v="23.283999999999999"/>
    <s v="18,39,56"/>
    <x v="0"/>
  </r>
  <r>
    <x v="4"/>
    <x v="12"/>
    <x v="11"/>
    <x v="29"/>
    <s v="TSU"/>
    <x v="12"/>
    <x v="14"/>
    <x v="18"/>
    <n v="0"/>
    <x v="1"/>
    <x v="11"/>
    <x v="31"/>
    <n v="83.537999999999997"/>
    <x v="1769"/>
    <n v="29.803999999999998"/>
    <n v="30.126999999999999"/>
    <n v="23.474"/>
    <s v="13,33,51"/>
    <x v="0"/>
  </r>
  <r>
    <x v="4"/>
    <x v="12"/>
    <x v="11"/>
    <x v="7"/>
    <s v="BOT"/>
    <x v="15"/>
    <x v="3"/>
    <x v="19"/>
    <n v="0"/>
    <x v="1"/>
    <x v="20"/>
    <x v="17"/>
    <n v="84.001999999999995"/>
    <x v="1770"/>
    <n v="29.934000000000001"/>
    <n v="30.177"/>
    <n v="23.637"/>
    <n v="26"/>
    <x v="0"/>
  </r>
  <r>
    <x v="4"/>
    <x v="20"/>
    <x v="12"/>
    <x v="5"/>
    <s v="VER"/>
    <x v="2"/>
    <x v="11"/>
    <x v="0"/>
    <n v="26"/>
    <x v="0"/>
    <x v="0"/>
    <x v="44"/>
    <n v="109.354"/>
    <x v="1771"/>
    <n v="31.597000000000001"/>
    <n v="47.81"/>
    <n v="29.864000000000001"/>
    <s v="15,30"/>
    <x v="1"/>
  </r>
  <r>
    <x v="4"/>
    <x v="20"/>
    <x v="12"/>
    <x v="10"/>
    <s v="PER"/>
    <x v="2"/>
    <x v="2"/>
    <x v="1"/>
    <n v="18"/>
    <x v="0"/>
    <x v="0"/>
    <x v="44"/>
    <n v="110.764"/>
    <x v="1772"/>
    <n v="31.853000000000002"/>
    <n v="48.804000000000002"/>
    <n v="30.106999999999999"/>
    <s v="14,27"/>
    <x v="1"/>
  </r>
  <r>
    <x v="4"/>
    <x v="20"/>
    <x v="12"/>
    <x v="9"/>
    <s v="SAI"/>
    <x v="0"/>
    <x v="1"/>
    <x v="2"/>
    <n v="15"/>
    <x v="0"/>
    <x v="0"/>
    <x v="44"/>
    <n v="111.977"/>
    <x v="1773"/>
    <n v="32.128999999999998"/>
    <n v="49.225000000000001"/>
    <n v="30.385999999999999"/>
    <s v="11,25"/>
    <x v="1"/>
  </r>
  <r>
    <x v="4"/>
    <x v="20"/>
    <x v="12"/>
    <x v="24"/>
    <s v="RUS"/>
    <x v="1"/>
    <x v="16"/>
    <x v="3"/>
    <n v="12"/>
    <x v="1"/>
    <x v="0"/>
    <x v="44"/>
    <n v="110.79300000000001"/>
    <x v="1774"/>
    <n v="32.194000000000003"/>
    <n v="48.304000000000002"/>
    <n v="30.271000000000001"/>
    <s v="13,29"/>
    <x v="1"/>
  </r>
  <r>
    <x v="4"/>
    <x v="20"/>
    <x v="12"/>
    <x v="4"/>
    <s v="ALO"/>
    <x v="14"/>
    <x v="0"/>
    <x v="4"/>
    <n v="10"/>
    <x v="1"/>
    <x v="0"/>
    <x v="44"/>
    <n v="112.86799999999999"/>
    <x v="1775"/>
    <n v="31.753"/>
    <n v="49.899000000000001"/>
    <n v="30.366"/>
    <s v="11,25"/>
    <x v="1"/>
  </r>
  <r>
    <x v="4"/>
    <x v="20"/>
    <x v="12"/>
    <x v="12"/>
    <s v="LEC"/>
    <x v="0"/>
    <x v="7"/>
    <x v="5"/>
    <n v="8"/>
    <x v="1"/>
    <x v="0"/>
    <x v="44"/>
    <n v="109.98399999999999"/>
    <x v="1776"/>
    <n v="31.824000000000002"/>
    <n v="48.107999999999997"/>
    <n v="29.981000000000002"/>
    <s v="3,25,42"/>
    <x v="1"/>
  </r>
  <r>
    <x v="4"/>
    <x v="20"/>
    <x v="12"/>
    <x v="11"/>
    <s v="OCO"/>
    <x v="14"/>
    <x v="14"/>
    <x v="6"/>
    <n v="6"/>
    <x v="1"/>
    <x v="0"/>
    <x v="44"/>
    <n v="111.717"/>
    <x v="1777"/>
    <n v="31.713999999999999"/>
    <n v="49.268000000000001"/>
    <n v="30.352"/>
    <s v="12,32"/>
    <x v="1"/>
  </r>
  <r>
    <x v="4"/>
    <x v="20"/>
    <x v="12"/>
    <x v="0"/>
    <s v="VET"/>
    <x v="13"/>
    <x v="4"/>
    <x v="7"/>
    <n v="4"/>
    <x v="1"/>
    <x v="0"/>
    <x v="44"/>
    <n v="112.515"/>
    <x v="1778"/>
    <n v="31.931000000000001"/>
    <n v="49.722999999999999"/>
    <n v="30.335000000000001"/>
    <s v="14,33"/>
    <x v="1"/>
  </r>
  <r>
    <x v="4"/>
    <x v="20"/>
    <x v="12"/>
    <x v="17"/>
    <s v="GAS"/>
    <x v="12"/>
    <x v="20"/>
    <x v="8"/>
    <n v="2"/>
    <x v="1"/>
    <x v="0"/>
    <x v="44"/>
    <n v="113.002"/>
    <x v="1779"/>
    <n v="31.959"/>
    <n v="50.548999999999999"/>
    <n v="30.399000000000001"/>
    <s v="10,22"/>
    <x v="1"/>
  </r>
  <r>
    <x v="4"/>
    <x v="20"/>
    <x v="12"/>
    <x v="22"/>
    <s v="ALB"/>
    <x v="7"/>
    <x v="15"/>
    <x v="9"/>
    <n v="1"/>
    <x v="1"/>
    <x v="0"/>
    <x v="44"/>
    <n v="113.05500000000001"/>
    <x v="1780"/>
    <n v="31.824000000000002"/>
    <n v="50.74"/>
    <n v="30.407"/>
    <s v="10,26"/>
    <x v="1"/>
  </r>
  <r>
    <x v="4"/>
    <x v="20"/>
    <x v="12"/>
    <x v="13"/>
    <s v="STR"/>
    <x v="13"/>
    <x v="9"/>
    <x v="10"/>
    <n v="0"/>
    <x v="1"/>
    <x v="0"/>
    <x v="44"/>
    <n v="112.88"/>
    <x v="1781"/>
    <n v="31.797000000000001"/>
    <n v="50.220999999999997"/>
    <n v="30.504000000000001"/>
    <s v="15,26"/>
    <x v="1"/>
  </r>
  <r>
    <x v="4"/>
    <x v="20"/>
    <x v="12"/>
    <x v="21"/>
    <s v="NOR"/>
    <x v="3"/>
    <x v="18"/>
    <x v="11"/>
    <n v="0"/>
    <x v="1"/>
    <x v="0"/>
    <x v="44"/>
    <n v="111.678"/>
    <x v="1782"/>
    <n v="31.542999999999999"/>
    <n v="50.067"/>
    <n v="30.068000000000001"/>
    <s v="13,29"/>
    <x v="1"/>
  </r>
  <r>
    <x v="4"/>
    <x v="20"/>
    <x v="12"/>
    <x v="29"/>
    <s v="TSU"/>
    <x v="12"/>
    <x v="20"/>
    <x v="12"/>
    <n v="0"/>
    <x v="1"/>
    <x v="0"/>
    <x v="44"/>
    <n v="112.43600000000001"/>
    <x v="1783"/>
    <n v="31.353999999999999"/>
    <n v="50.220999999999997"/>
    <n v="30.257000000000001"/>
    <s v="18,30"/>
    <x v="1"/>
  </r>
  <r>
    <x v="4"/>
    <x v="20"/>
    <x v="12"/>
    <x v="32"/>
    <s v="ZHO"/>
    <x v="15"/>
    <x v="12"/>
    <x v="13"/>
    <n v="0"/>
    <x v="1"/>
    <x v="0"/>
    <x v="44"/>
    <n v="112.31699999999999"/>
    <x v="1784"/>
    <n v="31.387"/>
    <n v="50.03"/>
    <n v="30.312000000000001"/>
    <s v="14,28"/>
    <x v="1"/>
  </r>
  <r>
    <x v="4"/>
    <x v="20"/>
    <x v="12"/>
    <x v="3"/>
    <s v="RIC"/>
    <x v="3"/>
    <x v="6"/>
    <x v="14"/>
    <n v="0"/>
    <x v="1"/>
    <x v="0"/>
    <x v="44"/>
    <n v="113.08"/>
    <x v="1785"/>
    <n v="31.530999999999999"/>
    <n v="50.460999999999999"/>
    <n v="30.596"/>
    <s v="12,32"/>
    <x v="1"/>
  </r>
  <r>
    <x v="4"/>
    <x v="20"/>
    <x v="12"/>
    <x v="16"/>
    <s v="MAG"/>
    <x v="9"/>
    <x v="10"/>
    <x v="15"/>
    <n v="0"/>
    <x v="1"/>
    <x v="1"/>
    <x v="13"/>
    <n v="113.33199999999999"/>
    <x v="1786"/>
    <n v="32.042999999999999"/>
    <n v="50.177"/>
    <n v="30.655999999999999"/>
    <s v="11,27"/>
    <x v="1"/>
  </r>
  <r>
    <x v="4"/>
    <x v="20"/>
    <x v="12"/>
    <x v="30"/>
    <s v="MSC"/>
    <x v="9"/>
    <x v="19"/>
    <x v="16"/>
    <n v="0"/>
    <x v="1"/>
    <x v="1"/>
    <x v="13"/>
    <n v="112.212"/>
    <x v="1787"/>
    <n v="32.142000000000003"/>
    <n v="49.414999999999999"/>
    <n v="30.638999999999999"/>
    <s v="14,30"/>
    <x v="1"/>
  </r>
  <r>
    <x v="4"/>
    <x v="20"/>
    <x v="12"/>
    <x v="26"/>
    <s v="LAT"/>
    <x v="7"/>
    <x v="8"/>
    <x v="17"/>
    <n v="0"/>
    <x v="1"/>
    <x v="1"/>
    <x v="13"/>
    <n v="112.256"/>
    <x v="1788"/>
    <n v="32.000999999999998"/>
    <n v="49.615000000000002"/>
    <n v="30.533999999999999"/>
    <s v="3,15,34"/>
    <x v="1"/>
  </r>
  <r>
    <x v="4"/>
    <x v="20"/>
    <x v="12"/>
    <x v="7"/>
    <s v="BOT"/>
    <x v="15"/>
    <x v="13"/>
    <x v="18"/>
    <n v="0"/>
    <x v="1"/>
    <x v="9"/>
    <x v="10"/>
    <m/>
    <x v="19"/>
    <m/>
    <m/>
    <m/>
    <m/>
    <x v="1"/>
  </r>
  <r>
    <x v="4"/>
    <x v="20"/>
    <x v="12"/>
    <x v="1"/>
    <s v="HAM"/>
    <x v="1"/>
    <x v="5"/>
    <x v="19"/>
    <n v="0"/>
    <x v="1"/>
    <x v="8"/>
    <x v="16"/>
    <m/>
    <x v="19"/>
    <m/>
    <m/>
    <m/>
    <m/>
    <x v="1"/>
  </r>
  <r>
    <x v="4"/>
    <x v="13"/>
    <x v="29"/>
    <x v="5"/>
    <s v="VER"/>
    <x v="2"/>
    <x v="1"/>
    <x v="0"/>
    <n v="26"/>
    <x v="0"/>
    <x v="0"/>
    <x v="75"/>
    <n v="73.652000000000001"/>
    <x v="1789"/>
    <n v="25.329000000000001"/>
    <n v="25.782"/>
    <n v="22.422000000000001"/>
    <s v="18,48,56,57"/>
    <x v="1"/>
  </r>
  <r>
    <x v="4"/>
    <x v="13"/>
    <x v="29"/>
    <x v="24"/>
    <s v="RUS"/>
    <x v="1"/>
    <x v="15"/>
    <x v="1"/>
    <n v="18"/>
    <x v="0"/>
    <x v="0"/>
    <x v="75"/>
    <n v="73.671000000000006"/>
    <x v="1790"/>
    <n v="25.341000000000001"/>
    <n v="25.8"/>
    <n v="22.516999999999999"/>
    <s v="31,48,57"/>
    <x v="1"/>
  </r>
  <r>
    <x v="4"/>
    <x v="13"/>
    <x v="29"/>
    <x v="12"/>
    <s v="LEC"/>
    <x v="0"/>
    <x v="2"/>
    <x v="2"/>
    <n v="15"/>
    <x v="0"/>
    <x v="0"/>
    <x v="75"/>
    <n v="74.412999999999997"/>
    <x v="1791"/>
    <n v="25.619"/>
    <n v="26.149000000000001"/>
    <n v="22.332999999999998"/>
    <s v="17,45,56,57"/>
    <x v="1"/>
  </r>
  <r>
    <x v="4"/>
    <x v="13"/>
    <x v="29"/>
    <x v="1"/>
    <s v="HAM"/>
    <x v="1"/>
    <x v="5"/>
    <x v="3"/>
    <n v="12"/>
    <x v="1"/>
    <x v="0"/>
    <x v="75"/>
    <n v="73.853999999999999"/>
    <x v="1792"/>
    <n v="25.391999999999999"/>
    <n v="25.850999999999999"/>
    <n v="22.495000000000001"/>
    <s v="29,48,57"/>
    <x v="1"/>
  </r>
  <r>
    <x v="4"/>
    <x v="13"/>
    <x v="29"/>
    <x v="10"/>
    <s v="PER"/>
    <x v="2"/>
    <x v="16"/>
    <x v="4"/>
    <n v="10"/>
    <x v="1"/>
    <x v="0"/>
    <x v="75"/>
    <n v="74.403999999999996"/>
    <x v="1793"/>
    <n v="25.757999999999999"/>
    <n v="25.97"/>
    <n v="22.556000000000001"/>
    <s v="14,40,56,57"/>
    <x v="1"/>
  </r>
  <r>
    <x v="4"/>
    <x v="13"/>
    <x v="29"/>
    <x v="4"/>
    <s v="ALO"/>
    <x v="14"/>
    <x v="13"/>
    <x v="5"/>
    <n v="8"/>
    <x v="1"/>
    <x v="0"/>
    <x v="75"/>
    <n v="74.144000000000005"/>
    <x v="1794"/>
    <n v="25.518999999999998"/>
    <n v="26.128"/>
    <n v="22.497"/>
    <s v="12,47,57"/>
    <x v="1"/>
  </r>
  <r>
    <x v="4"/>
    <x v="13"/>
    <x v="29"/>
    <x v="21"/>
    <s v="NOR"/>
    <x v="3"/>
    <x v="6"/>
    <x v="6"/>
    <n v="6"/>
    <x v="1"/>
    <x v="0"/>
    <x v="75"/>
    <n v="74.706000000000003"/>
    <x v="1795"/>
    <n v="25.71"/>
    <n v="26.277000000000001"/>
    <n v="22.507999999999999"/>
    <s v="17,47,57"/>
    <x v="1"/>
  </r>
  <r>
    <x v="4"/>
    <x v="13"/>
    <x v="29"/>
    <x v="9"/>
    <s v="SAI"/>
    <x v="0"/>
    <x v="0"/>
    <x v="7"/>
    <n v="4"/>
    <x v="1"/>
    <x v="0"/>
    <x v="75"/>
    <n v="74.643000000000001"/>
    <x v="1796"/>
    <n v="25.591999999999999"/>
    <n v="26.276"/>
    <n v="22.664000000000001"/>
    <s v="14,43,57"/>
    <x v="1"/>
  </r>
  <r>
    <x v="4"/>
    <x v="13"/>
    <x v="29"/>
    <x v="11"/>
    <s v="OCO"/>
    <x v="14"/>
    <x v="10"/>
    <x v="8"/>
    <n v="2"/>
    <x v="1"/>
    <x v="0"/>
    <x v="75"/>
    <n v="75.084000000000003"/>
    <x v="1797"/>
    <n v="25.960999999999999"/>
    <n v="26.373000000000001"/>
    <n v="22.646000000000001"/>
    <s v="18,56,57"/>
    <x v="1"/>
  </r>
  <r>
    <x v="4"/>
    <x v="13"/>
    <x v="29"/>
    <x v="13"/>
    <s v="STR"/>
    <x v="13"/>
    <x v="4"/>
    <x v="9"/>
    <n v="1"/>
    <x v="1"/>
    <x v="0"/>
    <x v="75"/>
    <n v="75.043000000000006"/>
    <x v="1798"/>
    <n v="25.704999999999998"/>
    <n v="26.521999999999998"/>
    <n v="22.556999999999999"/>
    <s v="16,38,56,57"/>
    <x v="1"/>
  </r>
  <r>
    <x v="4"/>
    <x v="13"/>
    <x v="29"/>
    <x v="17"/>
    <s v="GAS"/>
    <x v="12"/>
    <x v="8"/>
    <x v="10"/>
    <n v="0"/>
    <x v="1"/>
    <x v="0"/>
    <x v="75"/>
    <n v="75.165000000000006"/>
    <x v="1799"/>
    <n v="25.777000000000001"/>
    <n v="26.507000000000001"/>
    <n v="22.7"/>
    <s v="11,32,56,57"/>
    <x v="1"/>
  </r>
  <r>
    <x v="4"/>
    <x v="13"/>
    <x v="29"/>
    <x v="22"/>
    <s v="ALB"/>
    <x v="7"/>
    <x v="7"/>
    <x v="11"/>
    <n v="0"/>
    <x v="1"/>
    <x v="0"/>
    <x v="75"/>
    <n v="75.534000000000006"/>
    <x v="1800"/>
    <n v="25.826999999999899"/>
    <n v="26.835999999999999"/>
    <n v="22.760999999999999"/>
    <s v="21,42,55,56"/>
    <x v="1"/>
  </r>
  <r>
    <x v="4"/>
    <x v="13"/>
    <x v="29"/>
    <x v="30"/>
    <s v="MSC"/>
    <x v="9"/>
    <x v="3"/>
    <x v="12"/>
    <n v="0"/>
    <x v="1"/>
    <x v="0"/>
    <x v="75"/>
    <n v="75.233000000000004"/>
    <x v="1801"/>
    <n v="25.779"/>
    <n v="26.440999999999999"/>
    <n v="22.678000000000001"/>
    <s v="13,33,47,56"/>
    <x v="1"/>
  </r>
  <r>
    <x v="4"/>
    <x v="13"/>
    <x v="29"/>
    <x v="0"/>
    <s v="VET"/>
    <x v="13"/>
    <x v="19"/>
    <x v="13"/>
    <n v="0"/>
    <x v="1"/>
    <x v="0"/>
    <x v="75"/>
    <n v="74.861999999999995"/>
    <x v="1802"/>
    <n v="25.614000000000001"/>
    <n v="26.503"/>
    <n v="22.742999999999999"/>
    <s v="9,35,48,56"/>
    <x v="1"/>
  </r>
  <r>
    <x v="4"/>
    <x v="13"/>
    <x v="29"/>
    <x v="16"/>
    <s v="MAG"/>
    <x v="9"/>
    <x v="12"/>
    <x v="14"/>
    <n v="0"/>
    <x v="1"/>
    <x v="0"/>
    <x v="75"/>
    <n v="75.369"/>
    <x v="1803"/>
    <n v="25.92"/>
    <n v="26.376999999999999"/>
    <n v="22.779"/>
    <s v="14,34,47,56"/>
    <x v="1"/>
  </r>
  <r>
    <x v="4"/>
    <x v="13"/>
    <x v="29"/>
    <x v="32"/>
    <s v="ZHO"/>
    <x v="15"/>
    <x v="11"/>
    <x v="15"/>
    <n v="0"/>
    <x v="1"/>
    <x v="0"/>
    <x v="75"/>
    <n v="75.94"/>
    <x v="1804"/>
    <n v="26.189"/>
    <n v="26.701000000000001"/>
    <n v="22.93"/>
    <s v="12,37,55,56"/>
    <x v="1"/>
  </r>
  <r>
    <x v="4"/>
    <x v="13"/>
    <x v="29"/>
    <x v="3"/>
    <s v="RIC"/>
    <x v="3"/>
    <x v="18"/>
    <x v="16"/>
    <n v="0"/>
    <x v="1"/>
    <x v="0"/>
    <x v="75"/>
    <n v="75.576999999999998"/>
    <x v="1805"/>
    <n v="25.881"/>
    <n v="26.556000000000001"/>
    <n v="22.939"/>
    <s v="11,27,47,55,56"/>
    <x v="1"/>
  </r>
  <r>
    <x v="4"/>
    <x v="13"/>
    <x v="29"/>
    <x v="26"/>
    <s v="LAT"/>
    <x v="7"/>
    <x v="17"/>
    <x v="17"/>
    <n v="0"/>
    <x v="1"/>
    <x v="1"/>
    <x v="27"/>
    <n v="76.066000000000003"/>
    <x v="1806"/>
    <n v="26.123999999999999"/>
    <n v="26.861999999999998"/>
    <n v="23.065000000000001"/>
    <s v="13,26,54,55"/>
    <x v="1"/>
  </r>
  <r>
    <x v="4"/>
    <x v="13"/>
    <x v="29"/>
    <x v="7"/>
    <s v="BOT"/>
    <x v="15"/>
    <x v="14"/>
    <x v="18"/>
    <n v="0"/>
    <x v="1"/>
    <x v="3"/>
    <x v="36"/>
    <n v="76.843999999999994"/>
    <x v="1807"/>
    <n v="26.323"/>
    <n v="26.972000000000001"/>
    <n v="23.201000000000001"/>
    <s v="16,34"/>
    <x v="1"/>
  </r>
  <r>
    <x v="4"/>
    <x v="13"/>
    <x v="29"/>
    <x v="29"/>
    <s v="TSU"/>
    <x v="12"/>
    <x v="9"/>
    <x v="19"/>
    <n v="0"/>
    <x v="1"/>
    <x v="51"/>
    <x v="13"/>
    <n v="77.138000000000005"/>
    <x v="1808"/>
    <n v="26.518000000000001"/>
    <n v="27.190999999999999"/>
    <n v="23.274000000000001"/>
    <s v="13,42,43"/>
    <x v="1"/>
  </r>
  <r>
    <x v="4"/>
    <x v="14"/>
    <x v="20"/>
    <x v="5"/>
    <s v="VER"/>
    <x v="2"/>
    <x v="6"/>
    <x v="0"/>
    <n v="25"/>
    <x v="0"/>
    <x v="0"/>
    <x v="28"/>
    <n v="84.745000000000005"/>
    <x v="1809"/>
    <n v="27.789000000000001"/>
    <n v="28.872"/>
    <n v="27.863"/>
    <s v="25,48"/>
    <x v="1"/>
  </r>
  <r>
    <x v="4"/>
    <x v="14"/>
    <x v="20"/>
    <x v="12"/>
    <s v="LEC"/>
    <x v="0"/>
    <x v="1"/>
    <x v="1"/>
    <n v="18"/>
    <x v="0"/>
    <x v="0"/>
    <x v="28"/>
    <n v="84.335999999999999"/>
    <x v="1810"/>
    <n v="27.667999999999999"/>
    <n v="28.710999999999999"/>
    <n v="27.881"/>
    <s v="12,33,48"/>
    <x v="1"/>
  </r>
  <r>
    <x v="4"/>
    <x v="14"/>
    <x v="20"/>
    <x v="24"/>
    <s v="RUS"/>
    <x v="1"/>
    <x v="2"/>
    <x v="2"/>
    <n v="15"/>
    <x v="0"/>
    <x v="0"/>
    <x v="28"/>
    <n v="85.287999999999997"/>
    <x v="1811"/>
    <n v="27.850999999999999"/>
    <n v="29.228000000000002"/>
    <n v="28.074999999999999"/>
    <s v="23,47"/>
    <x v="1"/>
  </r>
  <r>
    <x v="4"/>
    <x v="14"/>
    <x v="20"/>
    <x v="9"/>
    <s v="SAI"/>
    <x v="0"/>
    <x v="12"/>
    <x v="3"/>
    <n v="12"/>
    <x v="1"/>
    <x v="0"/>
    <x v="28"/>
    <n v="84.42"/>
    <x v="1812"/>
    <n v="27.562999999999999"/>
    <n v="28.738"/>
    <n v="27.815000000000001"/>
    <s v="30,47"/>
    <x v="1"/>
  </r>
  <r>
    <x v="4"/>
    <x v="14"/>
    <x v="20"/>
    <x v="1"/>
    <s v="HAM"/>
    <x v="1"/>
    <x v="19"/>
    <x v="4"/>
    <n v="10"/>
    <x v="1"/>
    <x v="0"/>
    <x v="28"/>
    <n v="84.433999999999997"/>
    <x v="1813"/>
    <n v="27.721"/>
    <n v="28.748000000000001"/>
    <n v="27.841999999999999"/>
    <n v="33"/>
    <x v="1"/>
  </r>
  <r>
    <x v="4"/>
    <x v="14"/>
    <x v="20"/>
    <x v="10"/>
    <s v="PER"/>
    <x v="2"/>
    <x v="13"/>
    <x v="5"/>
    <n v="9"/>
    <x v="1"/>
    <x v="0"/>
    <x v="28"/>
    <n v="84.03"/>
    <x v="1814"/>
    <n v="27.89"/>
    <n v="28.553999999999998"/>
    <n v="27.585999999999999"/>
    <s v="7,42"/>
    <x v="1"/>
  </r>
  <r>
    <x v="4"/>
    <x v="14"/>
    <x v="20"/>
    <x v="21"/>
    <s v="NOR"/>
    <x v="3"/>
    <x v="0"/>
    <x v="6"/>
    <n v="6"/>
    <x v="1"/>
    <x v="0"/>
    <x v="28"/>
    <n v="84.718000000000004"/>
    <x v="1815"/>
    <n v="27.651"/>
    <n v="28.911000000000001"/>
    <n v="27.972999999999999"/>
    <s v="35,47"/>
    <x v="1"/>
  </r>
  <r>
    <x v="4"/>
    <x v="14"/>
    <x v="20"/>
    <x v="17"/>
    <s v="GAS"/>
    <x v="12"/>
    <x v="16"/>
    <x v="7"/>
    <n v="4"/>
    <x v="1"/>
    <x v="0"/>
    <x v="28"/>
    <n v="86.718000000000004"/>
    <x v="1816"/>
    <n v="28.053000000000001"/>
    <n v="29.663"/>
    <n v="28.734000000000002"/>
    <n v="18"/>
    <x v="1"/>
  </r>
  <r>
    <x v="4"/>
    <x v="14"/>
    <x v="20"/>
    <x v="33"/>
    <s v="DEV"/>
    <x v="7"/>
    <x v="3"/>
    <x v="8"/>
    <n v="2"/>
    <x v="1"/>
    <x v="0"/>
    <x v="28"/>
    <n v="86.623999999999995"/>
    <x v="1817"/>
    <n v="27.844999999999999"/>
    <n v="29.777000000000001"/>
    <n v="28.78"/>
    <n v="19"/>
    <x v="1"/>
  </r>
  <r>
    <x v="4"/>
    <x v="14"/>
    <x v="20"/>
    <x v="32"/>
    <s v="ZHO"/>
    <x v="15"/>
    <x v="9"/>
    <x v="9"/>
    <n v="1"/>
    <x v="1"/>
    <x v="0"/>
    <x v="28"/>
    <n v="86.361000000000004"/>
    <x v="1818"/>
    <n v="27.896000000000001"/>
    <n v="29.68"/>
    <n v="28.567"/>
    <n v="18"/>
    <x v="1"/>
  </r>
  <r>
    <x v="4"/>
    <x v="14"/>
    <x v="20"/>
    <x v="11"/>
    <s v="OCO"/>
    <x v="14"/>
    <x v="11"/>
    <x v="10"/>
    <n v="0"/>
    <x v="1"/>
    <x v="0"/>
    <x v="28"/>
    <n v="86.593000000000004"/>
    <x v="1819"/>
    <n v="28.033999999999999"/>
    <n v="29.675000000000001"/>
    <n v="28.556000000000001"/>
    <n v="19"/>
    <x v="1"/>
  </r>
  <r>
    <x v="4"/>
    <x v="14"/>
    <x v="20"/>
    <x v="30"/>
    <s v="MSC"/>
    <x v="9"/>
    <x v="18"/>
    <x v="11"/>
    <n v="0"/>
    <x v="1"/>
    <x v="0"/>
    <x v="28"/>
    <n v="85.298000000000002"/>
    <x v="1820"/>
    <n v="28.03"/>
    <n v="28.983000000000001"/>
    <n v="28.103999999999999"/>
    <n v="33"/>
    <x v="1"/>
  </r>
  <r>
    <x v="4"/>
    <x v="14"/>
    <x v="20"/>
    <x v="7"/>
    <s v="BOT"/>
    <x v="15"/>
    <x v="7"/>
    <x v="12"/>
    <n v="0"/>
    <x v="1"/>
    <x v="1"/>
    <x v="33"/>
    <n v="85.706000000000003"/>
    <x v="1821"/>
    <n v="27.623999999999999"/>
    <n v="29.416"/>
    <n v="28.486000000000001"/>
    <n v="35"/>
    <x v="1"/>
  </r>
  <r>
    <x v="4"/>
    <x v="14"/>
    <x v="20"/>
    <x v="29"/>
    <s v="TSU"/>
    <x v="12"/>
    <x v="17"/>
    <x v="13"/>
    <n v="0"/>
    <x v="1"/>
    <x v="1"/>
    <x v="33"/>
    <n v="86.856999999999999"/>
    <x v="1822"/>
    <n v="28.027000000000001"/>
    <n v="29.826999999999899"/>
    <n v="28.823"/>
    <s v="19,47"/>
    <x v="1"/>
  </r>
  <r>
    <x v="4"/>
    <x v="14"/>
    <x v="20"/>
    <x v="26"/>
    <s v="LAT"/>
    <x v="7"/>
    <x v="4"/>
    <x v="14"/>
    <n v="0"/>
    <x v="1"/>
    <x v="1"/>
    <x v="33"/>
    <n v="86.798000000000002"/>
    <x v="1823"/>
    <n v="27.795000000000002"/>
    <n v="29.707000000000001"/>
    <n v="28.844999999999999"/>
    <s v="15,47"/>
    <x v="1"/>
  </r>
  <r>
    <x v="4"/>
    <x v="14"/>
    <x v="20"/>
    <x v="16"/>
    <s v="MAG"/>
    <x v="9"/>
    <x v="14"/>
    <x v="15"/>
    <n v="0"/>
    <x v="1"/>
    <x v="1"/>
    <x v="33"/>
    <n v="86.798000000000002"/>
    <x v="1824"/>
    <n v="28.378"/>
    <n v="29.690999999999999"/>
    <n v="28.599"/>
    <s v="24,46"/>
    <x v="1"/>
  </r>
  <r>
    <x v="4"/>
    <x v="14"/>
    <x v="20"/>
    <x v="3"/>
    <s v="RIC"/>
    <x v="3"/>
    <x v="5"/>
    <x v="16"/>
    <n v="0"/>
    <x v="1"/>
    <x v="14"/>
    <x v="21"/>
    <n v="86.602999999999994"/>
    <x v="1825"/>
    <n v="28.138999999999999"/>
    <n v="29.701000000000001"/>
    <n v="28.655000000000001"/>
    <n v="19"/>
    <x v="1"/>
  </r>
  <r>
    <x v="4"/>
    <x v="14"/>
    <x v="20"/>
    <x v="13"/>
    <s v="STR"/>
    <x v="13"/>
    <x v="10"/>
    <x v="17"/>
    <n v="0"/>
    <x v="1"/>
    <x v="3"/>
    <x v="22"/>
    <n v="87.466999999999999"/>
    <x v="1826"/>
    <n v="28.08"/>
    <n v="29.963999999999999"/>
    <n v="29.084"/>
    <s v="18,39"/>
    <x v="1"/>
  </r>
  <r>
    <x v="4"/>
    <x v="14"/>
    <x v="20"/>
    <x v="4"/>
    <s v="ALO"/>
    <x v="14"/>
    <x v="15"/>
    <x v="18"/>
    <n v="0"/>
    <x v="1"/>
    <x v="32"/>
    <x v="50"/>
    <n v="87.203000000000003"/>
    <x v="1827"/>
    <n v="28.047000000000001"/>
    <n v="29.905000000000001"/>
    <n v="28.76"/>
    <n v="31"/>
    <x v="1"/>
  </r>
  <r>
    <x v="4"/>
    <x v="14"/>
    <x v="20"/>
    <x v="0"/>
    <s v="VET"/>
    <x v="13"/>
    <x v="8"/>
    <x v="19"/>
    <n v="0"/>
    <x v="1"/>
    <x v="3"/>
    <x v="15"/>
    <n v="87.501000000000005"/>
    <x v="1828"/>
    <n v="27.911999999999999"/>
    <n v="30.100999999999999"/>
    <n v="29.364000000000001"/>
    <m/>
    <x v="1"/>
  </r>
  <r>
    <x v="4"/>
    <x v="15"/>
    <x v="13"/>
    <x v="10"/>
    <s v="PER"/>
    <x v="2"/>
    <x v="2"/>
    <x v="0"/>
    <n v="25"/>
    <x v="0"/>
    <x v="0"/>
    <x v="48"/>
    <n v="108.16500000000001"/>
    <x v="1829"/>
    <n v="29.113"/>
    <n v="41.311"/>
    <n v="37.515999999999998"/>
    <n v="35"/>
    <x v="0"/>
  </r>
  <r>
    <x v="4"/>
    <x v="15"/>
    <x v="13"/>
    <x v="12"/>
    <s v="LEC"/>
    <x v="0"/>
    <x v="1"/>
    <x v="1"/>
    <n v="18"/>
    <x v="0"/>
    <x v="0"/>
    <x v="48"/>
    <n v="108.753"/>
    <x v="1830"/>
    <n v="29.187999999999999"/>
    <n v="41.313000000000002"/>
    <n v="37.93"/>
    <n v="34"/>
    <x v="0"/>
  </r>
  <r>
    <x v="4"/>
    <x v="15"/>
    <x v="13"/>
    <x v="9"/>
    <s v="SAI"/>
    <x v="0"/>
    <x v="5"/>
    <x v="2"/>
    <n v="15"/>
    <x v="0"/>
    <x v="0"/>
    <x v="48"/>
    <n v="108.414"/>
    <x v="1831"/>
    <n v="29.239000000000001"/>
    <n v="41.42"/>
    <n v="37.734999999999999"/>
    <n v="35"/>
    <x v="0"/>
  </r>
  <r>
    <x v="4"/>
    <x v="15"/>
    <x v="13"/>
    <x v="21"/>
    <s v="NOR"/>
    <x v="3"/>
    <x v="15"/>
    <x v="3"/>
    <n v="12"/>
    <x v="1"/>
    <x v="0"/>
    <x v="48"/>
    <n v="109.212"/>
    <x v="1832"/>
    <n v="29.42"/>
    <n v="41.784999999999997"/>
    <n v="38.006999999999998"/>
    <n v="36"/>
    <x v="0"/>
  </r>
  <r>
    <x v="4"/>
    <x v="15"/>
    <x v="13"/>
    <x v="3"/>
    <s v="RIC"/>
    <x v="3"/>
    <x v="14"/>
    <x v="4"/>
    <n v="10"/>
    <x v="1"/>
    <x v="0"/>
    <x v="48"/>
    <n v="111.006"/>
    <x v="1833"/>
    <n v="29.643999999999998"/>
    <n v="42.216999999999999"/>
    <n v="38.825000000000003"/>
    <n v="36"/>
    <x v="0"/>
  </r>
  <r>
    <x v="4"/>
    <x v="15"/>
    <x v="13"/>
    <x v="13"/>
    <s v="STR"/>
    <x v="13"/>
    <x v="8"/>
    <x v="5"/>
    <n v="8"/>
    <x v="1"/>
    <x v="0"/>
    <x v="48"/>
    <n v="110.283"/>
    <x v="1834"/>
    <n v="29.5"/>
    <n v="42.204000000000001"/>
    <n v="38.323999999999998"/>
    <n v="35"/>
    <x v="0"/>
  </r>
  <r>
    <x v="4"/>
    <x v="15"/>
    <x v="13"/>
    <x v="5"/>
    <s v="VER"/>
    <x v="2"/>
    <x v="3"/>
    <x v="6"/>
    <n v="6"/>
    <x v="1"/>
    <x v="0"/>
    <x v="48"/>
    <n v="109.142"/>
    <x v="1835"/>
    <n v="29.093"/>
    <n v="41.64"/>
    <n v="38.079000000000001"/>
    <s v="35,40"/>
    <x v="0"/>
  </r>
  <r>
    <x v="4"/>
    <x v="15"/>
    <x v="13"/>
    <x v="0"/>
    <s v="VET"/>
    <x v="13"/>
    <x v="13"/>
    <x v="7"/>
    <n v="4"/>
    <x v="1"/>
    <x v="0"/>
    <x v="48"/>
    <n v="110.669"/>
    <x v="1836"/>
    <n v="29.596"/>
    <n v="42.337000000000003"/>
    <n v="38.325000000000003"/>
    <n v="34"/>
    <x v="0"/>
  </r>
  <r>
    <x v="4"/>
    <x v="15"/>
    <x v="13"/>
    <x v="1"/>
    <s v="HAM"/>
    <x v="1"/>
    <x v="0"/>
    <x v="8"/>
    <n v="2"/>
    <x v="1"/>
    <x v="0"/>
    <x v="48"/>
    <n v="110.622"/>
    <x v="1837"/>
    <n v="29.257999999999999"/>
    <n v="42.07"/>
    <n v="38.540999999999997"/>
    <n v="34"/>
    <x v="0"/>
  </r>
  <r>
    <x v="4"/>
    <x v="15"/>
    <x v="13"/>
    <x v="17"/>
    <s v="GAS"/>
    <x v="12"/>
    <x v="6"/>
    <x v="9"/>
    <n v="1"/>
    <x v="1"/>
    <x v="0"/>
    <x v="48"/>
    <n v="110.569"/>
    <x v="1838"/>
    <n v="29.724"/>
    <n v="42.115000000000002"/>
    <n v="38.71"/>
    <n v="33"/>
    <x v="0"/>
  </r>
  <r>
    <x v="4"/>
    <x v="15"/>
    <x v="13"/>
    <x v="7"/>
    <s v="BOT"/>
    <x v="15"/>
    <x v="7"/>
    <x v="10"/>
    <n v="0"/>
    <x v="1"/>
    <x v="0"/>
    <x v="48"/>
    <n v="111.864"/>
    <x v="1839"/>
    <n v="29.704999999999998"/>
    <n v="42.77"/>
    <n v="38.973999999999997"/>
    <n v="33"/>
    <x v="0"/>
  </r>
  <r>
    <x v="4"/>
    <x v="15"/>
    <x v="13"/>
    <x v="16"/>
    <s v="MAG"/>
    <x v="9"/>
    <x v="9"/>
    <x v="11"/>
    <n v="0"/>
    <x v="1"/>
    <x v="0"/>
    <x v="48"/>
    <n v="112.06699999999999"/>
    <x v="1840"/>
    <n v="29.902000000000001"/>
    <n v="42.731000000000002"/>
    <n v="38.423000000000002"/>
    <s v="7,33"/>
    <x v="0"/>
  </r>
  <r>
    <x v="4"/>
    <x v="15"/>
    <x v="13"/>
    <x v="30"/>
    <s v="MSC"/>
    <x v="9"/>
    <x v="10"/>
    <x v="12"/>
    <n v="0"/>
    <x v="1"/>
    <x v="1"/>
    <x v="0"/>
    <n v="110.29"/>
    <x v="1841"/>
    <n v="29.617000000000001"/>
    <n v="42.16"/>
    <n v="37.89"/>
    <s v="34,41"/>
    <x v="0"/>
  </r>
  <r>
    <x v="4"/>
    <x v="15"/>
    <x v="13"/>
    <x v="24"/>
    <s v="RUS"/>
    <x v="1"/>
    <x v="20"/>
    <x v="13"/>
    <n v="0"/>
    <x v="1"/>
    <x v="11"/>
    <x v="1"/>
    <n v="106.458"/>
    <x v="1842"/>
    <n v="28.869"/>
    <n v="40.390999999999998"/>
    <n v="37.198"/>
    <s v="21,35,41,51"/>
    <x v="0"/>
  </r>
  <r>
    <x v="4"/>
    <x v="15"/>
    <x v="13"/>
    <x v="29"/>
    <s v="TSU"/>
    <x v="12"/>
    <x v="4"/>
    <x v="14"/>
    <n v="0"/>
    <x v="1"/>
    <x v="9"/>
    <x v="64"/>
    <n v="118.71599999999999"/>
    <x v="1843"/>
    <n v="31.619"/>
    <n v="45.744"/>
    <n v="41.325000000000003"/>
    <n v="33"/>
    <x v="0"/>
  </r>
  <r>
    <x v="4"/>
    <x v="15"/>
    <x v="13"/>
    <x v="11"/>
    <s v="OCO"/>
    <x v="14"/>
    <x v="18"/>
    <x v="15"/>
    <n v="0"/>
    <x v="1"/>
    <x v="3"/>
    <x v="63"/>
    <n v="121.105"/>
    <x v="1844"/>
    <n v="31.844999999999999"/>
    <n v="46.893999999999998"/>
    <n v="42.042000000000002"/>
    <m/>
    <x v="0"/>
  </r>
  <r>
    <x v="4"/>
    <x v="15"/>
    <x v="13"/>
    <x v="22"/>
    <s v="ALB"/>
    <x v="7"/>
    <x v="12"/>
    <x v="16"/>
    <n v="0"/>
    <x v="1"/>
    <x v="8"/>
    <x v="23"/>
    <n v="122.121"/>
    <x v="1845"/>
    <n v="31.881"/>
    <n v="47.591000000000001"/>
    <n v="42.378"/>
    <n v="25"/>
    <x v="0"/>
  </r>
  <r>
    <x v="4"/>
    <x v="15"/>
    <x v="13"/>
    <x v="4"/>
    <s v="ALO"/>
    <x v="14"/>
    <x v="16"/>
    <x v="17"/>
    <n v="0"/>
    <x v="1"/>
    <x v="3"/>
    <x v="77"/>
    <n v="120.46299999999999"/>
    <x v="1846"/>
    <n v="31.789000000000001"/>
    <n v="46.576999999999998"/>
    <n v="41.813000000000002"/>
    <m/>
    <x v="0"/>
  </r>
  <r>
    <x v="4"/>
    <x v="15"/>
    <x v="13"/>
    <x v="26"/>
    <s v="LAT"/>
    <x v="7"/>
    <x v="19"/>
    <x v="18"/>
    <n v="0"/>
    <x v="1"/>
    <x v="8"/>
    <x v="56"/>
    <n v="125.58499999999999"/>
    <x v="1847"/>
    <n v="32.185000000000002"/>
    <n v="49.597000000000001"/>
    <n v="43.572000000000003"/>
    <n v="7"/>
    <x v="0"/>
  </r>
  <r>
    <x v="4"/>
    <x v="15"/>
    <x v="13"/>
    <x v="32"/>
    <s v="ZHO"/>
    <x v="15"/>
    <x v="11"/>
    <x v="19"/>
    <n v="0"/>
    <x v="1"/>
    <x v="10"/>
    <x v="56"/>
    <n v="125.556"/>
    <x v="1848"/>
    <n v="32.133000000000003"/>
    <n v="49.572000000000003"/>
    <n v="43.462000000000003"/>
    <m/>
    <x v="0"/>
  </r>
  <r>
    <x v="4"/>
    <x v="16"/>
    <x v="15"/>
    <x v="5"/>
    <s v="VER"/>
    <x v="2"/>
    <x v="1"/>
    <x v="0"/>
    <n v="25"/>
    <x v="0"/>
    <x v="0"/>
    <x v="53"/>
    <n v="104.911"/>
    <x v="1849"/>
    <n v="37.744"/>
    <n v="46.811999999999998"/>
    <n v="20.254000000000001"/>
    <s v="2,7"/>
    <x v="0"/>
  </r>
  <r>
    <x v="4"/>
    <x v="16"/>
    <x v="15"/>
    <x v="10"/>
    <s v="PER"/>
    <x v="2"/>
    <x v="5"/>
    <x v="1"/>
    <n v="18"/>
    <x v="0"/>
    <x v="0"/>
    <x v="34"/>
    <n v="106.12"/>
    <x v="1850"/>
    <n v="38.034999999999997"/>
    <n v="47.250999999999998"/>
    <n v="20.268000000000001"/>
    <s v="2,7"/>
    <x v="0"/>
  </r>
  <r>
    <x v="4"/>
    <x v="16"/>
    <x v="15"/>
    <x v="12"/>
    <s v="LEC"/>
    <x v="0"/>
    <x v="2"/>
    <x v="2"/>
    <n v="15"/>
    <x v="0"/>
    <x v="0"/>
    <x v="34"/>
    <n v="104.489"/>
    <x v="1851"/>
    <n v="37.549999999999997"/>
    <n v="46.76"/>
    <n v="20.02"/>
    <s v="2,7"/>
    <x v="0"/>
  </r>
  <r>
    <x v="4"/>
    <x v="16"/>
    <x v="15"/>
    <x v="11"/>
    <s v="OCO"/>
    <x v="14"/>
    <x v="16"/>
    <x v="3"/>
    <n v="12"/>
    <x v="1"/>
    <x v="0"/>
    <x v="34"/>
    <n v="106.559"/>
    <x v="1852"/>
    <n v="38.142000000000003"/>
    <n v="47.634"/>
    <n v="20.454000000000001"/>
    <s v="2,7"/>
    <x v="0"/>
  </r>
  <r>
    <x v="4"/>
    <x v="16"/>
    <x v="15"/>
    <x v="1"/>
    <s v="HAM"/>
    <x v="1"/>
    <x v="15"/>
    <x v="4"/>
    <n v="10"/>
    <x v="1"/>
    <x v="0"/>
    <x v="34"/>
    <n v="105.53"/>
    <x v="1853"/>
    <n v="37.814999999999998"/>
    <n v="47.23"/>
    <n v="20.484999999999999"/>
    <s v="2,7"/>
    <x v="0"/>
  </r>
  <r>
    <x v="4"/>
    <x v="16"/>
    <x v="15"/>
    <x v="0"/>
    <s v="VET"/>
    <x v="13"/>
    <x v="9"/>
    <x v="5"/>
    <n v="8"/>
    <x v="1"/>
    <x v="0"/>
    <x v="34"/>
    <n v="106.964"/>
    <x v="1854"/>
    <n v="38.332999999999998"/>
    <n v="47.670999999999999"/>
    <n v="20.693999999999999"/>
    <s v="2,5"/>
    <x v="0"/>
  </r>
  <r>
    <x v="4"/>
    <x v="16"/>
    <x v="15"/>
    <x v="4"/>
    <s v="ALO"/>
    <x v="14"/>
    <x v="6"/>
    <x v="6"/>
    <n v="6"/>
    <x v="1"/>
    <x v="0"/>
    <x v="34"/>
    <n v="104.41200000000001"/>
    <x v="1855"/>
    <n v="37.412999999999997"/>
    <n v="46.503999999999998"/>
    <n v="20.388000000000002"/>
    <s v="2,8,22"/>
    <x v="0"/>
  </r>
  <r>
    <x v="4"/>
    <x v="16"/>
    <x v="15"/>
    <x v="24"/>
    <s v="RUS"/>
    <x v="1"/>
    <x v="3"/>
    <x v="7"/>
    <n v="4"/>
    <x v="1"/>
    <x v="0"/>
    <x v="34"/>
    <n v="107.004"/>
    <x v="1856"/>
    <n v="38.618000000000002"/>
    <n v="47.585000000000001"/>
    <n v="20.501999999999999"/>
    <s v="2,7"/>
    <x v="0"/>
  </r>
  <r>
    <x v="4"/>
    <x v="16"/>
    <x v="15"/>
    <x v="26"/>
    <s v="LAT"/>
    <x v="7"/>
    <x v="17"/>
    <x v="8"/>
    <n v="2"/>
    <x v="1"/>
    <x v="0"/>
    <x v="34"/>
    <n v="108.371"/>
    <x v="1857"/>
    <n v="39.335999999999999"/>
    <n v="48.034999999999997"/>
    <n v="20.733000000000001"/>
    <s v="2,5"/>
    <x v="0"/>
  </r>
  <r>
    <x v="4"/>
    <x v="16"/>
    <x v="15"/>
    <x v="21"/>
    <s v="NOR"/>
    <x v="3"/>
    <x v="4"/>
    <x v="9"/>
    <n v="1"/>
    <x v="1"/>
    <x v="0"/>
    <x v="34"/>
    <n v="108.175"/>
    <x v="1858"/>
    <n v="38.65"/>
    <n v="48.517000000000003"/>
    <n v="20.850999999999999"/>
    <s v="2,6"/>
    <x v="0"/>
  </r>
  <r>
    <x v="4"/>
    <x v="16"/>
    <x v="15"/>
    <x v="3"/>
    <s v="RIC"/>
    <x v="3"/>
    <x v="8"/>
    <x v="10"/>
    <n v="0"/>
    <x v="1"/>
    <x v="0"/>
    <x v="34"/>
    <n v="107.843"/>
    <x v="1859"/>
    <n v="39.036000000000001"/>
    <n v="47.988"/>
    <n v="20.745999999999999"/>
    <s v="2,8"/>
    <x v="0"/>
  </r>
  <r>
    <x v="4"/>
    <x v="16"/>
    <x v="15"/>
    <x v="13"/>
    <s v="STR"/>
    <x v="13"/>
    <x v="19"/>
    <x v="11"/>
    <n v="0"/>
    <x v="1"/>
    <x v="0"/>
    <x v="34"/>
    <n v="105.205"/>
    <x v="1860"/>
    <n v="37.911999999999999"/>
    <n v="46.715000000000003"/>
    <n v="20.475999999999999"/>
    <s v="2,7,19"/>
    <x v="0"/>
  </r>
  <r>
    <x v="4"/>
    <x v="16"/>
    <x v="15"/>
    <x v="29"/>
    <s v="TSU"/>
    <x v="12"/>
    <x v="13"/>
    <x v="12"/>
    <n v="0"/>
    <x v="1"/>
    <x v="0"/>
    <x v="34"/>
    <n v="105.893"/>
    <x v="1861"/>
    <n v="38.143000000000001"/>
    <n v="47.209000000000003"/>
    <n v="20.391999999999999"/>
    <s v="2,7,20"/>
    <x v="0"/>
  </r>
  <r>
    <x v="4"/>
    <x v="16"/>
    <x v="15"/>
    <x v="16"/>
    <s v="MAG"/>
    <x v="9"/>
    <x v="12"/>
    <x v="13"/>
    <n v="0"/>
    <x v="1"/>
    <x v="0"/>
    <x v="34"/>
    <n v="108.072"/>
    <x v="1862"/>
    <n v="39.082000000000001"/>
    <n v="48.113999999999997"/>
    <n v="20.817"/>
    <s v="2,7"/>
    <x v="0"/>
  </r>
  <r>
    <x v="4"/>
    <x v="16"/>
    <x v="15"/>
    <x v="7"/>
    <s v="BOT"/>
    <x v="15"/>
    <x v="10"/>
    <x v="14"/>
    <n v="0"/>
    <x v="1"/>
    <x v="0"/>
    <x v="34"/>
    <n v="107.82"/>
    <x v="1863"/>
    <n v="39.122999999999998"/>
    <n v="47.762"/>
    <n v="20.754000000000001"/>
    <s v="2,6"/>
    <x v="0"/>
  </r>
  <r>
    <x v="4"/>
    <x v="16"/>
    <x v="15"/>
    <x v="32"/>
    <s v="ZHO"/>
    <x v="15"/>
    <x v="11"/>
    <x v="15"/>
    <n v="0"/>
    <x v="1"/>
    <x v="0"/>
    <x v="34"/>
    <n v="104.411"/>
    <x v="1864"/>
    <n v="37.585999999999999"/>
    <n v="46.792000000000002"/>
    <n v="20.033000000000001"/>
    <s v="2,9,18"/>
    <x v="0"/>
  </r>
  <r>
    <x v="4"/>
    <x v="16"/>
    <x v="15"/>
    <x v="30"/>
    <s v="MSC"/>
    <x v="9"/>
    <x v="7"/>
    <x v="16"/>
    <n v="0"/>
    <x v="1"/>
    <x v="0"/>
    <x v="34"/>
    <n v="106.545"/>
    <x v="1865"/>
    <n v="38.130000000000003"/>
    <n v="47.404000000000003"/>
    <n v="20.920999999999999"/>
    <s v="2,11"/>
    <x v="0"/>
  </r>
  <r>
    <x v="4"/>
    <x v="16"/>
    <x v="15"/>
    <x v="17"/>
    <s v="GAS"/>
    <x v="12"/>
    <x v="18"/>
    <x v="17"/>
    <n v="0"/>
    <x v="1"/>
    <x v="0"/>
    <x v="34"/>
    <n v="105.387"/>
    <x v="1866"/>
    <n v="37.837000000000003"/>
    <n v="46.9"/>
    <n v="20.446000000000002"/>
    <s v="1,2,7,19"/>
    <x v="0"/>
  </r>
  <r>
    <x v="4"/>
    <x v="16"/>
    <x v="15"/>
    <x v="9"/>
    <s v="SAI"/>
    <x v="0"/>
    <x v="0"/>
    <x v="18"/>
    <n v="0"/>
    <x v="1"/>
    <x v="9"/>
    <x v="16"/>
    <m/>
    <x v="19"/>
    <m/>
    <m/>
    <m/>
    <m/>
    <x v="0"/>
  </r>
  <r>
    <x v="4"/>
    <x v="16"/>
    <x v="15"/>
    <x v="22"/>
    <s v="ALB"/>
    <x v="7"/>
    <x v="14"/>
    <x v="19"/>
    <n v="0"/>
    <x v="1"/>
    <x v="18"/>
    <x v="16"/>
    <m/>
    <x v="19"/>
    <m/>
    <m/>
    <m/>
    <m/>
    <x v="0"/>
  </r>
  <r>
    <x v="4"/>
    <x v="17"/>
    <x v="16"/>
    <x v="5"/>
    <s v="VER"/>
    <x v="2"/>
    <x v="2"/>
    <x v="0"/>
    <n v="25"/>
    <x v="0"/>
    <x v="0"/>
    <x v="7"/>
    <n v="99.540999999999997"/>
    <x v="1867"/>
    <n v="26.876999999999999"/>
    <n v="39.756"/>
    <n v="32.692"/>
    <s v="13,35"/>
    <x v="1"/>
  </r>
  <r>
    <x v="4"/>
    <x v="17"/>
    <x v="16"/>
    <x v="1"/>
    <s v="HAM"/>
    <x v="1"/>
    <x v="0"/>
    <x v="1"/>
    <n v="18"/>
    <x v="0"/>
    <x v="0"/>
    <x v="7"/>
    <n v="99.83"/>
    <x v="1868"/>
    <n v="26.856000000000002"/>
    <n v="40.139000000000003"/>
    <n v="32.597999999999999"/>
    <s v="12,34"/>
    <x v="1"/>
  </r>
  <r>
    <x v="4"/>
    <x v="17"/>
    <x v="16"/>
    <x v="12"/>
    <s v="LEC"/>
    <x v="0"/>
    <x v="10"/>
    <x v="2"/>
    <n v="15"/>
    <x v="0"/>
    <x v="0"/>
    <x v="7"/>
    <n v="99.730999999999995"/>
    <x v="1869"/>
    <n v="26.925000000000001"/>
    <n v="39.896999999999998"/>
    <n v="32.793999999999997"/>
    <s v="18,35"/>
    <x v="1"/>
  </r>
  <r>
    <x v="4"/>
    <x v="17"/>
    <x v="16"/>
    <x v="10"/>
    <s v="PER"/>
    <x v="2"/>
    <x v="9"/>
    <x v="3"/>
    <n v="12"/>
    <x v="1"/>
    <x v="0"/>
    <x v="7"/>
    <n v="99.563000000000002"/>
    <x v="1870"/>
    <n v="26.933"/>
    <n v="40.012"/>
    <n v="32.406999999999996"/>
    <s v="14,38"/>
    <x v="1"/>
  </r>
  <r>
    <x v="4"/>
    <x v="17"/>
    <x v="16"/>
    <x v="24"/>
    <s v="RUS"/>
    <x v="1"/>
    <x v="5"/>
    <x v="4"/>
    <n v="11"/>
    <x v="1"/>
    <x v="0"/>
    <x v="7"/>
    <n v="98.787999999999997"/>
    <x v="1871"/>
    <n v="26.902999999999999"/>
    <n v="39.64"/>
    <n v="32.244999999999997"/>
    <s v="13,36,54"/>
    <x v="1"/>
  </r>
  <r>
    <x v="4"/>
    <x v="17"/>
    <x v="16"/>
    <x v="21"/>
    <s v="NOR"/>
    <x v="3"/>
    <x v="15"/>
    <x v="5"/>
    <n v="8"/>
    <x v="1"/>
    <x v="0"/>
    <x v="7"/>
    <n v="101.322"/>
    <x v="1872"/>
    <n v="27.245000000000001"/>
    <n v="40.561999999999998"/>
    <n v="33.067"/>
    <s v="14,34"/>
    <x v="1"/>
  </r>
  <r>
    <x v="4"/>
    <x v="17"/>
    <x v="16"/>
    <x v="4"/>
    <s v="ALO"/>
    <x v="14"/>
    <x v="11"/>
    <x v="6"/>
    <n v="6"/>
    <x v="1"/>
    <x v="0"/>
    <x v="7"/>
    <n v="101.804"/>
    <x v="1873"/>
    <n v="27.419"/>
    <n v="40.81"/>
    <n v="33.402000000000001"/>
    <s v="18,22"/>
    <x v="1"/>
  </r>
  <r>
    <x v="4"/>
    <x v="17"/>
    <x v="16"/>
    <x v="0"/>
    <s v="VET"/>
    <x v="13"/>
    <x v="4"/>
    <x v="7"/>
    <n v="4"/>
    <x v="1"/>
    <x v="0"/>
    <x v="7"/>
    <n v="101.538"/>
    <x v="1874"/>
    <n v="27.542000000000002"/>
    <n v="40.393000000000001"/>
    <n v="33.155999999999999"/>
    <s v="18,41"/>
    <x v="1"/>
  </r>
  <r>
    <x v="4"/>
    <x v="17"/>
    <x v="16"/>
    <x v="16"/>
    <s v="MAG"/>
    <x v="9"/>
    <x v="13"/>
    <x v="8"/>
    <n v="2"/>
    <x v="1"/>
    <x v="0"/>
    <x v="7"/>
    <n v="102.54600000000001"/>
    <x v="1875"/>
    <n v="27.587"/>
    <n v="41.112000000000002"/>
    <n v="33.524999999999999"/>
    <n v="18"/>
    <x v="1"/>
  </r>
  <r>
    <x v="4"/>
    <x v="17"/>
    <x v="16"/>
    <x v="29"/>
    <s v="TSU"/>
    <x v="12"/>
    <x v="19"/>
    <x v="9"/>
    <n v="1"/>
    <x v="1"/>
    <x v="0"/>
    <x v="7"/>
    <n v="102.206"/>
    <x v="1876"/>
    <n v="27.407"/>
    <n v="40.685000000000002"/>
    <n v="33.454999999999998"/>
    <s v="10,33"/>
    <x v="1"/>
  </r>
  <r>
    <x v="4"/>
    <x v="17"/>
    <x v="16"/>
    <x v="11"/>
    <s v="OCO"/>
    <x v="14"/>
    <x v="20"/>
    <x v="10"/>
    <n v="0"/>
    <x v="1"/>
    <x v="0"/>
    <x v="7"/>
    <n v="101.24299999999999"/>
    <x v="1877"/>
    <n v="27.155999999999999"/>
    <n v="40.613999999999997"/>
    <n v="32.996000000000002"/>
    <s v="18,45"/>
    <x v="1"/>
  </r>
  <r>
    <x v="4"/>
    <x v="17"/>
    <x v="16"/>
    <x v="32"/>
    <s v="ZHO"/>
    <x v="15"/>
    <x v="12"/>
    <x v="11"/>
    <n v="0"/>
    <x v="1"/>
    <x v="0"/>
    <x v="7"/>
    <n v="102.39400000000001"/>
    <x v="1878"/>
    <n v="27.469000000000001"/>
    <n v="40.963999999999999"/>
    <n v="33.591000000000001"/>
    <s v="9,23"/>
    <x v="1"/>
  </r>
  <r>
    <x v="4"/>
    <x v="17"/>
    <x v="16"/>
    <x v="22"/>
    <s v="ALB"/>
    <x v="7"/>
    <x v="3"/>
    <x v="12"/>
    <n v="0"/>
    <x v="1"/>
    <x v="0"/>
    <x v="7"/>
    <n v="102.471"/>
    <x v="1879"/>
    <n v="27.698"/>
    <n v="40.86"/>
    <n v="33.869999999999997"/>
    <s v="9,18"/>
    <x v="1"/>
  </r>
  <r>
    <x v="4"/>
    <x v="17"/>
    <x v="16"/>
    <x v="17"/>
    <s v="GAS"/>
    <x v="12"/>
    <x v="8"/>
    <x v="13"/>
    <n v="0"/>
    <x v="1"/>
    <x v="0"/>
    <x v="7"/>
    <n v="101.67400000000001"/>
    <x v="1880"/>
    <n v="27.228000000000002"/>
    <n v="40.762"/>
    <n v="33.470999999999997"/>
    <s v="11,32"/>
    <x v="1"/>
  </r>
  <r>
    <x v="4"/>
    <x v="17"/>
    <x v="16"/>
    <x v="30"/>
    <s v="MSC"/>
    <x v="9"/>
    <x v="14"/>
    <x v="14"/>
    <n v="0"/>
    <x v="1"/>
    <x v="0"/>
    <x v="7"/>
    <n v="102.32"/>
    <x v="1881"/>
    <n v="27.613"/>
    <n v="40.951999999999998"/>
    <n v="33.578000000000003"/>
    <s v="18,33"/>
    <x v="1"/>
  </r>
  <r>
    <x v="4"/>
    <x v="17"/>
    <x v="16"/>
    <x v="3"/>
    <s v="RIC"/>
    <x v="3"/>
    <x v="7"/>
    <x v="15"/>
    <n v="0"/>
    <x v="1"/>
    <x v="0"/>
    <x v="7"/>
    <n v="102.42"/>
    <x v="1882"/>
    <n v="27.532"/>
    <n v="41.145000000000003"/>
    <n v="33.466000000000001"/>
    <s v="10,35"/>
    <x v="1"/>
  </r>
  <r>
    <x v="4"/>
    <x v="17"/>
    <x v="16"/>
    <x v="26"/>
    <s v="LAT"/>
    <x v="7"/>
    <x v="18"/>
    <x v="16"/>
    <n v="0"/>
    <x v="1"/>
    <x v="0"/>
    <x v="7"/>
    <n v="103.485"/>
    <x v="1883"/>
    <n v="27.625"/>
    <n v="41.246000000000002"/>
    <n v="34.219000000000001"/>
    <s v="5,18"/>
    <x v="1"/>
  </r>
  <r>
    <x v="4"/>
    <x v="17"/>
    <x v="16"/>
    <x v="13"/>
    <s v="STR"/>
    <x v="13"/>
    <x v="16"/>
    <x v="17"/>
    <n v="0"/>
    <x v="1"/>
    <x v="10"/>
    <x v="3"/>
    <n v="103.08"/>
    <x v="1884"/>
    <n v="27.896999999999998"/>
    <n v="41.067999999999998"/>
    <n v="33.744"/>
    <n v="15"/>
    <x v="1"/>
  </r>
  <r>
    <x v="4"/>
    <x v="17"/>
    <x v="16"/>
    <x v="7"/>
    <s v="BOT"/>
    <x v="15"/>
    <x v="6"/>
    <x v="18"/>
    <n v="0"/>
    <x v="1"/>
    <x v="31"/>
    <x v="61"/>
    <n v="103.39100000000001"/>
    <x v="1885"/>
    <n v="27.79"/>
    <n v="41.207000000000001"/>
    <n v="33.908000000000001"/>
    <n v="10"/>
    <x v="1"/>
  </r>
  <r>
    <x v="4"/>
    <x v="17"/>
    <x v="16"/>
    <x v="9"/>
    <s v="SAI"/>
    <x v="0"/>
    <x v="1"/>
    <x v="19"/>
    <n v="0"/>
    <x v="1"/>
    <x v="8"/>
    <x v="16"/>
    <m/>
    <x v="19"/>
    <m/>
    <m/>
    <m/>
    <n v="1"/>
    <x v="1"/>
  </r>
  <r>
    <x v="4"/>
    <x v="18"/>
    <x v="30"/>
    <x v="5"/>
    <s v="VER"/>
    <x v="2"/>
    <x v="1"/>
    <x v="0"/>
    <n v="25"/>
    <x v="0"/>
    <x v="0"/>
    <x v="27"/>
    <n v="82.046000000000006"/>
    <x v="1886"/>
    <n v="29.026"/>
    <n v="31.718"/>
    <n v="21.097000000000001"/>
    <n v="25"/>
    <x v="1"/>
  </r>
  <r>
    <x v="4"/>
    <x v="18"/>
    <x v="30"/>
    <x v="1"/>
    <s v="HAM"/>
    <x v="1"/>
    <x v="0"/>
    <x v="1"/>
    <n v="18"/>
    <x v="0"/>
    <x v="0"/>
    <x v="27"/>
    <n v="82.061999999999998"/>
    <x v="1887"/>
    <n v="28.593"/>
    <n v="31.795000000000002"/>
    <n v="21.123999999999999"/>
    <n v="29"/>
    <x v="1"/>
  </r>
  <r>
    <x v="4"/>
    <x v="18"/>
    <x v="30"/>
    <x v="10"/>
    <s v="PER"/>
    <x v="2"/>
    <x v="5"/>
    <x v="2"/>
    <n v="15"/>
    <x v="0"/>
    <x v="0"/>
    <x v="27"/>
    <n v="81.775000000000006"/>
    <x v="1888"/>
    <n v="28.402999999999999"/>
    <n v="31.68"/>
    <n v="21.213999999999999"/>
    <n v="23"/>
    <x v="1"/>
  </r>
  <r>
    <x v="4"/>
    <x v="18"/>
    <x v="30"/>
    <x v="24"/>
    <s v="RUS"/>
    <x v="1"/>
    <x v="2"/>
    <x v="3"/>
    <n v="13"/>
    <x v="1"/>
    <x v="0"/>
    <x v="27"/>
    <n v="80.153000000000006"/>
    <x v="1889"/>
    <n v="28.186"/>
    <n v="31.082000000000001"/>
    <n v="20.885000000000002"/>
    <s v="34,69"/>
    <x v="1"/>
  </r>
  <r>
    <x v="4"/>
    <x v="18"/>
    <x v="30"/>
    <x v="9"/>
    <s v="SAI"/>
    <x v="0"/>
    <x v="16"/>
    <x v="4"/>
    <n v="10"/>
    <x v="1"/>
    <x v="0"/>
    <x v="27"/>
    <n v="82.198999999999998"/>
    <x v="1890"/>
    <n v="28.623999999999999"/>
    <n v="31.995999999999999"/>
    <n v="21.28"/>
    <n v="29"/>
    <x v="1"/>
  </r>
  <r>
    <x v="4"/>
    <x v="18"/>
    <x v="30"/>
    <x v="12"/>
    <s v="LEC"/>
    <x v="0"/>
    <x v="6"/>
    <x v="5"/>
    <n v="8"/>
    <x v="1"/>
    <x v="0"/>
    <x v="27"/>
    <n v="82.602999999999994"/>
    <x v="1891"/>
    <n v="28.66"/>
    <n v="31.995999999999999"/>
    <n v="21.317"/>
    <n v="28"/>
    <x v="1"/>
  </r>
  <r>
    <x v="4"/>
    <x v="18"/>
    <x v="30"/>
    <x v="3"/>
    <s v="RIC"/>
    <x v="3"/>
    <x v="8"/>
    <x v="6"/>
    <n v="6"/>
    <x v="1"/>
    <x v="1"/>
    <x v="29"/>
    <n v="82.022000000000006"/>
    <x v="1892"/>
    <n v="28.599"/>
    <n v="31.893999999999998"/>
    <n v="21.228999999999999"/>
    <n v="44"/>
    <x v="1"/>
  </r>
  <r>
    <x v="4"/>
    <x v="18"/>
    <x v="30"/>
    <x v="11"/>
    <s v="OCO"/>
    <x v="14"/>
    <x v="4"/>
    <x v="7"/>
    <n v="4"/>
    <x v="1"/>
    <x v="1"/>
    <x v="29"/>
    <n v="83.278999999999996"/>
    <x v="1893"/>
    <n v="28.875"/>
    <n v="32.445999999999998"/>
    <n v="21.52"/>
    <n v="33"/>
    <x v="1"/>
  </r>
  <r>
    <x v="4"/>
    <x v="18"/>
    <x v="30"/>
    <x v="21"/>
    <s v="NOR"/>
    <x v="3"/>
    <x v="3"/>
    <x v="8"/>
    <n v="2"/>
    <x v="1"/>
    <x v="1"/>
    <x v="29"/>
    <n v="83.402000000000001"/>
    <x v="1894"/>
    <n v="28.856000000000002"/>
    <n v="32.378"/>
    <n v="21.568000000000001"/>
    <n v="31"/>
    <x v="1"/>
  </r>
  <r>
    <x v="4"/>
    <x v="18"/>
    <x v="30"/>
    <x v="7"/>
    <s v="BOT"/>
    <x v="15"/>
    <x v="15"/>
    <x v="9"/>
    <n v="1"/>
    <x v="1"/>
    <x v="1"/>
    <x v="29"/>
    <n v="83.363"/>
    <x v="1895"/>
    <n v="28.844999999999999"/>
    <n v="32.383000000000003"/>
    <n v="21.655000000000001"/>
    <n v="39"/>
    <x v="1"/>
  </r>
  <r>
    <x v="4"/>
    <x v="18"/>
    <x v="30"/>
    <x v="17"/>
    <s v="GAS"/>
    <x v="12"/>
    <x v="11"/>
    <x v="10"/>
    <n v="0"/>
    <x v="1"/>
    <x v="1"/>
    <x v="29"/>
    <n v="82.277000000000001"/>
    <x v="1896"/>
    <n v="28.71"/>
    <n v="32.125"/>
    <n v="21.206"/>
    <n v="40"/>
    <x v="1"/>
  </r>
  <r>
    <x v="4"/>
    <x v="18"/>
    <x v="30"/>
    <x v="22"/>
    <s v="ALB"/>
    <x v="7"/>
    <x v="18"/>
    <x v="11"/>
    <n v="0"/>
    <x v="1"/>
    <x v="1"/>
    <x v="29"/>
    <n v="82.914000000000001"/>
    <x v="1897"/>
    <n v="28.895"/>
    <n v="32.414999999999999"/>
    <n v="21.481999999999999"/>
    <n v="38"/>
    <x v="1"/>
  </r>
  <r>
    <x v="4"/>
    <x v="18"/>
    <x v="30"/>
    <x v="32"/>
    <s v="ZHO"/>
    <x v="15"/>
    <x v="10"/>
    <x v="12"/>
    <n v="0"/>
    <x v="1"/>
    <x v="1"/>
    <x v="29"/>
    <n v="82.26"/>
    <x v="1898"/>
    <n v="28.638999999999999"/>
    <n v="31.904"/>
    <n v="21.236000000000001"/>
    <n v="45"/>
    <x v="1"/>
  </r>
  <r>
    <x v="4"/>
    <x v="18"/>
    <x v="30"/>
    <x v="0"/>
    <s v="VET"/>
    <x v="13"/>
    <x v="14"/>
    <x v="13"/>
    <n v="0"/>
    <x v="1"/>
    <x v="1"/>
    <x v="29"/>
    <n v="83.085999999999999"/>
    <x v="1899"/>
    <n v="29.032"/>
    <n v="32.265999999999998"/>
    <n v="21.370999999999999"/>
    <n v="38"/>
    <x v="1"/>
  </r>
  <r>
    <x v="4"/>
    <x v="18"/>
    <x v="30"/>
    <x v="13"/>
    <s v="STR"/>
    <x v="13"/>
    <x v="17"/>
    <x v="14"/>
    <n v="0"/>
    <x v="1"/>
    <x v="1"/>
    <x v="29"/>
    <n v="82.462999999999994"/>
    <x v="1900"/>
    <n v="29.027999999999999"/>
    <n v="32.005000000000003"/>
    <n v="21.106000000000002"/>
    <s v="17,40"/>
    <x v="1"/>
  </r>
  <r>
    <x v="4"/>
    <x v="18"/>
    <x v="30"/>
    <x v="30"/>
    <s v="MSC"/>
    <x v="9"/>
    <x v="7"/>
    <x v="15"/>
    <n v="0"/>
    <x v="1"/>
    <x v="1"/>
    <x v="29"/>
    <n v="83.641000000000005"/>
    <x v="1901"/>
    <n v="29.07"/>
    <n v="32.682000000000002"/>
    <n v="21.641999999999999"/>
    <n v="24"/>
    <x v="1"/>
  </r>
  <r>
    <x v="4"/>
    <x v="18"/>
    <x v="30"/>
    <x v="16"/>
    <s v="MAG"/>
    <x v="9"/>
    <x v="19"/>
    <x v="16"/>
    <n v="0"/>
    <x v="1"/>
    <x v="1"/>
    <x v="29"/>
    <n v="83.3"/>
    <x v="1902"/>
    <n v="29.187000000000001"/>
    <n v="32.381999999999998"/>
    <n v="21.654"/>
    <n v="38"/>
    <x v="1"/>
  </r>
  <r>
    <x v="4"/>
    <x v="18"/>
    <x v="30"/>
    <x v="26"/>
    <s v="LAT"/>
    <x v="7"/>
    <x v="12"/>
    <x v="17"/>
    <n v="0"/>
    <x v="1"/>
    <x v="11"/>
    <x v="30"/>
    <n v="83.709000000000003"/>
    <x v="1903"/>
    <n v="28.835000000000001"/>
    <n v="32.844000000000001"/>
    <n v="21.710999999999999"/>
    <s v="23,52"/>
    <x v="1"/>
  </r>
  <r>
    <x v="4"/>
    <x v="18"/>
    <x v="30"/>
    <x v="4"/>
    <s v="ALO"/>
    <x v="14"/>
    <x v="9"/>
    <x v="18"/>
    <n v="0"/>
    <x v="1"/>
    <x v="3"/>
    <x v="19"/>
    <n v="82.866"/>
    <x v="1904"/>
    <n v="29.347999999999999"/>
    <n v="32.128"/>
    <n v="21.338999999999999"/>
    <n v="40"/>
    <x v="1"/>
  </r>
  <r>
    <x v="4"/>
    <x v="18"/>
    <x v="30"/>
    <x v="29"/>
    <s v="TSU"/>
    <x v="12"/>
    <x v="13"/>
    <x v="19"/>
    <n v="0"/>
    <x v="1"/>
    <x v="8"/>
    <x v="43"/>
    <n v="83.403000000000006"/>
    <x v="1905"/>
    <n v="28.866"/>
    <n v="32.683999999999997"/>
    <n v="21.600999999999999"/>
    <s v="29,50"/>
    <x v="1"/>
  </r>
  <r>
    <x v="4"/>
    <x v="19"/>
    <x v="31"/>
    <x v="24"/>
    <s v="RUS"/>
    <x v="1"/>
    <x v="1"/>
    <x v="0"/>
    <n v="26"/>
    <x v="0"/>
    <x v="0"/>
    <x v="27"/>
    <n v="73.784999999999997"/>
    <x v="1906"/>
    <n v="18.998000000000001"/>
    <n v="37.564999999999998"/>
    <n v="17.010000000000002"/>
    <s v="24,49"/>
    <x v="1"/>
  </r>
  <r>
    <x v="4"/>
    <x v="19"/>
    <x v="31"/>
    <x v="1"/>
    <s v="HAM"/>
    <x v="1"/>
    <x v="2"/>
    <x v="1"/>
    <n v="18"/>
    <x v="0"/>
    <x v="0"/>
    <x v="27"/>
    <n v="73.941999999999993"/>
    <x v="1907"/>
    <n v="18.966000000000001"/>
    <n v="37.792000000000002"/>
    <n v="17.084"/>
    <s v="29,48"/>
    <x v="1"/>
  </r>
  <r>
    <x v="4"/>
    <x v="19"/>
    <x v="31"/>
    <x v="9"/>
    <s v="SAI"/>
    <x v="0"/>
    <x v="6"/>
    <x v="2"/>
    <n v="15"/>
    <x v="0"/>
    <x v="0"/>
    <x v="27"/>
    <n v="73.953000000000003"/>
    <x v="1908"/>
    <n v="18.869"/>
    <n v="37.723999999999997"/>
    <n v="16.940999999999999"/>
    <s v="17,36,53"/>
    <x v="1"/>
  </r>
  <r>
    <x v="4"/>
    <x v="19"/>
    <x v="31"/>
    <x v="12"/>
    <s v="LEC"/>
    <x v="0"/>
    <x v="16"/>
    <x v="3"/>
    <n v="12"/>
    <x v="1"/>
    <x v="0"/>
    <x v="27"/>
    <n v="74.253"/>
    <x v="1909"/>
    <n v="18.744"/>
    <n v="38.051000000000002"/>
    <n v="16.966000000000001"/>
    <s v="7,21,44"/>
    <x v="1"/>
  </r>
  <r>
    <x v="4"/>
    <x v="19"/>
    <x v="31"/>
    <x v="4"/>
    <s v="ALO"/>
    <x v="14"/>
    <x v="18"/>
    <x v="4"/>
    <n v="10"/>
    <x v="1"/>
    <x v="0"/>
    <x v="27"/>
    <n v="74.164000000000001"/>
    <x v="1910"/>
    <n v="18.855"/>
    <n v="37.941000000000003"/>
    <n v="16.968"/>
    <s v="14,35,52"/>
    <x v="1"/>
  </r>
  <r>
    <x v="4"/>
    <x v="19"/>
    <x v="31"/>
    <x v="5"/>
    <s v="VER"/>
    <x v="2"/>
    <x v="0"/>
    <x v="5"/>
    <n v="8"/>
    <x v="1"/>
    <x v="0"/>
    <x v="27"/>
    <n v="74.194999999999993"/>
    <x v="1911"/>
    <n v="18.914999999999999"/>
    <n v="38.067999999999998"/>
    <n v="16.957999999999998"/>
    <s v="7,23,48"/>
    <x v="1"/>
  </r>
  <r>
    <x v="4"/>
    <x v="19"/>
    <x v="31"/>
    <x v="10"/>
    <s v="PER"/>
    <x v="2"/>
    <x v="5"/>
    <x v="6"/>
    <n v="6"/>
    <x v="1"/>
    <x v="0"/>
    <x v="27"/>
    <n v="74.283000000000001"/>
    <x v="1912"/>
    <n v="19.128"/>
    <n v="38.006"/>
    <n v="17.056999999999999"/>
    <s v="23,47"/>
    <x v="1"/>
  </r>
  <r>
    <x v="4"/>
    <x v="19"/>
    <x v="31"/>
    <x v="11"/>
    <s v="OCO"/>
    <x v="14"/>
    <x v="14"/>
    <x v="7"/>
    <n v="4"/>
    <x v="1"/>
    <x v="0"/>
    <x v="27"/>
    <n v="75.093000000000004"/>
    <x v="1913"/>
    <n v="19.135999999999999"/>
    <n v="38.36"/>
    <n v="17.077000000000002"/>
    <s v="24,47"/>
    <x v="1"/>
  </r>
  <r>
    <x v="4"/>
    <x v="19"/>
    <x v="31"/>
    <x v="7"/>
    <s v="BOT"/>
    <x v="15"/>
    <x v="11"/>
    <x v="8"/>
    <n v="2"/>
    <x v="1"/>
    <x v="0"/>
    <x v="27"/>
    <n v="75.510999999999996"/>
    <x v="1914"/>
    <n v="19.201000000000001"/>
    <n v="38.698"/>
    <n v="17.283999999999999"/>
    <s v="24,45"/>
    <x v="1"/>
  </r>
  <r>
    <x v="4"/>
    <x v="19"/>
    <x v="31"/>
    <x v="13"/>
    <s v="STR"/>
    <x v="13"/>
    <x v="7"/>
    <x v="9"/>
    <n v="1"/>
    <x v="1"/>
    <x v="0"/>
    <x v="27"/>
    <n v="74.831000000000003"/>
    <x v="1915"/>
    <n v="19.106999999999999"/>
    <n v="38.155000000000001"/>
    <n v="17.265999999999998"/>
    <s v="29,48"/>
    <x v="1"/>
  </r>
  <r>
    <x v="4"/>
    <x v="19"/>
    <x v="31"/>
    <x v="0"/>
    <s v="VET"/>
    <x v="13"/>
    <x v="9"/>
    <x v="10"/>
    <n v="0"/>
    <x v="1"/>
    <x v="0"/>
    <x v="27"/>
    <n v="75.549000000000007"/>
    <x v="1916"/>
    <n v="19.184999999999999"/>
    <n v="38.9"/>
    <n v="17.327999999999999"/>
    <s v="26,45"/>
    <x v="1"/>
  </r>
  <r>
    <x v="4"/>
    <x v="19"/>
    <x v="31"/>
    <x v="32"/>
    <s v="ZHO"/>
    <x v="15"/>
    <x v="13"/>
    <x v="11"/>
    <n v="0"/>
    <x v="1"/>
    <x v="0"/>
    <x v="27"/>
    <n v="75.802000000000007"/>
    <x v="1917"/>
    <n v="19.151"/>
    <n v="38.96"/>
    <n v="17.216000000000001"/>
    <s v="16,37"/>
    <x v="1"/>
  </r>
  <r>
    <x v="4"/>
    <x v="19"/>
    <x v="31"/>
    <x v="30"/>
    <s v="MSC"/>
    <x v="9"/>
    <x v="10"/>
    <x v="12"/>
    <n v="0"/>
    <x v="1"/>
    <x v="0"/>
    <x v="27"/>
    <n v="75.251000000000005"/>
    <x v="1918"/>
    <n v="19.2"/>
    <n v="38.499000000000002"/>
    <n v="17.273"/>
    <s v="24,46"/>
    <x v="1"/>
  </r>
  <r>
    <x v="4"/>
    <x v="19"/>
    <x v="31"/>
    <x v="17"/>
    <s v="GAS"/>
    <x v="12"/>
    <x v="4"/>
    <x v="13"/>
    <n v="0"/>
    <x v="1"/>
    <x v="0"/>
    <x v="27"/>
    <n v="75.326999999999998"/>
    <x v="1919"/>
    <n v="19.123000000000001"/>
    <n v="38.94"/>
    <n v="17.146999999999998"/>
    <s v="19,35,52"/>
    <x v="1"/>
  </r>
  <r>
    <x v="4"/>
    <x v="19"/>
    <x v="31"/>
    <x v="22"/>
    <s v="ALB"/>
    <x v="7"/>
    <x v="19"/>
    <x v="14"/>
    <n v="0"/>
    <x v="1"/>
    <x v="0"/>
    <x v="27"/>
    <n v="75.613"/>
    <x v="1920"/>
    <n v="19.263000000000002"/>
    <n v="39.113999999999997"/>
    <n v="17.236000000000001"/>
    <s v="4,25,47"/>
    <x v="1"/>
  </r>
  <r>
    <x v="4"/>
    <x v="19"/>
    <x v="31"/>
    <x v="26"/>
    <s v="LAT"/>
    <x v="7"/>
    <x v="12"/>
    <x v="15"/>
    <n v="0"/>
    <x v="1"/>
    <x v="0"/>
    <x v="27"/>
    <n v="75.820999999999998"/>
    <x v="1921"/>
    <n v="19.157"/>
    <n v="39.198999999999998"/>
    <n v="17.297999999999998"/>
    <s v="20,32,52"/>
    <x v="1"/>
  </r>
  <r>
    <x v="4"/>
    <x v="19"/>
    <x v="31"/>
    <x v="29"/>
    <s v="TSU"/>
    <x v="12"/>
    <x v="20"/>
    <x v="16"/>
    <n v="0"/>
    <x v="1"/>
    <x v="1"/>
    <x v="29"/>
    <n v="75.507999999999996"/>
    <x v="1922"/>
    <n v="19.276"/>
    <n v="38.856999999999999"/>
    <n v="17.202999999999999"/>
    <s v="20,40,54"/>
    <x v="1"/>
  </r>
  <r>
    <x v="4"/>
    <x v="19"/>
    <x v="31"/>
    <x v="21"/>
    <s v="NOR"/>
    <x v="3"/>
    <x v="15"/>
    <x v="17"/>
    <n v="0"/>
    <x v="1"/>
    <x v="13"/>
    <x v="11"/>
    <n v="75.855000000000004"/>
    <x v="1923"/>
    <n v="19.225000000000001"/>
    <n v="39.104999999999997"/>
    <n v="17.413"/>
    <s v="24,45"/>
    <x v="1"/>
  </r>
  <r>
    <x v="4"/>
    <x v="19"/>
    <x v="31"/>
    <x v="16"/>
    <s v="MAG"/>
    <x v="9"/>
    <x v="3"/>
    <x v="18"/>
    <n v="0"/>
    <x v="1"/>
    <x v="10"/>
    <x v="16"/>
    <m/>
    <x v="19"/>
    <m/>
    <m/>
    <m/>
    <m/>
    <x v="1"/>
  </r>
  <r>
    <x v="4"/>
    <x v="19"/>
    <x v="31"/>
    <x v="3"/>
    <s v="RIC"/>
    <x v="3"/>
    <x v="8"/>
    <x v="19"/>
    <n v="0"/>
    <x v="1"/>
    <x v="10"/>
    <x v="16"/>
    <m/>
    <x v="19"/>
    <m/>
    <m/>
    <m/>
    <m/>
    <x v="1"/>
  </r>
  <r>
    <x v="4"/>
    <x v="21"/>
    <x v="19"/>
    <x v="5"/>
    <s v="VER"/>
    <x v="2"/>
    <x v="1"/>
    <x v="0"/>
    <n v="25"/>
    <x v="0"/>
    <x v="0"/>
    <x v="0"/>
    <n v="89.391999999999996"/>
    <x v="1924"/>
    <n v="18.077000000000002"/>
    <n v="38.253999999999998"/>
    <n v="32.880000000000003"/>
    <n v="20"/>
    <x v="1"/>
  </r>
  <r>
    <x v="4"/>
    <x v="21"/>
    <x v="19"/>
    <x v="12"/>
    <s v="LEC"/>
    <x v="0"/>
    <x v="0"/>
    <x v="1"/>
    <n v="18"/>
    <x v="0"/>
    <x v="0"/>
    <x v="0"/>
    <n v="89.718999999999994"/>
    <x v="1925"/>
    <n v="18.059000000000001"/>
    <n v="38.353000000000002"/>
    <n v="32.886000000000003"/>
    <n v="21"/>
    <x v="1"/>
  </r>
  <r>
    <x v="4"/>
    <x v="21"/>
    <x v="19"/>
    <x v="10"/>
    <s v="PER"/>
    <x v="2"/>
    <x v="2"/>
    <x v="2"/>
    <n v="15"/>
    <x v="0"/>
    <x v="0"/>
    <x v="0"/>
    <n v="88.971999999999994"/>
    <x v="1926"/>
    <n v="17.902000000000001"/>
    <n v="38.122999999999998"/>
    <n v="32.451999999999998"/>
    <s v="15,33"/>
    <x v="1"/>
  </r>
  <r>
    <x v="4"/>
    <x v="21"/>
    <x v="19"/>
    <x v="9"/>
    <s v="SAI"/>
    <x v="0"/>
    <x v="5"/>
    <x v="3"/>
    <n v="12"/>
    <x v="1"/>
    <x v="0"/>
    <x v="0"/>
    <n v="88.879000000000005"/>
    <x v="1927"/>
    <n v="17.981000000000002"/>
    <n v="38.058"/>
    <n v="32.548999999999999"/>
    <s v="17,39"/>
    <x v="1"/>
  </r>
  <r>
    <x v="4"/>
    <x v="21"/>
    <x v="19"/>
    <x v="24"/>
    <s v="RUS"/>
    <x v="1"/>
    <x v="15"/>
    <x v="4"/>
    <n v="10"/>
    <x v="1"/>
    <x v="0"/>
    <x v="0"/>
    <n v="88.835999999999999"/>
    <x v="1928"/>
    <n v="17.84"/>
    <n v="38.222000000000001"/>
    <n v="32.353000000000002"/>
    <s v="15,39"/>
    <x v="1"/>
  </r>
  <r>
    <x v="4"/>
    <x v="21"/>
    <x v="19"/>
    <x v="21"/>
    <s v="NOR"/>
    <x v="3"/>
    <x v="6"/>
    <x v="5"/>
    <n v="9"/>
    <x v="1"/>
    <x v="0"/>
    <x v="0"/>
    <n v="88.391000000000005"/>
    <x v="1929"/>
    <n v="17.788"/>
    <n v="38.286000000000001"/>
    <n v="32.167000000000002"/>
    <s v="15,42"/>
    <x v="1"/>
  </r>
  <r>
    <x v="4"/>
    <x v="21"/>
    <x v="19"/>
    <x v="11"/>
    <s v="OCO"/>
    <x v="14"/>
    <x v="3"/>
    <x v="6"/>
    <n v="6"/>
    <x v="1"/>
    <x v="0"/>
    <x v="0"/>
    <n v="89.332999999999998"/>
    <x v="1930"/>
    <n v="17.966999999999999"/>
    <n v="38.276000000000003"/>
    <n v="32.75"/>
    <s v="14,41"/>
    <x v="1"/>
  </r>
  <r>
    <x v="4"/>
    <x v="21"/>
    <x v="19"/>
    <x v="13"/>
    <s v="STR"/>
    <x v="13"/>
    <x v="11"/>
    <x v="7"/>
    <n v="4"/>
    <x v="1"/>
    <x v="0"/>
    <x v="0"/>
    <n v="89.62"/>
    <x v="1931"/>
    <n v="17.975000000000001"/>
    <n v="38.43"/>
    <n v="32.662999999999997"/>
    <s v="13,40"/>
    <x v="1"/>
  </r>
  <r>
    <x v="4"/>
    <x v="21"/>
    <x v="19"/>
    <x v="3"/>
    <s v="RIC"/>
    <x v="3"/>
    <x v="13"/>
    <x v="8"/>
    <n v="2"/>
    <x v="1"/>
    <x v="0"/>
    <x v="0"/>
    <n v="90.784999999999997"/>
    <x v="1932"/>
    <n v="18.262"/>
    <n v="38.351999999999997"/>
    <n v="33.502000000000002"/>
    <n v="19"/>
    <x v="1"/>
  </r>
  <r>
    <x v="4"/>
    <x v="21"/>
    <x v="19"/>
    <x v="0"/>
    <s v="VET"/>
    <x v="13"/>
    <x v="9"/>
    <x v="9"/>
    <n v="1"/>
    <x v="1"/>
    <x v="0"/>
    <x v="0"/>
    <n v="90.311999999999998"/>
    <x v="1933"/>
    <n v="18.131"/>
    <n v="38.200000000000003"/>
    <n v="33.219000000000001"/>
    <n v="25"/>
    <x v="1"/>
  </r>
  <r>
    <x v="4"/>
    <x v="21"/>
    <x v="19"/>
    <x v="29"/>
    <s v="TSU"/>
    <x v="12"/>
    <x v="8"/>
    <x v="10"/>
    <n v="0"/>
    <x v="1"/>
    <x v="0"/>
    <x v="0"/>
    <n v="89.489000000000004"/>
    <x v="1934"/>
    <n v="18.16"/>
    <n v="38.21"/>
    <n v="33.003999999999998"/>
    <s v="14,38"/>
    <x v="1"/>
  </r>
  <r>
    <x v="4"/>
    <x v="21"/>
    <x v="19"/>
    <x v="32"/>
    <s v="ZHO"/>
    <x v="15"/>
    <x v="7"/>
    <x v="11"/>
    <n v="0"/>
    <x v="1"/>
    <x v="1"/>
    <x v="1"/>
    <n v="89.6"/>
    <x v="1935"/>
    <n v="18.024000000000001"/>
    <n v="38.317999999999998"/>
    <n v="33.058"/>
    <s v="15,44"/>
    <x v="1"/>
  </r>
  <r>
    <x v="4"/>
    <x v="21"/>
    <x v="19"/>
    <x v="22"/>
    <s v="ALB"/>
    <x v="7"/>
    <x v="19"/>
    <x v="12"/>
    <n v="0"/>
    <x v="1"/>
    <x v="1"/>
    <x v="1"/>
    <n v="89.938999999999993"/>
    <x v="1936"/>
    <n v="18.198"/>
    <n v="38.143000000000001"/>
    <n v="33.432000000000002"/>
    <s v="12,35"/>
    <x v="1"/>
  </r>
  <r>
    <x v="4"/>
    <x v="21"/>
    <x v="19"/>
    <x v="17"/>
    <s v="GAS"/>
    <x v="12"/>
    <x v="18"/>
    <x v="13"/>
    <n v="0"/>
    <x v="1"/>
    <x v="1"/>
    <x v="1"/>
    <n v="91.018000000000001"/>
    <x v="1937"/>
    <n v="18.379000000000001"/>
    <n v="38.326999999999998"/>
    <n v="33.631"/>
    <n v="14"/>
    <x v="1"/>
  </r>
  <r>
    <x v="4"/>
    <x v="21"/>
    <x v="19"/>
    <x v="7"/>
    <s v="BOT"/>
    <x v="15"/>
    <x v="12"/>
    <x v="14"/>
    <n v="0"/>
    <x v="1"/>
    <x v="1"/>
    <x v="1"/>
    <n v="90.352000000000004"/>
    <x v="1938"/>
    <n v="18.196000000000002"/>
    <n v="38.686999999999998"/>
    <n v="33.143000000000001"/>
    <n v="30"/>
    <x v="1"/>
  </r>
  <r>
    <x v="4"/>
    <x v="21"/>
    <x v="19"/>
    <x v="30"/>
    <s v="MSC"/>
    <x v="9"/>
    <x v="10"/>
    <x v="15"/>
    <n v="0"/>
    <x v="1"/>
    <x v="1"/>
    <x v="1"/>
    <n v="89.832999999999998"/>
    <x v="1939"/>
    <n v="18.169"/>
    <n v="38.176000000000002"/>
    <n v="33.097999999999999"/>
    <s v="14,34"/>
    <x v="1"/>
  </r>
  <r>
    <x v="4"/>
    <x v="21"/>
    <x v="19"/>
    <x v="16"/>
    <s v="MAG"/>
    <x v="9"/>
    <x v="14"/>
    <x v="16"/>
    <n v="0"/>
    <x v="1"/>
    <x v="1"/>
    <x v="1"/>
    <n v="91.158000000000001"/>
    <x v="1940"/>
    <n v="18.366"/>
    <n v="38.904000000000003"/>
    <n v="33.444000000000003"/>
    <n v="28"/>
    <x v="1"/>
  </r>
  <r>
    <x v="4"/>
    <x v="21"/>
    <x v="19"/>
    <x v="1"/>
    <s v="HAM"/>
    <x v="1"/>
    <x v="16"/>
    <x v="17"/>
    <n v="0"/>
    <x v="1"/>
    <x v="18"/>
    <x v="35"/>
    <n v="89.787999999999997"/>
    <x v="1941"/>
    <n v="18.027999999999999"/>
    <n v="38.204999999999998"/>
    <n v="32.947000000000003"/>
    <s v="18,55"/>
    <x v="1"/>
  </r>
  <r>
    <x v="4"/>
    <x v="21"/>
    <x v="19"/>
    <x v="26"/>
    <s v="LAT"/>
    <x v="7"/>
    <x v="17"/>
    <x v="18"/>
    <n v="0"/>
    <x v="1"/>
    <x v="8"/>
    <x v="35"/>
    <n v="90.308999999999997"/>
    <x v="1942"/>
    <n v="18.201000000000001"/>
    <n v="38.347999999999999"/>
    <n v="33.616"/>
    <s v="15,38,55"/>
    <x v="1"/>
  </r>
  <r>
    <x v="4"/>
    <x v="21"/>
    <x v="19"/>
    <x v="4"/>
    <s v="ALO"/>
    <x v="14"/>
    <x v="4"/>
    <x v="19"/>
    <n v="0"/>
    <x v="1"/>
    <x v="46"/>
    <x v="63"/>
    <n v="90.578999999999994"/>
    <x v="1943"/>
    <n v="18.245999999999999"/>
    <n v="38.435000000000002"/>
    <n v="33.354999999999997"/>
    <s v="19,27"/>
    <x v="1"/>
  </r>
  <r>
    <x v="5"/>
    <x v="0"/>
    <x v="1"/>
    <x v="5"/>
    <s v="VER"/>
    <x v="2"/>
    <x v="1"/>
    <x v="0"/>
    <n v="25"/>
    <x v="0"/>
    <x v="0"/>
    <x v="1"/>
    <n v="96.236000000000004"/>
    <x v="1944"/>
    <n v="30.783000000000001"/>
    <n v="41.747"/>
    <n v="23.448"/>
    <s v="14,36"/>
    <x v="1"/>
  </r>
  <r>
    <x v="5"/>
    <x v="0"/>
    <x v="1"/>
    <x v="10"/>
    <s v="PER"/>
    <x v="2"/>
    <x v="2"/>
    <x v="1"/>
    <n v="18"/>
    <x v="0"/>
    <x v="0"/>
    <x v="1"/>
    <n v="96.343999999999994"/>
    <x v="1945"/>
    <n v="30.774000000000001"/>
    <n v="41.786000000000001"/>
    <n v="23.510999999999999"/>
    <s v="17,34"/>
    <x v="1"/>
  </r>
  <r>
    <x v="5"/>
    <x v="0"/>
    <x v="1"/>
    <x v="4"/>
    <s v="ALO"/>
    <x v="13"/>
    <x v="16"/>
    <x v="2"/>
    <n v="15"/>
    <x v="0"/>
    <x v="0"/>
    <x v="1"/>
    <n v="96.156000000000006"/>
    <x v="1946"/>
    <n v="30.763000000000002"/>
    <n v="41.462000000000003"/>
    <n v="23.634"/>
    <s v="14,34"/>
    <x v="1"/>
  </r>
  <r>
    <x v="5"/>
    <x v="0"/>
    <x v="1"/>
    <x v="9"/>
    <s v="SAI"/>
    <x v="0"/>
    <x v="5"/>
    <x v="3"/>
    <n v="12"/>
    <x v="1"/>
    <x v="0"/>
    <x v="1"/>
    <n v="97.13"/>
    <x v="1947"/>
    <n v="30.975000000000001"/>
    <n v="42.381"/>
    <n v="23.628"/>
    <s v="13,31"/>
    <x v="1"/>
  </r>
  <r>
    <x v="5"/>
    <x v="0"/>
    <x v="1"/>
    <x v="1"/>
    <s v="HAM"/>
    <x v="1"/>
    <x v="6"/>
    <x v="4"/>
    <n v="10"/>
    <x v="1"/>
    <x v="0"/>
    <x v="1"/>
    <n v="96.546000000000006"/>
    <x v="1948"/>
    <n v="30.768000000000001"/>
    <n v="42.012999999999998"/>
    <n v="23.63"/>
    <s v="12,30"/>
    <x v="1"/>
  </r>
  <r>
    <x v="5"/>
    <x v="0"/>
    <x v="1"/>
    <x v="13"/>
    <s v="STR"/>
    <x v="13"/>
    <x v="3"/>
    <x v="5"/>
    <n v="8"/>
    <x v="1"/>
    <x v="0"/>
    <x v="1"/>
    <n v="96.546000000000006"/>
    <x v="1949"/>
    <n v="30.853000000000002"/>
    <n v="41.993000000000002"/>
    <n v="23.666"/>
    <s v="15,30"/>
    <x v="1"/>
  </r>
  <r>
    <x v="5"/>
    <x v="0"/>
    <x v="1"/>
    <x v="24"/>
    <s v="RUS"/>
    <x v="1"/>
    <x v="15"/>
    <x v="6"/>
    <n v="6"/>
    <x v="1"/>
    <x v="0"/>
    <x v="1"/>
    <n v="97.034999999999997"/>
    <x v="1950"/>
    <n v="30.782"/>
    <n v="42.390999999999998"/>
    <n v="23.55"/>
    <s v="13,31"/>
    <x v="1"/>
  </r>
  <r>
    <x v="5"/>
    <x v="0"/>
    <x v="1"/>
    <x v="7"/>
    <s v="BOT"/>
    <x v="15"/>
    <x v="10"/>
    <x v="7"/>
    <n v="4"/>
    <x v="1"/>
    <x v="0"/>
    <x v="1"/>
    <n v="97.379000000000005"/>
    <x v="1951"/>
    <n v="31.059000000000001"/>
    <n v="42.241"/>
    <n v="23.875"/>
    <s v="11,29"/>
    <x v="1"/>
  </r>
  <r>
    <x v="5"/>
    <x v="0"/>
    <x v="1"/>
    <x v="17"/>
    <s v="GAS"/>
    <x v="14"/>
    <x v="17"/>
    <x v="8"/>
    <n v="2"/>
    <x v="1"/>
    <x v="0"/>
    <x v="1"/>
    <n v="95.067999999999998"/>
    <x v="1952"/>
    <n v="30.068999999999999"/>
    <n v="41.393000000000001"/>
    <n v="23.465"/>
    <s v="9,25,40"/>
    <x v="1"/>
  </r>
  <r>
    <x v="5"/>
    <x v="0"/>
    <x v="1"/>
    <x v="22"/>
    <s v="ALB"/>
    <x v="7"/>
    <x v="7"/>
    <x v="9"/>
    <n v="1"/>
    <x v="1"/>
    <x v="0"/>
    <x v="1"/>
    <n v="97.144000000000005"/>
    <x v="1953"/>
    <n v="30.766999999999999"/>
    <n v="42.484999999999999"/>
    <n v="23.664000000000001"/>
    <s v="11,26,40"/>
    <x v="1"/>
  </r>
  <r>
    <x v="5"/>
    <x v="0"/>
    <x v="1"/>
    <x v="29"/>
    <s v="TSU"/>
    <x v="12"/>
    <x v="11"/>
    <x v="10"/>
    <n v="0"/>
    <x v="1"/>
    <x v="0"/>
    <x v="1"/>
    <n v="96.637"/>
    <x v="1954"/>
    <n v="30.795000000000002"/>
    <n v="41.734999999999999"/>
    <n v="23.832999999999998"/>
    <s v="10,26,40"/>
    <x v="1"/>
  </r>
  <r>
    <x v="5"/>
    <x v="0"/>
    <x v="1"/>
    <x v="34"/>
    <s v="SAR"/>
    <x v="7"/>
    <x v="14"/>
    <x v="11"/>
    <n v="0"/>
    <x v="1"/>
    <x v="52"/>
    <x v="7"/>
    <n v="96.037000000000006"/>
    <x v="1955"/>
    <n v="30.492000000000001"/>
    <n v="41.875"/>
    <n v="23.67"/>
    <s v="12,30,40"/>
    <x v="1"/>
  </r>
  <r>
    <x v="5"/>
    <x v="0"/>
    <x v="1"/>
    <x v="16"/>
    <s v="MAG"/>
    <x v="9"/>
    <x v="18"/>
    <x v="12"/>
    <n v="0"/>
    <x v="1"/>
    <x v="52"/>
    <x v="7"/>
    <n v="96.471000000000004"/>
    <x v="1956"/>
    <n v="30.736999999999998"/>
    <n v="42.048999999999999"/>
    <n v="23.620999999999999"/>
    <s v="15,29,40"/>
    <x v="1"/>
  </r>
  <r>
    <x v="5"/>
    <x v="0"/>
    <x v="1"/>
    <x v="33"/>
    <s v="DEV"/>
    <x v="12"/>
    <x v="19"/>
    <x v="13"/>
    <n v="0"/>
    <x v="1"/>
    <x v="52"/>
    <x v="7"/>
    <n v="97.709000000000003"/>
    <x v="1957"/>
    <n v="31.114999999999998"/>
    <n v="42.604999999999997"/>
    <n v="23.917999999999999"/>
    <s v="11,27"/>
    <x v="1"/>
  </r>
  <r>
    <x v="5"/>
    <x v="0"/>
    <x v="1"/>
    <x v="6"/>
    <s v="HUL"/>
    <x v="9"/>
    <x v="4"/>
    <x v="14"/>
    <n v="0"/>
    <x v="1"/>
    <x v="52"/>
    <x v="7"/>
    <n v="96.616"/>
    <x v="1958"/>
    <n v="30.788"/>
    <n v="41.854999999999997"/>
    <n v="23.817"/>
    <s v="11,26,40"/>
    <x v="1"/>
  </r>
  <r>
    <x v="5"/>
    <x v="0"/>
    <x v="1"/>
    <x v="32"/>
    <s v="ZHO"/>
    <x v="15"/>
    <x v="13"/>
    <x v="15"/>
    <n v="0"/>
    <x v="1"/>
    <x v="52"/>
    <x v="7"/>
    <n v="93.995999999999995"/>
    <x v="1959"/>
    <n v="30.183"/>
    <n v="40.533000000000001"/>
    <n v="23.28"/>
    <s v="12,32,54"/>
    <x v="1"/>
  </r>
  <r>
    <x v="5"/>
    <x v="0"/>
    <x v="1"/>
    <x v="21"/>
    <s v="NOR"/>
    <x v="3"/>
    <x v="8"/>
    <x v="16"/>
    <n v="0"/>
    <x v="1"/>
    <x v="52"/>
    <x v="35"/>
    <n v="95.257000000000005"/>
    <x v="1960"/>
    <n v="30.533000000000001"/>
    <n v="41.13"/>
    <n v="23.594000000000001"/>
    <s v="10,17,27,37,47,54"/>
    <x v="1"/>
  </r>
  <r>
    <x v="5"/>
    <x v="0"/>
    <x v="1"/>
    <x v="11"/>
    <s v="OCO"/>
    <x v="14"/>
    <x v="9"/>
    <x v="17"/>
    <n v="0"/>
    <x v="1"/>
    <x v="21"/>
    <x v="32"/>
    <n v="96.796999999999997"/>
    <x v="1961"/>
    <n v="30.92"/>
    <n v="42.106999999999999"/>
    <n v="23.724"/>
    <s v="12,15,32,41"/>
    <x v="1"/>
  </r>
  <r>
    <x v="5"/>
    <x v="0"/>
    <x v="1"/>
    <x v="12"/>
    <s v="LEC"/>
    <x v="0"/>
    <x v="0"/>
    <x v="18"/>
    <n v="0"/>
    <x v="1"/>
    <x v="21"/>
    <x v="14"/>
    <n v="97.17"/>
    <x v="1962"/>
    <n v="30.859000000000002"/>
    <n v="42.384999999999998"/>
    <n v="23.62"/>
    <s v="13,33"/>
    <x v="1"/>
  </r>
  <r>
    <x v="5"/>
    <x v="0"/>
    <x v="1"/>
    <x v="35"/>
    <s v="PIA"/>
    <x v="3"/>
    <x v="12"/>
    <x v="19"/>
    <n v="0"/>
    <x v="1"/>
    <x v="21"/>
    <x v="70"/>
    <n v="100.691"/>
    <x v="1963"/>
    <n v="31.664999999999999"/>
    <n v="43.976999999999997"/>
    <n v="24.667999999999999"/>
    <n v="13"/>
    <x v="1"/>
  </r>
  <r>
    <x v="5"/>
    <x v="1"/>
    <x v="33"/>
    <x v="10"/>
    <s v="PER"/>
    <x v="2"/>
    <x v="1"/>
    <x v="0"/>
    <n v="25"/>
    <x v="0"/>
    <x v="0"/>
    <x v="43"/>
    <n v="92.188000000000002"/>
    <x v="1964"/>
    <n v="33.720999999999997"/>
    <n v="29.04"/>
    <n v="29.292000000000002"/>
    <n v="18"/>
    <x v="1"/>
  </r>
  <r>
    <x v="5"/>
    <x v="1"/>
    <x v="33"/>
    <x v="5"/>
    <s v="VER"/>
    <x v="2"/>
    <x v="7"/>
    <x v="1"/>
    <n v="19"/>
    <x v="0"/>
    <x v="0"/>
    <x v="43"/>
    <n v="91.906000000000006"/>
    <x v="1965"/>
    <n v="33.542999999999999"/>
    <n v="29.029"/>
    <n v="29.244"/>
    <n v="18"/>
    <x v="1"/>
  </r>
  <r>
    <x v="5"/>
    <x v="1"/>
    <x v="33"/>
    <x v="4"/>
    <s v="ALO"/>
    <x v="13"/>
    <x v="2"/>
    <x v="2"/>
    <n v="15"/>
    <x v="0"/>
    <x v="0"/>
    <x v="43"/>
    <n v="92.24"/>
    <x v="1966"/>
    <n v="33.731000000000002"/>
    <n v="29.096"/>
    <n v="29.413"/>
    <n v="18"/>
    <x v="1"/>
  </r>
  <r>
    <x v="5"/>
    <x v="1"/>
    <x v="33"/>
    <x v="24"/>
    <s v="RUS"/>
    <x v="1"/>
    <x v="0"/>
    <x v="3"/>
    <n v="12"/>
    <x v="1"/>
    <x v="0"/>
    <x v="43"/>
    <n v="92.433000000000007"/>
    <x v="1967"/>
    <n v="33.784999999999997"/>
    <n v="29.173999999999999"/>
    <n v="29.427"/>
    <n v="18"/>
    <x v="1"/>
  </r>
  <r>
    <x v="5"/>
    <x v="1"/>
    <x v="33"/>
    <x v="1"/>
    <s v="HAM"/>
    <x v="1"/>
    <x v="6"/>
    <x v="4"/>
    <n v="10"/>
    <x v="1"/>
    <x v="0"/>
    <x v="43"/>
    <n v="92.941000000000003"/>
    <x v="1968"/>
    <n v="34.026000000000003"/>
    <n v="29.21"/>
    <n v="29.553999999999998"/>
    <n v="18"/>
    <x v="1"/>
  </r>
  <r>
    <x v="5"/>
    <x v="1"/>
    <x v="33"/>
    <x v="9"/>
    <s v="SAI"/>
    <x v="0"/>
    <x v="5"/>
    <x v="5"/>
    <n v="8"/>
    <x v="1"/>
    <x v="0"/>
    <x v="43"/>
    <n v="92.822000000000003"/>
    <x v="1969"/>
    <n v="33.929000000000002"/>
    <n v="29.300999999999998"/>
    <n v="29.526"/>
    <n v="15"/>
    <x v="1"/>
  </r>
  <r>
    <x v="5"/>
    <x v="1"/>
    <x v="33"/>
    <x v="12"/>
    <s v="LEC"/>
    <x v="0"/>
    <x v="10"/>
    <x v="6"/>
    <n v="6"/>
    <x v="1"/>
    <x v="0"/>
    <x v="43"/>
    <n v="93.055999999999997"/>
    <x v="1970"/>
    <n v="34.048000000000002"/>
    <n v="29.407"/>
    <n v="29.550999999999998"/>
    <n v="16"/>
    <x v="1"/>
  </r>
  <r>
    <x v="5"/>
    <x v="1"/>
    <x v="33"/>
    <x v="11"/>
    <s v="OCO"/>
    <x v="14"/>
    <x v="15"/>
    <x v="7"/>
    <n v="4"/>
    <x v="1"/>
    <x v="0"/>
    <x v="43"/>
    <n v="93.221999999999994"/>
    <x v="1971"/>
    <n v="34.177999999999997"/>
    <n v="29.49"/>
    <n v="29.553999999999998"/>
    <n v="16"/>
    <x v="1"/>
  </r>
  <r>
    <x v="5"/>
    <x v="1"/>
    <x v="33"/>
    <x v="17"/>
    <s v="GAS"/>
    <x v="14"/>
    <x v="9"/>
    <x v="8"/>
    <n v="2"/>
    <x v="1"/>
    <x v="0"/>
    <x v="43"/>
    <n v="93.391999999999996"/>
    <x v="1972"/>
    <n v="34.283999999999999"/>
    <n v="29.492999999999999"/>
    <n v="29.609000000000002"/>
    <n v="14"/>
    <x v="1"/>
  </r>
  <r>
    <x v="5"/>
    <x v="1"/>
    <x v="33"/>
    <x v="16"/>
    <s v="MAG"/>
    <x v="9"/>
    <x v="13"/>
    <x v="9"/>
    <n v="1"/>
    <x v="1"/>
    <x v="0"/>
    <x v="43"/>
    <n v="93.373999999999995"/>
    <x v="1973"/>
    <n v="34.26"/>
    <n v="29.286999999999999"/>
    <n v="29.552"/>
    <n v="8"/>
    <x v="1"/>
  </r>
  <r>
    <x v="5"/>
    <x v="1"/>
    <x v="33"/>
    <x v="29"/>
    <s v="TSU"/>
    <x v="12"/>
    <x v="14"/>
    <x v="10"/>
    <n v="0"/>
    <x v="1"/>
    <x v="0"/>
    <x v="43"/>
    <n v="93.930999999999997"/>
    <x v="1974"/>
    <n v="34.343000000000004"/>
    <n v="29.704000000000001"/>
    <n v="29.786000000000001"/>
    <n v="17"/>
    <x v="1"/>
  </r>
  <r>
    <x v="5"/>
    <x v="1"/>
    <x v="33"/>
    <x v="6"/>
    <s v="HUL"/>
    <x v="9"/>
    <x v="4"/>
    <x v="11"/>
    <n v="0"/>
    <x v="1"/>
    <x v="0"/>
    <x v="43"/>
    <n v="93.78"/>
    <x v="1975"/>
    <n v="34.546999999999997"/>
    <n v="29.414999999999999"/>
    <n v="29.744"/>
    <n v="11"/>
    <x v="1"/>
  </r>
  <r>
    <x v="5"/>
    <x v="1"/>
    <x v="33"/>
    <x v="32"/>
    <s v="ZHO"/>
    <x v="15"/>
    <x v="8"/>
    <x v="12"/>
    <n v="0"/>
    <x v="1"/>
    <x v="0"/>
    <x v="43"/>
    <n v="93.894000000000005"/>
    <x v="1976"/>
    <n v="34.322000000000003"/>
    <n v="29.504999999999999"/>
    <n v="29.725000000000001"/>
    <s v="11,18"/>
    <x v="1"/>
  </r>
  <r>
    <x v="5"/>
    <x v="1"/>
    <x v="33"/>
    <x v="33"/>
    <s v="DEV"/>
    <x v="12"/>
    <x v="12"/>
    <x v="13"/>
    <n v="0"/>
    <x v="1"/>
    <x v="0"/>
    <x v="43"/>
    <n v="93.608999999999995"/>
    <x v="1977"/>
    <n v="34.353999999999999"/>
    <n v="29.506"/>
    <n v="29.67"/>
    <n v="17"/>
    <x v="1"/>
  </r>
  <r>
    <x v="5"/>
    <x v="1"/>
    <x v="33"/>
    <x v="35"/>
    <s v="PIA"/>
    <x v="3"/>
    <x v="3"/>
    <x v="14"/>
    <n v="0"/>
    <x v="1"/>
    <x v="0"/>
    <x v="43"/>
    <n v="94.287000000000006"/>
    <x v="1978"/>
    <n v="34.664000000000001"/>
    <n v="29.606999999999999"/>
    <n v="29.597999999999999"/>
    <n v="1"/>
    <x v="1"/>
  </r>
  <r>
    <x v="5"/>
    <x v="1"/>
    <x v="33"/>
    <x v="34"/>
    <s v="SAR"/>
    <x v="7"/>
    <x v="17"/>
    <x v="15"/>
    <n v="0"/>
    <x v="1"/>
    <x v="0"/>
    <x v="43"/>
    <n v="94.468999999999994"/>
    <x v="1979"/>
    <n v="34.76"/>
    <n v="29.692"/>
    <n v="29.806999999999999"/>
    <n v="18"/>
    <x v="1"/>
  </r>
  <r>
    <x v="5"/>
    <x v="1"/>
    <x v="33"/>
    <x v="21"/>
    <s v="NOR"/>
    <x v="3"/>
    <x v="19"/>
    <x v="16"/>
    <n v="0"/>
    <x v="1"/>
    <x v="0"/>
    <x v="43"/>
    <n v="94.122"/>
    <x v="1980"/>
    <n v="34.58"/>
    <n v="29.678000000000001"/>
    <n v="29.826000000000001"/>
    <s v="2,19"/>
    <x v="1"/>
  </r>
  <r>
    <x v="5"/>
    <x v="1"/>
    <x v="33"/>
    <x v="7"/>
    <s v="BOT"/>
    <x v="15"/>
    <x v="11"/>
    <x v="17"/>
    <n v="0"/>
    <x v="1"/>
    <x v="52"/>
    <x v="12"/>
    <n v="94.384"/>
    <x v="1981"/>
    <n v="34.584000000000003"/>
    <n v="29.876999999999999"/>
    <n v="29.92"/>
    <s v="9,17,35"/>
    <x v="1"/>
  </r>
  <r>
    <x v="5"/>
    <x v="1"/>
    <x v="33"/>
    <x v="22"/>
    <s v="ALB"/>
    <x v="7"/>
    <x v="18"/>
    <x v="18"/>
    <n v="0"/>
    <x v="1"/>
    <x v="21"/>
    <x v="63"/>
    <n v="95.566999999999993"/>
    <x v="1982"/>
    <n v="35.39"/>
    <n v="29.943000000000001"/>
    <n v="29.818000000000001"/>
    <s v="17,27"/>
    <x v="1"/>
  </r>
  <r>
    <x v="5"/>
    <x v="1"/>
    <x v="33"/>
    <x v="13"/>
    <s v="STR"/>
    <x v="13"/>
    <x v="16"/>
    <x v="19"/>
    <n v="0"/>
    <x v="1"/>
    <x v="21"/>
    <x v="61"/>
    <n v="95.14"/>
    <x v="1983"/>
    <n v="35.28"/>
    <n v="29.803000000000001"/>
    <n v="29.850999999999999"/>
    <n v="13"/>
    <x v="1"/>
  </r>
  <r>
    <x v="5"/>
    <x v="2"/>
    <x v="0"/>
    <x v="5"/>
    <s v="VER"/>
    <x v="2"/>
    <x v="1"/>
    <x v="0"/>
    <n v="25"/>
    <x v="0"/>
    <x v="0"/>
    <x v="0"/>
    <n v="80.341999999999999"/>
    <x v="1984"/>
    <n v="27.834"/>
    <n v="17.951000000000001"/>
    <n v="34.302"/>
    <s v="8,55,57"/>
    <x v="1"/>
  </r>
  <r>
    <x v="5"/>
    <x v="2"/>
    <x v="0"/>
    <x v="1"/>
    <s v="HAM"/>
    <x v="1"/>
    <x v="0"/>
    <x v="1"/>
    <n v="18"/>
    <x v="0"/>
    <x v="0"/>
    <x v="0"/>
    <n v="80.613"/>
    <x v="1985"/>
    <n v="27.911000000000001"/>
    <n v="18.05"/>
    <n v="34.47"/>
    <s v="8,55,57"/>
    <x v="1"/>
  </r>
  <r>
    <x v="5"/>
    <x v="2"/>
    <x v="0"/>
    <x v="4"/>
    <s v="ALO"/>
    <x v="13"/>
    <x v="5"/>
    <x v="2"/>
    <n v="15"/>
    <x v="0"/>
    <x v="0"/>
    <x v="0"/>
    <n v="80.475999999999999"/>
    <x v="1986"/>
    <n v="27.891999999999999"/>
    <n v="18.03"/>
    <n v="34.420999999999999"/>
    <s v="8,55,57"/>
    <x v="1"/>
  </r>
  <r>
    <x v="5"/>
    <x v="2"/>
    <x v="0"/>
    <x v="13"/>
    <s v="STR"/>
    <x v="13"/>
    <x v="15"/>
    <x v="3"/>
    <n v="12"/>
    <x v="1"/>
    <x v="0"/>
    <x v="0"/>
    <n v="80.933999999999997"/>
    <x v="1987"/>
    <n v="28.114000000000001"/>
    <n v="17.940999999999999"/>
    <n v="34.576000000000001"/>
    <s v="8,55,57"/>
    <x v="1"/>
  </r>
  <r>
    <x v="5"/>
    <x v="2"/>
    <x v="0"/>
    <x v="10"/>
    <s v="PER"/>
    <x v="2"/>
    <x v="17"/>
    <x v="4"/>
    <n v="11"/>
    <x v="1"/>
    <x v="0"/>
    <x v="0"/>
    <n v="80.234999999999999"/>
    <x v="1988"/>
    <n v="28.044"/>
    <n v="17.588999999999999"/>
    <n v="34.389000000000003"/>
    <s v="1,2,8,55,57"/>
    <x v="1"/>
  </r>
  <r>
    <x v="5"/>
    <x v="2"/>
    <x v="0"/>
    <x v="21"/>
    <s v="NOR"/>
    <x v="3"/>
    <x v="13"/>
    <x v="5"/>
    <n v="8"/>
    <x v="1"/>
    <x v="0"/>
    <x v="0"/>
    <n v="81.173000000000002"/>
    <x v="1989"/>
    <n v="28.303999999999998"/>
    <n v="17.920000000000002"/>
    <n v="34.530999999999999"/>
    <s v="8,55,57"/>
    <x v="1"/>
  </r>
  <r>
    <x v="5"/>
    <x v="2"/>
    <x v="0"/>
    <x v="6"/>
    <s v="HUL"/>
    <x v="9"/>
    <x v="4"/>
    <x v="6"/>
    <n v="6"/>
    <x v="1"/>
    <x v="0"/>
    <x v="0"/>
    <n v="81.123999999999995"/>
    <x v="1990"/>
    <n v="28.273"/>
    <n v="17.687000000000001"/>
    <n v="34.862000000000002"/>
    <s v="8,55,57"/>
    <x v="1"/>
  </r>
  <r>
    <x v="5"/>
    <x v="2"/>
    <x v="0"/>
    <x v="35"/>
    <s v="PIA"/>
    <x v="3"/>
    <x v="14"/>
    <x v="7"/>
    <n v="4"/>
    <x v="1"/>
    <x v="0"/>
    <x v="0"/>
    <n v="81.334999999999994"/>
    <x v="1991"/>
    <n v="28.297000000000001"/>
    <n v="18.117000000000001"/>
    <n v="34.637999999999998"/>
    <s v="8,54,55,57"/>
    <x v="1"/>
  </r>
  <r>
    <x v="5"/>
    <x v="2"/>
    <x v="0"/>
    <x v="32"/>
    <s v="ZHO"/>
    <x v="15"/>
    <x v="18"/>
    <x v="8"/>
    <n v="2"/>
    <x v="1"/>
    <x v="0"/>
    <x v="0"/>
    <n v="81.819000000000003"/>
    <x v="1992"/>
    <n v="28.448"/>
    <n v="17.988"/>
    <n v="35.11"/>
    <s v="1,8,54,55,57"/>
    <x v="1"/>
  </r>
  <r>
    <x v="5"/>
    <x v="2"/>
    <x v="0"/>
    <x v="29"/>
    <s v="TSU"/>
    <x v="12"/>
    <x v="10"/>
    <x v="9"/>
    <n v="1"/>
    <x v="1"/>
    <x v="0"/>
    <x v="0"/>
    <n v="81.789000000000001"/>
    <x v="1993"/>
    <n v="28.518999999999998"/>
    <n v="18.257000000000001"/>
    <n v="34.905000000000001"/>
    <s v="8,54,55,57"/>
    <x v="1"/>
  </r>
  <r>
    <x v="5"/>
    <x v="2"/>
    <x v="0"/>
    <x v="7"/>
    <s v="BOT"/>
    <x v="15"/>
    <x v="19"/>
    <x v="10"/>
    <n v="0"/>
    <x v="1"/>
    <x v="0"/>
    <x v="0"/>
    <n v="82.233000000000004"/>
    <x v="1994"/>
    <n v="28.414000000000001"/>
    <n v="18.192"/>
    <n v="35.195999999999998"/>
    <s v="1,8,53,54,55,57"/>
    <x v="1"/>
  </r>
  <r>
    <x v="5"/>
    <x v="2"/>
    <x v="0"/>
    <x v="9"/>
    <s v="SAI"/>
    <x v="0"/>
    <x v="16"/>
    <x v="11"/>
    <n v="0"/>
    <x v="1"/>
    <x v="0"/>
    <x v="0"/>
    <n v="80.466999999999999"/>
    <x v="1995"/>
    <n v="27.972999999999999"/>
    <n v="18.061"/>
    <n v="34.420999999999999"/>
    <s v="7,8,55,57"/>
    <x v="1"/>
  </r>
  <r>
    <x v="5"/>
    <x v="2"/>
    <x v="0"/>
    <x v="17"/>
    <s v="GAS"/>
    <x v="14"/>
    <x v="9"/>
    <x v="12"/>
    <n v="0"/>
    <x v="1"/>
    <x v="21"/>
    <x v="1"/>
    <n v="80.995000000000005"/>
    <x v="1996"/>
    <n v="28.158000000000001"/>
    <n v="17.821000000000002"/>
    <n v="34.704999999999998"/>
    <s v="8,55"/>
    <x v="1"/>
  </r>
  <r>
    <x v="5"/>
    <x v="2"/>
    <x v="0"/>
    <x v="11"/>
    <s v="OCO"/>
    <x v="14"/>
    <x v="8"/>
    <x v="13"/>
    <n v="0"/>
    <x v="1"/>
    <x v="21"/>
    <x v="1"/>
    <n v="81.203000000000003"/>
    <x v="1997"/>
    <n v="28.292999999999999"/>
    <n v="17.873000000000001"/>
    <n v="34.628"/>
    <s v="1,8,55"/>
    <x v="1"/>
  </r>
  <r>
    <x v="5"/>
    <x v="2"/>
    <x v="0"/>
    <x v="33"/>
    <s v="DEV"/>
    <x v="12"/>
    <x v="7"/>
    <x v="14"/>
    <n v="0"/>
    <x v="1"/>
    <x v="21"/>
    <x v="1"/>
    <n v="81.183000000000007"/>
    <x v="1998"/>
    <n v="28.155000000000001"/>
    <n v="18.157"/>
    <n v="34.704000000000001"/>
    <s v="8,45,54,55"/>
    <x v="1"/>
  </r>
  <r>
    <x v="5"/>
    <x v="2"/>
    <x v="0"/>
    <x v="34"/>
    <s v="SAR"/>
    <x v="7"/>
    <x v="12"/>
    <x v="15"/>
    <n v="0"/>
    <x v="1"/>
    <x v="21"/>
    <x v="1"/>
    <n v="81.456000000000003"/>
    <x v="1999"/>
    <n v="28.207999999999998"/>
    <n v="17.922000000000001"/>
    <n v="34.996000000000002"/>
    <s v="1,2,8,36,54,55"/>
    <x v="1"/>
  </r>
  <r>
    <x v="5"/>
    <x v="2"/>
    <x v="0"/>
    <x v="16"/>
    <s v="MAG"/>
    <x v="9"/>
    <x v="11"/>
    <x v="16"/>
    <n v="0"/>
    <x v="1"/>
    <x v="21"/>
    <x v="28"/>
    <n v="81.685000000000002"/>
    <x v="2000"/>
    <n v="28.425000000000001"/>
    <n v="17.988"/>
    <n v="34.936999999999998"/>
    <s v="7,8"/>
    <x v="1"/>
  </r>
  <r>
    <x v="5"/>
    <x v="2"/>
    <x v="0"/>
    <x v="24"/>
    <s v="RUS"/>
    <x v="1"/>
    <x v="2"/>
    <x v="17"/>
    <n v="0"/>
    <x v="1"/>
    <x v="21"/>
    <x v="41"/>
    <n v="82.68"/>
    <x v="2001"/>
    <n v="28.666"/>
    <n v="18.207000000000001"/>
    <n v="35.511000000000003"/>
    <s v="7,8"/>
    <x v="1"/>
  </r>
  <r>
    <x v="5"/>
    <x v="2"/>
    <x v="0"/>
    <x v="22"/>
    <s v="ALB"/>
    <x v="7"/>
    <x v="3"/>
    <x v="18"/>
    <n v="0"/>
    <x v="1"/>
    <x v="21"/>
    <x v="56"/>
    <n v="83.349000000000004"/>
    <x v="2002"/>
    <n v="29.155999999999999"/>
    <n v="18.308"/>
    <n v="35.877000000000002"/>
    <m/>
    <x v="1"/>
  </r>
  <r>
    <x v="5"/>
    <x v="2"/>
    <x v="0"/>
    <x v="12"/>
    <s v="LEC"/>
    <x v="0"/>
    <x v="6"/>
    <x v="19"/>
    <n v="0"/>
    <x v="1"/>
    <x v="21"/>
    <x v="16"/>
    <m/>
    <x v="19"/>
    <m/>
    <m/>
    <m/>
    <m/>
    <x v="1"/>
  </r>
  <r>
    <x v="5"/>
    <x v="3"/>
    <x v="3"/>
    <x v="10"/>
    <s v="PER"/>
    <x v="2"/>
    <x v="0"/>
    <x v="0"/>
    <n v="25"/>
    <x v="0"/>
    <x v="0"/>
    <x v="11"/>
    <n v="104.589"/>
    <x v="2003"/>
    <n v="37.070999999999998"/>
    <n v="42.22"/>
    <n v="25.024999999999999"/>
    <n v="11"/>
    <x v="1"/>
  </r>
  <r>
    <x v="5"/>
    <x v="3"/>
    <x v="3"/>
    <x v="5"/>
    <s v="VER"/>
    <x v="2"/>
    <x v="2"/>
    <x v="1"/>
    <n v="18"/>
    <x v="0"/>
    <x v="0"/>
    <x v="11"/>
    <n v="104.232"/>
    <x v="2004"/>
    <n v="36.807000000000002"/>
    <n v="42.286999999999999"/>
    <n v="25.018999999999998"/>
    <n v="10"/>
    <x v="1"/>
  </r>
  <r>
    <x v="5"/>
    <x v="3"/>
    <x v="3"/>
    <x v="12"/>
    <s v="LEC"/>
    <x v="0"/>
    <x v="1"/>
    <x v="2"/>
    <n v="15"/>
    <x v="0"/>
    <x v="0"/>
    <x v="11"/>
    <n v="104.56100000000001"/>
    <x v="2005"/>
    <n v="36.906999999999996"/>
    <n v="42.265999999999998"/>
    <n v="25.082999999999998"/>
    <n v="11"/>
    <x v="1"/>
  </r>
  <r>
    <x v="5"/>
    <x v="3"/>
    <x v="3"/>
    <x v="4"/>
    <s v="ALO"/>
    <x v="13"/>
    <x v="15"/>
    <x v="3"/>
    <n v="12"/>
    <x v="1"/>
    <x v="0"/>
    <x v="11"/>
    <n v="104.241"/>
    <x v="2006"/>
    <n v="36.804000000000002"/>
    <n v="42.359000000000002"/>
    <n v="24.928999999999998"/>
    <n v="11"/>
    <x v="1"/>
  </r>
  <r>
    <x v="5"/>
    <x v="3"/>
    <x v="3"/>
    <x v="9"/>
    <s v="SAI"/>
    <x v="0"/>
    <x v="5"/>
    <x v="4"/>
    <n v="10"/>
    <x v="1"/>
    <x v="0"/>
    <x v="11"/>
    <n v="105.175"/>
    <x v="2007"/>
    <n v="37.326999999999998"/>
    <n v="42.542000000000002"/>
    <n v="25.135999999999999"/>
    <n v="11"/>
    <x v="1"/>
  </r>
  <r>
    <x v="5"/>
    <x v="3"/>
    <x v="3"/>
    <x v="1"/>
    <s v="HAM"/>
    <x v="1"/>
    <x v="16"/>
    <x v="5"/>
    <n v="8"/>
    <x v="1"/>
    <x v="0"/>
    <x v="11"/>
    <n v="105.346"/>
    <x v="2008"/>
    <n v="37.116"/>
    <n v="42.81"/>
    <n v="25.065999999999999"/>
    <n v="9"/>
    <x v="1"/>
  </r>
  <r>
    <x v="5"/>
    <x v="3"/>
    <x v="3"/>
    <x v="13"/>
    <s v="STR"/>
    <x v="13"/>
    <x v="9"/>
    <x v="6"/>
    <n v="6"/>
    <x v="1"/>
    <x v="0"/>
    <x v="11"/>
    <n v="105.627"/>
    <x v="2009"/>
    <n v="37.344999999999999"/>
    <n v="42.997999999999998"/>
    <n v="25.18"/>
    <n v="11"/>
    <x v="1"/>
  </r>
  <r>
    <x v="5"/>
    <x v="3"/>
    <x v="3"/>
    <x v="24"/>
    <s v="RUS"/>
    <x v="1"/>
    <x v="8"/>
    <x v="7"/>
    <n v="5"/>
    <x v="1"/>
    <x v="0"/>
    <x v="11"/>
    <n v="103.37"/>
    <x v="2010"/>
    <n v="36.396999999999998"/>
    <n v="41.715000000000003"/>
    <n v="25.052"/>
    <s v="11,49"/>
    <x v="1"/>
  </r>
  <r>
    <x v="5"/>
    <x v="3"/>
    <x v="3"/>
    <x v="21"/>
    <s v="NOR"/>
    <x v="3"/>
    <x v="6"/>
    <x v="8"/>
    <n v="2"/>
    <x v="1"/>
    <x v="0"/>
    <x v="11"/>
    <n v="105.738"/>
    <x v="2011"/>
    <n v="37.543999999999997"/>
    <n v="42.771000000000001"/>
    <n v="25.096"/>
    <n v="9"/>
    <x v="1"/>
  </r>
  <r>
    <x v="5"/>
    <x v="3"/>
    <x v="3"/>
    <x v="29"/>
    <s v="TSU"/>
    <x v="12"/>
    <x v="3"/>
    <x v="9"/>
    <n v="1"/>
    <x v="1"/>
    <x v="0"/>
    <x v="11"/>
    <n v="105.727"/>
    <x v="2012"/>
    <n v="37.576000000000001"/>
    <n v="42.720999999999997"/>
    <n v="24.954999999999998"/>
    <n v="8"/>
    <x v="1"/>
  </r>
  <r>
    <x v="5"/>
    <x v="3"/>
    <x v="3"/>
    <x v="35"/>
    <s v="PIA"/>
    <x v="3"/>
    <x v="4"/>
    <x v="10"/>
    <n v="0"/>
    <x v="1"/>
    <x v="0"/>
    <x v="11"/>
    <n v="105.631"/>
    <x v="2013"/>
    <n v="37.460999999999999"/>
    <n v="42.88"/>
    <n v="25.062000000000001"/>
    <n v="8"/>
    <x v="1"/>
  </r>
  <r>
    <x v="5"/>
    <x v="3"/>
    <x v="3"/>
    <x v="22"/>
    <s v="ALB"/>
    <x v="7"/>
    <x v="10"/>
    <x v="11"/>
    <n v="0"/>
    <x v="1"/>
    <x v="0"/>
    <x v="11"/>
    <n v="105.925"/>
    <x v="2014"/>
    <n v="37.548999999999999"/>
    <n v="43.149000000000001"/>
    <n v="24.994"/>
    <n v="7"/>
    <x v="1"/>
  </r>
  <r>
    <x v="5"/>
    <x v="3"/>
    <x v="3"/>
    <x v="16"/>
    <s v="MAG"/>
    <x v="9"/>
    <x v="14"/>
    <x v="12"/>
    <n v="0"/>
    <x v="1"/>
    <x v="0"/>
    <x v="11"/>
    <n v="105.85"/>
    <x v="2015"/>
    <n v="37.78"/>
    <n v="42.898000000000003"/>
    <n v="24.97"/>
    <n v="10"/>
    <x v="1"/>
  </r>
  <r>
    <x v="5"/>
    <x v="3"/>
    <x v="3"/>
    <x v="17"/>
    <s v="GAS"/>
    <x v="14"/>
    <x v="18"/>
    <x v="13"/>
    <n v="0"/>
    <x v="1"/>
    <x v="0"/>
    <x v="11"/>
    <n v="105.54"/>
    <x v="2016"/>
    <n v="37.395000000000003"/>
    <n v="42.91"/>
    <n v="25.074000000000002"/>
    <s v="5,23"/>
    <x v="1"/>
  </r>
  <r>
    <x v="5"/>
    <x v="3"/>
    <x v="3"/>
    <x v="11"/>
    <s v="OCO"/>
    <x v="14"/>
    <x v="19"/>
    <x v="14"/>
    <n v="0"/>
    <x v="1"/>
    <x v="0"/>
    <x v="11"/>
    <n v="105.908"/>
    <x v="2017"/>
    <n v="37.405000000000001"/>
    <n v="43.093000000000004"/>
    <n v="25.283000000000001"/>
    <n v="50"/>
    <x v="1"/>
  </r>
  <r>
    <x v="5"/>
    <x v="3"/>
    <x v="3"/>
    <x v="34"/>
    <s v="SAR"/>
    <x v="7"/>
    <x v="11"/>
    <x v="15"/>
    <n v="0"/>
    <x v="1"/>
    <x v="0"/>
    <x v="11"/>
    <n v="106.501"/>
    <x v="2018"/>
    <n v="37.521000000000001"/>
    <n v="43.531999999999996"/>
    <n v="25.131"/>
    <n v="8"/>
    <x v="1"/>
  </r>
  <r>
    <x v="5"/>
    <x v="3"/>
    <x v="3"/>
    <x v="6"/>
    <s v="HUL"/>
    <x v="9"/>
    <x v="17"/>
    <x v="16"/>
    <n v="0"/>
    <x v="1"/>
    <x v="52"/>
    <x v="43"/>
    <n v="106.73099999999999"/>
    <x v="2019"/>
    <n v="37.831000000000003"/>
    <n v="43.484999999999999"/>
    <n v="25.184999999999999"/>
    <n v="49"/>
    <x v="1"/>
  </r>
  <r>
    <x v="5"/>
    <x v="3"/>
    <x v="3"/>
    <x v="7"/>
    <s v="BOT"/>
    <x v="15"/>
    <x v="13"/>
    <x v="17"/>
    <n v="0"/>
    <x v="1"/>
    <x v="52"/>
    <x v="43"/>
    <n v="106.304"/>
    <x v="2020"/>
    <n v="37.728999999999999"/>
    <n v="42.942"/>
    <n v="25.335999999999999"/>
    <s v="6,12,34"/>
    <x v="1"/>
  </r>
  <r>
    <x v="5"/>
    <x v="3"/>
    <x v="3"/>
    <x v="32"/>
    <s v="ZHO"/>
    <x v="15"/>
    <x v="7"/>
    <x v="18"/>
    <n v="0"/>
    <x v="1"/>
    <x v="21"/>
    <x v="74"/>
    <n v="107.553"/>
    <x v="2021"/>
    <n v="38.195"/>
    <n v="43.716000000000001"/>
    <n v="25.295999999999999"/>
    <s v="11,36"/>
    <x v="1"/>
  </r>
  <r>
    <x v="5"/>
    <x v="3"/>
    <x v="3"/>
    <x v="33"/>
    <s v="DEV"/>
    <x v="12"/>
    <x v="12"/>
    <x v="19"/>
    <n v="0"/>
    <x v="1"/>
    <x v="21"/>
    <x v="58"/>
    <n v="108.78100000000001"/>
    <x v="2022"/>
    <n v="38.654000000000003"/>
    <n v="44.579000000000001"/>
    <n v="25.396999999999998"/>
    <m/>
    <x v="1"/>
  </r>
  <r>
    <x v="5"/>
    <x v="4"/>
    <x v="34"/>
    <x v="5"/>
    <s v="VER"/>
    <x v="2"/>
    <x v="9"/>
    <x v="0"/>
    <n v="26"/>
    <x v="0"/>
    <x v="0"/>
    <x v="1"/>
    <n v="89.707999999999998"/>
    <x v="2023"/>
    <n v="30.233000000000001"/>
    <n v="34.097999999999999"/>
    <n v="25.376999999999999"/>
    <n v="45"/>
    <x v="1"/>
  </r>
  <r>
    <x v="5"/>
    <x v="4"/>
    <x v="34"/>
    <x v="10"/>
    <s v="PER"/>
    <x v="2"/>
    <x v="1"/>
    <x v="1"/>
    <n v="18"/>
    <x v="0"/>
    <x v="0"/>
    <x v="1"/>
    <n v="90.56"/>
    <x v="2024"/>
    <n v="30.440999999999999"/>
    <n v="34.356000000000002"/>
    <n v="25.427"/>
    <n v="20"/>
    <x v="1"/>
  </r>
  <r>
    <x v="5"/>
    <x v="4"/>
    <x v="34"/>
    <x v="4"/>
    <s v="ALO"/>
    <x v="13"/>
    <x v="2"/>
    <x v="2"/>
    <n v="15"/>
    <x v="0"/>
    <x v="0"/>
    <x v="1"/>
    <n v="90.519000000000005"/>
    <x v="2025"/>
    <n v="30.434999999999999"/>
    <n v="34.582999999999998"/>
    <n v="25.501000000000001"/>
    <n v="24"/>
    <x v="1"/>
  </r>
  <r>
    <x v="5"/>
    <x v="4"/>
    <x v="34"/>
    <x v="24"/>
    <s v="RUS"/>
    <x v="1"/>
    <x v="15"/>
    <x v="3"/>
    <n v="12"/>
    <x v="1"/>
    <x v="0"/>
    <x v="1"/>
    <n v="91.015000000000001"/>
    <x v="2026"/>
    <n v="30.626000000000001"/>
    <n v="34.587000000000003"/>
    <n v="25.593"/>
    <n v="17"/>
    <x v="1"/>
  </r>
  <r>
    <x v="5"/>
    <x v="4"/>
    <x v="34"/>
    <x v="9"/>
    <s v="SAI"/>
    <x v="0"/>
    <x v="0"/>
    <x v="4"/>
    <n v="10"/>
    <x v="1"/>
    <x v="0"/>
    <x v="1"/>
    <n v="91.361999999999995"/>
    <x v="2027"/>
    <n v="30.94"/>
    <n v="34.64"/>
    <n v="25.632000000000001"/>
    <n v="18"/>
    <x v="1"/>
  </r>
  <r>
    <x v="5"/>
    <x v="4"/>
    <x v="34"/>
    <x v="1"/>
    <s v="HAM"/>
    <x v="1"/>
    <x v="13"/>
    <x v="5"/>
    <n v="8"/>
    <x v="1"/>
    <x v="0"/>
    <x v="1"/>
    <n v="90.668999999999997"/>
    <x v="2028"/>
    <n v="30.349"/>
    <n v="34.25"/>
    <n v="25.425000000000001"/>
    <n v="37"/>
    <x v="1"/>
  </r>
  <r>
    <x v="5"/>
    <x v="4"/>
    <x v="34"/>
    <x v="12"/>
    <s v="LEC"/>
    <x v="0"/>
    <x v="6"/>
    <x v="6"/>
    <n v="6"/>
    <x v="1"/>
    <x v="0"/>
    <x v="1"/>
    <n v="91.433999999999997"/>
    <x v="2029"/>
    <n v="30.867000000000001"/>
    <n v="34.698"/>
    <n v="25.43"/>
    <n v="17"/>
    <x v="1"/>
  </r>
  <r>
    <x v="5"/>
    <x v="4"/>
    <x v="34"/>
    <x v="17"/>
    <s v="GAS"/>
    <x v="14"/>
    <x v="16"/>
    <x v="7"/>
    <n v="4"/>
    <x v="1"/>
    <x v="0"/>
    <x v="1"/>
    <n v="91.971000000000004"/>
    <x v="2030"/>
    <n v="31.061"/>
    <n v="34.761000000000003"/>
    <n v="25.734000000000002"/>
    <n v="15"/>
    <x v="1"/>
  </r>
  <r>
    <x v="5"/>
    <x v="4"/>
    <x v="34"/>
    <x v="11"/>
    <s v="OCO"/>
    <x v="14"/>
    <x v="3"/>
    <x v="8"/>
    <n v="2"/>
    <x v="1"/>
    <x v="0"/>
    <x v="1"/>
    <n v="91.143000000000001"/>
    <x v="2031"/>
    <n v="30.724"/>
    <n v="34.75"/>
    <n v="25.536999999999999"/>
    <n v="39"/>
    <x v="1"/>
  </r>
  <r>
    <x v="5"/>
    <x v="4"/>
    <x v="34"/>
    <x v="16"/>
    <s v="MAG"/>
    <x v="9"/>
    <x v="5"/>
    <x v="9"/>
    <n v="1"/>
    <x v="1"/>
    <x v="0"/>
    <x v="1"/>
    <n v="91.691000000000003"/>
    <x v="2032"/>
    <n v="30.922999999999998"/>
    <n v="34.906999999999996"/>
    <n v="25.478000000000002"/>
    <n v="14"/>
    <x v="1"/>
  </r>
  <r>
    <x v="5"/>
    <x v="4"/>
    <x v="34"/>
    <x v="29"/>
    <s v="TSU"/>
    <x v="12"/>
    <x v="18"/>
    <x v="10"/>
    <n v="0"/>
    <x v="1"/>
    <x v="0"/>
    <x v="1"/>
    <n v="91.037999999999997"/>
    <x v="2033"/>
    <n v="30.756"/>
    <n v="34.619"/>
    <n v="25.498999999999999"/>
    <n v="36"/>
    <x v="1"/>
  </r>
  <r>
    <x v="5"/>
    <x v="4"/>
    <x v="34"/>
    <x v="13"/>
    <s v="STR"/>
    <x v="13"/>
    <x v="12"/>
    <x v="11"/>
    <n v="0"/>
    <x v="1"/>
    <x v="0"/>
    <x v="1"/>
    <n v="90.861999999999995"/>
    <x v="2034"/>
    <n v="30.765000000000001"/>
    <n v="34.542000000000002"/>
    <n v="25.326000000000001"/>
    <n v="42"/>
    <x v="1"/>
  </r>
  <r>
    <x v="5"/>
    <x v="4"/>
    <x v="34"/>
    <x v="7"/>
    <s v="BOT"/>
    <x v="15"/>
    <x v="4"/>
    <x v="12"/>
    <n v="0"/>
    <x v="1"/>
    <x v="0"/>
    <x v="1"/>
    <n v="91.837999999999994"/>
    <x v="2035"/>
    <n v="30.911000000000001"/>
    <n v="34.921999999999997"/>
    <n v="25.829000000000001"/>
    <n v="15"/>
    <x v="1"/>
  </r>
  <r>
    <x v="5"/>
    <x v="4"/>
    <x v="34"/>
    <x v="22"/>
    <s v="ALB"/>
    <x v="7"/>
    <x v="8"/>
    <x v="13"/>
    <n v="0"/>
    <x v="1"/>
    <x v="0"/>
    <x v="1"/>
    <n v="91.852000000000004"/>
    <x v="2036"/>
    <n v="31.207000000000001"/>
    <n v="34.755000000000003"/>
    <n v="25.733000000000001"/>
    <n v="22"/>
    <x v="1"/>
  </r>
  <r>
    <x v="5"/>
    <x v="4"/>
    <x v="34"/>
    <x v="6"/>
    <s v="HUL"/>
    <x v="9"/>
    <x v="10"/>
    <x v="14"/>
    <n v="0"/>
    <x v="1"/>
    <x v="0"/>
    <x v="1"/>
    <n v="90.900999999999996"/>
    <x v="2037"/>
    <n v="30.905000000000001"/>
    <n v="34.514000000000003"/>
    <n v="25.446999999999999"/>
    <n v="33"/>
    <x v="1"/>
  </r>
  <r>
    <x v="5"/>
    <x v="4"/>
    <x v="34"/>
    <x v="32"/>
    <s v="ZHO"/>
    <x v="15"/>
    <x v="11"/>
    <x v="15"/>
    <n v="0"/>
    <x v="1"/>
    <x v="0"/>
    <x v="1"/>
    <n v="91.736000000000004"/>
    <x v="2038"/>
    <n v="30.96"/>
    <n v="34.692999999999998"/>
    <n v="25.678000000000001"/>
    <n v="31"/>
    <x v="1"/>
  </r>
  <r>
    <x v="5"/>
    <x v="4"/>
    <x v="34"/>
    <x v="21"/>
    <s v="NOR"/>
    <x v="3"/>
    <x v="14"/>
    <x v="16"/>
    <n v="0"/>
    <x v="1"/>
    <x v="0"/>
    <x v="1"/>
    <n v="92.400999999999996"/>
    <x v="2039"/>
    <n v="31.137"/>
    <n v="35.081000000000003"/>
    <n v="25.757999999999999"/>
    <n v="4"/>
    <x v="1"/>
  </r>
  <r>
    <x v="5"/>
    <x v="4"/>
    <x v="34"/>
    <x v="33"/>
    <s v="DEV"/>
    <x v="12"/>
    <x v="7"/>
    <x v="17"/>
    <n v="0"/>
    <x v="1"/>
    <x v="0"/>
    <x v="1"/>
    <n v="91.561999999999998"/>
    <x v="2040"/>
    <n v="30.768000000000001"/>
    <n v="34.978000000000002"/>
    <n v="25.815999999999999"/>
    <n v="15"/>
    <x v="1"/>
  </r>
  <r>
    <x v="5"/>
    <x v="4"/>
    <x v="34"/>
    <x v="35"/>
    <s v="PIA"/>
    <x v="3"/>
    <x v="19"/>
    <x v="18"/>
    <n v="0"/>
    <x v="1"/>
    <x v="52"/>
    <x v="7"/>
    <n v="92.006"/>
    <x v="2041"/>
    <n v="31.088999999999999"/>
    <n v="35.036999999999999"/>
    <n v="25.870999999999999"/>
    <n v="5"/>
    <x v="1"/>
  </r>
  <r>
    <x v="5"/>
    <x v="4"/>
    <x v="34"/>
    <x v="34"/>
    <s v="SAR"/>
    <x v="7"/>
    <x v="17"/>
    <x v="19"/>
    <n v="0"/>
    <x v="1"/>
    <x v="52"/>
    <x v="7"/>
    <n v="92.384"/>
    <x v="2042"/>
    <n v="31.372"/>
    <n v="34.954999999999998"/>
    <n v="25.783000000000001"/>
    <n v="2"/>
    <x v="1"/>
  </r>
  <r>
    <x v="5"/>
    <x v="5"/>
    <x v="5"/>
    <x v="5"/>
    <s v="VER"/>
    <x v="2"/>
    <x v="1"/>
    <x v="0"/>
    <n v="25"/>
    <x v="0"/>
    <x v="0"/>
    <x v="24"/>
    <n v="76.603999999999999"/>
    <x v="2043"/>
    <n v="19.913"/>
    <n v="36.052999999999997"/>
    <n v="20.32"/>
    <n v="55"/>
    <x v="0"/>
  </r>
  <r>
    <x v="5"/>
    <x v="5"/>
    <x v="5"/>
    <x v="4"/>
    <s v="ALO"/>
    <x v="13"/>
    <x v="2"/>
    <x v="1"/>
    <n v="18"/>
    <x v="0"/>
    <x v="0"/>
    <x v="24"/>
    <n v="76.674000000000007"/>
    <x v="2044"/>
    <n v="19.800999999999998"/>
    <n v="36.332000000000001"/>
    <n v="20.347999999999999"/>
    <s v="54,55"/>
    <x v="0"/>
  </r>
  <r>
    <x v="5"/>
    <x v="5"/>
    <x v="5"/>
    <x v="11"/>
    <s v="OCO"/>
    <x v="14"/>
    <x v="0"/>
    <x v="2"/>
    <n v="15"/>
    <x v="0"/>
    <x v="0"/>
    <x v="24"/>
    <n v="76.528000000000006"/>
    <x v="2045"/>
    <n v="19.931999999999999"/>
    <n v="35.987000000000002"/>
    <n v="20.463000000000001"/>
    <s v="32,54"/>
    <x v="0"/>
  </r>
  <r>
    <x v="5"/>
    <x v="5"/>
    <x v="5"/>
    <x v="1"/>
    <s v="HAM"/>
    <x v="1"/>
    <x v="16"/>
    <x v="3"/>
    <n v="13"/>
    <x v="1"/>
    <x v="0"/>
    <x v="24"/>
    <n v="75.650000000000006"/>
    <x v="2046"/>
    <n v="19.760000000000002"/>
    <n v="35.646999999999998"/>
    <n v="20.242999999999999"/>
    <s v="31,54"/>
    <x v="0"/>
  </r>
  <r>
    <x v="5"/>
    <x v="5"/>
    <x v="5"/>
    <x v="24"/>
    <s v="RUS"/>
    <x v="1"/>
    <x v="3"/>
    <x v="4"/>
    <n v="10"/>
    <x v="1"/>
    <x v="0"/>
    <x v="24"/>
    <n v="76.798000000000002"/>
    <x v="2047"/>
    <n v="19.925000000000001"/>
    <n v="36.259"/>
    <n v="20.469000000000001"/>
    <n v="54"/>
    <x v="0"/>
  </r>
  <r>
    <x v="5"/>
    <x v="5"/>
    <x v="5"/>
    <x v="12"/>
    <s v="LEC"/>
    <x v="0"/>
    <x v="15"/>
    <x v="5"/>
    <n v="8"/>
    <x v="1"/>
    <x v="0"/>
    <x v="24"/>
    <n v="75.772999999999996"/>
    <x v="2048"/>
    <n v="19.73"/>
    <n v="35.718000000000004"/>
    <n v="20.059000000000001"/>
    <s v="44,55"/>
    <x v="0"/>
  </r>
  <r>
    <x v="5"/>
    <x v="5"/>
    <x v="5"/>
    <x v="17"/>
    <s v="GAS"/>
    <x v="14"/>
    <x v="6"/>
    <x v="6"/>
    <n v="6"/>
    <x v="1"/>
    <x v="0"/>
    <x v="24"/>
    <n v="75.831000000000003"/>
    <x v="2049"/>
    <n v="19.843"/>
    <n v="35.628"/>
    <n v="20.282"/>
    <s v="47,54"/>
    <x v="0"/>
  </r>
  <r>
    <x v="5"/>
    <x v="5"/>
    <x v="5"/>
    <x v="9"/>
    <s v="SAI"/>
    <x v="0"/>
    <x v="5"/>
    <x v="7"/>
    <n v="4"/>
    <x v="1"/>
    <x v="0"/>
    <x v="24"/>
    <n v="76.448999999999998"/>
    <x v="2050"/>
    <n v="19.911000000000001"/>
    <n v="36.003"/>
    <n v="20.262"/>
    <s v="33,55"/>
    <x v="0"/>
  </r>
  <r>
    <x v="5"/>
    <x v="5"/>
    <x v="5"/>
    <x v="21"/>
    <s v="NOR"/>
    <x v="3"/>
    <x v="4"/>
    <x v="8"/>
    <n v="2"/>
    <x v="1"/>
    <x v="52"/>
    <x v="25"/>
    <n v="77.843999999999994"/>
    <x v="2051"/>
    <n v="20.257999999999999"/>
    <n v="36.814"/>
    <n v="20.597000000000001"/>
    <s v="50,54"/>
    <x v="0"/>
  </r>
  <r>
    <x v="5"/>
    <x v="5"/>
    <x v="5"/>
    <x v="35"/>
    <s v="PIA"/>
    <x v="3"/>
    <x v="8"/>
    <x v="9"/>
    <n v="1"/>
    <x v="1"/>
    <x v="52"/>
    <x v="25"/>
    <n v="77.513000000000005"/>
    <x v="2052"/>
    <n v="20.001000000000001"/>
    <n v="36.643000000000001"/>
    <n v="20.579000000000001"/>
    <n v="54"/>
    <x v="0"/>
  </r>
  <r>
    <x v="5"/>
    <x v="5"/>
    <x v="5"/>
    <x v="7"/>
    <s v="BOT"/>
    <x v="15"/>
    <x v="7"/>
    <x v="10"/>
    <n v="0"/>
    <x v="1"/>
    <x v="52"/>
    <x v="25"/>
    <n v="77.823999999999998"/>
    <x v="2053"/>
    <n v="20.221"/>
    <n v="36.607999999999997"/>
    <n v="20.638000000000002"/>
    <n v="51"/>
    <x v="0"/>
  </r>
  <r>
    <x v="5"/>
    <x v="5"/>
    <x v="5"/>
    <x v="33"/>
    <s v="DEV"/>
    <x v="12"/>
    <x v="10"/>
    <x v="11"/>
    <n v="0"/>
    <x v="1"/>
    <x v="52"/>
    <x v="25"/>
    <n v="77.561000000000007"/>
    <x v="2054"/>
    <n v="20.210999999999999"/>
    <n v="36.57"/>
    <n v="20.573"/>
    <n v="53"/>
    <x v="0"/>
  </r>
  <r>
    <x v="5"/>
    <x v="5"/>
    <x v="5"/>
    <x v="32"/>
    <s v="ZHO"/>
    <x v="15"/>
    <x v="19"/>
    <x v="12"/>
    <n v="0"/>
    <x v="1"/>
    <x v="52"/>
    <x v="25"/>
    <n v="76.926000000000002"/>
    <x v="2055"/>
    <n v="20.260000000000002"/>
    <n v="36.051000000000002"/>
    <n v="20.495999999999999"/>
    <s v="1,52"/>
    <x v="0"/>
  </r>
  <r>
    <x v="5"/>
    <x v="5"/>
    <x v="5"/>
    <x v="22"/>
    <s v="ALB"/>
    <x v="7"/>
    <x v="13"/>
    <x v="13"/>
    <n v="0"/>
    <x v="1"/>
    <x v="52"/>
    <x v="25"/>
    <n v="76.671999999999997"/>
    <x v="2056"/>
    <n v="20.193999999999999"/>
    <n v="36.015000000000001"/>
    <n v="20.384"/>
    <s v="18,52"/>
    <x v="0"/>
  </r>
  <r>
    <x v="5"/>
    <x v="5"/>
    <x v="5"/>
    <x v="29"/>
    <s v="TSU"/>
    <x v="12"/>
    <x v="9"/>
    <x v="14"/>
    <n v="0"/>
    <x v="1"/>
    <x v="52"/>
    <x v="26"/>
    <n v="77.680000000000007"/>
    <x v="2057"/>
    <n v="20.294"/>
    <n v="36.521999999999998"/>
    <n v="20.702999999999999"/>
    <n v="53"/>
    <x v="0"/>
  </r>
  <r>
    <x v="5"/>
    <x v="5"/>
    <x v="5"/>
    <x v="10"/>
    <s v="PER"/>
    <x v="2"/>
    <x v="17"/>
    <x v="15"/>
    <n v="0"/>
    <x v="1"/>
    <x v="52"/>
    <x v="26"/>
    <n v="76.269000000000005"/>
    <x v="2058"/>
    <n v="19.978999999999999"/>
    <n v="35.734000000000002"/>
    <n v="20.241"/>
    <s v="1,34,53,57,70"/>
    <x v="0"/>
  </r>
  <r>
    <x v="5"/>
    <x v="5"/>
    <x v="5"/>
    <x v="6"/>
    <s v="HUL"/>
    <x v="9"/>
    <x v="12"/>
    <x v="16"/>
    <n v="0"/>
    <x v="1"/>
    <x v="52"/>
    <x v="26"/>
    <n v="76.991"/>
    <x v="2059"/>
    <n v="20.215"/>
    <n v="35.951000000000001"/>
    <n v="20.425999999999998"/>
    <s v="1,54,59"/>
    <x v="0"/>
  </r>
  <r>
    <x v="5"/>
    <x v="5"/>
    <x v="5"/>
    <x v="34"/>
    <s v="SAR"/>
    <x v="7"/>
    <x v="14"/>
    <x v="17"/>
    <n v="0"/>
    <x v="1"/>
    <x v="52"/>
    <x v="26"/>
    <n v="77.302000000000007"/>
    <x v="2060"/>
    <n v="20.076000000000001"/>
    <n v="36.457999999999998"/>
    <n v="20.443999999999999"/>
    <s v="20,23,52"/>
    <x v="0"/>
  </r>
  <r>
    <x v="5"/>
    <x v="5"/>
    <x v="5"/>
    <x v="16"/>
    <s v="MAG"/>
    <x v="9"/>
    <x v="18"/>
    <x v="18"/>
    <n v="0"/>
    <x v="1"/>
    <x v="21"/>
    <x v="27"/>
    <n v="78.350999999999999"/>
    <x v="2061"/>
    <n v="20.231000000000002"/>
    <n v="36.962000000000003"/>
    <n v="20.797999999999998"/>
    <s v="56,71"/>
    <x v="0"/>
  </r>
  <r>
    <x v="5"/>
    <x v="5"/>
    <x v="5"/>
    <x v="13"/>
    <s v="STR"/>
    <x v="13"/>
    <x v="11"/>
    <x v="19"/>
    <n v="0"/>
    <x v="1"/>
    <x v="21"/>
    <x v="36"/>
    <n v="77.769000000000005"/>
    <x v="2062"/>
    <n v="20.145"/>
    <n v="36.546999999999997"/>
    <n v="20.736999999999998"/>
    <n v="51"/>
    <x v="0"/>
  </r>
  <r>
    <x v="5"/>
    <x v="6"/>
    <x v="4"/>
    <x v="5"/>
    <s v="VER"/>
    <x v="2"/>
    <x v="1"/>
    <x v="0"/>
    <n v="26"/>
    <x v="0"/>
    <x v="0"/>
    <x v="17"/>
    <n v="76.33"/>
    <x v="2063"/>
    <n v="22.706"/>
    <n v="30.588999999999999"/>
    <n v="23.035"/>
    <s v="26,52"/>
    <x v="1"/>
  </r>
  <r>
    <x v="5"/>
    <x v="6"/>
    <x v="4"/>
    <x v="1"/>
    <s v="HAM"/>
    <x v="1"/>
    <x v="5"/>
    <x v="1"/>
    <n v="18"/>
    <x v="0"/>
    <x v="0"/>
    <x v="17"/>
    <n v="76.676000000000002"/>
    <x v="2064"/>
    <n v="22.513999999999999"/>
    <n v="30.954999999999998"/>
    <n v="23.207000000000001"/>
    <s v="24,50"/>
    <x v="1"/>
  </r>
  <r>
    <x v="5"/>
    <x v="6"/>
    <x v="4"/>
    <x v="24"/>
    <s v="RUS"/>
    <x v="1"/>
    <x v="10"/>
    <x v="2"/>
    <n v="15"/>
    <x v="0"/>
    <x v="0"/>
    <x v="17"/>
    <n v="77.875"/>
    <x v="2065"/>
    <n v="22.867999999999999"/>
    <n v="31.123000000000001"/>
    <n v="23.367000000000001"/>
    <s v="25,45"/>
    <x v="1"/>
  </r>
  <r>
    <x v="5"/>
    <x v="6"/>
    <x v="4"/>
    <x v="10"/>
    <s v="PER"/>
    <x v="2"/>
    <x v="8"/>
    <x v="3"/>
    <n v="12"/>
    <x v="1"/>
    <x v="0"/>
    <x v="17"/>
    <n v="76.665999999999997"/>
    <x v="2066"/>
    <n v="22.940999999999999"/>
    <n v="30.792000000000002"/>
    <n v="22.716999999999999"/>
    <s v="27,50"/>
    <x v="1"/>
  </r>
  <r>
    <x v="5"/>
    <x v="6"/>
    <x v="4"/>
    <x v="9"/>
    <s v="SAI"/>
    <x v="0"/>
    <x v="2"/>
    <x v="4"/>
    <n v="10"/>
    <x v="1"/>
    <x v="0"/>
    <x v="17"/>
    <n v="78.403000000000006"/>
    <x v="2067"/>
    <n v="23.283000000000001"/>
    <n v="31.454000000000001"/>
    <n v="23.472000000000001"/>
    <s v="15,41"/>
    <x v="1"/>
  </r>
  <r>
    <x v="5"/>
    <x v="6"/>
    <x v="4"/>
    <x v="13"/>
    <s v="STR"/>
    <x v="13"/>
    <x v="16"/>
    <x v="5"/>
    <n v="8"/>
    <x v="1"/>
    <x v="0"/>
    <x v="17"/>
    <n v="78.721999999999994"/>
    <x v="2068"/>
    <n v="23.321999999999999"/>
    <n v="31.678999999999998"/>
    <n v="23.645"/>
    <s v="14,34"/>
    <x v="1"/>
  </r>
  <r>
    <x v="5"/>
    <x v="6"/>
    <x v="4"/>
    <x v="4"/>
    <s v="ALO"/>
    <x v="13"/>
    <x v="3"/>
    <x v="6"/>
    <n v="6"/>
    <x v="1"/>
    <x v="0"/>
    <x v="17"/>
    <n v="78.082999999999998"/>
    <x v="2069"/>
    <n v="22.891999999999999"/>
    <n v="31.32"/>
    <n v="23.402999999999999"/>
    <s v="19,44"/>
    <x v="1"/>
  </r>
  <r>
    <x v="5"/>
    <x v="6"/>
    <x v="4"/>
    <x v="11"/>
    <s v="OCO"/>
    <x v="14"/>
    <x v="15"/>
    <x v="7"/>
    <n v="4"/>
    <x v="1"/>
    <x v="0"/>
    <x v="17"/>
    <n v="78.945999999999998"/>
    <x v="2070"/>
    <n v="23.292000000000002"/>
    <n v="31.731999999999999"/>
    <n v="23.701000000000001"/>
    <s v="13,35"/>
    <x v="1"/>
  </r>
  <r>
    <x v="5"/>
    <x v="6"/>
    <x v="4"/>
    <x v="32"/>
    <s v="ZHO"/>
    <x v="15"/>
    <x v="13"/>
    <x v="8"/>
    <n v="2"/>
    <x v="1"/>
    <x v="0"/>
    <x v="17"/>
    <n v="78.753"/>
    <x v="2071"/>
    <n v="23.013999999999999"/>
    <n v="31.460999999999999"/>
    <n v="23.558"/>
    <s v="9,36"/>
    <x v="1"/>
  </r>
  <r>
    <x v="5"/>
    <x v="6"/>
    <x v="4"/>
    <x v="17"/>
    <s v="GAS"/>
    <x v="14"/>
    <x v="4"/>
    <x v="9"/>
    <n v="1"/>
    <x v="1"/>
    <x v="0"/>
    <x v="17"/>
    <n v="78.375"/>
    <x v="2072"/>
    <n v="23.236000000000001"/>
    <n v="31.655000000000001"/>
    <n v="23.405000000000001"/>
    <s v="19,39"/>
    <x v="1"/>
  </r>
  <r>
    <x v="5"/>
    <x v="6"/>
    <x v="4"/>
    <x v="12"/>
    <s v="LEC"/>
    <x v="0"/>
    <x v="19"/>
    <x v="10"/>
    <n v="0"/>
    <x v="1"/>
    <x v="0"/>
    <x v="17"/>
    <n v="78.356999999999999"/>
    <x v="2073"/>
    <n v="23.007999999999999"/>
    <n v="31.338000000000001"/>
    <n v="23.545000000000002"/>
    <s v="16,41"/>
    <x v="1"/>
  </r>
  <r>
    <x v="5"/>
    <x v="6"/>
    <x v="4"/>
    <x v="29"/>
    <s v="TSU"/>
    <x v="12"/>
    <x v="7"/>
    <x v="11"/>
    <n v="0"/>
    <x v="1"/>
    <x v="0"/>
    <x v="17"/>
    <n v="78.903999999999996"/>
    <x v="2074"/>
    <n v="23.311"/>
    <n v="31.628"/>
    <n v="23.713999999999999"/>
    <s v="10,34"/>
    <x v="1"/>
  </r>
  <r>
    <x v="5"/>
    <x v="6"/>
    <x v="4"/>
    <x v="35"/>
    <s v="PIA"/>
    <x v="3"/>
    <x v="9"/>
    <x v="12"/>
    <n v="0"/>
    <x v="1"/>
    <x v="52"/>
    <x v="18"/>
    <n v="78.679000000000002"/>
    <x v="2075"/>
    <n v="23.367999999999999"/>
    <n v="31.523"/>
    <n v="23.57"/>
    <s v="17,39"/>
    <x v="1"/>
  </r>
  <r>
    <x v="5"/>
    <x v="6"/>
    <x v="4"/>
    <x v="33"/>
    <s v="DEV"/>
    <x v="12"/>
    <x v="11"/>
    <x v="13"/>
    <n v="0"/>
    <x v="1"/>
    <x v="52"/>
    <x v="18"/>
    <n v="78.593999999999994"/>
    <x v="2076"/>
    <n v="23.187999999999999"/>
    <n v="31.576000000000001"/>
    <n v="23.701000000000001"/>
    <s v="9,38"/>
    <x v="1"/>
  </r>
  <r>
    <x v="5"/>
    <x v="6"/>
    <x v="4"/>
    <x v="6"/>
    <s v="HUL"/>
    <x v="9"/>
    <x v="6"/>
    <x v="14"/>
    <n v="0"/>
    <x v="1"/>
    <x v="52"/>
    <x v="18"/>
    <n v="78.775999999999996"/>
    <x v="2077"/>
    <n v="22.959"/>
    <n v="31.631"/>
    <n v="23.535"/>
    <s v="8,26,43"/>
    <x v="1"/>
  </r>
  <r>
    <x v="5"/>
    <x v="6"/>
    <x v="4"/>
    <x v="22"/>
    <s v="ALB"/>
    <x v="7"/>
    <x v="12"/>
    <x v="15"/>
    <n v="0"/>
    <x v="1"/>
    <x v="52"/>
    <x v="18"/>
    <n v="79.132999999999996"/>
    <x v="2078"/>
    <n v="23.312000000000001"/>
    <n v="31.763999999999999"/>
    <n v="23.798999999999999"/>
    <s v="16,37"/>
    <x v="1"/>
  </r>
  <r>
    <x v="5"/>
    <x v="6"/>
    <x v="4"/>
    <x v="21"/>
    <s v="NOR"/>
    <x v="3"/>
    <x v="0"/>
    <x v="16"/>
    <n v="0"/>
    <x v="1"/>
    <x v="52"/>
    <x v="18"/>
    <n v="77.182000000000002"/>
    <x v="2079"/>
    <n v="22.638999999999999"/>
    <n v="31.053000000000001"/>
    <n v="23.411999999999999"/>
    <s v="1,22,50"/>
    <x v="1"/>
  </r>
  <r>
    <x v="5"/>
    <x v="6"/>
    <x v="4"/>
    <x v="16"/>
    <s v="MAG"/>
    <x v="9"/>
    <x v="18"/>
    <x v="17"/>
    <n v="0"/>
    <x v="1"/>
    <x v="52"/>
    <x v="18"/>
    <n v="78.069000000000003"/>
    <x v="2080"/>
    <n v="23.03"/>
    <n v="31.318999999999999"/>
    <n v="23.4"/>
    <s v="10,24,42"/>
    <x v="1"/>
  </r>
  <r>
    <x v="5"/>
    <x v="6"/>
    <x v="4"/>
    <x v="7"/>
    <s v="BOT"/>
    <x v="15"/>
    <x v="14"/>
    <x v="18"/>
    <n v="0"/>
    <x v="1"/>
    <x v="52"/>
    <x v="18"/>
    <n v="78.242000000000004"/>
    <x v="2081"/>
    <n v="22.949000000000002"/>
    <n v="31.402000000000001"/>
    <n v="23.8"/>
    <s v="5,39"/>
    <x v="1"/>
  </r>
  <r>
    <x v="5"/>
    <x v="6"/>
    <x v="4"/>
    <x v="34"/>
    <s v="SAR"/>
    <x v="7"/>
    <x v="17"/>
    <x v="19"/>
    <n v="0"/>
    <x v="1"/>
    <x v="52"/>
    <x v="18"/>
    <n v="79.247"/>
    <x v="2082"/>
    <n v="23.448"/>
    <n v="31.850999999999999"/>
    <n v="23.841999999999999"/>
    <s v="17,36"/>
    <x v="1"/>
  </r>
  <r>
    <x v="5"/>
    <x v="7"/>
    <x v="6"/>
    <x v="5"/>
    <s v="VER"/>
    <x v="2"/>
    <x v="1"/>
    <x v="0"/>
    <n v="25"/>
    <x v="0"/>
    <x v="0"/>
    <x v="29"/>
    <n v="75.593999999999994"/>
    <x v="2083"/>
    <n v="20.978999999999999"/>
    <n v="24.047999999999998"/>
    <n v="30.128"/>
    <s v="12,42"/>
    <x v="1"/>
  </r>
  <r>
    <x v="5"/>
    <x v="7"/>
    <x v="6"/>
    <x v="4"/>
    <s v="ALO"/>
    <x v="13"/>
    <x v="2"/>
    <x v="1"/>
    <n v="18"/>
    <x v="0"/>
    <x v="0"/>
    <x v="29"/>
    <n v="75.778999999999996"/>
    <x v="2084"/>
    <n v="20.901"/>
    <n v="24.105"/>
    <n v="30.571999999999999"/>
    <s v="12,41"/>
    <x v="1"/>
  </r>
  <r>
    <x v="5"/>
    <x v="7"/>
    <x v="6"/>
    <x v="1"/>
    <s v="HAM"/>
    <x v="1"/>
    <x v="0"/>
    <x v="2"/>
    <n v="15"/>
    <x v="0"/>
    <x v="0"/>
    <x v="29"/>
    <n v="75.396000000000001"/>
    <x v="2085"/>
    <n v="20.768000000000001"/>
    <n v="24.05"/>
    <n v="30.516999999999999"/>
    <s v="12,40"/>
    <x v="1"/>
  </r>
  <r>
    <x v="5"/>
    <x v="7"/>
    <x v="6"/>
    <x v="12"/>
    <s v="LEC"/>
    <x v="0"/>
    <x v="4"/>
    <x v="3"/>
    <n v="12"/>
    <x v="1"/>
    <x v="0"/>
    <x v="29"/>
    <n v="75.906999999999996"/>
    <x v="2086"/>
    <n v="21.027000000000001"/>
    <n v="24.266999999999999"/>
    <n v="30.215"/>
    <n v="39"/>
    <x v="1"/>
  </r>
  <r>
    <x v="5"/>
    <x v="7"/>
    <x v="6"/>
    <x v="9"/>
    <s v="SAI"/>
    <x v="0"/>
    <x v="8"/>
    <x v="4"/>
    <n v="10"/>
    <x v="1"/>
    <x v="0"/>
    <x v="29"/>
    <n v="75.911000000000001"/>
    <x v="2087"/>
    <n v="21.084"/>
    <n v="24.227"/>
    <n v="30.456"/>
    <n v="38"/>
    <x v="1"/>
  </r>
  <r>
    <x v="5"/>
    <x v="7"/>
    <x v="6"/>
    <x v="10"/>
    <s v="PER"/>
    <x v="2"/>
    <x v="10"/>
    <x v="5"/>
    <n v="9"/>
    <x v="1"/>
    <x v="0"/>
    <x v="29"/>
    <n v="74.480999999999995"/>
    <x v="2088"/>
    <n v="20.626999999999999"/>
    <n v="23.762"/>
    <n v="30.085999999999999"/>
    <s v="37,68"/>
    <x v="1"/>
  </r>
  <r>
    <x v="5"/>
    <x v="7"/>
    <x v="6"/>
    <x v="22"/>
    <s v="ALB"/>
    <x v="7"/>
    <x v="9"/>
    <x v="6"/>
    <n v="6"/>
    <x v="1"/>
    <x v="0"/>
    <x v="29"/>
    <n v="76.917000000000002"/>
    <x v="2089"/>
    <n v="21.507000000000001"/>
    <n v="24.488"/>
    <n v="30.774000000000001"/>
    <n v="12"/>
    <x v="1"/>
  </r>
  <r>
    <x v="5"/>
    <x v="7"/>
    <x v="6"/>
    <x v="11"/>
    <s v="OCO"/>
    <x v="14"/>
    <x v="15"/>
    <x v="7"/>
    <n v="4"/>
    <x v="1"/>
    <x v="0"/>
    <x v="29"/>
    <n v="76.781999999999996"/>
    <x v="2090"/>
    <n v="21.311"/>
    <n v="24.542000000000002"/>
    <n v="30.623000000000001"/>
    <s v="12,36"/>
    <x v="1"/>
  </r>
  <r>
    <x v="5"/>
    <x v="7"/>
    <x v="6"/>
    <x v="13"/>
    <s v="STR"/>
    <x v="13"/>
    <x v="14"/>
    <x v="8"/>
    <n v="2"/>
    <x v="1"/>
    <x v="0"/>
    <x v="29"/>
    <n v="76.563999999999993"/>
    <x v="2091"/>
    <n v="21.234000000000002"/>
    <n v="24.498000000000001"/>
    <n v="30.555"/>
    <s v="11,27"/>
    <x v="1"/>
  </r>
  <r>
    <x v="5"/>
    <x v="7"/>
    <x v="6"/>
    <x v="7"/>
    <s v="BOT"/>
    <x v="15"/>
    <x v="11"/>
    <x v="9"/>
    <n v="1"/>
    <x v="1"/>
    <x v="0"/>
    <x v="29"/>
    <n v="76.625"/>
    <x v="2092"/>
    <n v="21.411000000000001"/>
    <n v="24.495999999999999"/>
    <n v="30.652999999999999"/>
    <n v="36"/>
    <x v="1"/>
  </r>
  <r>
    <x v="5"/>
    <x v="7"/>
    <x v="6"/>
    <x v="35"/>
    <s v="PIA"/>
    <x v="3"/>
    <x v="3"/>
    <x v="10"/>
    <n v="0"/>
    <x v="1"/>
    <x v="0"/>
    <x v="29"/>
    <n v="76.597999999999999"/>
    <x v="2093"/>
    <n v="21.355"/>
    <n v="24.495999999999999"/>
    <n v="30.527999999999999"/>
    <s v="12,37"/>
    <x v="1"/>
  </r>
  <r>
    <x v="5"/>
    <x v="7"/>
    <x v="6"/>
    <x v="17"/>
    <s v="GAS"/>
    <x v="14"/>
    <x v="7"/>
    <x v="11"/>
    <n v="0"/>
    <x v="1"/>
    <x v="0"/>
    <x v="29"/>
    <n v="76.424999999999997"/>
    <x v="2094"/>
    <n v="21.233000000000001"/>
    <n v="24.43"/>
    <n v="30.542000000000002"/>
    <s v="10,33"/>
    <x v="1"/>
  </r>
  <r>
    <x v="5"/>
    <x v="7"/>
    <x v="6"/>
    <x v="21"/>
    <s v="NOR"/>
    <x v="3"/>
    <x v="6"/>
    <x v="12"/>
    <n v="0"/>
    <x v="1"/>
    <x v="0"/>
    <x v="29"/>
    <n v="76.373999999999995"/>
    <x v="2095"/>
    <n v="21.411000000000001"/>
    <n v="24.454000000000001"/>
    <n v="30.23"/>
    <s v="12,35"/>
    <x v="1"/>
  </r>
  <r>
    <x v="5"/>
    <x v="7"/>
    <x v="6"/>
    <x v="29"/>
    <s v="TSU"/>
    <x v="12"/>
    <x v="19"/>
    <x v="13"/>
    <n v="0"/>
    <x v="1"/>
    <x v="0"/>
    <x v="29"/>
    <n v="76.665999999999997"/>
    <x v="2096"/>
    <n v="21.367999999999999"/>
    <n v="24.393000000000001"/>
    <n v="30.645"/>
    <s v="1,34"/>
    <x v="1"/>
  </r>
  <r>
    <x v="5"/>
    <x v="7"/>
    <x v="6"/>
    <x v="6"/>
    <s v="HUL"/>
    <x v="9"/>
    <x v="16"/>
    <x v="14"/>
    <n v="0"/>
    <x v="1"/>
    <x v="52"/>
    <x v="30"/>
    <n v="77.231999999999999"/>
    <x v="2097"/>
    <n v="21.463999999999999"/>
    <n v="24.544"/>
    <n v="30.81"/>
    <s v="11,31"/>
    <x v="1"/>
  </r>
  <r>
    <x v="5"/>
    <x v="7"/>
    <x v="6"/>
    <x v="32"/>
    <s v="ZHO"/>
    <x v="15"/>
    <x v="17"/>
    <x v="15"/>
    <n v="0"/>
    <x v="1"/>
    <x v="52"/>
    <x v="30"/>
    <n v="77.09"/>
    <x v="2098"/>
    <n v="21.471"/>
    <n v="24.43"/>
    <n v="30.928999999999998"/>
    <s v="12,32"/>
    <x v="1"/>
  </r>
  <r>
    <x v="5"/>
    <x v="7"/>
    <x v="6"/>
    <x v="16"/>
    <s v="MAG"/>
    <x v="9"/>
    <x v="13"/>
    <x v="16"/>
    <n v="0"/>
    <x v="1"/>
    <x v="52"/>
    <x v="30"/>
    <n v="76.126000000000005"/>
    <x v="2099"/>
    <n v="21.23"/>
    <n v="24.375"/>
    <n v="30.477"/>
    <s v="35,53"/>
    <x v="1"/>
  </r>
  <r>
    <x v="5"/>
    <x v="7"/>
    <x v="6"/>
    <x v="33"/>
    <s v="DEV"/>
    <x v="12"/>
    <x v="18"/>
    <x v="17"/>
    <n v="0"/>
    <x v="1"/>
    <x v="52"/>
    <x v="30"/>
    <n v="76.656000000000006"/>
    <x v="2100"/>
    <n v="21.350999999999999"/>
    <n v="24.459"/>
    <n v="30.657"/>
    <s v="11,50"/>
    <x v="1"/>
  </r>
  <r>
    <x v="5"/>
    <x v="7"/>
    <x v="6"/>
    <x v="24"/>
    <s v="RUS"/>
    <x v="1"/>
    <x v="5"/>
    <x v="18"/>
    <n v="0"/>
    <x v="1"/>
    <x v="21"/>
    <x v="36"/>
    <n v="77.096999999999994"/>
    <x v="2101"/>
    <n v="21.494"/>
    <n v="24.460999999999999"/>
    <n v="30.888000000000002"/>
    <s v="12,54"/>
    <x v="1"/>
  </r>
  <r>
    <x v="5"/>
    <x v="7"/>
    <x v="6"/>
    <x v="34"/>
    <s v="SAR"/>
    <x v="7"/>
    <x v="12"/>
    <x v="19"/>
    <n v="0"/>
    <x v="1"/>
    <x v="21"/>
    <x v="56"/>
    <n v="78.436999999999998"/>
    <x v="2102"/>
    <n v="22.244"/>
    <n v="25.178999999999998"/>
    <n v="31.013999999999999"/>
    <m/>
    <x v="1"/>
  </r>
  <r>
    <x v="5"/>
    <x v="8"/>
    <x v="8"/>
    <x v="5"/>
    <s v="VER"/>
    <x v="2"/>
    <x v="1"/>
    <x v="0"/>
    <n v="26"/>
    <x v="0"/>
    <x v="0"/>
    <x v="27"/>
    <n v="67.012"/>
    <x v="2103"/>
    <n v="17.04"/>
    <n v="29.896000000000001"/>
    <n v="20.076000000000001"/>
    <s v="2,24,49,69"/>
    <x v="0"/>
  </r>
  <r>
    <x v="5"/>
    <x v="8"/>
    <x v="8"/>
    <x v="12"/>
    <s v="LEC"/>
    <x v="0"/>
    <x v="2"/>
    <x v="1"/>
    <n v="18"/>
    <x v="0"/>
    <x v="0"/>
    <x v="27"/>
    <n v="68.819999999999993"/>
    <x v="2104"/>
    <n v="17.350000000000001"/>
    <n v="30.631"/>
    <n v="20.73"/>
    <s v="2,15,47"/>
    <x v="0"/>
  </r>
  <r>
    <x v="5"/>
    <x v="8"/>
    <x v="8"/>
    <x v="10"/>
    <s v="PER"/>
    <x v="2"/>
    <x v="7"/>
    <x v="2"/>
    <n v="15"/>
    <x v="0"/>
    <x v="0"/>
    <x v="27"/>
    <n v="68.111000000000004"/>
    <x v="2105"/>
    <n v="16.835000000000001"/>
    <n v="30.274999999999999"/>
    <n v="20.568000000000001"/>
    <s v="2,25,50"/>
    <x v="0"/>
  </r>
  <r>
    <x v="5"/>
    <x v="8"/>
    <x v="8"/>
    <x v="21"/>
    <s v="NOR"/>
    <x v="3"/>
    <x v="5"/>
    <x v="3"/>
    <n v="12"/>
    <x v="1"/>
    <x v="0"/>
    <x v="27"/>
    <n v="68.739000000000004"/>
    <x v="2106"/>
    <n v="17.085000000000001"/>
    <n v="30.687000000000001"/>
    <n v="20.731000000000002"/>
    <s v="2,14,41"/>
    <x v="0"/>
  </r>
  <r>
    <x v="5"/>
    <x v="8"/>
    <x v="8"/>
    <x v="4"/>
    <s v="ALO"/>
    <x v="13"/>
    <x v="6"/>
    <x v="4"/>
    <n v="10"/>
    <x v="1"/>
    <x v="0"/>
    <x v="27"/>
    <n v="69.108000000000004"/>
    <x v="2107"/>
    <n v="17.071000000000002"/>
    <n v="30.684000000000001"/>
    <n v="20.768999999999998"/>
    <s v="2,15,44"/>
    <x v="0"/>
  </r>
  <r>
    <x v="5"/>
    <x v="8"/>
    <x v="8"/>
    <x v="9"/>
    <s v="SAI"/>
    <x v="0"/>
    <x v="0"/>
    <x v="5"/>
    <n v="8"/>
    <x v="1"/>
    <x v="0"/>
    <x v="27"/>
    <n v="68.88"/>
    <x v="2108"/>
    <n v="17.018000000000001"/>
    <n v="30.574000000000002"/>
    <n v="20.795999999999999"/>
    <s v="2,15,45"/>
    <x v="0"/>
  </r>
  <r>
    <x v="5"/>
    <x v="8"/>
    <x v="8"/>
    <x v="24"/>
    <s v="RUS"/>
    <x v="1"/>
    <x v="8"/>
    <x v="6"/>
    <n v="6"/>
    <x v="1"/>
    <x v="0"/>
    <x v="27"/>
    <n v="69.283000000000001"/>
    <x v="2109"/>
    <n v="17.247"/>
    <n v="30.943000000000001"/>
    <n v="20.795000000000002"/>
    <s v="2,14,41"/>
    <x v="0"/>
  </r>
  <r>
    <x v="5"/>
    <x v="8"/>
    <x v="8"/>
    <x v="1"/>
    <s v="HAM"/>
    <x v="1"/>
    <x v="16"/>
    <x v="7"/>
    <n v="4"/>
    <x v="1"/>
    <x v="0"/>
    <x v="27"/>
    <n v="69.16"/>
    <x v="2110"/>
    <n v="17.149000000000001"/>
    <n v="30.928000000000001"/>
    <n v="20.789000000000001"/>
    <s v="2,14,42"/>
    <x v="0"/>
  </r>
  <r>
    <x v="5"/>
    <x v="8"/>
    <x v="8"/>
    <x v="13"/>
    <s v="STR"/>
    <x v="13"/>
    <x v="15"/>
    <x v="8"/>
    <n v="2"/>
    <x v="1"/>
    <x v="0"/>
    <x v="27"/>
    <n v="68.462999999999994"/>
    <x v="2111"/>
    <n v="17.21"/>
    <n v="30.401"/>
    <n v="20.661999999999999"/>
    <s v="2,15,36,54"/>
    <x v="0"/>
  </r>
  <r>
    <x v="5"/>
    <x v="8"/>
    <x v="8"/>
    <x v="17"/>
    <s v="GAS"/>
    <x v="14"/>
    <x v="9"/>
    <x v="9"/>
    <n v="1"/>
    <x v="1"/>
    <x v="0"/>
    <x v="27"/>
    <n v="69.046000000000006"/>
    <x v="2112"/>
    <n v="17.364000000000001"/>
    <n v="30.574000000000002"/>
    <n v="20.806000000000001"/>
    <s v="2,14,44"/>
    <x v="0"/>
  </r>
  <r>
    <x v="5"/>
    <x v="8"/>
    <x v="8"/>
    <x v="22"/>
    <s v="ALB"/>
    <x v="7"/>
    <x v="4"/>
    <x v="10"/>
    <n v="0"/>
    <x v="1"/>
    <x v="0"/>
    <x v="27"/>
    <n v="69.56"/>
    <x v="2113"/>
    <n v="17.254000000000001"/>
    <n v="31.123000000000001"/>
    <n v="20.951000000000001"/>
    <s v="2,14,41"/>
    <x v="0"/>
  </r>
  <r>
    <x v="5"/>
    <x v="8"/>
    <x v="8"/>
    <x v="32"/>
    <s v="ZHO"/>
    <x v="15"/>
    <x v="18"/>
    <x v="11"/>
    <n v="0"/>
    <x v="1"/>
    <x v="52"/>
    <x v="29"/>
    <n v="69.786000000000001"/>
    <x v="2114"/>
    <n v="17.175000000000001"/>
    <n v="31.061"/>
    <n v="20.998999999999999"/>
    <s v="2,8,38"/>
    <x v="0"/>
  </r>
  <r>
    <x v="5"/>
    <x v="8"/>
    <x v="8"/>
    <x v="34"/>
    <s v="SAR"/>
    <x v="7"/>
    <x v="12"/>
    <x v="12"/>
    <n v="0"/>
    <x v="1"/>
    <x v="52"/>
    <x v="29"/>
    <n v="69.611000000000004"/>
    <x v="2115"/>
    <n v="17.219000000000001"/>
    <n v="31.157"/>
    <n v="21.07"/>
    <s v="2,14,43"/>
    <x v="0"/>
  </r>
  <r>
    <x v="5"/>
    <x v="8"/>
    <x v="8"/>
    <x v="11"/>
    <s v="OCO"/>
    <x v="14"/>
    <x v="10"/>
    <x v="13"/>
    <n v="0"/>
    <x v="1"/>
    <x v="52"/>
    <x v="29"/>
    <n v="69.796999999999997"/>
    <x v="2116"/>
    <n v="17.242000000000001"/>
    <n v="31.120999999999999"/>
    <n v="20.954999999999998"/>
    <s v="2,14,40"/>
    <x v="0"/>
  </r>
  <r>
    <x v="5"/>
    <x v="8"/>
    <x v="8"/>
    <x v="7"/>
    <s v="BOT"/>
    <x v="15"/>
    <x v="11"/>
    <x v="14"/>
    <n v="0"/>
    <x v="1"/>
    <x v="52"/>
    <x v="29"/>
    <n v="69.94"/>
    <x v="2117"/>
    <n v="17.193000000000001"/>
    <n v="31.141999999999999"/>
    <n v="21.013999999999999"/>
    <s v="2,21,40"/>
    <x v="0"/>
  </r>
  <r>
    <x v="5"/>
    <x v="8"/>
    <x v="8"/>
    <x v="35"/>
    <s v="PIA"/>
    <x v="3"/>
    <x v="13"/>
    <x v="15"/>
    <n v="0"/>
    <x v="1"/>
    <x v="52"/>
    <x v="29"/>
    <n v="69.861999999999995"/>
    <x v="2118"/>
    <n v="17.273"/>
    <n v="31.07"/>
    <n v="20.963000000000001"/>
    <s v="2,14,22,41"/>
    <x v="0"/>
  </r>
  <r>
    <x v="5"/>
    <x v="8"/>
    <x v="8"/>
    <x v="33"/>
    <s v="DEV"/>
    <x v="12"/>
    <x v="17"/>
    <x v="16"/>
    <n v="0"/>
    <x v="1"/>
    <x v="52"/>
    <x v="29"/>
    <n v="69.852000000000004"/>
    <x v="2119"/>
    <n v="17.318999999999999"/>
    <n v="31.166"/>
    <n v="21.09"/>
    <s v="2,12,37"/>
    <x v="0"/>
  </r>
  <r>
    <x v="5"/>
    <x v="8"/>
    <x v="8"/>
    <x v="16"/>
    <s v="MAG"/>
    <x v="9"/>
    <x v="19"/>
    <x v="17"/>
    <n v="0"/>
    <x v="1"/>
    <x v="52"/>
    <x v="29"/>
    <n v="70.176000000000002"/>
    <x v="2120"/>
    <n v="17.251999999999999"/>
    <n v="31.241"/>
    <n v="21.201000000000001"/>
    <s v="1,2,34"/>
    <x v="0"/>
  </r>
  <r>
    <x v="5"/>
    <x v="8"/>
    <x v="8"/>
    <x v="29"/>
    <s v="TSU"/>
    <x v="12"/>
    <x v="14"/>
    <x v="18"/>
    <n v="0"/>
    <x v="1"/>
    <x v="52"/>
    <x v="29"/>
    <n v="69.62"/>
    <x v="2121"/>
    <n v="17.198"/>
    <n v="30.92"/>
    <n v="21.143999999999998"/>
    <s v="1,2,23,43"/>
    <x v="0"/>
  </r>
  <r>
    <x v="5"/>
    <x v="8"/>
    <x v="8"/>
    <x v="6"/>
    <s v="HUL"/>
    <x v="9"/>
    <x v="3"/>
    <x v="19"/>
    <n v="0"/>
    <x v="1"/>
    <x v="21"/>
    <x v="70"/>
    <n v="71.066000000000003"/>
    <x v="2122"/>
    <n v="17.306999999999999"/>
    <n v="31.672000000000001"/>
    <n v="21.657"/>
    <s v="2,11"/>
    <x v="0"/>
  </r>
  <r>
    <x v="5"/>
    <x v="9"/>
    <x v="9"/>
    <x v="5"/>
    <s v="VER"/>
    <x v="2"/>
    <x v="1"/>
    <x v="0"/>
    <n v="26"/>
    <x v="0"/>
    <x v="0"/>
    <x v="33"/>
    <n v="90.275000000000006"/>
    <x v="2123"/>
    <n v="28.667999999999999"/>
    <n v="36.344000000000001"/>
    <n v="24.844000000000001"/>
    <n v="33"/>
    <x v="1"/>
  </r>
  <r>
    <x v="5"/>
    <x v="9"/>
    <x v="9"/>
    <x v="21"/>
    <s v="NOR"/>
    <x v="3"/>
    <x v="2"/>
    <x v="1"/>
    <n v="18"/>
    <x v="0"/>
    <x v="0"/>
    <x v="33"/>
    <n v="90.543000000000006"/>
    <x v="2124"/>
    <n v="29.004999999999999"/>
    <n v="36.383000000000003"/>
    <n v="24.908000000000001"/>
    <n v="33"/>
    <x v="1"/>
  </r>
  <r>
    <x v="5"/>
    <x v="9"/>
    <x v="9"/>
    <x v="1"/>
    <s v="HAM"/>
    <x v="1"/>
    <x v="6"/>
    <x v="2"/>
    <n v="15"/>
    <x v="0"/>
    <x v="0"/>
    <x v="33"/>
    <n v="90.545000000000002"/>
    <x v="2125"/>
    <n v="28.789000000000001"/>
    <n v="36.615000000000002"/>
    <n v="24.902000000000001"/>
    <n v="33"/>
    <x v="1"/>
  </r>
  <r>
    <x v="5"/>
    <x v="9"/>
    <x v="9"/>
    <x v="35"/>
    <s v="PIA"/>
    <x v="3"/>
    <x v="0"/>
    <x v="3"/>
    <n v="12"/>
    <x v="1"/>
    <x v="0"/>
    <x v="33"/>
    <n v="90.85"/>
    <x v="2126"/>
    <n v="29.042999999999999"/>
    <n v="36.590000000000003"/>
    <n v="24.922000000000001"/>
    <n v="29"/>
    <x v="1"/>
  </r>
  <r>
    <x v="5"/>
    <x v="9"/>
    <x v="9"/>
    <x v="24"/>
    <s v="RUS"/>
    <x v="1"/>
    <x v="15"/>
    <x v="4"/>
    <n v="10"/>
    <x v="1"/>
    <x v="0"/>
    <x v="33"/>
    <n v="91.123999999999995"/>
    <x v="2127"/>
    <n v="29.048999999999999"/>
    <n v="36.759"/>
    <n v="25.044"/>
    <n v="28"/>
    <x v="1"/>
  </r>
  <r>
    <x v="5"/>
    <x v="9"/>
    <x v="9"/>
    <x v="10"/>
    <s v="PER"/>
    <x v="2"/>
    <x v="7"/>
    <x v="5"/>
    <n v="8"/>
    <x v="1"/>
    <x v="0"/>
    <x v="33"/>
    <n v="90.914000000000001"/>
    <x v="2128"/>
    <n v="29.103999999999999"/>
    <n v="36.713999999999999"/>
    <n v="25.013999999999999"/>
    <n v="28"/>
    <x v="1"/>
  </r>
  <r>
    <x v="5"/>
    <x v="9"/>
    <x v="9"/>
    <x v="4"/>
    <s v="ALO"/>
    <x v="13"/>
    <x v="9"/>
    <x v="6"/>
    <n v="6"/>
    <x v="1"/>
    <x v="0"/>
    <x v="33"/>
    <n v="91.337999999999994"/>
    <x v="2129"/>
    <n v="29.103000000000002"/>
    <n v="36.926000000000002"/>
    <n v="25.309000000000001"/>
    <n v="33"/>
    <x v="1"/>
  </r>
  <r>
    <x v="5"/>
    <x v="9"/>
    <x v="9"/>
    <x v="22"/>
    <s v="ALB"/>
    <x v="7"/>
    <x v="3"/>
    <x v="7"/>
    <n v="4"/>
    <x v="1"/>
    <x v="0"/>
    <x v="33"/>
    <n v="91.272999999999996"/>
    <x v="2130"/>
    <n v="28.927"/>
    <n v="37.139000000000003"/>
    <n v="25.085999999999999"/>
    <n v="32"/>
    <x v="1"/>
  </r>
  <r>
    <x v="5"/>
    <x v="9"/>
    <x v="9"/>
    <x v="12"/>
    <s v="LEC"/>
    <x v="0"/>
    <x v="5"/>
    <x v="8"/>
    <n v="2"/>
    <x v="1"/>
    <x v="0"/>
    <x v="33"/>
    <n v="91.254999999999995"/>
    <x v="2131"/>
    <n v="28.928000000000001"/>
    <n v="36.927999999999997"/>
    <n v="25.14"/>
    <s v="18,32"/>
    <x v="1"/>
  </r>
  <r>
    <x v="5"/>
    <x v="9"/>
    <x v="9"/>
    <x v="9"/>
    <s v="SAI"/>
    <x v="0"/>
    <x v="16"/>
    <x v="9"/>
    <n v="1"/>
    <x v="1"/>
    <x v="0"/>
    <x v="33"/>
    <n v="91.366"/>
    <x v="2132"/>
    <n v="29.053999999999998"/>
    <n v="36.938000000000002"/>
    <n v="25.187999999999999"/>
    <n v="26"/>
    <x v="1"/>
  </r>
  <r>
    <x v="5"/>
    <x v="9"/>
    <x v="9"/>
    <x v="34"/>
    <s v="SAR"/>
    <x v="7"/>
    <x v="11"/>
    <x v="10"/>
    <n v="0"/>
    <x v="1"/>
    <x v="0"/>
    <x v="33"/>
    <n v="91.698999999999998"/>
    <x v="2133"/>
    <n v="29.102"/>
    <n v="37.177"/>
    <n v="25.175999999999998"/>
    <n v="29"/>
    <x v="1"/>
  </r>
  <r>
    <x v="5"/>
    <x v="9"/>
    <x v="9"/>
    <x v="7"/>
    <s v="BOT"/>
    <x v="15"/>
    <x v="17"/>
    <x v="11"/>
    <n v="0"/>
    <x v="1"/>
    <x v="0"/>
    <x v="33"/>
    <n v="91.852000000000004"/>
    <x v="2134"/>
    <n v="29.193000000000001"/>
    <n v="37.073"/>
    <n v="25.295999999999999"/>
    <n v="32"/>
    <x v="1"/>
  </r>
  <r>
    <x v="5"/>
    <x v="9"/>
    <x v="9"/>
    <x v="6"/>
    <s v="HUL"/>
    <x v="9"/>
    <x v="8"/>
    <x v="12"/>
    <n v="0"/>
    <x v="1"/>
    <x v="0"/>
    <x v="33"/>
    <n v="91.775999999999996"/>
    <x v="2135"/>
    <n v="29.175999999999998"/>
    <n v="37.003"/>
    <n v="25.385999999999999"/>
    <s v="7,32"/>
    <x v="1"/>
  </r>
  <r>
    <x v="5"/>
    <x v="9"/>
    <x v="9"/>
    <x v="13"/>
    <s v="STR"/>
    <x v="13"/>
    <x v="10"/>
    <x v="13"/>
    <n v="0"/>
    <x v="1"/>
    <x v="0"/>
    <x v="33"/>
    <n v="91.507999999999996"/>
    <x v="2136"/>
    <n v="29.088000000000001"/>
    <n v="36.951000000000001"/>
    <n v="25.172999999999998"/>
    <n v="31"/>
    <x v="1"/>
  </r>
  <r>
    <x v="5"/>
    <x v="9"/>
    <x v="9"/>
    <x v="32"/>
    <s v="ZHO"/>
    <x v="15"/>
    <x v="18"/>
    <x v="14"/>
    <n v="0"/>
    <x v="1"/>
    <x v="0"/>
    <x v="33"/>
    <n v="91.769000000000005"/>
    <x v="2137"/>
    <n v="29.138999999999999"/>
    <n v="37.006999999999998"/>
    <n v="25.212"/>
    <s v="24,33,36"/>
    <x v="1"/>
  </r>
  <r>
    <x v="5"/>
    <x v="9"/>
    <x v="9"/>
    <x v="29"/>
    <s v="TSU"/>
    <x v="12"/>
    <x v="14"/>
    <x v="15"/>
    <n v="0"/>
    <x v="1"/>
    <x v="0"/>
    <x v="33"/>
    <n v="92.084000000000003"/>
    <x v="2138"/>
    <n v="29.231000000000002"/>
    <n v="37.22"/>
    <n v="25.518999999999998"/>
    <s v="14,32"/>
    <x v="1"/>
  </r>
  <r>
    <x v="5"/>
    <x v="9"/>
    <x v="9"/>
    <x v="33"/>
    <s v="DEV"/>
    <x v="12"/>
    <x v="12"/>
    <x v="16"/>
    <n v="0"/>
    <x v="1"/>
    <x v="0"/>
    <x v="33"/>
    <n v="92.352999999999994"/>
    <x v="2139"/>
    <n v="29.334"/>
    <n v="37.301000000000002"/>
    <n v="25.372"/>
    <s v="27,32"/>
    <x v="1"/>
  </r>
  <r>
    <x v="5"/>
    <x v="9"/>
    <x v="9"/>
    <x v="17"/>
    <s v="GAS"/>
    <x v="14"/>
    <x v="4"/>
    <x v="17"/>
    <n v="0"/>
    <x v="1"/>
    <x v="21"/>
    <x v="21"/>
    <n v="91.539000000000001"/>
    <x v="2140"/>
    <n v="29.164999999999999"/>
    <n v="36.887999999999998"/>
    <n v="25.236999999999998"/>
    <s v="31,46"/>
    <x v="1"/>
  </r>
  <r>
    <x v="5"/>
    <x v="9"/>
    <x v="9"/>
    <x v="16"/>
    <s v="MAG"/>
    <x v="9"/>
    <x v="19"/>
    <x v="18"/>
    <n v="0"/>
    <x v="1"/>
    <x v="21"/>
    <x v="40"/>
    <n v="93.355999999999995"/>
    <x v="2141"/>
    <n v="29.695"/>
    <n v="37.752000000000002"/>
    <n v="25.628"/>
    <m/>
    <x v="1"/>
  </r>
  <r>
    <x v="5"/>
    <x v="9"/>
    <x v="9"/>
    <x v="11"/>
    <s v="OCO"/>
    <x v="14"/>
    <x v="13"/>
    <x v="19"/>
    <n v="0"/>
    <x v="1"/>
    <x v="21"/>
    <x v="51"/>
    <n v="93.941000000000003"/>
    <x v="2142"/>
    <n v="29.526"/>
    <n v="37.956000000000003"/>
    <n v="25.966000000000001"/>
    <n v="9"/>
    <x v="1"/>
  </r>
  <r>
    <x v="5"/>
    <x v="10"/>
    <x v="11"/>
    <x v="5"/>
    <s v="VER"/>
    <x v="2"/>
    <x v="2"/>
    <x v="0"/>
    <n v="26"/>
    <x v="0"/>
    <x v="0"/>
    <x v="29"/>
    <n v="80.504000000000005"/>
    <x v="2143"/>
    <n v="29.265000000000001"/>
    <n v="28.661999999999999"/>
    <n v="22.576999999999899"/>
    <s v="23,51"/>
    <x v="1"/>
  </r>
  <r>
    <x v="5"/>
    <x v="10"/>
    <x v="11"/>
    <x v="21"/>
    <s v="NOR"/>
    <x v="3"/>
    <x v="0"/>
    <x v="1"/>
    <n v="18"/>
    <x v="0"/>
    <x v="0"/>
    <x v="29"/>
    <n v="82.177999999999997"/>
    <x v="2144"/>
    <n v="29.673999999999999"/>
    <n v="29.2"/>
    <n v="23.044"/>
    <s v="17,44"/>
    <x v="1"/>
  </r>
  <r>
    <x v="5"/>
    <x v="10"/>
    <x v="11"/>
    <x v="10"/>
    <s v="PER"/>
    <x v="2"/>
    <x v="9"/>
    <x v="2"/>
    <n v="15"/>
    <x v="0"/>
    <x v="0"/>
    <x v="29"/>
    <n v="82.295000000000002"/>
    <x v="2145"/>
    <n v="29.693000000000001"/>
    <n v="29.283000000000001"/>
    <n v="23.015999999999998"/>
    <s v="24,42"/>
    <x v="1"/>
  </r>
  <r>
    <x v="5"/>
    <x v="10"/>
    <x v="11"/>
    <x v="1"/>
    <s v="HAM"/>
    <x v="1"/>
    <x v="1"/>
    <x v="3"/>
    <n v="12"/>
    <x v="1"/>
    <x v="0"/>
    <x v="29"/>
    <n v="81.600999999999999"/>
    <x v="2146"/>
    <n v="29.652000000000001"/>
    <n v="28.962"/>
    <n v="22.798999999999999"/>
    <s v="16,49"/>
    <x v="1"/>
  </r>
  <r>
    <x v="5"/>
    <x v="10"/>
    <x v="11"/>
    <x v="35"/>
    <s v="PIA"/>
    <x v="3"/>
    <x v="5"/>
    <x v="4"/>
    <n v="10"/>
    <x v="1"/>
    <x v="0"/>
    <x v="29"/>
    <n v="82.736000000000004"/>
    <x v="2147"/>
    <n v="29.827999999999999"/>
    <n v="29.448"/>
    <n v="23.363"/>
    <s v="18,42"/>
    <x v="1"/>
  </r>
  <r>
    <x v="5"/>
    <x v="10"/>
    <x v="11"/>
    <x v="24"/>
    <s v="RUS"/>
    <x v="1"/>
    <x v="12"/>
    <x v="5"/>
    <n v="8"/>
    <x v="1"/>
    <x v="0"/>
    <x v="29"/>
    <n v="82.158000000000001"/>
    <x v="2148"/>
    <n v="29.667999999999999"/>
    <n v="29.268999999999998"/>
    <n v="23.055"/>
    <s v="28,46"/>
    <x v="1"/>
  </r>
  <r>
    <x v="5"/>
    <x v="10"/>
    <x v="11"/>
    <x v="12"/>
    <s v="LEC"/>
    <x v="0"/>
    <x v="15"/>
    <x v="6"/>
    <n v="6"/>
    <x v="1"/>
    <x v="0"/>
    <x v="29"/>
    <n v="82.468999999999994"/>
    <x v="2149"/>
    <n v="29.834"/>
    <n v="29.123000000000001"/>
    <n v="23.341000000000001"/>
    <s v="17,43"/>
    <x v="1"/>
  </r>
  <r>
    <x v="5"/>
    <x v="10"/>
    <x v="11"/>
    <x v="9"/>
    <s v="SAI"/>
    <x v="0"/>
    <x v="8"/>
    <x v="7"/>
    <n v="4"/>
    <x v="1"/>
    <x v="0"/>
    <x v="29"/>
    <n v="82.584000000000003"/>
    <x v="2150"/>
    <n v="29.763000000000002"/>
    <n v="29.378"/>
    <n v="23.271000000000001"/>
    <s v="15,44"/>
    <x v="1"/>
  </r>
  <r>
    <x v="5"/>
    <x v="10"/>
    <x v="11"/>
    <x v="4"/>
    <s v="ALO"/>
    <x v="13"/>
    <x v="3"/>
    <x v="8"/>
    <n v="2"/>
    <x v="1"/>
    <x v="0"/>
    <x v="29"/>
    <n v="82.745000000000005"/>
    <x v="2151"/>
    <n v="29.864000000000001"/>
    <n v="29.323"/>
    <n v="23.291"/>
    <s v="20,43"/>
    <x v="1"/>
  </r>
  <r>
    <x v="5"/>
    <x v="10"/>
    <x v="11"/>
    <x v="13"/>
    <s v="STR"/>
    <x v="13"/>
    <x v="11"/>
    <x v="9"/>
    <n v="1"/>
    <x v="1"/>
    <x v="52"/>
    <x v="30"/>
    <n v="83.424999999999997"/>
    <x v="2152"/>
    <n v="29.876999999999999"/>
    <n v="29.605"/>
    <n v="23.632000000000001"/>
    <s v="9,34"/>
    <x v="1"/>
  </r>
  <r>
    <x v="5"/>
    <x v="10"/>
    <x v="11"/>
    <x v="22"/>
    <s v="ALB"/>
    <x v="7"/>
    <x v="14"/>
    <x v="10"/>
    <n v="0"/>
    <x v="1"/>
    <x v="52"/>
    <x v="30"/>
    <n v="84.051000000000002"/>
    <x v="2153"/>
    <n v="30.117000000000001"/>
    <n v="30.04"/>
    <n v="23.539000000000001"/>
    <s v="8,31"/>
    <x v="1"/>
  </r>
  <r>
    <x v="5"/>
    <x v="10"/>
    <x v="11"/>
    <x v="7"/>
    <s v="BOT"/>
    <x v="15"/>
    <x v="6"/>
    <x v="11"/>
    <n v="0"/>
    <x v="1"/>
    <x v="52"/>
    <x v="30"/>
    <n v="83.650999999999996"/>
    <x v="2154"/>
    <n v="29.823"/>
    <n v="29.974"/>
    <n v="23.454000000000001"/>
    <s v="9,40"/>
    <x v="1"/>
  </r>
  <r>
    <x v="5"/>
    <x v="10"/>
    <x v="11"/>
    <x v="3"/>
    <s v="RIC"/>
    <x v="12"/>
    <x v="13"/>
    <x v="12"/>
    <n v="0"/>
    <x v="1"/>
    <x v="52"/>
    <x v="30"/>
    <n v="83.933999999999997"/>
    <x v="2155"/>
    <n v="30.024000000000001"/>
    <n v="29.981000000000002"/>
    <n v="23.527000000000001"/>
    <s v="18,29"/>
    <x v="1"/>
  </r>
  <r>
    <x v="5"/>
    <x v="10"/>
    <x v="11"/>
    <x v="6"/>
    <s v="HUL"/>
    <x v="9"/>
    <x v="4"/>
    <x v="13"/>
    <n v="0"/>
    <x v="1"/>
    <x v="52"/>
    <x v="30"/>
    <n v="83.572999999999993"/>
    <x v="2156"/>
    <n v="29.765999999999998"/>
    <n v="30.201000000000001"/>
    <n v="23.606000000000002"/>
    <s v="16,38"/>
    <x v="1"/>
  </r>
  <r>
    <x v="5"/>
    <x v="10"/>
    <x v="11"/>
    <x v="29"/>
    <s v="TSU"/>
    <x v="12"/>
    <x v="18"/>
    <x v="14"/>
    <n v="0"/>
    <x v="1"/>
    <x v="52"/>
    <x v="30"/>
    <n v="83.269000000000005"/>
    <x v="2157"/>
    <n v="29.995000000000001"/>
    <n v="29.774000000000001"/>
    <n v="23.425000000000001"/>
    <s v="9,44"/>
    <x v="1"/>
  </r>
  <r>
    <x v="5"/>
    <x v="10"/>
    <x v="11"/>
    <x v="32"/>
    <s v="ZHO"/>
    <x v="15"/>
    <x v="16"/>
    <x v="15"/>
    <n v="0"/>
    <x v="1"/>
    <x v="52"/>
    <x v="30"/>
    <n v="83.742999999999995"/>
    <x v="2158"/>
    <n v="30.074000000000002"/>
    <n v="30.053999999999998"/>
    <n v="23.506"/>
    <s v="10,38"/>
    <x v="1"/>
  </r>
  <r>
    <x v="5"/>
    <x v="10"/>
    <x v="11"/>
    <x v="16"/>
    <s v="MAG"/>
    <x v="9"/>
    <x v="19"/>
    <x v="16"/>
    <n v="0"/>
    <x v="1"/>
    <x v="52"/>
    <x v="30"/>
    <n v="83.864000000000004"/>
    <x v="2159"/>
    <n v="29.951999999999899"/>
    <n v="29.949000000000002"/>
    <n v="23.73"/>
    <s v="14,41"/>
    <x v="1"/>
  </r>
  <r>
    <x v="5"/>
    <x v="10"/>
    <x v="11"/>
    <x v="34"/>
    <s v="SAR"/>
    <x v="7"/>
    <x v="17"/>
    <x v="17"/>
    <n v="0"/>
    <x v="1"/>
    <x v="21"/>
    <x v="42"/>
    <n v="83.495999999999995"/>
    <x v="2160"/>
    <n v="30.091999999999999"/>
    <n v="29.881"/>
    <n v="23.523"/>
    <s v="13,34,67"/>
    <x v="1"/>
  </r>
  <r>
    <x v="5"/>
    <x v="10"/>
    <x v="11"/>
    <x v="11"/>
    <s v="OCO"/>
    <x v="14"/>
    <x v="10"/>
    <x v="18"/>
    <n v="0"/>
    <x v="1"/>
    <x v="21"/>
    <x v="10"/>
    <m/>
    <x v="19"/>
    <m/>
    <m/>
    <m/>
    <n v="2"/>
    <x v="1"/>
  </r>
  <r>
    <x v="5"/>
    <x v="10"/>
    <x v="11"/>
    <x v="17"/>
    <s v="GAS"/>
    <x v="14"/>
    <x v="7"/>
    <x v="19"/>
    <n v="0"/>
    <x v="1"/>
    <x v="21"/>
    <x v="16"/>
    <m/>
    <x v="19"/>
    <m/>
    <m/>
    <m/>
    <n v="1"/>
    <x v="1"/>
  </r>
  <r>
    <x v="5"/>
    <x v="11"/>
    <x v="12"/>
    <x v="5"/>
    <s v="VER"/>
    <x v="2"/>
    <x v="15"/>
    <x v="0"/>
    <n v="25"/>
    <x v="0"/>
    <x v="0"/>
    <x v="44"/>
    <n v="108.922"/>
    <x v="2161"/>
    <n v="31.588000000000001"/>
    <n v="47.017000000000003"/>
    <n v="29.550999999999998"/>
    <s v="14,30"/>
    <x v="0"/>
  </r>
  <r>
    <x v="5"/>
    <x v="11"/>
    <x v="12"/>
    <x v="10"/>
    <s v="PER"/>
    <x v="2"/>
    <x v="2"/>
    <x v="1"/>
    <n v="18"/>
    <x v="0"/>
    <x v="0"/>
    <x v="44"/>
    <n v="110.30800000000001"/>
    <x v="2162"/>
    <n v="32.265000000000001"/>
    <n v="48.098999999999997"/>
    <n v="29.837"/>
    <s v="13,29"/>
    <x v="0"/>
  </r>
  <r>
    <x v="5"/>
    <x v="11"/>
    <x v="12"/>
    <x v="12"/>
    <s v="LEC"/>
    <x v="0"/>
    <x v="1"/>
    <x v="2"/>
    <n v="15"/>
    <x v="0"/>
    <x v="0"/>
    <x v="44"/>
    <n v="110.43600000000001"/>
    <x v="2163"/>
    <n v="32.085000000000001"/>
    <n v="48.292000000000002"/>
    <n v="30.059000000000001"/>
    <s v="13,28"/>
    <x v="0"/>
  </r>
  <r>
    <x v="5"/>
    <x v="11"/>
    <x v="12"/>
    <x v="1"/>
    <s v="HAM"/>
    <x v="1"/>
    <x v="0"/>
    <x v="3"/>
    <n v="13"/>
    <x v="1"/>
    <x v="0"/>
    <x v="44"/>
    <n v="107.30500000000001"/>
    <x v="2164"/>
    <n v="31.545000000000002"/>
    <n v="46.47"/>
    <n v="29.29"/>
    <s v="12,27,42"/>
    <x v="0"/>
  </r>
  <r>
    <x v="5"/>
    <x v="11"/>
    <x v="12"/>
    <x v="4"/>
    <s v="ALO"/>
    <x v="13"/>
    <x v="9"/>
    <x v="4"/>
    <n v="10"/>
    <x v="1"/>
    <x v="0"/>
    <x v="44"/>
    <n v="110.938"/>
    <x v="2165"/>
    <n v="31.701999999999899"/>
    <n v="48.451999999999998"/>
    <n v="30.064"/>
    <s v="10,29"/>
    <x v="0"/>
  </r>
  <r>
    <x v="5"/>
    <x v="11"/>
    <x v="12"/>
    <x v="24"/>
    <s v="RUS"/>
    <x v="1"/>
    <x v="3"/>
    <x v="5"/>
    <n v="8"/>
    <x v="1"/>
    <x v="0"/>
    <x v="44"/>
    <n v="110.60299999999999"/>
    <x v="2166"/>
    <n v="31.571999999999999"/>
    <n v="48.639000000000003"/>
    <n v="30.042000000000002"/>
    <n v="22"/>
    <x v="0"/>
  </r>
  <r>
    <x v="5"/>
    <x v="11"/>
    <x v="12"/>
    <x v="21"/>
    <s v="NOR"/>
    <x v="3"/>
    <x v="6"/>
    <x v="6"/>
    <n v="6"/>
    <x v="1"/>
    <x v="0"/>
    <x v="44"/>
    <n v="111.682"/>
    <x v="2167"/>
    <n v="32.307000000000002"/>
    <n v="48.514000000000003"/>
    <n v="30.26"/>
    <s v="5,17"/>
    <x v="0"/>
  </r>
  <r>
    <x v="5"/>
    <x v="11"/>
    <x v="12"/>
    <x v="11"/>
    <s v="OCO"/>
    <x v="14"/>
    <x v="11"/>
    <x v="7"/>
    <n v="4"/>
    <x v="1"/>
    <x v="0"/>
    <x v="44"/>
    <n v="110.43899999999999"/>
    <x v="2168"/>
    <n v="31.248999999999999"/>
    <n v="48.603999999999999"/>
    <n v="30.004999999999999"/>
    <s v="6,25"/>
    <x v="0"/>
  </r>
  <r>
    <x v="5"/>
    <x v="11"/>
    <x v="12"/>
    <x v="13"/>
    <s v="STR"/>
    <x v="13"/>
    <x v="4"/>
    <x v="8"/>
    <n v="2"/>
    <x v="1"/>
    <x v="0"/>
    <x v="44"/>
    <n v="111.297"/>
    <x v="2169"/>
    <n v="32.076000000000001"/>
    <n v="48.728000000000002"/>
    <n v="30.013999999999999"/>
    <n v="20"/>
    <x v="0"/>
  </r>
  <r>
    <x v="5"/>
    <x v="11"/>
    <x v="12"/>
    <x v="29"/>
    <s v="TSU"/>
    <x v="12"/>
    <x v="8"/>
    <x v="9"/>
    <n v="1"/>
    <x v="1"/>
    <x v="0"/>
    <x v="44"/>
    <n v="111.39400000000001"/>
    <x v="2170"/>
    <n v="31.734999999999999"/>
    <n v="49.438000000000002"/>
    <n v="29.907"/>
    <s v="9,24"/>
    <x v="0"/>
  </r>
  <r>
    <x v="5"/>
    <x v="11"/>
    <x v="12"/>
    <x v="17"/>
    <s v="GAS"/>
    <x v="14"/>
    <x v="10"/>
    <x v="10"/>
    <n v="0"/>
    <x v="1"/>
    <x v="0"/>
    <x v="44"/>
    <n v="110.911"/>
    <x v="2171"/>
    <n v="31.454999999999998"/>
    <n v="49.223999999999997"/>
    <n v="29.948"/>
    <n v="23"/>
    <x v="0"/>
  </r>
  <r>
    <x v="5"/>
    <x v="11"/>
    <x v="12"/>
    <x v="7"/>
    <s v="BOT"/>
    <x v="15"/>
    <x v="13"/>
    <x v="11"/>
    <n v="0"/>
    <x v="1"/>
    <x v="0"/>
    <x v="44"/>
    <n v="110.515"/>
    <x v="2172"/>
    <n v="31.741"/>
    <n v="48.405999999999999"/>
    <n v="29.984000000000002"/>
    <s v="6,24"/>
    <x v="0"/>
  </r>
  <r>
    <x v="5"/>
    <x v="11"/>
    <x v="12"/>
    <x v="32"/>
    <s v="ZHO"/>
    <x v="15"/>
    <x v="18"/>
    <x v="12"/>
    <n v="0"/>
    <x v="1"/>
    <x v="0"/>
    <x v="44"/>
    <n v="110.188"/>
    <x v="2173"/>
    <n v="31.56"/>
    <n v="48.488"/>
    <n v="29.893999999999998"/>
    <s v="7,25"/>
    <x v="0"/>
  </r>
  <r>
    <x v="5"/>
    <x v="11"/>
    <x v="12"/>
    <x v="22"/>
    <s v="ALB"/>
    <x v="7"/>
    <x v="7"/>
    <x v="13"/>
    <n v="0"/>
    <x v="1"/>
    <x v="0"/>
    <x v="44"/>
    <n v="109.84099999999999"/>
    <x v="2174"/>
    <n v="31.335999999999999"/>
    <n v="48.936"/>
    <n v="29.513000000000002"/>
    <s v="7,23,33"/>
    <x v="0"/>
  </r>
  <r>
    <x v="5"/>
    <x v="11"/>
    <x v="12"/>
    <x v="16"/>
    <s v="MAG"/>
    <x v="9"/>
    <x v="14"/>
    <x v="14"/>
    <n v="0"/>
    <x v="1"/>
    <x v="0"/>
    <x v="44"/>
    <n v="110.99299999999999"/>
    <x v="2175"/>
    <n v="31.748000000000001"/>
    <n v="49.06"/>
    <n v="30.05"/>
    <s v="5,25"/>
    <x v="0"/>
  </r>
  <r>
    <x v="5"/>
    <x v="11"/>
    <x v="12"/>
    <x v="3"/>
    <s v="RIC"/>
    <x v="12"/>
    <x v="19"/>
    <x v="15"/>
    <n v="0"/>
    <x v="1"/>
    <x v="0"/>
    <x v="44"/>
    <n v="110.994"/>
    <x v="2176"/>
    <n v="31.555"/>
    <n v="49.417000000000002"/>
    <n v="30.021999999999998"/>
    <s v="5,22"/>
    <x v="0"/>
  </r>
  <r>
    <x v="5"/>
    <x v="11"/>
    <x v="12"/>
    <x v="34"/>
    <s v="SAR"/>
    <x v="7"/>
    <x v="12"/>
    <x v="16"/>
    <n v="0"/>
    <x v="1"/>
    <x v="0"/>
    <x v="44"/>
    <n v="110.236"/>
    <x v="2177"/>
    <n v="31.404"/>
    <n v="48.999000000000002"/>
    <n v="29.72"/>
    <s v="8,24,34"/>
    <x v="0"/>
  </r>
  <r>
    <x v="5"/>
    <x v="11"/>
    <x v="12"/>
    <x v="6"/>
    <s v="HUL"/>
    <x v="9"/>
    <x v="17"/>
    <x v="17"/>
    <n v="0"/>
    <x v="1"/>
    <x v="0"/>
    <x v="44"/>
    <n v="109.907"/>
    <x v="2178"/>
    <n v="31.306999999999999"/>
    <n v="48.732999999999997"/>
    <n v="29.867000000000001"/>
    <s v="12,24"/>
    <x v="0"/>
  </r>
  <r>
    <x v="5"/>
    <x v="11"/>
    <x v="12"/>
    <x v="9"/>
    <s v="SAI"/>
    <x v="0"/>
    <x v="5"/>
    <x v="18"/>
    <n v="0"/>
    <x v="1"/>
    <x v="21"/>
    <x v="69"/>
    <n v="113.13800000000001"/>
    <x v="2179"/>
    <n v="31.998999999999999"/>
    <n v="50.712000000000003"/>
    <n v="30.381"/>
    <s v="7,23"/>
    <x v="0"/>
  </r>
  <r>
    <x v="5"/>
    <x v="11"/>
    <x v="12"/>
    <x v="35"/>
    <s v="PIA"/>
    <x v="3"/>
    <x v="16"/>
    <x v="19"/>
    <n v="0"/>
    <x v="1"/>
    <x v="21"/>
    <x v="16"/>
    <m/>
    <x v="19"/>
    <m/>
    <m/>
    <m/>
    <m/>
    <x v="0"/>
  </r>
  <r>
    <x v="5"/>
    <x v="12"/>
    <x v="29"/>
    <x v="5"/>
    <s v="VER"/>
    <x v="2"/>
    <x v="1"/>
    <x v="0"/>
    <n v="25"/>
    <x v="0"/>
    <x v="0"/>
    <x v="75"/>
    <n v="73.888999999999996"/>
    <x v="2180"/>
    <n v="25.379000000000001"/>
    <n v="25.954000000000001"/>
    <n v="22.315999999999999"/>
    <s v="2,11,49,61,63,64"/>
    <x v="0"/>
  </r>
  <r>
    <x v="5"/>
    <x v="12"/>
    <x v="29"/>
    <x v="4"/>
    <s v="ALO"/>
    <x v="13"/>
    <x v="16"/>
    <x v="1"/>
    <n v="19"/>
    <x v="0"/>
    <x v="0"/>
    <x v="75"/>
    <n v="73.837000000000003"/>
    <x v="2181"/>
    <n v="25.158999999999999"/>
    <n v="26.334"/>
    <n v="22.248999999999999"/>
    <s v="2,10,48,61,64"/>
    <x v="0"/>
  </r>
  <r>
    <x v="5"/>
    <x v="12"/>
    <x v="29"/>
    <x v="17"/>
    <s v="GAS"/>
    <x v="14"/>
    <x v="10"/>
    <x v="2"/>
    <n v="15"/>
    <x v="0"/>
    <x v="0"/>
    <x v="75"/>
    <n v="74.441000000000003"/>
    <x v="2182"/>
    <n v="25.606000000000002"/>
    <n v="26.47"/>
    <n v="22.094999999999999"/>
    <s v="1,11,46,60,64"/>
    <x v="0"/>
  </r>
  <r>
    <x v="5"/>
    <x v="12"/>
    <x v="29"/>
    <x v="10"/>
    <s v="PER"/>
    <x v="2"/>
    <x v="6"/>
    <x v="3"/>
    <n v="12"/>
    <x v="1"/>
    <x v="0"/>
    <x v="75"/>
    <n v="74.230999999999995"/>
    <x v="2183"/>
    <n v="25.445"/>
    <n v="26.254999999999999"/>
    <n v="22.451000000000001"/>
    <s v="1,12,45,60,63,64"/>
    <x v="0"/>
  </r>
  <r>
    <x v="5"/>
    <x v="12"/>
    <x v="29"/>
    <x v="9"/>
    <s v="SAI"/>
    <x v="0"/>
    <x v="15"/>
    <x v="4"/>
    <n v="10"/>
    <x v="1"/>
    <x v="0"/>
    <x v="75"/>
    <n v="74.933999999999997"/>
    <x v="2184"/>
    <n v="25.59"/>
    <n v="26.533000000000001"/>
    <n v="22.334"/>
    <s v="2,10,41,60,64"/>
    <x v="0"/>
  </r>
  <r>
    <x v="5"/>
    <x v="12"/>
    <x v="29"/>
    <x v="1"/>
    <s v="HAM"/>
    <x v="1"/>
    <x v="13"/>
    <x v="5"/>
    <n v="8"/>
    <x v="1"/>
    <x v="0"/>
    <x v="75"/>
    <n v="73.903999999999996"/>
    <x v="2185"/>
    <n v="25.26"/>
    <n v="26.27"/>
    <n v="22.149000000000001"/>
    <s v="3,9,45,60,64"/>
    <x v="0"/>
  </r>
  <r>
    <x v="5"/>
    <x v="12"/>
    <x v="29"/>
    <x v="21"/>
    <s v="NOR"/>
    <x v="3"/>
    <x v="2"/>
    <x v="6"/>
    <n v="6"/>
    <x v="1"/>
    <x v="0"/>
    <x v="75"/>
    <n v="74.39"/>
    <x v="2186"/>
    <n v="25.544"/>
    <n v="26.547999999999998"/>
    <n v="22.140999999999998"/>
    <s v="3,10,42,60,63,64"/>
    <x v="0"/>
  </r>
  <r>
    <x v="5"/>
    <x v="12"/>
    <x v="29"/>
    <x v="22"/>
    <s v="ALB"/>
    <x v="7"/>
    <x v="5"/>
    <x v="7"/>
    <n v="4"/>
    <x v="1"/>
    <x v="0"/>
    <x v="75"/>
    <n v="74.468000000000004"/>
    <x v="2187"/>
    <n v="25.431999999999999"/>
    <n v="26.558"/>
    <n v="22.1"/>
    <s v="44,61,63,64"/>
    <x v="0"/>
  </r>
  <r>
    <x v="5"/>
    <x v="12"/>
    <x v="29"/>
    <x v="35"/>
    <s v="PIA"/>
    <x v="3"/>
    <x v="3"/>
    <x v="8"/>
    <n v="2"/>
    <x v="1"/>
    <x v="0"/>
    <x v="75"/>
    <n v="74.299000000000007"/>
    <x v="2188"/>
    <n v="25.387"/>
    <n v="26.37"/>
    <n v="22.370999999999999"/>
    <s v="15,46,60,63,64"/>
    <x v="0"/>
  </r>
  <r>
    <x v="5"/>
    <x v="12"/>
    <x v="29"/>
    <x v="11"/>
    <s v="OCO"/>
    <x v="14"/>
    <x v="14"/>
    <x v="9"/>
    <n v="1"/>
    <x v="1"/>
    <x v="0"/>
    <x v="75"/>
    <n v="74.569999999999993"/>
    <x v="2189"/>
    <n v="25.609000000000002"/>
    <n v="26.332000000000001"/>
    <n v="22.629000000000001"/>
    <s v="2,10,43,61,63,64"/>
    <x v="0"/>
  </r>
  <r>
    <x v="5"/>
    <x v="12"/>
    <x v="29"/>
    <x v="13"/>
    <s v="STR"/>
    <x v="13"/>
    <x v="8"/>
    <x v="10"/>
    <n v="0"/>
    <x v="1"/>
    <x v="0"/>
    <x v="75"/>
    <n v="75.171000000000006"/>
    <x v="2190"/>
    <n v="25.728000000000002"/>
    <n v="26.501999999999999"/>
    <n v="22.521999999999998"/>
    <s v="4,9,16,34,60,63,64"/>
    <x v="0"/>
  </r>
  <r>
    <x v="5"/>
    <x v="12"/>
    <x v="29"/>
    <x v="6"/>
    <s v="HUL"/>
    <x v="9"/>
    <x v="11"/>
    <x v="11"/>
    <n v="0"/>
    <x v="1"/>
    <x v="0"/>
    <x v="75"/>
    <n v="74.471999999999994"/>
    <x v="2191"/>
    <n v="25.402000000000001"/>
    <n v="26.475000000000001"/>
    <n v="22.256"/>
    <s v="16,48,60,63,64"/>
    <x v="0"/>
  </r>
  <r>
    <x v="5"/>
    <x v="12"/>
    <x v="29"/>
    <x v="36"/>
    <s v="LAW"/>
    <x v="12"/>
    <x v="19"/>
    <x v="12"/>
    <n v="0"/>
    <x v="1"/>
    <x v="0"/>
    <x v="75"/>
    <n v="74.819999999999993"/>
    <x v="2192"/>
    <n v="25.747"/>
    <n v="26.157"/>
    <n v="22.661999999999999"/>
    <s v="1,10,17,46,59,63,64"/>
    <x v="0"/>
  </r>
  <r>
    <x v="5"/>
    <x v="12"/>
    <x v="29"/>
    <x v="7"/>
    <s v="BOT"/>
    <x v="15"/>
    <x v="12"/>
    <x v="13"/>
    <n v="0"/>
    <x v="1"/>
    <x v="0"/>
    <x v="75"/>
    <n v="74.697999999999993"/>
    <x v="2193"/>
    <n v="25.704000000000001"/>
    <n v="26.295000000000002"/>
    <n v="22.672000000000001"/>
    <s v="16,47,59,63,64"/>
    <x v="0"/>
  </r>
  <r>
    <x v="5"/>
    <x v="12"/>
    <x v="29"/>
    <x v="29"/>
    <s v="TSU"/>
    <x v="12"/>
    <x v="18"/>
    <x v="14"/>
    <n v="0"/>
    <x v="1"/>
    <x v="0"/>
    <x v="75"/>
    <n v="76.253"/>
    <x v="2194"/>
    <n v="26.251000000000001"/>
    <n v="26.919"/>
    <n v="22.808"/>
    <s v="1,10,60,63,64"/>
    <x v="0"/>
  </r>
  <r>
    <x v="5"/>
    <x v="12"/>
    <x v="29"/>
    <x v="16"/>
    <s v="MAG"/>
    <x v="9"/>
    <x v="20"/>
    <x v="15"/>
    <n v="0"/>
    <x v="1"/>
    <x v="0"/>
    <x v="75"/>
    <n v="75.489000000000004"/>
    <x v="2195"/>
    <n v="25.922000000000001"/>
    <n v="26.489000000000001"/>
    <n v="22.797000000000001"/>
    <s v="1,9,35,60,63,64"/>
    <x v="0"/>
  </r>
  <r>
    <x v="5"/>
    <x v="12"/>
    <x v="29"/>
    <x v="24"/>
    <s v="RUS"/>
    <x v="1"/>
    <x v="0"/>
    <x v="16"/>
    <n v="0"/>
    <x v="1"/>
    <x v="0"/>
    <x v="75"/>
    <n v="75.123999999999995"/>
    <x v="2196"/>
    <n v="25.706"/>
    <n v="26.606999999999999"/>
    <n v="22.58"/>
    <s v="4,10,16,60,63,64,67"/>
    <x v="0"/>
  </r>
  <r>
    <x v="5"/>
    <x v="12"/>
    <x v="29"/>
    <x v="32"/>
    <s v="ZHO"/>
    <x v="15"/>
    <x v="7"/>
    <x v="17"/>
    <n v="0"/>
    <x v="1"/>
    <x v="9"/>
    <x v="20"/>
    <n v="75.417000000000002"/>
    <x v="2197"/>
    <n v="25.937999999999999"/>
    <n v="26.416"/>
    <n v="22.619"/>
    <s v="1,10,37,60"/>
    <x v="0"/>
  </r>
  <r>
    <x v="5"/>
    <x v="12"/>
    <x v="29"/>
    <x v="12"/>
    <s v="LEC"/>
    <x v="0"/>
    <x v="9"/>
    <x v="18"/>
    <n v="0"/>
    <x v="1"/>
    <x v="49"/>
    <x v="32"/>
    <n v="77.277000000000001"/>
    <x v="2198"/>
    <n v="26.459"/>
    <n v="27.585999999999999"/>
    <n v="22.995999999999999"/>
    <s v="1,11,41"/>
    <x v="0"/>
  </r>
  <r>
    <x v="5"/>
    <x v="12"/>
    <x v="29"/>
    <x v="34"/>
    <s v="SAR"/>
    <x v="7"/>
    <x v="4"/>
    <x v="19"/>
    <n v="0"/>
    <x v="1"/>
    <x v="9"/>
    <x v="67"/>
    <n v="77.399000000000001"/>
    <x v="2199"/>
    <n v="26.12"/>
    <n v="27.411000000000001"/>
    <n v="23.789000000000001"/>
    <m/>
    <x v="0"/>
  </r>
  <r>
    <x v="5"/>
    <x v="20"/>
    <x v="20"/>
    <x v="5"/>
    <s v="VER"/>
    <x v="2"/>
    <x v="2"/>
    <x v="0"/>
    <n v="25"/>
    <x v="0"/>
    <x v="0"/>
    <x v="11"/>
    <n v="85.24"/>
    <x v="2200"/>
    <n v="28.01"/>
    <n v="29.201000000000001"/>
    <n v="27.952999999999999"/>
    <n v="20"/>
    <x v="1"/>
  </r>
  <r>
    <x v="5"/>
    <x v="20"/>
    <x v="20"/>
    <x v="10"/>
    <s v="PER"/>
    <x v="2"/>
    <x v="16"/>
    <x v="1"/>
    <n v="18"/>
    <x v="0"/>
    <x v="0"/>
    <x v="11"/>
    <n v="85.522000000000006"/>
    <x v="2201"/>
    <n v="27.824999999999999"/>
    <n v="29.391999999999999"/>
    <n v="27.846"/>
    <n v="21"/>
    <x v="1"/>
  </r>
  <r>
    <x v="5"/>
    <x v="20"/>
    <x v="20"/>
    <x v="9"/>
    <s v="SAI"/>
    <x v="0"/>
    <x v="1"/>
    <x v="2"/>
    <n v="15"/>
    <x v="0"/>
    <x v="0"/>
    <x v="11"/>
    <n v="85.501000000000005"/>
    <x v="2202"/>
    <n v="27.936"/>
    <n v="29.222000000000001"/>
    <n v="28.056000000000001"/>
    <n v="19"/>
    <x v="1"/>
  </r>
  <r>
    <x v="5"/>
    <x v="20"/>
    <x v="20"/>
    <x v="12"/>
    <s v="LEC"/>
    <x v="0"/>
    <x v="0"/>
    <x v="3"/>
    <n v="12"/>
    <x v="1"/>
    <x v="0"/>
    <x v="11"/>
    <n v="85.58"/>
    <x v="2203"/>
    <n v="27.902000000000001"/>
    <n v="29.256"/>
    <n v="28.013999999999999"/>
    <n v="20"/>
    <x v="1"/>
  </r>
  <r>
    <x v="5"/>
    <x v="20"/>
    <x v="20"/>
    <x v="24"/>
    <s v="RUS"/>
    <x v="1"/>
    <x v="5"/>
    <x v="4"/>
    <n v="10"/>
    <x v="1"/>
    <x v="0"/>
    <x v="11"/>
    <n v="85.846999999999994"/>
    <x v="2204"/>
    <n v="28.056000000000001"/>
    <n v="29.427"/>
    <n v="28.22"/>
    <n v="19"/>
    <x v="1"/>
  </r>
  <r>
    <x v="5"/>
    <x v="20"/>
    <x v="20"/>
    <x v="1"/>
    <s v="HAM"/>
    <x v="1"/>
    <x v="3"/>
    <x v="5"/>
    <n v="8"/>
    <x v="1"/>
    <x v="0"/>
    <x v="11"/>
    <n v="85.581999999999994"/>
    <x v="2205"/>
    <n v="27.731000000000002"/>
    <n v="29.417000000000002"/>
    <n v="28.024999999999999"/>
    <n v="27"/>
    <x v="1"/>
  </r>
  <r>
    <x v="5"/>
    <x v="20"/>
    <x v="20"/>
    <x v="22"/>
    <s v="ALB"/>
    <x v="7"/>
    <x v="15"/>
    <x v="6"/>
    <n v="6"/>
    <x v="1"/>
    <x v="0"/>
    <x v="11"/>
    <n v="86.388999999999996"/>
    <x v="2206"/>
    <n v="28.009"/>
    <n v="29.706"/>
    <n v="28.353000000000002"/>
    <n v="15"/>
    <x v="1"/>
  </r>
  <r>
    <x v="5"/>
    <x v="20"/>
    <x v="20"/>
    <x v="21"/>
    <s v="NOR"/>
    <x v="3"/>
    <x v="9"/>
    <x v="7"/>
    <n v="4"/>
    <x v="1"/>
    <x v="0"/>
    <x v="11"/>
    <n v="86.144000000000005"/>
    <x v="2207"/>
    <n v="28.036999999999999"/>
    <n v="29.457999999999998"/>
    <n v="28.228000000000002"/>
    <n v="22"/>
    <x v="1"/>
  </r>
  <r>
    <x v="5"/>
    <x v="20"/>
    <x v="20"/>
    <x v="4"/>
    <s v="ALO"/>
    <x v="13"/>
    <x v="4"/>
    <x v="8"/>
    <n v="2"/>
    <x v="1"/>
    <x v="0"/>
    <x v="11"/>
    <n v="86.105000000000004"/>
    <x v="2208"/>
    <n v="27.812000000000001"/>
    <n v="29.832000000000001"/>
    <n v="28.236000000000001"/>
    <n v="21"/>
    <x v="1"/>
  </r>
  <r>
    <x v="5"/>
    <x v="20"/>
    <x v="20"/>
    <x v="7"/>
    <s v="BOT"/>
    <x v="15"/>
    <x v="11"/>
    <x v="9"/>
    <n v="1"/>
    <x v="1"/>
    <x v="0"/>
    <x v="11"/>
    <n v="85.988"/>
    <x v="2209"/>
    <n v="28.023"/>
    <n v="29.536000000000001"/>
    <n v="28.428999999999998"/>
    <n v="25"/>
    <x v="1"/>
  </r>
  <r>
    <x v="5"/>
    <x v="20"/>
    <x v="20"/>
    <x v="36"/>
    <s v="LAW"/>
    <x v="12"/>
    <x v="10"/>
    <x v="10"/>
    <n v="0"/>
    <x v="1"/>
    <x v="0"/>
    <x v="11"/>
    <n v="85.841999999999999"/>
    <x v="2210"/>
    <n v="27.782"/>
    <n v="29.416"/>
    <n v="28.384"/>
    <s v="13,33"/>
    <x v="1"/>
  </r>
  <r>
    <x v="5"/>
    <x v="20"/>
    <x v="20"/>
    <x v="35"/>
    <s v="PIA"/>
    <x v="3"/>
    <x v="6"/>
    <x v="11"/>
    <n v="0"/>
    <x v="1"/>
    <x v="0"/>
    <x v="11"/>
    <n v="85.072000000000003"/>
    <x v="2211"/>
    <n v="27.763000000000002"/>
    <n v="29.13"/>
    <n v="27.838000000000001"/>
    <s v="23,41"/>
    <x v="1"/>
  </r>
  <r>
    <x v="5"/>
    <x v="20"/>
    <x v="20"/>
    <x v="34"/>
    <s v="SAR"/>
    <x v="7"/>
    <x v="7"/>
    <x v="12"/>
    <n v="0"/>
    <x v="1"/>
    <x v="0"/>
    <x v="11"/>
    <n v="86.84"/>
    <x v="2212"/>
    <n v="27.934000000000001"/>
    <n v="29.751000000000001"/>
    <n v="28.460999999999999"/>
    <n v="14"/>
    <x v="1"/>
  </r>
  <r>
    <x v="5"/>
    <x v="20"/>
    <x v="20"/>
    <x v="32"/>
    <s v="ZHO"/>
    <x v="15"/>
    <x v="14"/>
    <x v="13"/>
    <n v="0"/>
    <x v="1"/>
    <x v="0"/>
    <x v="11"/>
    <n v="85.983000000000004"/>
    <x v="2213"/>
    <n v="27.754999999999999"/>
    <n v="29.593"/>
    <n v="28.341000000000001"/>
    <s v="11,33"/>
    <x v="1"/>
  </r>
  <r>
    <x v="5"/>
    <x v="20"/>
    <x v="20"/>
    <x v="17"/>
    <s v="GAS"/>
    <x v="14"/>
    <x v="18"/>
    <x v="14"/>
    <n v="0"/>
    <x v="1"/>
    <x v="0"/>
    <x v="11"/>
    <n v="85.757999999999996"/>
    <x v="2214"/>
    <n v="27.984000000000002"/>
    <n v="29.469000000000001"/>
    <n v="28.231000000000002"/>
    <s v="10,31"/>
    <x v="1"/>
  </r>
  <r>
    <x v="5"/>
    <x v="20"/>
    <x v="20"/>
    <x v="13"/>
    <s v="STR"/>
    <x v="13"/>
    <x v="17"/>
    <x v="15"/>
    <n v="0"/>
    <x v="1"/>
    <x v="0"/>
    <x v="11"/>
    <n v="86.617000000000004"/>
    <x v="2215"/>
    <n v="27.963000000000001"/>
    <n v="29.727"/>
    <n v="28.654"/>
    <n v="20"/>
    <x v="1"/>
  </r>
  <r>
    <x v="5"/>
    <x v="20"/>
    <x v="20"/>
    <x v="6"/>
    <s v="HUL"/>
    <x v="9"/>
    <x v="13"/>
    <x v="16"/>
    <n v="0"/>
    <x v="1"/>
    <x v="52"/>
    <x v="11"/>
    <n v="85.894000000000005"/>
    <x v="2216"/>
    <n v="28.215"/>
    <n v="29.405000000000001"/>
    <n v="28.123000000000001"/>
    <s v="14,39"/>
    <x v="1"/>
  </r>
  <r>
    <x v="5"/>
    <x v="20"/>
    <x v="20"/>
    <x v="16"/>
    <s v="MAG"/>
    <x v="9"/>
    <x v="19"/>
    <x v="17"/>
    <n v="0"/>
    <x v="1"/>
    <x v="52"/>
    <x v="11"/>
    <n v="86.278000000000006"/>
    <x v="2217"/>
    <n v="28.155999999999999"/>
    <n v="29.456"/>
    <n v="28.408000000000001"/>
    <s v="12,33"/>
    <x v="1"/>
  </r>
  <r>
    <x v="5"/>
    <x v="20"/>
    <x v="20"/>
    <x v="11"/>
    <s v="OCO"/>
    <x v="14"/>
    <x v="12"/>
    <x v="18"/>
    <n v="0"/>
    <x v="1"/>
    <x v="21"/>
    <x v="22"/>
    <n v="86.962999999999994"/>
    <x v="2218"/>
    <n v="28.19"/>
    <n v="29.794"/>
    <n v="28.712"/>
    <s v="24,39"/>
    <x v="1"/>
  </r>
  <r>
    <x v="5"/>
    <x v="20"/>
    <x v="20"/>
    <x v="29"/>
    <s v="TSU"/>
    <x v="12"/>
    <x v="8"/>
    <x v="19"/>
    <n v="0"/>
    <x v="1"/>
    <x v="53"/>
    <x v="68"/>
    <m/>
    <x v="19"/>
    <m/>
    <m/>
    <m/>
    <m/>
    <x v="1"/>
  </r>
  <r>
    <x v="5"/>
    <x v="13"/>
    <x v="13"/>
    <x v="9"/>
    <s v="SAI"/>
    <x v="0"/>
    <x v="1"/>
    <x v="0"/>
    <n v="25"/>
    <x v="0"/>
    <x v="0"/>
    <x v="52"/>
    <n v="97.665999999999997"/>
    <x v="2219"/>
    <n v="28.57"/>
    <n v="41.569000000000003"/>
    <n v="27.393999999999998"/>
    <n v="20"/>
    <x v="1"/>
  </r>
  <r>
    <x v="5"/>
    <x v="13"/>
    <x v="13"/>
    <x v="21"/>
    <s v="NOR"/>
    <x v="3"/>
    <x v="5"/>
    <x v="1"/>
    <n v="18"/>
    <x v="0"/>
    <x v="0"/>
    <x v="52"/>
    <n v="98.046000000000006"/>
    <x v="2220"/>
    <n v="28.335999999999999"/>
    <n v="41.945999999999998"/>
    <n v="27.323"/>
    <n v="20"/>
    <x v="1"/>
  </r>
  <r>
    <x v="5"/>
    <x v="13"/>
    <x v="13"/>
    <x v="1"/>
    <s v="HAM"/>
    <x v="1"/>
    <x v="16"/>
    <x v="2"/>
    <n v="16"/>
    <x v="0"/>
    <x v="0"/>
    <x v="52"/>
    <n v="95.867000000000004"/>
    <x v="2221"/>
    <n v="28.032"/>
    <n v="40.658000000000001"/>
    <n v="26.904"/>
    <s v="20,44"/>
    <x v="1"/>
  </r>
  <r>
    <x v="5"/>
    <x v="13"/>
    <x v="13"/>
    <x v="12"/>
    <s v="LEC"/>
    <x v="0"/>
    <x v="0"/>
    <x v="3"/>
    <n v="12"/>
    <x v="1"/>
    <x v="0"/>
    <x v="52"/>
    <n v="98.275000000000006"/>
    <x v="2222"/>
    <n v="28.564"/>
    <n v="42.110999999999997"/>
    <n v="27.507000000000001"/>
    <n v="20"/>
    <x v="1"/>
  </r>
  <r>
    <x v="5"/>
    <x v="13"/>
    <x v="13"/>
    <x v="5"/>
    <s v="VER"/>
    <x v="2"/>
    <x v="8"/>
    <x v="4"/>
    <n v="10"/>
    <x v="1"/>
    <x v="0"/>
    <x v="52"/>
    <n v="96.575000000000003"/>
    <x v="2223"/>
    <n v="28.369"/>
    <n v="41.085999999999999"/>
    <n v="27.052"/>
    <n v="40"/>
    <x v="1"/>
  </r>
  <r>
    <x v="5"/>
    <x v="13"/>
    <x v="13"/>
    <x v="17"/>
    <s v="GAS"/>
    <x v="14"/>
    <x v="10"/>
    <x v="5"/>
    <n v="8"/>
    <x v="1"/>
    <x v="0"/>
    <x v="52"/>
    <n v="98.277000000000001"/>
    <x v="2224"/>
    <n v="28.7"/>
    <n v="41.942"/>
    <n v="27.547000000000001"/>
    <n v="20"/>
    <x v="1"/>
  </r>
  <r>
    <x v="5"/>
    <x v="13"/>
    <x v="13"/>
    <x v="35"/>
    <s v="PIA"/>
    <x v="3"/>
    <x v="18"/>
    <x v="6"/>
    <n v="6"/>
    <x v="1"/>
    <x v="0"/>
    <x v="52"/>
    <n v="98.492000000000004"/>
    <x v="2225"/>
    <n v="28.638000000000002"/>
    <n v="42.07"/>
    <n v="27.530999999999999"/>
    <n v="20"/>
    <x v="1"/>
  </r>
  <r>
    <x v="5"/>
    <x v="13"/>
    <x v="13"/>
    <x v="10"/>
    <s v="PER"/>
    <x v="2"/>
    <x v="13"/>
    <x v="7"/>
    <n v="4"/>
    <x v="1"/>
    <x v="0"/>
    <x v="52"/>
    <n v="97.108000000000004"/>
    <x v="2226"/>
    <n v="28.399000000000001"/>
    <n v="41.344000000000001"/>
    <n v="27.07"/>
    <n v="39"/>
    <x v="1"/>
  </r>
  <r>
    <x v="5"/>
    <x v="13"/>
    <x v="13"/>
    <x v="36"/>
    <s v="LAW"/>
    <x v="12"/>
    <x v="4"/>
    <x v="8"/>
    <n v="2"/>
    <x v="1"/>
    <x v="0"/>
    <x v="52"/>
    <n v="99.028000000000006"/>
    <x v="2227"/>
    <n v="28.975000000000001"/>
    <n v="42.289000000000001"/>
    <n v="27.731000000000002"/>
    <n v="20"/>
    <x v="1"/>
  </r>
  <r>
    <x v="5"/>
    <x v="13"/>
    <x v="13"/>
    <x v="16"/>
    <s v="MAG"/>
    <x v="9"/>
    <x v="15"/>
    <x v="9"/>
    <n v="1"/>
    <x v="1"/>
    <x v="0"/>
    <x v="52"/>
    <n v="98.106999999999999"/>
    <x v="2228"/>
    <n v="28.655000000000001"/>
    <n v="41.817999999999998"/>
    <n v="27.509"/>
    <s v="20,43"/>
    <x v="1"/>
  </r>
  <r>
    <x v="5"/>
    <x v="13"/>
    <x v="13"/>
    <x v="22"/>
    <s v="ALB"/>
    <x v="7"/>
    <x v="11"/>
    <x v="10"/>
    <n v="0"/>
    <x v="1"/>
    <x v="0"/>
    <x v="52"/>
    <n v="97.341999999999999"/>
    <x v="2229"/>
    <n v="28.457999999999998"/>
    <n v="41.518999999999998"/>
    <n v="27.274000000000001"/>
    <s v="20,43"/>
    <x v="1"/>
  </r>
  <r>
    <x v="5"/>
    <x v="13"/>
    <x v="13"/>
    <x v="32"/>
    <s v="ZHO"/>
    <x v="15"/>
    <x v="19"/>
    <x v="11"/>
    <n v="0"/>
    <x v="1"/>
    <x v="0"/>
    <x v="52"/>
    <n v="99.316000000000003"/>
    <x v="2230"/>
    <n v="28.82"/>
    <n v="42.329000000000001"/>
    <n v="27.917999999999999"/>
    <s v="2,20"/>
    <x v="1"/>
  </r>
  <r>
    <x v="5"/>
    <x v="13"/>
    <x v="13"/>
    <x v="6"/>
    <s v="HUL"/>
    <x v="9"/>
    <x v="9"/>
    <x v="12"/>
    <n v="0"/>
    <x v="1"/>
    <x v="0"/>
    <x v="52"/>
    <n v="99.923000000000002"/>
    <x v="2231"/>
    <n v="28.71"/>
    <n v="42.875"/>
    <n v="27.895"/>
    <n v="20"/>
    <x v="1"/>
  </r>
  <r>
    <x v="5"/>
    <x v="13"/>
    <x v="13"/>
    <x v="34"/>
    <s v="SAR"/>
    <x v="7"/>
    <x v="12"/>
    <x v="13"/>
    <n v="0"/>
    <x v="1"/>
    <x v="0"/>
    <x v="52"/>
    <n v="98.531000000000006"/>
    <x v="2232"/>
    <n v="28.651"/>
    <n v="41.953000000000003"/>
    <n v="27.715"/>
    <s v="19,43"/>
    <x v="1"/>
  </r>
  <r>
    <x v="5"/>
    <x v="13"/>
    <x v="13"/>
    <x v="4"/>
    <s v="ALO"/>
    <x v="13"/>
    <x v="6"/>
    <x v="14"/>
    <n v="0"/>
    <x v="1"/>
    <x v="0"/>
    <x v="52"/>
    <n v="96.456000000000003"/>
    <x v="2233"/>
    <n v="28.372"/>
    <n v="41.067"/>
    <n v="26.983000000000001"/>
    <s v="20,44"/>
    <x v="1"/>
  </r>
  <r>
    <x v="5"/>
    <x v="13"/>
    <x v="13"/>
    <x v="24"/>
    <s v="RUS"/>
    <x v="1"/>
    <x v="2"/>
    <x v="15"/>
    <n v="0"/>
    <x v="1"/>
    <x v="21"/>
    <x v="52"/>
    <n v="96.272999999999996"/>
    <x v="2234"/>
    <n v="28.254999999999999"/>
    <n v="40.83"/>
    <n v="27.106000000000002"/>
    <s v="20,44"/>
    <x v="1"/>
  </r>
  <r>
    <x v="5"/>
    <x v="13"/>
    <x v="13"/>
    <x v="7"/>
    <s v="BOT"/>
    <x v="15"/>
    <x v="14"/>
    <x v="16"/>
    <n v="0"/>
    <x v="1"/>
    <x v="21"/>
    <x v="33"/>
    <n v="98.075000000000003"/>
    <x v="2235"/>
    <n v="28.693000000000001"/>
    <n v="41.704999999999998"/>
    <n v="27.585000000000001"/>
    <n v="40"/>
    <x v="1"/>
  </r>
  <r>
    <x v="5"/>
    <x v="13"/>
    <x v="13"/>
    <x v="11"/>
    <s v="OCO"/>
    <x v="14"/>
    <x v="3"/>
    <x v="17"/>
    <n v="0"/>
    <x v="1"/>
    <x v="21"/>
    <x v="13"/>
    <n v="99.93"/>
    <x v="2236"/>
    <n v="28.715"/>
    <n v="42.845999999999997"/>
    <n v="27.908999999999999"/>
    <n v="20"/>
    <x v="1"/>
  </r>
  <r>
    <x v="5"/>
    <x v="13"/>
    <x v="13"/>
    <x v="29"/>
    <s v="TSU"/>
    <x v="12"/>
    <x v="7"/>
    <x v="18"/>
    <n v="0"/>
    <x v="1"/>
    <x v="21"/>
    <x v="16"/>
    <m/>
    <x v="19"/>
    <m/>
    <m/>
    <m/>
    <m/>
    <x v="1"/>
  </r>
  <r>
    <x v="5"/>
    <x v="13"/>
    <x v="13"/>
    <x v="13"/>
    <s v="STR"/>
    <x v="13"/>
    <x v="21"/>
    <x v="20"/>
    <n v="0"/>
    <x v="1"/>
    <x v="33"/>
    <x v="68"/>
    <m/>
    <x v="19"/>
    <m/>
    <m/>
    <m/>
    <m/>
    <x v="1"/>
  </r>
  <r>
    <x v="5"/>
    <x v="14"/>
    <x v="15"/>
    <x v="5"/>
    <s v="VER"/>
    <x v="2"/>
    <x v="1"/>
    <x v="0"/>
    <n v="26"/>
    <x v="0"/>
    <x v="0"/>
    <x v="28"/>
    <n v="94.183000000000007"/>
    <x v="2237"/>
    <n v="33.72"/>
    <n v="42.118000000000002"/>
    <n v="18.344999999999999"/>
    <s v="16,37"/>
    <x v="1"/>
  </r>
  <r>
    <x v="5"/>
    <x v="14"/>
    <x v="15"/>
    <x v="21"/>
    <s v="NOR"/>
    <x v="3"/>
    <x v="0"/>
    <x v="1"/>
    <n v="18"/>
    <x v="0"/>
    <x v="0"/>
    <x v="28"/>
    <n v="95.247"/>
    <x v="2238"/>
    <n v="34.268999999999998"/>
    <n v="42.423000000000002"/>
    <n v="18.555"/>
    <s v="17,36"/>
    <x v="1"/>
  </r>
  <r>
    <x v="5"/>
    <x v="14"/>
    <x v="15"/>
    <x v="35"/>
    <s v="PIA"/>
    <x v="3"/>
    <x v="2"/>
    <x v="2"/>
    <n v="15"/>
    <x v="0"/>
    <x v="0"/>
    <x v="28"/>
    <n v="96.328000000000003"/>
    <x v="2239"/>
    <n v="34.476999999999997"/>
    <n v="42.96"/>
    <n v="18.649999999999999"/>
    <s v="13,35"/>
    <x v="1"/>
  </r>
  <r>
    <x v="5"/>
    <x v="14"/>
    <x v="15"/>
    <x v="12"/>
    <s v="LEC"/>
    <x v="0"/>
    <x v="5"/>
    <x v="3"/>
    <n v="12"/>
    <x v="1"/>
    <x v="0"/>
    <x v="28"/>
    <n v="96.361999999999995"/>
    <x v="2240"/>
    <n v="34.761000000000003"/>
    <n v="42.920999999999999"/>
    <n v="18.661000000000001"/>
    <s v="17,34"/>
    <x v="1"/>
  </r>
  <r>
    <x v="5"/>
    <x v="14"/>
    <x v="15"/>
    <x v="1"/>
    <s v="HAM"/>
    <x v="1"/>
    <x v="6"/>
    <x v="4"/>
    <n v="10"/>
    <x v="1"/>
    <x v="0"/>
    <x v="28"/>
    <n v="95.611000000000004"/>
    <x v="2241"/>
    <n v="34.390999999999998"/>
    <n v="42.704999999999998"/>
    <n v="18.515000000000001"/>
    <s v="16,34"/>
    <x v="1"/>
  </r>
  <r>
    <x v="5"/>
    <x v="14"/>
    <x v="15"/>
    <x v="9"/>
    <s v="SAI"/>
    <x v="0"/>
    <x v="15"/>
    <x v="5"/>
    <n v="8"/>
    <x v="1"/>
    <x v="0"/>
    <x v="28"/>
    <n v="96.186999999999998"/>
    <x v="2242"/>
    <n v="34.756"/>
    <n v="42.779000000000003"/>
    <n v="18.545000000000002"/>
    <s v="18,38"/>
    <x v="1"/>
  </r>
  <r>
    <x v="5"/>
    <x v="14"/>
    <x v="15"/>
    <x v="24"/>
    <s v="RUS"/>
    <x v="1"/>
    <x v="3"/>
    <x v="6"/>
    <n v="6"/>
    <x v="1"/>
    <x v="0"/>
    <x v="28"/>
    <n v="97.653000000000006"/>
    <x v="2243"/>
    <n v="35.402000000000001"/>
    <n v="43.289000000000001"/>
    <n v="18.742999999999999"/>
    <n v="24"/>
    <x v="1"/>
  </r>
  <r>
    <x v="5"/>
    <x v="14"/>
    <x v="15"/>
    <x v="4"/>
    <s v="ALO"/>
    <x v="13"/>
    <x v="4"/>
    <x v="7"/>
    <n v="4"/>
    <x v="1"/>
    <x v="0"/>
    <x v="28"/>
    <n v="97.203000000000003"/>
    <x v="2244"/>
    <n v="35.097999999999999"/>
    <n v="42.991"/>
    <n v="18.785"/>
    <s v="11,25"/>
    <x v="1"/>
  </r>
  <r>
    <x v="5"/>
    <x v="14"/>
    <x v="15"/>
    <x v="11"/>
    <s v="OCO"/>
    <x v="14"/>
    <x v="11"/>
    <x v="8"/>
    <n v="2"/>
    <x v="1"/>
    <x v="0"/>
    <x v="28"/>
    <n v="97.397999999999996"/>
    <x v="2245"/>
    <n v="35.052999999999997"/>
    <n v="43.466999999999999"/>
    <n v="18.777000000000001"/>
    <s v="1,28"/>
    <x v="1"/>
  </r>
  <r>
    <x v="5"/>
    <x v="14"/>
    <x v="15"/>
    <x v="17"/>
    <s v="GAS"/>
    <x v="14"/>
    <x v="10"/>
    <x v="9"/>
    <n v="1"/>
    <x v="1"/>
    <x v="0"/>
    <x v="28"/>
    <n v="96.370999999999995"/>
    <x v="2246"/>
    <n v="34.662999999999997"/>
    <n v="43.061999999999998"/>
    <n v="18.646000000000001"/>
    <s v="18,34"/>
    <x v="1"/>
  </r>
  <r>
    <x v="5"/>
    <x v="14"/>
    <x v="15"/>
    <x v="36"/>
    <s v="LAW"/>
    <x v="12"/>
    <x v="8"/>
    <x v="10"/>
    <n v="0"/>
    <x v="1"/>
    <x v="52"/>
    <x v="33"/>
    <n v="98.266999999999996"/>
    <x v="2247"/>
    <n v="35.429000000000002"/>
    <n v="43.725999999999999"/>
    <n v="18.875"/>
    <s v="10,25"/>
    <x v="1"/>
  </r>
  <r>
    <x v="5"/>
    <x v="14"/>
    <x v="15"/>
    <x v="29"/>
    <s v="TSU"/>
    <x v="12"/>
    <x v="9"/>
    <x v="11"/>
    <n v="0"/>
    <x v="1"/>
    <x v="52"/>
    <x v="33"/>
    <n v="97.768000000000001"/>
    <x v="2248"/>
    <n v="35.353000000000002"/>
    <n v="43.430999999999997"/>
    <n v="18.771000000000001"/>
    <s v="9,30"/>
    <x v="1"/>
  </r>
  <r>
    <x v="5"/>
    <x v="14"/>
    <x v="15"/>
    <x v="32"/>
    <s v="ZHO"/>
    <x v="15"/>
    <x v="19"/>
    <x v="12"/>
    <n v="0"/>
    <x v="1"/>
    <x v="52"/>
    <x v="33"/>
    <n v="97.790999999999997"/>
    <x v="2249"/>
    <n v="35.118000000000002"/>
    <n v="43.622999999999998"/>
    <n v="19.001999999999999"/>
    <s v="1,10,29"/>
    <x v="1"/>
  </r>
  <r>
    <x v="5"/>
    <x v="14"/>
    <x v="15"/>
    <x v="6"/>
    <s v="HUL"/>
    <x v="9"/>
    <x v="12"/>
    <x v="13"/>
    <n v="0"/>
    <x v="1"/>
    <x v="52"/>
    <x v="33"/>
    <n v="97.25"/>
    <x v="2250"/>
    <n v="35.091000000000001"/>
    <n v="43.31"/>
    <n v="18.617999999999999"/>
    <s v="8,21,37"/>
    <x v="1"/>
  </r>
  <r>
    <x v="5"/>
    <x v="14"/>
    <x v="15"/>
    <x v="16"/>
    <s v="MAG"/>
    <x v="9"/>
    <x v="7"/>
    <x v="14"/>
    <n v="0"/>
    <x v="1"/>
    <x v="52"/>
    <x v="33"/>
    <n v="97.841999999999999"/>
    <x v="2251"/>
    <n v="35.393999999999998"/>
    <n v="43.527999999999999"/>
    <n v="18.779"/>
    <s v="12,31"/>
    <x v="1"/>
  </r>
  <r>
    <x v="5"/>
    <x v="14"/>
    <x v="15"/>
    <x v="22"/>
    <s v="ALB"/>
    <x v="7"/>
    <x v="13"/>
    <x v="15"/>
    <n v="0"/>
    <x v="1"/>
    <x v="21"/>
    <x v="65"/>
    <n v="99.185000000000002"/>
    <x v="2252"/>
    <n v="36.027000000000001"/>
    <n v="44.070999999999998"/>
    <n v="19.03"/>
    <s v="1,13,26"/>
    <x v="1"/>
  </r>
  <r>
    <x v="5"/>
    <x v="14"/>
    <x v="15"/>
    <x v="34"/>
    <s v="SAR"/>
    <x v="7"/>
    <x v="17"/>
    <x v="16"/>
    <n v="0"/>
    <x v="1"/>
    <x v="21"/>
    <x v="3"/>
    <n v="98.847999999999999"/>
    <x v="2253"/>
    <n v="35.655000000000001"/>
    <n v="44.088999999999999"/>
    <n v="19.103999999999999"/>
    <s v="2,5,21,22"/>
    <x v="1"/>
  </r>
  <r>
    <x v="5"/>
    <x v="14"/>
    <x v="15"/>
    <x v="13"/>
    <s v="STR"/>
    <x v="13"/>
    <x v="18"/>
    <x v="17"/>
    <n v="0"/>
    <x v="1"/>
    <x v="21"/>
    <x v="54"/>
    <n v="99.05"/>
    <x v="2254"/>
    <n v="35.841999999999999"/>
    <n v="44.033000000000001"/>
    <n v="19.073"/>
    <s v="14,20"/>
    <x v="1"/>
  </r>
  <r>
    <x v="5"/>
    <x v="14"/>
    <x v="15"/>
    <x v="10"/>
    <s v="PER"/>
    <x v="2"/>
    <x v="16"/>
    <x v="18"/>
    <n v="0"/>
    <x v="1"/>
    <x v="21"/>
    <x v="67"/>
    <n v="99.703999999999994"/>
    <x v="2255"/>
    <n v="35.973999999999997"/>
    <n v="44.353000000000002"/>
    <n v="19.074999999999999"/>
    <s v="2,12,13,14,15"/>
    <x v="1"/>
  </r>
  <r>
    <x v="5"/>
    <x v="14"/>
    <x v="15"/>
    <x v="7"/>
    <s v="BOT"/>
    <x v="15"/>
    <x v="14"/>
    <x v="19"/>
    <n v="0"/>
    <x v="1"/>
    <x v="21"/>
    <x v="56"/>
    <n v="122.755"/>
    <x v="2256"/>
    <n v="36.180999999999997"/>
    <n v="66.534000000000006"/>
    <n v="20.04"/>
    <s v="1,6,7"/>
    <x v="1"/>
  </r>
  <r>
    <x v="5"/>
    <x v="15"/>
    <x v="32"/>
    <x v="5"/>
    <s v="VER"/>
    <x v="2"/>
    <x v="1"/>
    <x v="0"/>
    <n v="26"/>
    <x v="0"/>
    <x v="0"/>
    <x v="1"/>
    <n v="84.319000000000003"/>
    <x v="2257"/>
    <n v="30.765000000000001"/>
    <n v="28.661999999999999"/>
    <n v="24.885000000000002"/>
    <s v="17,34,51"/>
    <x v="1"/>
  </r>
  <r>
    <x v="5"/>
    <x v="15"/>
    <x v="32"/>
    <x v="35"/>
    <s v="PIA"/>
    <x v="3"/>
    <x v="15"/>
    <x v="1"/>
    <n v="18"/>
    <x v="0"/>
    <x v="0"/>
    <x v="1"/>
    <n v="84.921000000000006"/>
    <x v="2258"/>
    <n v="31.204000000000001"/>
    <n v="28.709"/>
    <n v="24.899000000000001"/>
    <s v="12,25,43"/>
    <x v="1"/>
  </r>
  <r>
    <x v="5"/>
    <x v="15"/>
    <x v="32"/>
    <x v="21"/>
    <s v="NOR"/>
    <x v="3"/>
    <x v="4"/>
    <x v="2"/>
    <n v="15"/>
    <x v="0"/>
    <x v="0"/>
    <x v="1"/>
    <n v="84.841999999999999"/>
    <x v="2259"/>
    <n v="31.280999999999999"/>
    <n v="28.657"/>
    <n v="24.728999999999999"/>
    <s v="13,27,44"/>
    <x v="1"/>
  </r>
  <r>
    <x v="5"/>
    <x v="15"/>
    <x v="32"/>
    <x v="24"/>
    <s v="RUS"/>
    <x v="1"/>
    <x v="2"/>
    <x v="3"/>
    <n v="12"/>
    <x v="1"/>
    <x v="0"/>
    <x v="1"/>
    <n v="85.77"/>
    <x v="2260"/>
    <n v="31.446000000000002"/>
    <n v="28.666"/>
    <n v="25.131"/>
    <s v="1,14,32,50"/>
    <x v="1"/>
  </r>
  <r>
    <x v="5"/>
    <x v="15"/>
    <x v="32"/>
    <x v="12"/>
    <s v="LEC"/>
    <x v="0"/>
    <x v="16"/>
    <x v="4"/>
    <n v="10"/>
    <x v="1"/>
    <x v="0"/>
    <x v="1"/>
    <n v="84.992000000000004"/>
    <x v="2261"/>
    <n v="31.408999999999999"/>
    <n v="28.748999999999999"/>
    <n v="24.834"/>
    <s v="12,25,43"/>
    <x v="1"/>
  </r>
  <r>
    <x v="5"/>
    <x v="15"/>
    <x v="32"/>
    <x v="4"/>
    <s v="ALO"/>
    <x v="13"/>
    <x v="5"/>
    <x v="5"/>
    <n v="8"/>
    <x v="1"/>
    <x v="0"/>
    <x v="1"/>
    <n v="86.045000000000002"/>
    <x v="2262"/>
    <n v="31.631"/>
    <n v="29"/>
    <n v="25.309000000000001"/>
    <s v="11,26,44"/>
    <x v="1"/>
  </r>
  <r>
    <x v="5"/>
    <x v="15"/>
    <x v="32"/>
    <x v="11"/>
    <s v="OCO"/>
    <x v="14"/>
    <x v="3"/>
    <x v="6"/>
    <n v="6"/>
    <x v="1"/>
    <x v="0"/>
    <x v="1"/>
    <n v="86.45"/>
    <x v="2263"/>
    <n v="31.951000000000001"/>
    <n v="29.02"/>
    <n v="25.234000000000002"/>
    <s v="10,25,43"/>
    <x v="1"/>
  </r>
  <r>
    <x v="5"/>
    <x v="15"/>
    <x v="32"/>
    <x v="7"/>
    <s v="BOT"/>
    <x v="15"/>
    <x v="9"/>
    <x v="7"/>
    <n v="4"/>
    <x v="1"/>
    <x v="0"/>
    <x v="1"/>
    <n v="86.652000000000001"/>
    <x v="2264"/>
    <n v="31.832999999999998"/>
    <n v="28.891999999999999"/>
    <n v="25.692"/>
    <s v="3,21,39"/>
    <x v="1"/>
  </r>
  <r>
    <x v="5"/>
    <x v="15"/>
    <x v="32"/>
    <x v="32"/>
    <s v="ZHO"/>
    <x v="15"/>
    <x v="19"/>
    <x v="8"/>
    <n v="2"/>
    <x v="1"/>
    <x v="0"/>
    <x v="1"/>
    <n v="86.322999999999993"/>
    <x v="2265"/>
    <n v="31.841999999999999"/>
    <n v="29.045000000000002"/>
    <n v="25.423999999999999"/>
    <s v="18,35,52"/>
    <x v="1"/>
  </r>
  <r>
    <x v="5"/>
    <x v="15"/>
    <x v="32"/>
    <x v="10"/>
    <s v="PER"/>
    <x v="2"/>
    <x v="17"/>
    <x v="9"/>
    <n v="1"/>
    <x v="1"/>
    <x v="0"/>
    <x v="1"/>
    <n v="86.22"/>
    <x v="2266"/>
    <n v="31.754999999999999"/>
    <n v="29.039000000000001"/>
    <n v="25.245999999999999"/>
    <s v="17,31,43"/>
    <x v="1"/>
  </r>
  <r>
    <x v="5"/>
    <x v="15"/>
    <x v="32"/>
    <x v="13"/>
    <s v="STR"/>
    <x v="13"/>
    <x v="14"/>
    <x v="10"/>
    <n v="0"/>
    <x v="1"/>
    <x v="0"/>
    <x v="1"/>
    <n v="86.352000000000004"/>
    <x v="2267"/>
    <n v="31.983000000000001"/>
    <n v="29.088000000000001"/>
    <n v="25.27"/>
    <s v="3,21,39"/>
    <x v="1"/>
  </r>
  <r>
    <x v="5"/>
    <x v="15"/>
    <x v="32"/>
    <x v="17"/>
    <s v="GAS"/>
    <x v="14"/>
    <x v="6"/>
    <x v="11"/>
    <n v="0"/>
    <x v="1"/>
    <x v="0"/>
    <x v="1"/>
    <n v="85.793000000000006"/>
    <x v="2268"/>
    <n v="31.823"/>
    <n v="28.847000000000001"/>
    <n v="25.123000000000001"/>
    <s v="11,26,44"/>
    <x v="1"/>
  </r>
  <r>
    <x v="5"/>
    <x v="15"/>
    <x v="32"/>
    <x v="22"/>
    <s v="ALB"/>
    <x v="7"/>
    <x v="13"/>
    <x v="12"/>
    <n v="0"/>
    <x v="1"/>
    <x v="0"/>
    <x v="1"/>
    <n v="86.665999999999997"/>
    <x v="2269"/>
    <n v="31.873000000000001"/>
    <n v="29.088999999999999"/>
    <n v="25.434000000000001"/>
    <s v="18,31,44"/>
    <x v="1"/>
  </r>
  <r>
    <x v="5"/>
    <x v="15"/>
    <x v="32"/>
    <x v="16"/>
    <s v="MAG"/>
    <x v="9"/>
    <x v="12"/>
    <x v="13"/>
    <n v="0"/>
    <x v="1"/>
    <x v="52"/>
    <x v="7"/>
    <n v="87.066999999999993"/>
    <x v="2270"/>
    <n v="31.866"/>
    <n v="29.216000000000001"/>
    <n v="25.5"/>
    <s v="3,21,39"/>
    <x v="1"/>
  </r>
  <r>
    <x v="5"/>
    <x v="15"/>
    <x v="32"/>
    <x v="29"/>
    <s v="TSU"/>
    <x v="12"/>
    <x v="8"/>
    <x v="14"/>
    <n v="0"/>
    <x v="1"/>
    <x v="52"/>
    <x v="7"/>
    <n v="87.174000000000007"/>
    <x v="2271"/>
    <n v="32.375999999999998"/>
    <n v="29.082000000000001"/>
    <n v="25.469000000000001"/>
    <s v="9,22,40"/>
    <x v="1"/>
  </r>
  <r>
    <x v="5"/>
    <x v="15"/>
    <x v="32"/>
    <x v="6"/>
    <s v="HUL"/>
    <x v="9"/>
    <x v="11"/>
    <x v="15"/>
    <n v="0"/>
    <x v="1"/>
    <x v="52"/>
    <x v="7"/>
    <n v="86.444000000000003"/>
    <x v="2272"/>
    <n v="31.788"/>
    <n v="29.119"/>
    <n v="25.254000000000001"/>
    <s v="13,27,39"/>
    <x v="1"/>
  </r>
  <r>
    <x v="5"/>
    <x v="15"/>
    <x v="32"/>
    <x v="36"/>
    <s v="LAW"/>
    <x v="12"/>
    <x v="18"/>
    <x v="16"/>
    <n v="0"/>
    <x v="1"/>
    <x v="52"/>
    <x v="7"/>
    <n v="87.113"/>
    <x v="2273"/>
    <n v="32.368000000000002"/>
    <n v="29.195"/>
    <n v="25.518000000000001"/>
    <s v="3,21,39"/>
    <x v="1"/>
  </r>
  <r>
    <x v="5"/>
    <x v="15"/>
    <x v="32"/>
    <x v="34"/>
    <s v="SAR"/>
    <x v="7"/>
    <x v="7"/>
    <x v="17"/>
    <n v="0"/>
    <x v="1"/>
    <x v="21"/>
    <x v="14"/>
    <n v="87.983000000000004"/>
    <x v="2274"/>
    <n v="32.375"/>
    <n v="29.701999999999899"/>
    <n v="25.768999999999998"/>
    <s v="13,26,40"/>
    <x v="1"/>
  </r>
  <r>
    <x v="5"/>
    <x v="15"/>
    <x v="32"/>
    <x v="1"/>
    <s v="HAM"/>
    <x v="1"/>
    <x v="0"/>
    <x v="18"/>
    <n v="0"/>
    <x v="1"/>
    <x v="21"/>
    <x v="16"/>
    <m/>
    <x v="19"/>
    <m/>
    <m/>
    <m/>
    <m/>
    <x v="1"/>
  </r>
  <r>
    <x v="5"/>
    <x v="15"/>
    <x v="32"/>
    <x v="9"/>
    <s v="SAI"/>
    <x v="0"/>
    <x v="10"/>
    <x v="19"/>
    <n v="0"/>
    <x v="1"/>
    <x v="53"/>
    <x v="68"/>
    <m/>
    <x v="19"/>
    <m/>
    <m/>
    <m/>
    <m/>
    <x v="1"/>
  </r>
  <r>
    <x v="5"/>
    <x v="16"/>
    <x v="16"/>
    <x v="5"/>
    <s v="VER"/>
    <x v="2"/>
    <x v="15"/>
    <x v="0"/>
    <n v="25"/>
    <x v="0"/>
    <x v="0"/>
    <x v="7"/>
    <n v="100.02800000000001"/>
    <x v="2275"/>
    <n v="26.759"/>
    <n v="40.097999999999999"/>
    <n v="32.716000000000001"/>
    <s v="16,35"/>
    <x v="1"/>
  </r>
  <r>
    <x v="5"/>
    <x v="16"/>
    <x v="16"/>
    <x v="21"/>
    <s v="NOR"/>
    <x v="3"/>
    <x v="2"/>
    <x v="1"/>
    <n v="18"/>
    <x v="0"/>
    <x v="0"/>
    <x v="7"/>
    <n v="99.984999999999999"/>
    <x v="2276"/>
    <n v="26.920999999999999"/>
    <n v="39.866"/>
    <n v="32.698"/>
    <s v="17,34"/>
    <x v="1"/>
  </r>
  <r>
    <x v="5"/>
    <x v="16"/>
    <x v="16"/>
    <x v="9"/>
    <s v="SAI"/>
    <x v="0"/>
    <x v="5"/>
    <x v="2"/>
    <n v="15"/>
    <x v="0"/>
    <x v="0"/>
    <x v="7"/>
    <n v="100.03400000000001"/>
    <x v="2277"/>
    <n v="26.946000000000002"/>
    <n v="40.180999999999997"/>
    <n v="32.859000000000002"/>
    <s v="17,35"/>
    <x v="1"/>
  </r>
  <r>
    <x v="5"/>
    <x v="16"/>
    <x v="16"/>
    <x v="10"/>
    <s v="PER"/>
    <x v="2"/>
    <x v="9"/>
    <x v="3"/>
    <n v="12"/>
    <x v="1"/>
    <x v="0"/>
    <x v="7"/>
    <n v="99.736999999999995"/>
    <x v="2278"/>
    <n v="26.768000000000001"/>
    <n v="40.091000000000001"/>
    <n v="32.479999999999997"/>
    <s v="17,37"/>
    <x v="1"/>
  </r>
  <r>
    <x v="5"/>
    <x v="16"/>
    <x v="16"/>
    <x v="24"/>
    <s v="RUS"/>
    <x v="1"/>
    <x v="16"/>
    <x v="4"/>
    <n v="10"/>
    <x v="1"/>
    <x v="0"/>
    <x v="7"/>
    <n v="99.393000000000001"/>
    <x v="2279"/>
    <n v="26.838999999999999"/>
    <n v="40.07"/>
    <n v="32.219000000000001"/>
    <s v="21,39"/>
    <x v="1"/>
  </r>
  <r>
    <x v="5"/>
    <x v="16"/>
    <x v="16"/>
    <x v="17"/>
    <s v="GAS"/>
    <x v="14"/>
    <x v="6"/>
    <x v="5"/>
    <n v="8"/>
    <x v="1"/>
    <x v="0"/>
    <x v="7"/>
    <n v="100.41200000000001"/>
    <x v="2280"/>
    <n v="27.134"/>
    <n v="40.298999999999999"/>
    <n v="32.811"/>
    <s v="18,37"/>
    <x v="1"/>
  </r>
  <r>
    <x v="5"/>
    <x v="16"/>
    <x v="16"/>
    <x v="13"/>
    <s v="STR"/>
    <x v="13"/>
    <x v="17"/>
    <x v="6"/>
    <n v="6"/>
    <x v="1"/>
    <x v="0"/>
    <x v="7"/>
    <n v="99.908000000000001"/>
    <x v="2281"/>
    <n v="26.791"/>
    <n v="40.017000000000003"/>
    <n v="32.582000000000001"/>
    <s v="20,40"/>
    <x v="1"/>
  </r>
  <r>
    <x v="5"/>
    <x v="16"/>
    <x v="16"/>
    <x v="29"/>
    <s v="TSU"/>
    <x v="12"/>
    <x v="8"/>
    <x v="7"/>
    <n v="5"/>
    <x v="1"/>
    <x v="0"/>
    <x v="7"/>
    <n v="98.138999999999996"/>
    <x v="2282"/>
    <n v="26.545999999999999"/>
    <n v="39.573"/>
    <n v="32.020000000000003"/>
    <s v="17,34,54"/>
    <x v="1"/>
  </r>
  <r>
    <x v="5"/>
    <x v="16"/>
    <x v="16"/>
    <x v="22"/>
    <s v="ALB"/>
    <x v="7"/>
    <x v="7"/>
    <x v="8"/>
    <n v="2"/>
    <x v="1"/>
    <x v="0"/>
    <x v="7"/>
    <n v="101.318"/>
    <x v="2283"/>
    <n v="27.222000000000001"/>
    <n v="40.552999999999997"/>
    <n v="33.304000000000002"/>
    <s v="10,29"/>
    <x v="1"/>
  </r>
  <r>
    <x v="5"/>
    <x v="16"/>
    <x v="16"/>
    <x v="34"/>
    <s v="SAR"/>
    <x v="7"/>
    <x v="14"/>
    <x v="9"/>
    <n v="1"/>
    <x v="1"/>
    <x v="0"/>
    <x v="7"/>
    <n v="101.238"/>
    <x v="2284"/>
    <n v="27.186"/>
    <n v="40.090000000000003"/>
    <n v="33.331000000000003"/>
    <s v="11,32"/>
    <x v="1"/>
  </r>
  <r>
    <x v="5"/>
    <x v="16"/>
    <x v="16"/>
    <x v="6"/>
    <s v="HUL"/>
    <x v="9"/>
    <x v="12"/>
    <x v="10"/>
    <n v="0"/>
    <x v="1"/>
    <x v="0"/>
    <x v="7"/>
    <n v="100.925"/>
    <x v="2285"/>
    <n v="26.972000000000001"/>
    <n v="40.372999999999998"/>
    <n v="33.078000000000003"/>
    <s v="19,34"/>
    <x v="1"/>
  </r>
  <r>
    <x v="5"/>
    <x v="16"/>
    <x v="16"/>
    <x v="7"/>
    <s v="BOT"/>
    <x v="15"/>
    <x v="13"/>
    <x v="11"/>
    <n v="0"/>
    <x v="1"/>
    <x v="0"/>
    <x v="7"/>
    <n v="101.97199999999999"/>
    <x v="2286"/>
    <n v="27.443000000000001"/>
    <n v="40.753"/>
    <n v="33.280999999999999"/>
    <s v="10,28"/>
    <x v="1"/>
  </r>
  <r>
    <x v="5"/>
    <x v="16"/>
    <x v="16"/>
    <x v="32"/>
    <s v="ZHO"/>
    <x v="15"/>
    <x v="10"/>
    <x v="12"/>
    <n v="0"/>
    <x v="1"/>
    <x v="52"/>
    <x v="35"/>
    <n v="101.879"/>
    <x v="2287"/>
    <n v="27.169"/>
    <n v="40.835000000000001"/>
    <n v="33.524999999999999"/>
    <s v="9,27"/>
    <x v="1"/>
  </r>
  <r>
    <x v="5"/>
    <x v="16"/>
    <x v="16"/>
    <x v="16"/>
    <s v="MAG"/>
    <x v="9"/>
    <x v="18"/>
    <x v="13"/>
    <n v="0"/>
    <x v="1"/>
    <x v="52"/>
    <x v="35"/>
    <n v="101.506"/>
    <x v="2288"/>
    <n v="27.157"/>
    <n v="40.683999999999997"/>
    <n v="33.21"/>
    <s v="10,29"/>
    <x v="1"/>
  </r>
  <r>
    <x v="5"/>
    <x v="16"/>
    <x v="16"/>
    <x v="3"/>
    <s v="RIC"/>
    <x v="12"/>
    <x v="11"/>
    <x v="14"/>
    <n v="0"/>
    <x v="1"/>
    <x v="52"/>
    <x v="35"/>
    <n v="99.366"/>
    <x v="2289"/>
    <n v="26.937999999999999"/>
    <n v="40.228000000000002"/>
    <n v="32.159999999999997"/>
    <s v="22,47"/>
    <x v="1"/>
  </r>
  <r>
    <x v="5"/>
    <x v="16"/>
    <x v="16"/>
    <x v="4"/>
    <s v="ALO"/>
    <x v="13"/>
    <x v="19"/>
    <x v="15"/>
    <n v="0"/>
    <x v="1"/>
    <x v="21"/>
    <x v="12"/>
    <n v="99.953999999999994"/>
    <x v="2290"/>
    <n v="26.861000000000001"/>
    <n v="39.988999999999997"/>
    <n v="32.860999999999997"/>
    <s v="19,42,49"/>
    <x v="1"/>
  </r>
  <r>
    <x v="5"/>
    <x v="16"/>
    <x v="16"/>
    <x v="35"/>
    <s v="PIA"/>
    <x v="3"/>
    <x v="4"/>
    <x v="16"/>
    <n v="0"/>
    <x v="1"/>
    <x v="21"/>
    <x v="58"/>
    <n v="102.705"/>
    <x v="2291"/>
    <n v="27.631"/>
    <n v="40.966000000000001"/>
    <n v="33.863999999999997"/>
    <n v="10"/>
    <x v="1"/>
  </r>
  <r>
    <x v="5"/>
    <x v="16"/>
    <x v="16"/>
    <x v="11"/>
    <s v="OCO"/>
    <x v="14"/>
    <x v="3"/>
    <x v="17"/>
    <n v="0"/>
    <x v="1"/>
    <x v="21"/>
    <x v="5"/>
    <n v="104.789"/>
    <x v="2292"/>
    <n v="28.495000000000001"/>
    <n v="41.802999999999997"/>
    <n v="34.491"/>
    <n v="6"/>
    <x v="1"/>
  </r>
  <r>
    <x v="5"/>
    <x v="16"/>
    <x v="16"/>
    <x v="1"/>
    <s v="HAM"/>
    <x v="1"/>
    <x v="0"/>
    <x v="18"/>
    <n v="0"/>
    <x v="1"/>
    <x v="26"/>
    <x v="7"/>
    <n v="99.581999999999994"/>
    <x v="2293"/>
    <n v="26.818000000000001"/>
    <n v="40.000999999999998"/>
    <n v="32.588000000000001"/>
    <s v="20,38"/>
    <x v="1"/>
  </r>
  <r>
    <x v="5"/>
    <x v="16"/>
    <x v="16"/>
    <x v="12"/>
    <s v="LEC"/>
    <x v="0"/>
    <x v="1"/>
    <x v="19"/>
    <n v="0"/>
    <x v="1"/>
    <x v="26"/>
    <x v="7"/>
    <n v="101.02500000000001"/>
    <x v="2294"/>
    <n v="26.914000000000001"/>
    <n v="40.543999999999997"/>
    <n v="33.073"/>
    <n v="23"/>
    <x v="1"/>
  </r>
  <r>
    <x v="5"/>
    <x v="17"/>
    <x v="30"/>
    <x v="5"/>
    <s v="VER"/>
    <x v="2"/>
    <x v="0"/>
    <x v="0"/>
    <n v="25"/>
    <x v="0"/>
    <x v="0"/>
    <x v="27"/>
    <n v="81.644000000000005"/>
    <x v="2295"/>
    <n v="28.443000000000001"/>
    <n v="31.609000000000002"/>
    <n v="21.126000000000001"/>
    <s v="19,33,34"/>
    <x v="1"/>
  </r>
  <r>
    <x v="5"/>
    <x v="17"/>
    <x v="30"/>
    <x v="1"/>
    <s v="HAM"/>
    <x v="1"/>
    <x v="15"/>
    <x v="1"/>
    <n v="19"/>
    <x v="0"/>
    <x v="0"/>
    <x v="27"/>
    <n v="81.334000000000003"/>
    <x v="2296"/>
    <n v="28.440999999999999"/>
    <n v="31.596"/>
    <n v="21.105"/>
    <s v="24,34"/>
    <x v="1"/>
  </r>
  <r>
    <x v="5"/>
    <x v="17"/>
    <x v="30"/>
    <x v="12"/>
    <s v="LEC"/>
    <x v="0"/>
    <x v="1"/>
    <x v="2"/>
    <n v="15"/>
    <x v="0"/>
    <x v="0"/>
    <x v="27"/>
    <n v="82.331999999999994"/>
    <x v="2297"/>
    <n v="28.77"/>
    <n v="32.15"/>
    <n v="21.056999999999999"/>
    <s v="31,34"/>
    <x v="1"/>
  </r>
  <r>
    <x v="5"/>
    <x v="17"/>
    <x v="30"/>
    <x v="9"/>
    <s v="SAI"/>
    <x v="0"/>
    <x v="2"/>
    <x v="3"/>
    <n v="12"/>
    <x v="1"/>
    <x v="0"/>
    <x v="27"/>
    <n v="82.539000000000001"/>
    <x v="2298"/>
    <n v="28.715"/>
    <n v="32.197000000000003"/>
    <n v="21.260999999999999"/>
    <s v="30,34"/>
    <x v="1"/>
  </r>
  <r>
    <x v="5"/>
    <x v="17"/>
    <x v="30"/>
    <x v="21"/>
    <s v="NOR"/>
    <x v="3"/>
    <x v="18"/>
    <x v="4"/>
    <n v="10"/>
    <x v="1"/>
    <x v="0"/>
    <x v="27"/>
    <n v="81.944000000000003"/>
    <x v="2299"/>
    <n v="28.446999999999999"/>
    <n v="31.795999999999999"/>
    <n v="21.207999999999998"/>
    <s v="11,33,34"/>
    <x v="1"/>
  </r>
  <r>
    <x v="5"/>
    <x v="17"/>
    <x v="30"/>
    <x v="24"/>
    <s v="RUS"/>
    <x v="1"/>
    <x v="3"/>
    <x v="5"/>
    <n v="8"/>
    <x v="1"/>
    <x v="0"/>
    <x v="27"/>
    <n v="82.78"/>
    <x v="2300"/>
    <n v="28.814"/>
    <n v="32.055999999999997"/>
    <n v="21.385000000000002"/>
    <s v="26,34"/>
    <x v="1"/>
  </r>
  <r>
    <x v="5"/>
    <x v="17"/>
    <x v="30"/>
    <x v="3"/>
    <s v="RIC"/>
    <x v="12"/>
    <x v="5"/>
    <x v="6"/>
    <n v="6"/>
    <x v="1"/>
    <x v="0"/>
    <x v="27"/>
    <n v="82.679000000000002"/>
    <x v="2301"/>
    <n v="28.713000000000001"/>
    <n v="32.1"/>
    <n v="21.388000000000002"/>
    <s v="27,34"/>
    <x v="1"/>
  </r>
  <r>
    <x v="5"/>
    <x v="17"/>
    <x v="30"/>
    <x v="35"/>
    <s v="PIA"/>
    <x v="3"/>
    <x v="6"/>
    <x v="7"/>
    <n v="4"/>
    <x v="1"/>
    <x v="0"/>
    <x v="27"/>
    <n v="82.76"/>
    <x v="2302"/>
    <n v="28.878"/>
    <n v="32.201000000000001"/>
    <n v="21.36"/>
    <s v="25,34"/>
    <x v="1"/>
  </r>
  <r>
    <x v="5"/>
    <x v="17"/>
    <x v="30"/>
    <x v="22"/>
    <s v="ALB"/>
    <x v="7"/>
    <x v="11"/>
    <x v="8"/>
    <n v="2"/>
    <x v="1"/>
    <x v="0"/>
    <x v="27"/>
    <n v="82.772999999999996"/>
    <x v="2303"/>
    <n v="28.515999999999998"/>
    <n v="32.256999999999998"/>
    <n v="21.356000000000002"/>
    <s v="33,34"/>
    <x v="1"/>
  </r>
  <r>
    <x v="5"/>
    <x v="17"/>
    <x v="30"/>
    <x v="11"/>
    <s v="OCO"/>
    <x v="14"/>
    <x v="7"/>
    <x v="9"/>
    <n v="1"/>
    <x v="1"/>
    <x v="0"/>
    <x v="27"/>
    <n v="82.975999999999999"/>
    <x v="2304"/>
    <n v="28.722000000000001"/>
    <n v="32.168999999999997"/>
    <n v="21.436"/>
    <n v="34"/>
    <x v="1"/>
  </r>
  <r>
    <x v="5"/>
    <x v="17"/>
    <x v="30"/>
    <x v="17"/>
    <s v="GAS"/>
    <x v="14"/>
    <x v="8"/>
    <x v="10"/>
    <n v="0"/>
    <x v="1"/>
    <x v="0"/>
    <x v="27"/>
    <n v="83.23"/>
    <x v="2305"/>
    <n v="28.786999999999999"/>
    <n v="32.353999999999999"/>
    <n v="21.504000000000001"/>
    <s v="28,34"/>
    <x v="1"/>
  </r>
  <r>
    <x v="5"/>
    <x v="17"/>
    <x v="30"/>
    <x v="29"/>
    <s v="TSU"/>
    <x v="12"/>
    <x v="12"/>
    <x v="11"/>
    <n v="0"/>
    <x v="1"/>
    <x v="0"/>
    <x v="27"/>
    <n v="82.501000000000005"/>
    <x v="2306"/>
    <n v="28.628"/>
    <n v="32.005000000000003"/>
    <n v="21.327999999999999"/>
    <s v="9,34"/>
    <x v="1"/>
  </r>
  <r>
    <x v="5"/>
    <x v="17"/>
    <x v="30"/>
    <x v="6"/>
    <s v="HUL"/>
    <x v="9"/>
    <x v="10"/>
    <x v="12"/>
    <n v="0"/>
    <x v="1"/>
    <x v="0"/>
    <x v="27"/>
    <n v="83.221999999999994"/>
    <x v="2307"/>
    <n v="28.574999999999999"/>
    <n v="32.799999999999997"/>
    <n v="21.273"/>
    <s v="23,34"/>
    <x v="1"/>
  </r>
  <r>
    <x v="5"/>
    <x v="17"/>
    <x v="30"/>
    <x v="32"/>
    <s v="ZHO"/>
    <x v="15"/>
    <x v="4"/>
    <x v="13"/>
    <n v="0"/>
    <x v="1"/>
    <x v="0"/>
    <x v="27"/>
    <n v="83.566999999999993"/>
    <x v="2308"/>
    <n v="28.983000000000001"/>
    <n v="32.558"/>
    <n v="21.495000000000001"/>
    <s v="21,34"/>
    <x v="1"/>
  </r>
  <r>
    <x v="5"/>
    <x v="17"/>
    <x v="30"/>
    <x v="7"/>
    <s v="BOT"/>
    <x v="15"/>
    <x v="9"/>
    <x v="14"/>
    <n v="0"/>
    <x v="1"/>
    <x v="0"/>
    <x v="27"/>
    <n v="83.165999999999997"/>
    <x v="2309"/>
    <n v="28.559000000000001"/>
    <n v="32.69"/>
    <n v="21.574999999999999"/>
    <s v="31,34"/>
    <x v="1"/>
  </r>
  <r>
    <x v="5"/>
    <x v="17"/>
    <x v="30"/>
    <x v="34"/>
    <s v="SAR"/>
    <x v="7"/>
    <x v="19"/>
    <x v="15"/>
    <n v="0"/>
    <x v="1"/>
    <x v="21"/>
    <x v="27"/>
    <n v="83.003"/>
    <x v="2310"/>
    <n v="28.591000000000001"/>
    <n v="32.411000000000001"/>
    <n v="21.439"/>
    <s v="22,34,71"/>
    <x v="1"/>
  </r>
  <r>
    <x v="5"/>
    <x v="17"/>
    <x v="30"/>
    <x v="13"/>
    <s v="STR"/>
    <x v="13"/>
    <x v="20"/>
    <x v="16"/>
    <n v="0"/>
    <x v="1"/>
    <x v="8"/>
    <x v="17"/>
    <n v="83.257000000000005"/>
    <x v="2311"/>
    <n v="28.695"/>
    <n v="32.540999999999997"/>
    <n v="21.559000000000001"/>
    <s v="30,34,66"/>
    <x v="1"/>
  </r>
  <r>
    <x v="5"/>
    <x v="17"/>
    <x v="30"/>
    <x v="4"/>
    <s v="ALO"/>
    <x v="13"/>
    <x v="13"/>
    <x v="17"/>
    <n v="0"/>
    <x v="1"/>
    <x v="33"/>
    <x v="38"/>
    <n v="83.531000000000006"/>
    <x v="2312"/>
    <n v="29.175999999999998"/>
    <n v="32.616999999999997"/>
    <n v="21.655999999999999"/>
    <s v="29,34,47"/>
    <x v="1"/>
  </r>
  <r>
    <x v="5"/>
    <x v="17"/>
    <x v="30"/>
    <x v="16"/>
    <s v="MAG"/>
    <x v="9"/>
    <x v="14"/>
    <x v="18"/>
    <n v="0"/>
    <x v="1"/>
    <x v="9"/>
    <x v="40"/>
    <n v="83.146000000000001"/>
    <x v="2313"/>
    <n v="28.792000000000002"/>
    <n v="32.558"/>
    <n v="21.57"/>
    <n v="23"/>
    <x v="1"/>
  </r>
  <r>
    <x v="5"/>
    <x v="17"/>
    <x v="30"/>
    <x v="10"/>
    <s v="PER"/>
    <x v="2"/>
    <x v="16"/>
    <x v="19"/>
    <n v="0"/>
    <x v="1"/>
    <x v="8"/>
    <x v="16"/>
    <m/>
    <x v="19"/>
    <m/>
    <m/>
    <m/>
    <n v="1"/>
    <x v="1"/>
  </r>
  <r>
    <x v="5"/>
    <x v="18"/>
    <x v="31"/>
    <x v="5"/>
    <s v="VER"/>
    <x v="2"/>
    <x v="1"/>
    <x v="0"/>
    <n v="25"/>
    <x v="0"/>
    <x v="0"/>
    <x v="27"/>
    <n v="73.421999999999997"/>
    <x v="2314"/>
    <n v="18.888000000000002"/>
    <n v="37.35"/>
    <n v="16.913"/>
    <s v="1,2,27,56"/>
    <x v="0"/>
  </r>
  <r>
    <x v="5"/>
    <x v="18"/>
    <x v="31"/>
    <x v="21"/>
    <s v="NOR"/>
    <x v="3"/>
    <x v="15"/>
    <x v="1"/>
    <n v="19"/>
    <x v="0"/>
    <x v="0"/>
    <x v="27"/>
    <n v="72.486000000000004"/>
    <x v="2315"/>
    <n v="18.84"/>
    <n v="36.731000000000002"/>
    <n v="16.914999999999999"/>
    <s v="1,2,27,59"/>
    <x v="0"/>
  </r>
  <r>
    <x v="5"/>
    <x v="18"/>
    <x v="31"/>
    <x v="4"/>
    <s v="ALO"/>
    <x v="13"/>
    <x v="5"/>
    <x v="2"/>
    <n v="15"/>
    <x v="0"/>
    <x v="0"/>
    <x v="27"/>
    <n v="74.441999999999993"/>
    <x v="2316"/>
    <n v="19.001000000000001"/>
    <n v="37.954999999999998"/>
    <n v="17.172000000000001"/>
    <s v="1,2,25,47"/>
    <x v="0"/>
  </r>
  <r>
    <x v="5"/>
    <x v="18"/>
    <x v="31"/>
    <x v="10"/>
    <s v="PER"/>
    <x v="2"/>
    <x v="9"/>
    <x v="3"/>
    <n v="12"/>
    <x v="1"/>
    <x v="0"/>
    <x v="27"/>
    <n v="74.123999999999995"/>
    <x v="2317"/>
    <n v="18.963000000000001"/>
    <n v="38.054000000000002"/>
    <n v="16.972000000000001"/>
    <s v="1,2,20,46"/>
    <x v="0"/>
  </r>
  <r>
    <x v="5"/>
    <x v="18"/>
    <x v="31"/>
    <x v="13"/>
    <s v="STR"/>
    <x v="13"/>
    <x v="0"/>
    <x v="4"/>
    <n v="10"/>
    <x v="1"/>
    <x v="0"/>
    <x v="27"/>
    <n v="74.007000000000005"/>
    <x v="2318"/>
    <n v="19.001000000000001"/>
    <n v="37.783999999999999"/>
    <n v="17.067"/>
    <s v="1,2,22,52"/>
    <x v="0"/>
  </r>
  <r>
    <x v="5"/>
    <x v="18"/>
    <x v="31"/>
    <x v="9"/>
    <s v="SAI"/>
    <x v="0"/>
    <x v="6"/>
    <x v="5"/>
    <n v="8"/>
    <x v="1"/>
    <x v="0"/>
    <x v="27"/>
    <n v="74.406000000000006"/>
    <x v="2319"/>
    <n v="19.114999999999998"/>
    <n v="37.929000000000002"/>
    <n v="17.257999999999999"/>
    <s v="1,2,26,51"/>
    <x v="0"/>
  </r>
  <r>
    <x v="5"/>
    <x v="18"/>
    <x v="31"/>
    <x v="17"/>
    <s v="GAS"/>
    <x v="14"/>
    <x v="7"/>
    <x v="6"/>
    <n v="6"/>
    <x v="1"/>
    <x v="0"/>
    <x v="27"/>
    <n v="74.521000000000001"/>
    <x v="2320"/>
    <n v="19.059000000000001"/>
    <n v="38.216999999999999"/>
    <n v="16.957999999999998"/>
    <s v="1,2,26,46"/>
    <x v="0"/>
  </r>
  <r>
    <x v="5"/>
    <x v="18"/>
    <x v="31"/>
    <x v="1"/>
    <s v="HAM"/>
    <x v="1"/>
    <x v="16"/>
    <x v="7"/>
    <n v="4"/>
    <x v="1"/>
    <x v="0"/>
    <x v="27"/>
    <n v="74.739000000000004"/>
    <x v="2321"/>
    <n v="19.11"/>
    <n v="38.290999999999997"/>
    <n v="17.097999999999999"/>
    <s v="1,2,18,46"/>
    <x v="0"/>
  </r>
  <r>
    <x v="5"/>
    <x v="18"/>
    <x v="31"/>
    <x v="29"/>
    <s v="TSU"/>
    <x v="12"/>
    <x v="14"/>
    <x v="8"/>
    <n v="2"/>
    <x v="1"/>
    <x v="0"/>
    <x v="27"/>
    <n v="74.230999999999995"/>
    <x v="2322"/>
    <n v="19.074999999999999"/>
    <n v="37.813000000000002"/>
    <n v="17.239999999999998"/>
    <s v="1,2,26,55"/>
    <x v="0"/>
  </r>
  <r>
    <x v="5"/>
    <x v="18"/>
    <x v="31"/>
    <x v="11"/>
    <s v="OCO"/>
    <x v="14"/>
    <x v="11"/>
    <x v="9"/>
    <n v="1"/>
    <x v="1"/>
    <x v="52"/>
    <x v="29"/>
    <n v="74.206000000000003"/>
    <x v="2323"/>
    <n v="19.006"/>
    <n v="38.173999999999999"/>
    <n v="16.920000000000002"/>
    <s v="1,2,14,31,51"/>
    <x v="0"/>
  </r>
  <r>
    <x v="5"/>
    <x v="18"/>
    <x v="31"/>
    <x v="34"/>
    <s v="SAR"/>
    <x v="7"/>
    <x v="19"/>
    <x v="10"/>
    <n v="0"/>
    <x v="1"/>
    <x v="52"/>
    <x v="29"/>
    <n v="75.738"/>
    <x v="2324"/>
    <n v="19.292999999999999"/>
    <n v="38.83"/>
    <n v="17.321999999999999"/>
    <s v="1,2,17,44"/>
    <x v="0"/>
  </r>
  <r>
    <x v="5"/>
    <x v="18"/>
    <x v="31"/>
    <x v="6"/>
    <s v="HUL"/>
    <x v="9"/>
    <x v="8"/>
    <x v="11"/>
    <n v="0"/>
    <x v="1"/>
    <x v="52"/>
    <x v="29"/>
    <n v="75.036000000000001"/>
    <x v="2325"/>
    <n v="19.21"/>
    <n v="38.344000000000001"/>
    <n v="17.350000000000001"/>
    <s v="1,2,21,46"/>
    <x v="0"/>
  </r>
  <r>
    <x v="5"/>
    <x v="18"/>
    <x v="31"/>
    <x v="3"/>
    <s v="RIC"/>
    <x v="12"/>
    <x v="18"/>
    <x v="12"/>
    <n v="0"/>
    <x v="1"/>
    <x v="52"/>
    <x v="29"/>
    <n v="73.866"/>
    <x v="2326"/>
    <n v="18.896000000000001"/>
    <n v="37.703000000000003"/>
    <n v="16.986000000000001"/>
    <s v="1,2,26,55"/>
    <x v="0"/>
  </r>
  <r>
    <x v="5"/>
    <x v="18"/>
    <x v="31"/>
    <x v="35"/>
    <s v="PIA"/>
    <x v="3"/>
    <x v="4"/>
    <x v="13"/>
    <n v="0"/>
    <x v="1"/>
    <x v="52"/>
    <x v="30"/>
    <n v="74.31"/>
    <x v="2327"/>
    <n v="18.988"/>
    <n v="37.795999999999999"/>
    <n v="17.010000000000002"/>
    <s v="1,2,24,52"/>
    <x v="0"/>
  </r>
  <r>
    <x v="5"/>
    <x v="18"/>
    <x v="31"/>
    <x v="24"/>
    <s v="RUS"/>
    <x v="1"/>
    <x v="3"/>
    <x v="14"/>
    <n v="0"/>
    <x v="1"/>
    <x v="21"/>
    <x v="1"/>
    <n v="74.933999999999997"/>
    <x v="2328"/>
    <n v="19.239999999999998"/>
    <n v="38.22"/>
    <n v="17.331"/>
    <s v="1,2,19,45,57"/>
    <x v="0"/>
  </r>
  <r>
    <x v="5"/>
    <x v="18"/>
    <x v="31"/>
    <x v="7"/>
    <s v="BOT"/>
    <x v="15"/>
    <x v="12"/>
    <x v="15"/>
    <n v="0"/>
    <x v="1"/>
    <x v="21"/>
    <x v="22"/>
    <n v="75.730999999999995"/>
    <x v="2329"/>
    <n v="19.32"/>
    <n v="38.835999999999999"/>
    <n v="17.204000000000001"/>
    <s v="1,2,18,39"/>
    <x v="0"/>
  </r>
  <r>
    <x v="5"/>
    <x v="18"/>
    <x v="31"/>
    <x v="32"/>
    <s v="ZHO"/>
    <x v="15"/>
    <x v="17"/>
    <x v="16"/>
    <n v="0"/>
    <x v="1"/>
    <x v="21"/>
    <x v="3"/>
    <n v="76.231999999999999"/>
    <x v="2330"/>
    <n v="19.527000000000001"/>
    <n v="38.707000000000001"/>
    <n v="17.367999999999999"/>
    <s v="1,2,15,22"/>
    <x v="0"/>
  </r>
  <r>
    <x v="5"/>
    <x v="18"/>
    <x v="31"/>
    <x v="16"/>
    <s v="MAG"/>
    <x v="9"/>
    <x v="10"/>
    <x v="17"/>
    <n v="0"/>
    <x v="1"/>
    <x v="21"/>
    <x v="16"/>
    <m/>
    <x v="19"/>
    <m/>
    <m/>
    <m/>
    <m/>
    <x v="0"/>
  </r>
  <r>
    <x v="5"/>
    <x v="18"/>
    <x v="31"/>
    <x v="22"/>
    <s v="ALB"/>
    <x v="7"/>
    <x v="13"/>
    <x v="18"/>
    <n v="0"/>
    <x v="1"/>
    <x v="21"/>
    <x v="16"/>
    <m/>
    <x v="19"/>
    <m/>
    <m/>
    <m/>
    <m/>
    <x v="0"/>
  </r>
  <r>
    <x v="5"/>
    <x v="18"/>
    <x v="31"/>
    <x v="12"/>
    <s v="LEC"/>
    <x v="0"/>
    <x v="2"/>
    <x v="19"/>
    <n v="0"/>
    <x v="1"/>
    <x v="53"/>
    <x v="68"/>
    <m/>
    <x v="19"/>
    <m/>
    <m/>
    <m/>
    <m/>
    <x v="0"/>
  </r>
  <r>
    <x v="5"/>
    <x v="19"/>
    <x v="35"/>
    <x v="5"/>
    <s v="VER"/>
    <x v="2"/>
    <x v="2"/>
    <x v="0"/>
    <n v="25"/>
    <x v="0"/>
    <x v="0"/>
    <x v="43"/>
    <n v="95.614000000000004"/>
    <x v="2331"/>
    <n v="27.135000000000002"/>
    <n v="31.710999999999999"/>
    <n v="36.335999999999999"/>
    <s v="16,26"/>
    <x v="1"/>
  </r>
  <r>
    <x v="5"/>
    <x v="19"/>
    <x v="35"/>
    <x v="12"/>
    <s v="LEC"/>
    <x v="0"/>
    <x v="1"/>
    <x v="1"/>
    <n v="18"/>
    <x v="0"/>
    <x v="0"/>
    <x v="43"/>
    <n v="95.668999999999997"/>
    <x v="2332"/>
    <n v="27.353999999999999"/>
    <n v="31.875"/>
    <n v="36.286999999999999"/>
    <n v="21"/>
    <x v="1"/>
  </r>
  <r>
    <x v="5"/>
    <x v="19"/>
    <x v="35"/>
    <x v="10"/>
    <s v="PER"/>
    <x v="2"/>
    <x v="8"/>
    <x v="2"/>
    <n v="15"/>
    <x v="0"/>
    <x v="0"/>
    <x v="43"/>
    <n v="95.938999999999993"/>
    <x v="2333"/>
    <n v="27.152999999999999"/>
    <n v="31.818999999999999"/>
    <n v="36.404000000000003"/>
    <s v="1,26"/>
    <x v="1"/>
  </r>
  <r>
    <x v="5"/>
    <x v="19"/>
    <x v="35"/>
    <x v="11"/>
    <s v="OCO"/>
    <x v="14"/>
    <x v="14"/>
    <x v="3"/>
    <n v="12"/>
    <x v="1"/>
    <x v="0"/>
    <x v="43"/>
    <n v="96.637"/>
    <x v="2334"/>
    <n v="27.494"/>
    <n v="32.356999999999999"/>
    <n v="36.432000000000002"/>
    <n v="20"/>
    <x v="1"/>
  </r>
  <r>
    <x v="5"/>
    <x v="19"/>
    <x v="35"/>
    <x v="13"/>
    <s v="STR"/>
    <x v="13"/>
    <x v="19"/>
    <x v="4"/>
    <n v="10"/>
    <x v="1"/>
    <x v="0"/>
    <x v="43"/>
    <n v="96.584000000000003"/>
    <x v="2335"/>
    <n v="27.597000000000001"/>
    <n v="32.188000000000002"/>
    <n v="36.396999999999998"/>
    <s v="3,26"/>
    <x v="1"/>
  </r>
  <r>
    <x v="5"/>
    <x v="19"/>
    <x v="35"/>
    <x v="9"/>
    <s v="SAI"/>
    <x v="0"/>
    <x v="10"/>
    <x v="5"/>
    <n v="8"/>
    <x v="1"/>
    <x v="0"/>
    <x v="43"/>
    <n v="95.983999999999995"/>
    <x v="2336"/>
    <n v="27.404"/>
    <n v="31.95"/>
    <n v="36.408000000000001"/>
    <s v="3,26"/>
    <x v="1"/>
  </r>
  <r>
    <x v="5"/>
    <x v="19"/>
    <x v="35"/>
    <x v="1"/>
    <s v="HAM"/>
    <x v="1"/>
    <x v="4"/>
    <x v="6"/>
    <n v="6"/>
    <x v="1"/>
    <x v="0"/>
    <x v="43"/>
    <n v="95.715999999999994"/>
    <x v="2337"/>
    <n v="27.350999999999999"/>
    <n v="32.042000000000002"/>
    <n v="35.850999999999999"/>
    <s v="17,26"/>
    <x v="1"/>
  </r>
  <r>
    <x v="5"/>
    <x v="19"/>
    <x v="35"/>
    <x v="24"/>
    <s v="RUS"/>
    <x v="1"/>
    <x v="0"/>
    <x v="7"/>
    <n v="4"/>
    <x v="1"/>
    <x v="0"/>
    <x v="43"/>
    <n v="96.070999999999998"/>
    <x v="2338"/>
    <n v="27.273"/>
    <n v="32.18"/>
    <n v="36.078000000000003"/>
    <s v="15,26"/>
    <x v="1"/>
  </r>
  <r>
    <x v="5"/>
    <x v="19"/>
    <x v="35"/>
    <x v="4"/>
    <s v="ALO"/>
    <x v="13"/>
    <x v="9"/>
    <x v="8"/>
    <n v="2"/>
    <x v="1"/>
    <x v="0"/>
    <x v="43"/>
    <n v="96.558999999999997"/>
    <x v="2339"/>
    <n v="27.504999999999999"/>
    <n v="32.115000000000002"/>
    <n v="36.404000000000003"/>
    <s v="1,26"/>
    <x v="1"/>
  </r>
  <r>
    <x v="5"/>
    <x v="19"/>
    <x v="35"/>
    <x v="35"/>
    <s v="PIA"/>
    <x v="3"/>
    <x v="12"/>
    <x v="9"/>
    <n v="2"/>
    <x v="1"/>
    <x v="0"/>
    <x v="43"/>
    <n v="95.49"/>
    <x v="2340"/>
    <n v="27.209"/>
    <n v="31.920999999999999"/>
    <n v="36.101999999999997"/>
    <s v="16,43"/>
    <x v="1"/>
  </r>
  <r>
    <x v="5"/>
    <x v="19"/>
    <x v="35"/>
    <x v="17"/>
    <s v="GAS"/>
    <x v="14"/>
    <x v="5"/>
    <x v="10"/>
    <n v="0"/>
    <x v="1"/>
    <x v="0"/>
    <x v="43"/>
    <n v="96.912999999999997"/>
    <x v="2341"/>
    <n v="27.893999999999998"/>
    <n v="32.488999999999997"/>
    <n v="36.451000000000001"/>
    <n v="17"/>
    <x v="1"/>
  </r>
  <r>
    <x v="5"/>
    <x v="19"/>
    <x v="35"/>
    <x v="22"/>
    <s v="ALB"/>
    <x v="7"/>
    <x v="16"/>
    <x v="11"/>
    <n v="0"/>
    <x v="1"/>
    <x v="0"/>
    <x v="43"/>
    <n v="97.356999999999999"/>
    <x v="2342"/>
    <n v="27.937000000000001"/>
    <n v="32.814999999999998"/>
    <n v="36.530999999999999"/>
    <n v="16"/>
    <x v="1"/>
  </r>
  <r>
    <x v="5"/>
    <x v="19"/>
    <x v="35"/>
    <x v="16"/>
    <s v="MAG"/>
    <x v="9"/>
    <x v="3"/>
    <x v="12"/>
    <n v="0"/>
    <x v="1"/>
    <x v="0"/>
    <x v="43"/>
    <n v="97.454999999999998"/>
    <x v="2343"/>
    <n v="27.637"/>
    <n v="32.728999999999999"/>
    <n v="36.590000000000003"/>
    <s v="14,26"/>
    <x v="1"/>
  </r>
  <r>
    <x v="5"/>
    <x v="19"/>
    <x v="35"/>
    <x v="3"/>
    <s v="RIC"/>
    <x v="12"/>
    <x v="11"/>
    <x v="13"/>
    <n v="0"/>
    <x v="1"/>
    <x v="0"/>
    <x v="43"/>
    <n v="97.108000000000004"/>
    <x v="2344"/>
    <n v="27.823"/>
    <n v="32.369"/>
    <n v="36.07"/>
    <n v="17"/>
    <x v="1"/>
  </r>
  <r>
    <x v="5"/>
    <x v="19"/>
    <x v="35"/>
    <x v="32"/>
    <s v="ZHO"/>
    <x v="15"/>
    <x v="18"/>
    <x v="14"/>
    <n v="0"/>
    <x v="1"/>
    <x v="0"/>
    <x v="43"/>
    <n v="97.375"/>
    <x v="2345"/>
    <n v="28.061"/>
    <n v="32.732999999999997"/>
    <n v="36.520000000000003"/>
    <n v="26"/>
    <x v="1"/>
  </r>
  <r>
    <x v="5"/>
    <x v="19"/>
    <x v="35"/>
    <x v="34"/>
    <s v="SAR"/>
    <x v="7"/>
    <x v="15"/>
    <x v="15"/>
    <n v="0"/>
    <x v="1"/>
    <x v="0"/>
    <x v="43"/>
    <n v="97.74"/>
    <x v="2346"/>
    <n v="28.25"/>
    <n v="32.695999999999998"/>
    <n v="36.423999999999999"/>
    <n v="15"/>
    <x v="1"/>
  </r>
  <r>
    <x v="5"/>
    <x v="19"/>
    <x v="35"/>
    <x v="7"/>
    <s v="BOT"/>
    <x v="15"/>
    <x v="6"/>
    <x v="16"/>
    <n v="0"/>
    <x v="1"/>
    <x v="0"/>
    <x v="43"/>
    <n v="97.561999999999998"/>
    <x v="2347"/>
    <n v="28.029"/>
    <n v="32.439"/>
    <n v="37.094000000000001"/>
    <s v="1,24"/>
    <x v="1"/>
  </r>
  <r>
    <x v="5"/>
    <x v="19"/>
    <x v="35"/>
    <x v="29"/>
    <s v="TSU"/>
    <x v="12"/>
    <x v="17"/>
    <x v="17"/>
    <n v="0"/>
    <x v="1"/>
    <x v="21"/>
    <x v="38"/>
    <n v="97.587000000000003"/>
    <x v="2348"/>
    <n v="28.385000000000002"/>
    <n v="32.401000000000003"/>
    <n v="36.625999999999998"/>
    <s v="10,21"/>
    <x v="1"/>
  </r>
  <r>
    <x v="5"/>
    <x v="19"/>
    <x v="35"/>
    <x v="6"/>
    <s v="HUL"/>
    <x v="9"/>
    <x v="13"/>
    <x v="18"/>
    <n v="0"/>
    <x v="1"/>
    <x v="21"/>
    <x v="21"/>
    <n v="97.564999999999998"/>
    <x v="2349"/>
    <n v="27.803000000000001"/>
    <n v="32.692999999999998"/>
    <n v="36.680999999999997"/>
    <s v="12,26"/>
    <x v="1"/>
  </r>
  <r>
    <x v="5"/>
    <x v="19"/>
    <x v="35"/>
    <x v="21"/>
    <s v="NOR"/>
    <x v="3"/>
    <x v="7"/>
    <x v="19"/>
    <n v="0"/>
    <x v="1"/>
    <x v="21"/>
    <x v="71"/>
    <m/>
    <x v="19"/>
    <m/>
    <m/>
    <m/>
    <m/>
    <x v="1"/>
  </r>
  <r>
    <x v="5"/>
    <x v="21"/>
    <x v="19"/>
    <x v="5"/>
    <s v="VER"/>
    <x v="2"/>
    <x v="1"/>
    <x v="0"/>
    <n v="26"/>
    <x v="0"/>
    <x v="0"/>
    <x v="0"/>
    <n v="86.992999999999995"/>
    <x v="2350"/>
    <n v="17.504999999999999"/>
    <n v="37.713999999999999"/>
    <n v="31.774000000000001"/>
    <s v="16,43"/>
    <x v="1"/>
  </r>
  <r>
    <x v="5"/>
    <x v="21"/>
    <x v="19"/>
    <x v="12"/>
    <s v="LEC"/>
    <x v="0"/>
    <x v="2"/>
    <x v="1"/>
    <n v="18"/>
    <x v="0"/>
    <x v="0"/>
    <x v="0"/>
    <n v="88.198999999999998"/>
    <x v="2351"/>
    <n v="17.736999999999998"/>
    <n v="37.737000000000002"/>
    <n v="32.351999999999997"/>
    <s v="17,35"/>
    <x v="1"/>
  </r>
  <r>
    <x v="5"/>
    <x v="21"/>
    <x v="19"/>
    <x v="24"/>
    <s v="RUS"/>
    <x v="1"/>
    <x v="5"/>
    <x v="2"/>
    <n v="15"/>
    <x v="0"/>
    <x v="0"/>
    <x v="0"/>
    <n v="88.186999999999998"/>
    <x v="2352"/>
    <n v="17.616"/>
    <n v="37.619"/>
    <n v="32.438000000000002"/>
    <s v="14,34"/>
    <x v="1"/>
  </r>
  <r>
    <x v="5"/>
    <x v="21"/>
    <x v="19"/>
    <x v="10"/>
    <s v="PER"/>
    <x v="2"/>
    <x v="9"/>
    <x v="3"/>
    <n v="12"/>
    <x v="1"/>
    <x v="0"/>
    <x v="0"/>
    <n v="87.492999999999995"/>
    <x v="2353"/>
    <n v="17.584"/>
    <n v="37.503"/>
    <n v="32.079000000000001"/>
    <s v="17,42"/>
    <x v="1"/>
  </r>
  <r>
    <x v="5"/>
    <x v="21"/>
    <x v="19"/>
    <x v="21"/>
    <s v="NOR"/>
    <x v="3"/>
    <x v="16"/>
    <x v="4"/>
    <n v="10"/>
    <x v="1"/>
    <x v="0"/>
    <x v="0"/>
    <n v="88.164000000000001"/>
    <x v="2354"/>
    <n v="17.541"/>
    <n v="37.545000000000002"/>
    <n v="32.423999999999999"/>
    <s v="14,33"/>
    <x v="1"/>
  </r>
  <r>
    <x v="5"/>
    <x v="21"/>
    <x v="19"/>
    <x v="35"/>
    <s v="PIA"/>
    <x v="3"/>
    <x v="0"/>
    <x v="5"/>
    <n v="8"/>
    <x v="1"/>
    <x v="0"/>
    <x v="0"/>
    <n v="88.138000000000005"/>
    <x v="2355"/>
    <n v="17.57"/>
    <n v="37.851999999999997"/>
    <n v="32.453000000000003"/>
    <s v="13,36"/>
    <x v="1"/>
  </r>
  <r>
    <x v="5"/>
    <x v="21"/>
    <x v="19"/>
    <x v="4"/>
    <s v="ALO"/>
    <x v="13"/>
    <x v="6"/>
    <x v="6"/>
    <n v="6"/>
    <x v="1"/>
    <x v="0"/>
    <x v="0"/>
    <n v="88.256"/>
    <x v="2356"/>
    <n v="17.675999999999998"/>
    <n v="37.863"/>
    <n v="32.433999999999997"/>
    <s v="12,36"/>
    <x v="1"/>
  </r>
  <r>
    <x v="5"/>
    <x v="21"/>
    <x v="19"/>
    <x v="29"/>
    <s v="TSU"/>
    <x v="12"/>
    <x v="15"/>
    <x v="7"/>
    <n v="4"/>
    <x v="1"/>
    <x v="0"/>
    <x v="0"/>
    <n v="89.256"/>
    <x v="2357"/>
    <n v="17.908000000000001"/>
    <n v="38.215000000000003"/>
    <n v="32.752000000000002"/>
    <n v="22"/>
    <x v="1"/>
  </r>
  <r>
    <x v="5"/>
    <x v="21"/>
    <x v="19"/>
    <x v="1"/>
    <s v="HAM"/>
    <x v="1"/>
    <x v="8"/>
    <x v="8"/>
    <n v="2"/>
    <x v="1"/>
    <x v="0"/>
    <x v="0"/>
    <n v="88.372"/>
    <x v="2358"/>
    <n v="17.751000000000001"/>
    <n v="37.841999999999999"/>
    <n v="32.393000000000001"/>
    <s v="15,35"/>
    <x v="1"/>
  </r>
  <r>
    <x v="5"/>
    <x v="21"/>
    <x v="19"/>
    <x v="13"/>
    <s v="STR"/>
    <x v="13"/>
    <x v="13"/>
    <x v="9"/>
    <n v="1"/>
    <x v="1"/>
    <x v="0"/>
    <x v="0"/>
    <n v="88.05"/>
    <x v="2359"/>
    <n v="17.675000000000001"/>
    <n v="37.627000000000002"/>
    <n v="32.381999999999998"/>
    <s v="22,42"/>
    <x v="1"/>
  </r>
  <r>
    <x v="5"/>
    <x v="21"/>
    <x v="19"/>
    <x v="3"/>
    <s v="RIC"/>
    <x v="12"/>
    <x v="7"/>
    <x v="10"/>
    <n v="0"/>
    <x v="1"/>
    <x v="0"/>
    <x v="0"/>
    <n v="88.570999999999998"/>
    <x v="2360"/>
    <n v="17.795000000000002"/>
    <n v="37.869999999999997"/>
    <n v="32.344000000000001"/>
    <s v="7,31"/>
    <x v="1"/>
  </r>
  <r>
    <x v="5"/>
    <x v="21"/>
    <x v="19"/>
    <x v="11"/>
    <s v="OCO"/>
    <x v="14"/>
    <x v="10"/>
    <x v="11"/>
    <n v="0"/>
    <x v="1"/>
    <x v="0"/>
    <x v="0"/>
    <n v="90.033000000000001"/>
    <x v="2361"/>
    <n v="18.068000000000001"/>
    <n v="37.981000000000002"/>
    <n v="33.295999999999999"/>
    <n v="15"/>
    <x v="1"/>
  </r>
  <r>
    <x v="5"/>
    <x v="21"/>
    <x v="19"/>
    <x v="17"/>
    <s v="GAS"/>
    <x v="14"/>
    <x v="4"/>
    <x v="12"/>
    <n v="0"/>
    <x v="1"/>
    <x v="0"/>
    <x v="0"/>
    <n v="89.016000000000005"/>
    <x v="2362"/>
    <n v="17.928999999999998"/>
    <n v="38.021999999999998"/>
    <n v="32.78"/>
    <s v="17,32"/>
    <x v="1"/>
  </r>
  <r>
    <x v="5"/>
    <x v="21"/>
    <x v="19"/>
    <x v="22"/>
    <s v="ALB"/>
    <x v="7"/>
    <x v="11"/>
    <x v="13"/>
    <n v="0"/>
    <x v="1"/>
    <x v="0"/>
    <x v="0"/>
    <n v="87.844999999999999"/>
    <x v="2363"/>
    <n v="17.745999999999999"/>
    <n v="37.427"/>
    <n v="32.671999999999997"/>
    <s v="16,43"/>
    <x v="1"/>
  </r>
  <r>
    <x v="5"/>
    <x v="21"/>
    <x v="19"/>
    <x v="6"/>
    <s v="HUL"/>
    <x v="9"/>
    <x v="3"/>
    <x v="14"/>
    <n v="0"/>
    <x v="1"/>
    <x v="0"/>
    <x v="0"/>
    <n v="89.216999999999999"/>
    <x v="2364"/>
    <n v="17.922000000000001"/>
    <n v="38.444000000000003"/>
    <n v="32.685000000000002"/>
    <s v="13,33"/>
    <x v="1"/>
  </r>
  <r>
    <x v="5"/>
    <x v="21"/>
    <x v="19"/>
    <x v="34"/>
    <s v="SAR"/>
    <x v="7"/>
    <x v="17"/>
    <x v="15"/>
    <n v="0"/>
    <x v="1"/>
    <x v="0"/>
    <x v="0"/>
    <n v="88.58"/>
    <x v="2365"/>
    <n v="17.736999999999998"/>
    <n v="37.779000000000003"/>
    <n v="32.841999999999999"/>
    <s v="15,41"/>
    <x v="1"/>
  </r>
  <r>
    <x v="5"/>
    <x v="21"/>
    <x v="19"/>
    <x v="32"/>
    <s v="ZHO"/>
    <x v="15"/>
    <x v="19"/>
    <x v="16"/>
    <n v="0"/>
    <x v="1"/>
    <x v="0"/>
    <x v="0"/>
    <n v="88.745999999999995"/>
    <x v="2366"/>
    <n v="17.908999999999999"/>
    <n v="37.807000000000002"/>
    <n v="32.683"/>
    <s v="13,37"/>
    <x v="1"/>
  </r>
  <r>
    <x v="5"/>
    <x v="21"/>
    <x v="19"/>
    <x v="9"/>
    <s v="SAI"/>
    <x v="0"/>
    <x v="14"/>
    <x v="17"/>
    <n v="0"/>
    <x v="1"/>
    <x v="21"/>
    <x v="1"/>
    <n v="89.451999999999998"/>
    <x v="2367"/>
    <n v="18.064"/>
    <n v="37.97"/>
    <n v="32.89"/>
    <s v="23,56,57"/>
    <x v="1"/>
  </r>
  <r>
    <x v="5"/>
    <x v="21"/>
    <x v="19"/>
    <x v="7"/>
    <s v="BOT"/>
    <x v="15"/>
    <x v="12"/>
    <x v="18"/>
    <n v="0"/>
    <x v="1"/>
    <x v="52"/>
    <x v="1"/>
    <n v="89.863"/>
    <x v="2368"/>
    <n v="18.206"/>
    <n v="38.058"/>
    <n v="32.991"/>
    <n v="29"/>
    <x v="1"/>
  </r>
  <r>
    <x v="5"/>
    <x v="21"/>
    <x v="19"/>
    <x v="16"/>
    <s v="MAG"/>
    <x v="9"/>
    <x v="18"/>
    <x v="19"/>
    <n v="0"/>
    <x v="1"/>
    <x v="52"/>
    <x v="1"/>
    <n v="89.933999999999997"/>
    <x v="2369"/>
    <n v="18.146000000000001"/>
    <n v="38.125"/>
    <n v="33.081000000000003"/>
    <s v="5,22"/>
    <x v="1"/>
  </r>
  <r>
    <x v="6"/>
    <x v="0"/>
    <x v="1"/>
    <x v="5"/>
    <s v="VER"/>
    <x v="2"/>
    <x v="1"/>
    <x v="0"/>
    <n v="26"/>
    <x v="0"/>
    <x v="0"/>
    <x v="1"/>
    <n v="92.608000000000004"/>
    <x v="2370"/>
    <n v="29.741"/>
    <n v="39.915999999999997"/>
    <n v="22.951000000000001"/>
    <s v="17,37"/>
    <x v="1"/>
  </r>
  <r>
    <x v="6"/>
    <x v="0"/>
    <x v="1"/>
    <x v="10"/>
    <s v="PER"/>
    <x v="2"/>
    <x v="16"/>
    <x v="1"/>
    <n v="18"/>
    <x v="0"/>
    <x v="0"/>
    <x v="1"/>
    <n v="94.364000000000004"/>
    <x v="2371"/>
    <n v="30.062999999999999"/>
    <n v="40.771999999999998"/>
    <n v="23.151"/>
    <s v="12,36"/>
    <x v="1"/>
  </r>
  <r>
    <x v="6"/>
    <x v="0"/>
    <x v="1"/>
    <x v="9"/>
    <s v="SAI"/>
    <x v="0"/>
    <x v="5"/>
    <x v="2"/>
    <n v="15"/>
    <x v="0"/>
    <x v="0"/>
    <x v="1"/>
    <n v="94.507000000000005"/>
    <x v="2372"/>
    <n v="30.202000000000002"/>
    <n v="40.970999999999997"/>
    <n v="23.14"/>
    <s v="14,35"/>
    <x v="1"/>
  </r>
  <r>
    <x v="6"/>
    <x v="0"/>
    <x v="1"/>
    <x v="12"/>
    <s v="LEC"/>
    <x v="0"/>
    <x v="2"/>
    <x v="3"/>
    <n v="12"/>
    <x v="1"/>
    <x v="0"/>
    <x v="1"/>
    <n v="94.09"/>
    <x v="2373"/>
    <n v="30.062999999999999"/>
    <n v="40.65"/>
    <n v="23.28"/>
    <s v="11,34"/>
    <x v="1"/>
  </r>
  <r>
    <x v="6"/>
    <x v="0"/>
    <x v="1"/>
    <x v="24"/>
    <s v="RUS"/>
    <x v="1"/>
    <x v="0"/>
    <x v="4"/>
    <n v="10"/>
    <x v="1"/>
    <x v="0"/>
    <x v="1"/>
    <n v="95.064999999999998"/>
    <x v="2374"/>
    <n v="30.286000000000001"/>
    <n v="41.195999999999998"/>
    <n v="23.302"/>
    <s v="11,31"/>
    <x v="1"/>
  </r>
  <r>
    <x v="6"/>
    <x v="0"/>
    <x v="1"/>
    <x v="21"/>
    <s v="NOR"/>
    <x v="3"/>
    <x v="6"/>
    <x v="5"/>
    <n v="8"/>
    <x v="1"/>
    <x v="0"/>
    <x v="1"/>
    <n v="94.475999999999999"/>
    <x v="2375"/>
    <n v="30.161999999999999"/>
    <n v="40.838000000000001"/>
    <n v="23.318000000000001"/>
    <s v="13,33"/>
    <x v="1"/>
  </r>
  <r>
    <x v="6"/>
    <x v="0"/>
    <x v="1"/>
    <x v="1"/>
    <s v="HAM"/>
    <x v="1"/>
    <x v="9"/>
    <x v="6"/>
    <n v="6"/>
    <x v="1"/>
    <x v="0"/>
    <x v="1"/>
    <n v="94.721999999999994"/>
    <x v="2376"/>
    <n v="30.06"/>
    <n v="41.116"/>
    <n v="23.323"/>
    <s v="12,33"/>
    <x v="1"/>
  </r>
  <r>
    <x v="6"/>
    <x v="0"/>
    <x v="1"/>
    <x v="35"/>
    <s v="PIA"/>
    <x v="3"/>
    <x v="3"/>
    <x v="7"/>
    <n v="4"/>
    <x v="1"/>
    <x v="0"/>
    <x v="1"/>
    <n v="94.774000000000001"/>
    <x v="2377"/>
    <n v="30.196000000000002"/>
    <n v="40.771999999999998"/>
    <n v="23.451000000000001"/>
    <s v="12,34"/>
    <x v="1"/>
  </r>
  <r>
    <x v="6"/>
    <x v="0"/>
    <x v="1"/>
    <x v="4"/>
    <s v="ALO"/>
    <x v="13"/>
    <x v="15"/>
    <x v="8"/>
    <n v="2"/>
    <x v="1"/>
    <x v="0"/>
    <x v="1"/>
    <n v="94.198999999999998"/>
    <x v="2378"/>
    <n v="30.045999999999999"/>
    <n v="40.783000000000001"/>
    <n v="23.265000000000001"/>
    <s v="15,41"/>
    <x v="1"/>
  </r>
  <r>
    <x v="6"/>
    <x v="0"/>
    <x v="1"/>
    <x v="13"/>
    <s v="STR"/>
    <x v="13"/>
    <x v="10"/>
    <x v="9"/>
    <n v="1"/>
    <x v="1"/>
    <x v="0"/>
    <x v="1"/>
    <n v="95.632000000000005"/>
    <x v="2379"/>
    <n v="30.248000000000001"/>
    <n v="41.609000000000002"/>
    <n v="23.495999999999999"/>
    <s v="9,27"/>
    <x v="1"/>
  </r>
  <r>
    <x v="6"/>
    <x v="0"/>
    <x v="1"/>
    <x v="32"/>
    <s v="ZHO"/>
    <x v="16"/>
    <x v="18"/>
    <x v="10"/>
    <n v="0"/>
    <x v="1"/>
    <x v="52"/>
    <x v="7"/>
    <n v="95.457999999999998"/>
    <x v="2380"/>
    <n v="30.611999999999998"/>
    <n v="41.19"/>
    <n v="23.594000000000001"/>
    <s v="9,28"/>
    <x v="1"/>
  </r>
  <r>
    <x v="6"/>
    <x v="0"/>
    <x v="1"/>
    <x v="16"/>
    <s v="MAG"/>
    <x v="9"/>
    <x v="7"/>
    <x v="11"/>
    <n v="0"/>
    <x v="1"/>
    <x v="52"/>
    <x v="7"/>
    <n v="95.57"/>
    <x v="2381"/>
    <n v="30.227"/>
    <n v="41.408999999999999"/>
    <n v="23.629000000000001"/>
    <s v="11,32"/>
    <x v="1"/>
  </r>
  <r>
    <x v="6"/>
    <x v="0"/>
    <x v="1"/>
    <x v="3"/>
    <s v="RIC"/>
    <x v="17"/>
    <x v="11"/>
    <x v="12"/>
    <n v="0"/>
    <x v="1"/>
    <x v="52"/>
    <x v="7"/>
    <n v="95.162999999999997"/>
    <x v="2382"/>
    <n v="30.373999999999999"/>
    <n v="41.225999999999999"/>
    <n v="23.515000000000001"/>
    <s v="13,35"/>
    <x v="1"/>
  </r>
  <r>
    <x v="6"/>
    <x v="0"/>
    <x v="1"/>
    <x v="29"/>
    <s v="TSU"/>
    <x v="17"/>
    <x v="8"/>
    <x v="13"/>
    <n v="0"/>
    <x v="1"/>
    <x v="52"/>
    <x v="7"/>
    <n v="95.832999999999998"/>
    <x v="2383"/>
    <n v="30.48"/>
    <n v="41.47"/>
    <n v="23.626000000000001"/>
    <s v="14,34"/>
    <x v="1"/>
  </r>
  <r>
    <x v="6"/>
    <x v="0"/>
    <x v="1"/>
    <x v="22"/>
    <s v="ALB"/>
    <x v="7"/>
    <x v="13"/>
    <x v="14"/>
    <n v="0"/>
    <x v="1"/>
    <x v="52"/>
    <x v="7"/>
    <n v="95.722999999999999"/>
    <x v="2384"/>
    <n v="30.606999999999999"/>
    <n v="41.472000000000001"/>
    <n v="23.469000000000001"/>
    <s v="15,36"/>
    <x v="1"/>
  </r>
  <r>
    <x v="6"/>
    <x v="0"/>
    <x v="1"/>
    <x v="6"/>
    <s v="HUL"/>
    <x v="9"/>
    <x v="4"/>
    <x v="15"/>
    <n v="0"/>
    <x v="1"/>
    <x v="52"/>
    <x v="7"/>
    <n v="94.834000000000003"/>
    <x v="2385"/>
    <n v="30.13"/>
    <n v="41.145000000000003"/>
    <n v="23.486999999999998"/>
    <s v="1,20,41"/>
    <x v="1"/>
  </r>
  <r>
    <x v="6"/>
    <x v="0"/>
    <x v="1"/>
    <x v="11"/>
    <s v="OCO"/>
    <x v="14"/>
    <x v="19"/>
    <x v="16"/>
    <n v="0"/>
    <x v="1"/>
    <x v="52"/>
    <x v="7"/>
    <n v="96.225999999999999"/>
    <x v="2386"/>
    <n v="30.898"/>
    <n v="41.548999999999999"/>
    <n v="23.747"/>
    <s v="10,30"/>
    <x v="1"/>
  </r>
  <r>
    <x v="6"/>
    <x v="0"/>
    <x v="1"/>
    <x v="17"/>
    <s v="GAS"/>
    <x v="14"/>
    <x v="17"/>
    <x v="17"/>
    <n v="0"/>
    <x v="1"/>
    <x v="52"/>
    <x v="7"/>
    <n v="94.805000000000007"/>
    <x v="2387"/>
    <n v="30.509"/>
    <n v="40.912999999999997"/>
    <n v="23.382999999999999"/>
    <s v="12,31,43"/>
    <x v="1"/>
  </r>
  <r>
    <x v="6"/>
    <x v="0"/>
    <x v="1"/>
    <x v="7"/>
    <s v="BOT"/>
    <x v="16"/>
    <x v="14"/>
    <x v="18"/>
    <n v="0"/>
    <x v="1"/>
    <x v="52"/>
    <x v="7"/>
    <n v="96.201999999999998"/>
    <x v="2388"/>
    <n v="30.501000000000001"/>
    <n v="41.558"/>
    <n v="23.651"/>
    <s v="12,30"/>
    <x v="1"/>
  </r>
  <r>
    <x v="6"/>
    <x v="0"/>
    <x v="1"/>
    <x v="34"/>
    <s v="SAR"/>
    <x v="7"/>
    <x v="12"/>
    <x v="19"/>
    <n v="0"/>
    <x v="1"/>
    <x v="52"/>
    <x v="35"/>
    <n v="94.734999999999999"/>
    <x v="2389"/>
    <n v="30.315999999999999"/>
    <n v="40.966000000000001"/>
    <n v="23.385000000000002"/>
    <s v="10,28,40"/>
    <x v="1"/>
  </r>
  <r>
    <x v="6"/>
    <x v="1"/>
    <x v="33"/>
    <x v="5"/>
    <s v="VER"/>
    <x v="2"/>
    <x v="1"/>
    <x v="0"/>
    <n v="25"/>
    <x v="0"/>
    <x v="0"/>
    <x v="43"/>
    <n v="91.772999999999996"/>
    <x v="2390"/>
    <n v="33.743000000000002"/>
    <n v="28.864000000000001"/>
    <n v="29.128"/>
    <n v="7"/>
    <x v="1"/>
  </r>
  <r>
    <x v="6"/>
    <x v="1"/>
    <x v="33"/>
    <x v="10"/>
    <s v="PER"/>
    <x v="2"/>
    <x v="0"/>
    <x v="1"/>
    <n v="18"/>
    <x v="0"/>
    <x v="0"/>
    <x v="43"/>
    <n v="92.272999999999996"/>
    <x v="2391"/>
    <n v="33.780999999999999"/>
    <n v="29.091999999999999"/>
    <n v="29.204000000000001"/>
    <n v="7"/>
    <x v="1"/>
  </r>
  <r>
    <x v="6"/>
    <x v="1"/>
    <x v="33"/>
    <x v="12"/>
    <s v="LEC"/>
    <x v="0"/>
    <x v="2"/>
    <x v="2"/>
    <n v="16"/>
    <x v="0"/>
    <x v="0"/>
    <x v="43"/>
    <n v="91.632000000000005"/>
    <x v="2392"/>
    <n v="33.634"/>
    <n v="28.667999999999999"/>
    <n v="29.213999999999999"/>
    <n v="7"/>
    <x v="1"/>
  </r>
  <r>
    <x v="6"/>
    <x v="1"/>
    <x v="33"/>
    <x v="35"/>
    <s v="PIA"/>
    <x v="3"/>
    <x v="16"/>
    <x v="3"/>
    <n v="12"/>
    <x v="1"/>
    <x v="0"/>
    <x v="43"/>
    <n v="92.31"/>
    <x v="2393"/>
    <n v="33.816000000000003"/>
    <n v="28.959"/>
    <n v="29.271999999999998"/>
    <n v="7"/>
    <x v="1"/>
  </r>
  <r>
    <x v="6"/>
    <x v="1"/>
    <x v="33"/>
    <x v="4"/>
    <s v="ALO"/>
    <x v="13"/>
    <x v="5"/>
    <x v="4"/>
    <n v="10"/>
    <x v="1"/>
    <x v="0"/>
    <x v="43"/>
    <n v="92.387"/>
    <x v="2394"/>
    <n v="33.948999999999998"/>
    <n v="28.907"/>
    <n v="29.384"/>
    <n v="7"/>
    <x v="1"/>
  </r>
  <r>
    <x v="6"/>
    <x v="1"/>
    <x v="33"/>
    <x v="24"/>
    <s v="RUS"/>
    <x v="1"/>
    <x v="6"/>
    <x v="5"/>
    <n v="8"/>
    <x v="1"/>
    <x v="0"/>
    <x v="43"/>
    <n v="92.254000000000005"/>
    <x v="2395"/>
    <n v="34.061"/>
    <n v="28.821000000000002"/>
    <n v="29.305"/>
    <n v="7"/>
    <x v="1"/>
  </r>
  <r>
    <x v="6"/>
    <x v="1"/>
    <x v="33"/>
    <x v="37"/>
    <s v="BEA"/>
    <x v="0"/>
    <x v="8"/>
    <x v="6"/>
    <n v="6"/>
    <x v="1"/>
    <x v="0"/>
    <x v="43"/>
    <n v="92.186000000000007"/>
    <x v="2396"/>
    <n v="33.792999999999999"/>
    <n v="29.04"/>
    <n v="29.247"/>
    <n v="7"/>
    <x v="1"/>
  </r>
  <r>
    <x v="6"/>
    <x v="1"/>
    <x v="33"/>
    <x v="21"/>
    <s v="NOR"/>
    <x v="3"/>
    <x v="15"/>
    <x v="7"/>
    <n v="4"/>
    <x v="1"/>
    <x v="0"/>
    <x v="43"/>
    <n v="91.944000000000003"/>
    <x v="2397"/>
    <n v="33.575000000000003"/>
    <n v="28.986999999999998"/>
    <n v="29.332000000000001"/>
    <n v="37"/>
    <x v="1"/>
  </r>
  <r>
    <x v="6"/>
    <x v="1"/>
    <x v="33"/>
    <x v="1"/>
    <s v="HAM"/>
    <x v="1"/>
    <x v="3"/>
    <x v="8"/>
    <n v="2"/>
    <x v="1"/>
    <x v="0"/>
    <x v="43"/>
    <n v="91.745999999999995"/>
    <x v="2398"/>
    <n v="33.994999999999997"/>
    <n v="28.77"/>
    <n v="28.873000000000001"/>
    <n v="36"/>
    <x v="1"/>
  </r>
  <r>
    <x v="6"/>
    <x v="1"/>
    <x v="33"/>
    <x v="6"/>
    <s v="HUL"/>
    <x v="9"/>
    <x v="7"/>
    <x v="9"/>
    <n v="1"/>
    <x v="1"/>
    <x v="0"/>
    <x v="43"/>
    <n v="92.366"/>
    <x v="2399"/>
    <n v="33.911999999999999"/>
    <n v="28.975999999999999"/>
    <n v="29.306999999999999"/>
    <n v="33"/>
    <x v="1"/>
  </r>
  <r>
    <x v="6"/>
    <x v="1"/>
    <x v="33"/>
    <x v="22"/>
    <s v="ALB"/>
    <x v="7"/>
    <x v="10"/>
    <x v="10"/>
    <n v="0"/>
    <x v="1"/>
    <x v="0"/>
    <x v="43"/>
    <n v="92.307000000000002"/>
    <x v="2400"/>
    <n v="33.975000000000001"/>
    <n v="28.916"/>
    <n v="29.294"/>
    <n v="7"/>
    <x v="1"/>
  </r>
  <r>
    <x v="6"/>
    <x v="1"/>
    <x v="33"/>
    <x v="16"/>
    <s v="MAG"/>
    <x v="9"/>
    <x v="13"/>
    <x v="11"/>
    <n v="0"/>
    <x v="1"/>
    <x v="0"/>
    <x v="43"/>
    <n v="92.337999999999994"/>
    <x v="2401"/>
    <n v="33.856000000000002"/>
    <n v="29.088000000000001"/>
    <n v="29.353999999999999"/>
    <n v="7"/>
    <x v="1"/>
  </r>
  <r>
    <x v="6"/>
    <x v="1"/>
    <x v="33"/>
    <x v="11"/>
    <s v="OCO"/>
    <x v="14"/>
    <x v="18"/>
    <x v="12"/>
    <n v="0"/>
    <x v="1"/>
    <x v="52"/>
    <x v="12"/>
    <n v="93.480999999999995"/>
    <x v="2402"/>
    <n v="34.502000000000002"/>
    <n v="29.347000000000001"/>
    <n v="29.448"/>
    <n v="7"/>
    <x v="1"/>
  </r>
  <r>
    <x v="6"/>
    <x v="1"/>
    <x v="33"/>
    <x v="34"/>
    <s v="SAR"/>
    <x v="7"/>
    <x v="19"/>
    <x v="13"/>
    <n v="0"/>
    <x v="1"/>
    <x v="52"/>
    <x v="12"/>
    <n v="93.025999999999996"/>
    <x v="2403"/>
    <n v="34.439"/>
    <n v="29.210999999999999"/>
    <n v="29.376000000000001"/>
    <n v="7"/>
    <x v="1"/>
  </r>
  <r>
    <x v="6"/>
    <x v="1"/>
    <x v="33"/>
    <x v="29"/>
    <s v="TSU"/>
    <x v="17"/>
    <x v="9"/>
    <x v="14"/>
    <n v="0"/>
    <x v="1"/>
    <x v="52"/>
    <x v="12"/>
    <n v="93.522999999999996"/>
    <x v="2404"/>
    <n v="34.540999999999997"/>
    <n v="29.343"/>
    <n v="29.462"/>
    <n v="7"/>
    <x v="1"/>
  </r>
  <r>
    <x v="6"/>
    <x v="1"/>
    <x v="33"/>
    <x v="3"/>
    <s v="RIC"/>
    <x v="17"/>
    <x v="11"/>
    <x v="15"/>
    <n v="0"/>
    <x v="1"/>
    <x v="52"/>
    <x v="12"/>
    <n v="93.322999999999993"/>
    <x v="2405"/>
    <n v="34.334000000000003"/>
    <n v="29.300999999999998"/>
    <n v="29.396999999999998"/>
    <n v="7"/>
    <x v="1"/>
  </r>
  <r>
    <x v="6"/>
    <x v="1"/>
    <x v="33"/>
    <x v="7"/>
    <s v="BOT"/>
    <x v="16"/>
    <x v="14"/>
    <x v="16"/>
    <n v="0"/>
    <x v="1"/>
    <x v="52"/>
    <x v="12"/>
    <n v="92.706000000000003"/>
    <x v="2406"/>
    <n v="34.026000000000003"/>
    <n v="29.17"/>
    <n v="29.439"/>
    <s v="7,35"/>
    <x v="1"/>
  </r>
  <r>
    <x v="6"/>
    <x v="1"/>
    <x v="33"/>
    <x v="32"/>
    <s v="ZHO"/>
    <x v="16"/>
    <x v="17"/>
    <x v="17"/>
    <n v="0"/>
    <x v="1"/>
    <x v="52"/>
    <x v="12"/>
    <n v="92.207999999999998"/>
    <x v="2407"/>
    <n v="33.892000000000003"/>
    <n v="28.978999999999999"/>
    <n v="29.337"/>
    <n v="41"/>
    <x v="1"/>
  </r>
  <r>
    <x v="6"/>
    <x v="1"/>
    <x v="33"/>
    <x v="13"/>
    <s v="STR"/>
    <x v="13"/>
    <x v="4"/>
    <x v="18"/>
    <n v="0"/>
    <x v="1"/>
    <x v="21"/>
    <x v="5"/>
    <n v="95.56"/>
    <x v="2408"/>
    <n v="35.292999999999999"/>
    <n v="30.148"/>
    <n v="30.079000000000001"/>
    <m/>
    <x v="1"/>
  </r>
  <r>
    <x v="6"/>
    <x v="1"/>
    <x v="33"/>
    <x v="17"/>
    <s v="GAS"/>
    <x v="14"/>
    <x v="12"/>
    <x v="19"/>
    <n v="0"/>
    <x v="1"/>
    <x v="21"/>
    <x v="16"/>
    <m/>
    <x v="19"/>
    <m/>
    <m/>
    <m/>
    <n v="1"/>
    <x v="1"/>
  </r>
  <r>
    <x v="6"/>
    <x v="2"/>
    <x v="0"/>
    <x v="9"/>
    <s v="SAI"/>
    <x v="0"/>
    <x v="2"/>
    <x v="0"/>
    <n v="25"/>
    <x v="0"/>
    <x v="0"/>
    <x v="0"/>
    <n v="80.031000000000006"/>
    <x v="2409"/>
    <n v="27.853000000000002"/>
    <n v="17.821000000000002"/>
    <n v="34.212000000000003"/>
    <s v="16,41"/>
    <x v="1"/>
  </r>
  <r>
    <x v="6"/>
    <x v="2"/>
    <x v="0"/>
    <x v="12"/>
    <s v="LEC"/>
    <x v="0"/>
    <x v="5"/>
    <x v="1"/>
    <n v="19"/>
    <x v="0"/>
    <x v="0"/>
    <x v="0"/>
    <n v="79.813000000000002"/>
    <x v="2410"/>
    <n v="27.806999999999999"/>
    <n v="17.571999999999999"/>
    <n v="34.197000000000003"/>
    <s v="9,34"/>
    <x v="1"/>
  </r>
  <r>
    <x v="6"/>
    <x v="2"/>
    <x v="0"/>
    <x v="21"/>
    <s v="NOR"/>
    <x v="3"/>
    <x v="0"/>
    <x v="2"/>
    <n v="15"/>
    <x v="0"/>
    <x v="0"/>
    <x v="0"/>
    <n v="79.915000000000006"/>
    <x v="2411"/>
    <n v="27.632999999999999"/>
    <n v="17.716999999999999"/>
    <n v="34.270000000000003"/>
    <s v="14,40"/>
    <x v="1"/>
  </r>
  <r>
    <x v="6"/>
    <x v="2"/>
    <x v="0"/>
    <x v="35"/>
    <s v="PIA"/>
    <x v="3"/>
    <x v="16"/>
    <x v="3"/>
    <n v="12"/>
    <x v="1"/>
    <x v="0"/>
    <x v="0"/>
    <n v="80.198999999999998"/>
    <x v="2412"/>
    <n v="27.902999999999999"/>
    <n v="17.593"/>
    <n v="34.442999999999998"/>
    <s v="9,39"/>
    <x v="1"/>
  </r>
  <r>
    <x v="6"/>
    <x v="2"/>
    <x v="0"/>
    <x v="10"/>
    <s v="PER"/>
    <x v="2"/>
    <x v="15"/>
    <x v="4"/>
    <n v="10"/>
    <x v="1"/>
    <x v="0"/>
    <x v="0"/>
    <n v="80.388000000000005"/>
    <x v="2413"/>
    <n v="28.091000000000001"/>
    <n v="17.600000000000001"/>
    <n v="34.506"/>
    <s v="14,35"/>
    <x v="1"/>
  </r>
  <r>
    <x v="6"/>
    <x v="2"/>
    <x v="0"/>
    <x v="13"/>
    <s v="STR"/>
    <x v="13"/>
    <x v="9"/>
    <x v="5"/>
    <n v="8"/>
    <x v="1"/>
    <x v="0"/>
    <x v="0"/>
    <n v="80.930000000000007"/>
    <x v="2414"/>
    <n v="28.029"/>
    <n v="17.98"/>
    <n v="34.747"/>
    <s v="8,37"/>
    <x v="1"/>
  </r>
  <r>
    <x v="6"/>
    <x v="2"/>
    <x v="0"/>
    <x v="29"/>
    <s v="TSU"/>
    <x v="17"/>
    <x v="3"/>
    <x v="6"/>
    <n v="6"/>
    <x v="1"/>
    <x v="0"/>
    <x v="0"/>
    <n v="81.134"/>
    <x v="2415"/>
    <n v="28.22"/>
    <n v="17.731999999999999"/>
    <n v="34.85"/>
    <s v="9,36"/>
    <x v="1"/>
  </r>
  <r>
    <x v="6"/>
    <x v="2"/>
    <x v="0"/>
    <x v="4"/>
    <s v="ALO"/>
    <x v="13"/>
    <x v="4"/>
    <x v="7"/>
    <n v="4"/>
    <x v="1"/>
    <x v="0"/>
    <x v="0"/>
    <n v="80.492999999999995"/>
    <x v="2416"/>
    <n v="27.908999999999999"/>
    <n v="17.887"/>
    <n v="34.508000000000003"/>
    <s v="17,41"/>
    <x v="1"/>
  </r>
  <r>
    <x v="6"/>
    <x v="2"/>
    <x v="0"/>
    <x v="6"/>
    <s v="HUL"/>
    <x v="9"/>
    <x v="14"/>
    <x v="8"/>
    <n v="2"/>
    <x v="1"/>
    <x v="0"/>
    <x v="0"/>
    <n v="81.144999999999996"/>
    <x v="2417"/>
    <n v="28.292000000000002"/>
    <n v="17.742999999999999"/>
    <n v="35.052"/>
    <s v="17,35"/>
    <x v="1"/>
  </r>
  <r>
    <x v="6"/>
    <x v="2"/>
    <x v="0"/>
    <x v="16"/>
    <s v="MAG"/>
    <x v="9"/>
    <x v="11"/>
    <x v="9"/>
    <n v="1"/>
    <x v="1"/>
    <x v="52"/>
    <x v="1"/>
    <n v="81.081999999999994"/>
    <x v="2418"/>
    <n v="28.306999999999999"/>
    <n v="17.488"/>
    <n v="35.084000000000003"/>
    <s v="7,33"/>
    <x v="1"/>
  </r>
  <r>
    <x v="6"/>
    <x v="2"/>
    <x v="0"/>
    <x v="22"/>
    <s v="ALB"/>
    <x v="7"/>
    <x v="10"/>
    <x v="10"/>
    <n v="0"/>
    <x v="1"/>
    <x v="52"/>
    <x v="1"/>
    <n v="81.617999999999995"/>
    <x v="2419"/>
    <n v="28.341000000000001"/>
    <n v="17.917999999999999"/>
    <n v="35.250999999999998"/>
    <s v="6,27"/>
    <x v="1"/>
  </r>
  <r>
    <x v="6"/>
    <x v="2"/>
    <x v="0"/>
    <x v="3"/>
    <s v="RIC"/>
    <x v="17"/>
    <x v="12"/>
    <x v="11"/>
    <n v="0"/>
    <x v="1"/>
    <x v="52"/>
    <x v="1"/>
    <n v="81.239000000000004"/>
    <x v="2420"/>
    <n v="28.202000000000002"/>
    <n v="17.748999999999999"/>
    <n v="34.875"/>
    <s v="5,29"/>
    <x v="1"/>
  </r>
  <r>
    <x v="6"/>
    <x v="2"/>
    <x v="0"/>
    <x v="17"/>
    <s v="GAS"/>
    <x v="14"/>
    <x v="18"/>
    <x v="12"/>
    <n v="0"/>
    <x v="1"/>
    <x v="52"/>
    <x v="1"/>
    <n v="81.09"/>
    <x v="2421"/>
    <n v="28.114999999999998"/>
    <n v="17.815999999999999"/>
    <n v="34.814"/>
    <s v="17,41"/>
    <x v="1"/>
  </r>
  <r>
    <x v="6"/>
    <x v="2"/>
    <x v="0"/>
    <x v="7"/>
    <s v="BOT"/>
    <x v="16"/>
    <x v="13"/>
    <x v="13"/>
    <n v="0"/>
    <x v="1"/>
    <x v="52"/>
    <x v="1"/>
    <n v="81.421999999999997"/>
    <x v="2422"/>
    <n v="28.297999999999998"/>
    <n v="18.07"/>
    <n v="34.936999999999998"/>
    <s v="8,36"/>
    <x v="1"/>
  </r>
  <r>
    <x v="6"/>
    <x v="2"/>
    <x v="0"/>
    <x v="32"/>
    <s v="ZHO"/>
    <x v="16"/>
    <x v="19"/>
    <x v="14"/>
    <n v="0"/>
    <x v="1"/>
    <x v="52"/>
    <x v="1"/>
    <n v="81.326999999999998"/>
    <x v="2423"/>
    <n v="28.288"/>
    <n v="17.952999999999999"/>
    <n v="35.085999999999999"/>
    <s v="6,35"/>
    <x v="1"/>
  </r>
  <r>
    <x v="6"/>
    <x v="2"/>
    <x v="0"/>
    <x v="11"/>
    <s v="OCO"/>
    <x v="14"/>
    <x v="7"/>
    <x v="15"/>
    <n v="0"/>
    <x v="1"/>
    <x v="52"/>
    <x v="1"/>
    <n v="81.353999999999999"/>
    <x v="2424"/>
    <n v="28.306000000000001"/>
    <n v="17.856999999999999"/>
    <n v="35.003"/>
    <s v="9,16,42"/>
    <x v="1"/>
  </r>
  <r>
    <x v="6"/>
    <x v="2"/>
    <x v="0"/>
    <x v="24"/>
    <s v="RUS"/>
    <x v="1"/>
    <x v="6"/>
    <x v="16"/>
    <n v="0"/>
    <x v="1"/>
    <x v="21"/>
    <x v="1"/>
    <n v="80.284000000000006"/>
    <x v="2425"/>
    <n v="27.721"/>
    <n v="17.61"/>
    <n v="34.686"/>
    <s v="8,45"/>
    <x v="1"/>
  </r>
  <r>
    <x v="6"/>
    <x v="2"/>
    <x v="0"/>
    <x v="1"/>
    <s v="HAM"/>
    <x v="1"/>
    <x v="8"/>
    <x v="17"/>
    <n v="0"/>
    <x v="1"/>
    <x v="21"/>
    <x v="59"/>
    <n v="82.444000000000003"/>
    <x v="2426"/>
    <n v="28.718"/>
    <n v="17.977"/>
    <n v="35.558"/>
    <n v="7"/>
    <x v="1"/>
  </r>
  <r>
    <x v="6"/>
    <x v="2"/>
    <x v="0"/>
    <x v="5"/>
    <s v="VER"/>
    <x v="2"/>
    <x v="1"/>
    <x v="18"/>
    <n v="0"/>
    <x v="1"/>
    <x v="21"/>
    <x v="9"/>
    <n v="83.114999999999995"/>
    <x v="2427"/>
    <n v="28.792999999999999"/>
    <n v="18.375"/>
    <n v="35.749000000000002"/>
    <n v="4"/>
    <x v="1"/>
  </r>
  <r>
    <x v="6"/>
    <x v="3"/>
    <x v="15"/>
    <x v="5"/>
    <s v="VER"/>
    <x v="2"/>
    <x v="1"/>
    <x v="0"/>
    <n v="26"/>
    <x v="0"/>
    <x v="0"/>
    <x v="28"/>
    <n v="93.706000000000003"/>
    <x v="2428"/>
    <n v="33.404000000000003"/>
    <n v="42.069000000000003"/>
    <n v="18.161000000000001"/>
    <s v="1,16,34"/>
    <x v="1"/>
  </r>
  <r>
    <x v="6"/>
    <x v="3"/>
    <x v="15"/>
    <x v="10"/>
    <s v="PER"/>
    <x v="2"/>
    <x v="2"/>
    <x v="1"/>
    <n v="18"/>
    <x v="0"/>
    <x v="0"/>
    <x v="28"/>
    <n v="93.944999999999993"/>
    <x v="2429"/>
    <n v="33.433"/>
    <n v="42.191000000000003"/>
    <n v="18.27"/>
    <s v="1,15,33"/>
    <x v="1"/>
  </r>
  <r>
    <x v="6"/>
    <x v="3"/>
    <x v="15"/>
    <x v="9"/>
    <s v="SAI"/>
    <x v="0"/>
    <x v="5"/>
    <x v="2"/>
    <n v="15"/>
    <x v="0"/>
    <x v="0"/>
    <x v="28"/>
    <n v="93.840999999999994"/>
    <x v="2430"/>
    <n v="33.31"/>
    <n v="42.106999999999999"/>
    <n v="18.189"/>
    <s v="1,15,36"/>
    <x v="1"/>
  </r>
  <r>
    <x v="6"/>
    <x v="3"/>
    <x v="15"/>
    <x v="12"/>
    <s v="LEC"/>
    <x v="0"/>
    <x v="3"/>
    <x v="3"/>
    <n v="12"/>
    <x v="1"/>
    <x v="0"/>
    <x v="28"/>
    <n v="95.043999999999997"/>
    <x v="2431"/>
    <n v="34.140999999999998"/>
    <n v="42.491999999999997"/>
    <n v="18.373999999999999"/>
    <s v="1,26"/>
    <x v="1"/>
  </r>
  <r>
    <x v="6"/>
    <x v="3"/>
    <x v="15"/>
    <x v="21"/>
    <s v="NOR"/>
    <x v="3"/>
    <x v="0"/>
    <x v="4"/>
    <n v="10"/>
    <x v="1"/>
    <x v="0"/>
    <x v="28"/>
    <n v="95.186000000000007"/>
    <x v="2432"/>
    <n v="34.119"/>
    <n v="42.603999999999999"/>
    <n v="18.332000000000001"/>
    <s v="1,11,26"/>
    <x v="1"/>
  </r>
  <r>
    <x v="6"/>
    <x v="3"/>
    <x v="15"/>
    <x v="4"/>
    <s v="ALO"/>
    <x v="13"/>
    <x v="16"/>
    <x v="5"/>
    <n v="8"/>
    <x v="1"/>
    <x v="0"/>
    <x v="28"/>
    <n v="94.725999999999999"/>
    <x v="2433"/>
    <n v="33.923999999999999"/>
    <n v="42.332000000000001"/>
    <n v="18.279"/>
    <s v="1,13,33"/>
    <x v="1"/>
  </r>
  <r>
    <x v="6"/>
    <x v="3"/>
    <x v="15"/>
    <x v="24"/>
    <s v="RUS"/>
    <x v="1"/>
    <x v="9"/>
    <x v="6"/>
    <n v="6"/>
    <x v="1"/>
    <x v="0"/>
    <x v="28"/>
    <n v="94.403999999999996"/>
    <x v="2434"/>
    <n v="33.81"/>
    <n v="42.024000000000001"/>
    <n v="18.292999999999999"/>
    <s v="1,22,37"/>
    <x v="1"/>
  </r>
  <r>
    <x v="6"/>
    <x v="3"/>
    <x v="15"/>
    <x v="35"/>
    <s v="PIA"/>
    <x v="3"/>
    <x v="15"/>
    <x v="7"/>
    <n v="4"/>
    <x v="1"/>
    <x v="0"/>
    <x v="28"/>
    <n v="94.802000000000007"/>
    <x v="2435"/>
    <n v="34.133000000000003"/>
    <n v="42.289000000000001"/>
    <n v="18.378"/>
    <s v="1,12,32"/>
    <x v="1"/>
  </r>
  <r>
    <x v="6"/>
    <x v="3"/>
    <x v="15"/>
    <x v="1"/>
    <s v="HAM"/>
    <x v="1"/>
    <x v="6"/>
    <x v="8"/>
    <n v="2"/>
    <x v="1"/>
    <x v="0"/>
    <x v="28"/>
    <n v="93.951999999999998"/>
    <x v="2436"/>
    <n v="33.633000000000003"/>
    <n v="42.033000000000001"/>
    <n v="18.213000000000001"/>
    <s v="1,23,39"/>
    <x v="1"/>
  </r>
  <r>
    <x v="6"/>
    <x v="3"/>
    <x v="15"/>
    <x v="29"/>
    <s v="TSU"/>
    <x v="17"/>
    <x v="4"/>
    <x v="9"/>
    <n v="1"/>
    <x v="1"/>
    <x v="52"/>
    <x v="33"/>
    <n v="96.341999999999999"/>
    <x v="2437"/>
    <n v="34.779000000000003"/>
    <n v="42.920999999999999"/>
    <n v="18.556999999999999"/>
    <s v="1,7,22"/>
    <x v="1"/>
  </r>
  <r>
    <x v="6"/>
    <x v="3"/>
    <x v="15"/>
    <x v="6"/>
    <s v="HUL"/>
    <x v="9"/>
    <x v="10"/>
    <x v="10"/>
    <n v="0"/>
    <x v="1"/>
    <x v="52"/>
    <x v="33"/>
    <n v="95.325000000000003"/>
    <x v="2438"/>
    <n v="34.325000000000003"/>
    <n v="42.485999999999997"/>
    <n v="18.225000000000001"/>
    <s v="1,5,33"/>
    <x v="1"/>
  </r>
  <r>
    <x v="6"/>
    <x v="3"/>
    <x v="15"/>
    <x v="13"/>
    <s v="STR"/>
    <x v="13"/>
    <x v="14"/>
    <x v="11"/>
    <n v="0"/>
    <x v="1"/>
    <x v="52"/>
    <x v="33"/>
    <n v="95.798000000000002"/>
    <x v="2439"/>
    <n v="34.43"/>
    <n v="42.606999999999999"/>
    <n v="18.468"/>
    <s v="1,12,22,34"/>
    <x v="1"/>
  </r>
  <r>
    <x v="6"/>
    <x v="3"/>
    <x v="15"/>
    <x v="16"/>
    <s v="MAG"/>
    <x v="9"/>
    <x v="12"/>
    <x v="12"/>
    <n v="0"/>
    <x v="1"/>
    <x v="52"/>
    <x v="33"/>
    <n v="96.653999999999996"/>
    <x v="2440"/>
    <n v="35.152000000000001"/>
    <n v="43.006999999999998"/>
    <n v="18.414999999999999"/>
    <s v="1,22"/>
    <x v="1"/>
  </r>
  <r>
    <x v="6"/>
    <x v="3"/>
    <x v="15"/>
    <x v="7"/>
    <s v="BOT"/>
    <x v="16"/>
    <x v="13"/>
    <x v="13"/>
    <n v="0"/>
    <x v="1"/>
    <x v="52"/>
    <x v="33"/>
    <n v="96.608000000000004"/>
    <x v="2441"/>
    <n v="34.463999999999999"/>
    <n v="43.206000000000003"/>
    <n v="18.439"/>
    <s v="1,6,22"/>
    <x v="1"/>
  </r>
  <r>
    <x v="6"/>
    <x v="3"/>
    <x v="15"/>
    <x v="11"/>
    <s v="OCO"/>
    <x v="14"/>
    <x v="7"/>
    <x v="14"/>
    <n v="0"/>
    <x v="1"/>
    <x v="52"/>
    <x v="33"/>
    <n v="96.231999999999999"/>
    <x v="2442"/>
    <n v="34.512"/>
    <n v="42.972999999999999"/>
    <n v="18.574999999999999"/>
    <s v="1,19,33"/>
    <x v="1"/>
  </r>
  <r>
    <x v="6"/>
    <x v="3"/>
    <x v="15"/>
    <x v="17"/>
    <s v="GAS"/>
    <x v="14"/>
    <x v="18"/>
    <x v="15"/>
    <n v="0"/>
    <x v="1"/>
    <x v="52"/>
    <x v="33"/>
    <n v="96.641999999999996"/>
    <x v="2443"/>
    <n v="34.847000000000001"/>
    <n v="43.043999999999997"/>
    <n v="18.587"/>
    <s v="1,16,32"/>
    <x v="1"/>
  </r>
  <r>
    <x v="6"/>
    <x v="3"/>
    <x v="15"/>
    <x v="34"/>
    <s v="SAR"/>
    <x v="7"/>
    <x v="19"/>
    <x v="16"/>
    <n v="0"/>
    <x v="1"/>
    <x v="52"/>
    <x v="33"/>
    <n v="94.9"/>
    <x v="2444"/>
    <n v="34.223999999999997"/>
    <n v="42.201000000000001"/>
    <n v="18.404"/>
    <s v="1,22,34,41"/>
    <x v="1"/>
  </r>
  <r>
    <x v="6"/>
    <x v="3"/>
    <x v="15"/>
    <x v="32"/>
    <s v="ZHO"/>
    <x v="16"/>
    <x v="17"/>
    <x v="17"/>
    <n v="0"/>
    <x v="1"/>
    <x v="21"/>
    <x v="37"/>
    <n v="97.16"/>
    <x v="2445"/>
    <n v="35.186"/>
    <n v="43.256999999999998"/>
    <n v="18.709"/>
    <s v="1,7,11,12"/>
    <x v="1"/>
  </r>
  <r>
    <x v="6"/>
    <x v="3"/>
    <x v="15"/>
    <x v="3"/>
    <s v="RIC"/>
    <x v="17"/>
    <x v="8"/>
    <x v="18"/>
    <n v="0"/>
    <x v="1"/>
    <x v="21"/>
    <x v="16"/>
    <m/>
    <x v="19"/>
    <m/>
    <m/>
    <m/>
    <m/>
    <x v="1"/>
  </r>
  <r>
    <x v="6"/>
    <x v="3"/>
    <x v="15"/>
    <x v="22"/>
    <s v="ALB"/>
    <x v="7"/>
    <x v="11"/>
    <x v="19"/>
    <n v="0"/>
    <x v="1"/>
    <x v="21"/>
    <x v="16"/>
    <m/>
    <x v="19"/>
    <m/>
    <m/>
    <m/>
    <m/>
    <x v="1"/>
  </r>
  <r>
    <x v="6"/>
    <x v="4"/>
    <x v="2"/>
    <x v="5"/>
    <s v="VER"/>
    <x v="2"/>
    <x v="1"/>
    <x v="0"/>
    <n v="25"/>
    <x v="0"/>
    <x v="0"/>
    <x v="7"/>
    <n v="98.406000000000006"/>
    <x v="2446"/>
    <n v="26.06"/>
    <n v="29.364999999999998"/>
    <n v="42.715000000000003"/>
    <s v="13,23"/>
    <x v="1"/>
  </r>
  <r>
    <x v="6"/>
    <x v="4"/>
    <x v="2"/>
    <x v="21"/>
    <s v="NOR"/>
    <x v="3"/>
    <x v="5"/>
    <x v="1"/>
    <n v="18"/>
    <x v="0"/>
    <x v="0"/>
    <x v="7"/>
    <n v="98.751000000000005"/>
    <x v="2447"/>
    <n v="26.280999999999999"/>
    <n v="29.536000000000001"/>
    <n v="42.795999999999999"/>
    <n v="22"/>
    <x v="1"/>
  </r>
  <r>
    <x v="6"/>
    <x v="4"/>
    <x v="2"/>
    <x v="10"/>
    <s v="PER"/>
    <x v="2"/>
    <x v="2"/>
    <x v="2"/>
    <n v="15"/>
    <x v="0"/>
    <x v="0"/>
    <x v="7"/>
    <n v="99.388000000000005"/>
    <x v="2448"/>
    <n v="26.285"/>
    <n v="29.899000000000001"/>
    <n v="43.002000000000002"/>
    <s v="13,23"/>
    <x v="1"/>
  </r>
  <r>
    <x v="6"/>
    <x v="4"/>
    <x v="2"/>
    <x v="12"/>
    <s v="LEC"/>
    <x v="0"/>
    <x v="15"/>
    <x v="3"/>
    <n v="12"/>
    <x v="1"/>
    <x v="0"/>
    <x v="7"/>
    <n v="99.384"/>
    <x v="2449"/>
    <n v="26.414999999999999"/>
    <n v="29.829000000000001"/>
    <n v="42.993000000000002"/>
    <n v="21"/>
    <x v="1"/>
  </r>
  <r>
    <x v="6"/>
    <x v="4"/>
    <x v="2"/>
    <x v="9"/>
    <s v="SAI"/>
    <x v="0"/>
    <x v="6"/>
    <x v="4"/>
    <n v="10"/>
    <x v="1"/>
    <x v="0"/>
    <x v="7"/>
    <n v="99.763999999999996"/>
    <x v="2450"/>
    <n v="26.579000000000001"/>
    <n v="29.898"/>
    <n v="43.256999999999998"/>
    <n v="17"/>
    <x v="1"/>
  </r>
  <r>
    <x v="6"/>
    <x v="4"/>
    <x v="2"/>
    <x v="24"/>
    <s v="RUS"/>
    <x v="1"/>
    <x v="3"/>
    <x v="5"/>
    <n v="8"/>
    <x v="1"/>
    <x v="0"/>
    <x v="7"/>
    <n v="100.11199999999999"/>
    <x v="2451"/>
    <n v="26.699000000000002"/>
    <n v="29.963999999999999"/>
    <n v="43.377000000000002"/>
    <s v="11,23"/>
    <x v="1"/>
  </r>
  <r>
    <x v="6"/>
    <x v="4"/>
    <x v="2"/>
    <x v="4"/>
    <s v="ALO"/>
    <x v="13"/>
    <x v="0"/>
    <x v="6"/>
    <n v="7"/>
    <x v="1"/>
    <x v="0"/>
    <x v="7"/>
    <n v="97.81"/>
    <x v="2452"/>
    <n v="26.106000000000002"/>
    <n v="29.306000000000001"/>
    <n v="42.398000000000003"/>
    <s v="11,23,43"/>
    <x v="1"/>
  </r>
  <r>
    <x v="6"/>
    <x v="4"/>
    <x v="2"/>
    <x v="35"/>
    <s v="PIA"/>
    <x v="3"/>
    <x v="16"/>
    <x v="7"/>
    <n v="4"/>
    <x v="1"/>
    <x v="0"/>
    <x v="7"/>
    <n v="99.739000000000004"/>
    <x v="2453"/>
    <n v="26.748000000000001"/>
    <n v="30.158999999999999"/>
    <n v="42.819000000000003"/>
    <s v="16,24"/>
    <x v="1"/>
  </r>
  <r>
    <x v="6"/>
    <x v="4"/>
    <x v="2"/>
    <x v="1"/>
    <s v="HAM"/>
    <x v="1"/>
    <x v="12"/>
    <x v="8"/>
    <n v="2"/>
    <x v="1"/>
    <x v="0"/>
    <x v="7"/>
    <n v="100.83499999999999"/>
    <x v="2454"/>
    <n v="26.614999999999998"/>
    <n v="30.260999999999999"/>
    <n v="43.499000000000002"/>
    <s v="9,21"/>
    <x v="1"/>
  </r>
  <r>
    <x v="6"/>
    <x v="4"/>
    <x v="2"/>
    <x v="6"/>
    <s v="HUL"/>
    <x v="9"/>
    <x v="9"/>
    <x v="9"/>
    <n v="1"/>
    <x v="1"/>
    <x v="0"/>
    <x v="7"/>
    <n v="100.815"/>
    <x v="2455"/>
    <n v="26.718"/>
    <n v="30.449000000000002"/>
    <n v="43.526000000000003"/>
    <s v="8,23"/>
    <x v="1"/>
  </r>
  <r>
    <x v="6"/>
    <x v="4"/>
    <x v="2"/>
    <x v="11"/>
    <s v="OCO"/>
    <x v="14"/>
    <x v="13"/>
    <x v="10"/>
    <n v="0"/>
    <x v="1"/>
    <x v="0"/>
    <x v="7"/>
    <n v="100.937"/>
    <x v="2456"/>
    <n v="26.806000000000001"/>
    <n v="30.138999999999999"/>
    <n v="43.779000000000003"/>
    <s v="9,23"/>
    <x v="1"/>
  </r>
  <r>
    <x v="6"/>
    <x v="4"/>
    <x v="2"/>
    <x v="22"/>
    <s v="ALB"/>
    <x v="7"/>
    <x v="11"/>
    <x v="11"/>
    <n v="0"/>
    <x v="1"/>
    <x v="0"/>
    <x v="7"/>
    <n v="100.79"/>
    <x v="2457"/>
    <n v="26.852"/>
    <n v="30.277000000000001"/>
    <n v="43.527000000000001"/>
    <s v="9,23"/>
    <x v="1"/>
  </r>
  <r>
    <x v="6"/>
    <x v="4"/>
    <x v="2"/>
    <x v="17"/>
    <s v="GAS"/>
    <x v="14"/>
    <x v="7"/>
    <x v="12"/>
    <n v="0"/>
    <x v="1"/>
    <x v="0"/>
    <x v="7"/>
    <n v="99.197999999999993"/>
    <x v="2458"/>
    <n v="26.381"/>
    <n v="29.724"/>
    <n v="43.093000000000004"/>
    <s v="11,23,38"/>
    <x v="1"/>
  </r>
  <r>
    <x v="6"/>
    <x v="4"/>
    <x v="2"/>
    <x v="32"/>
    <s v="ZHO"/>
    <x v="16"/>
    <x v="14"/>
    <x v="13"/>
    <n v="0"/>
    <x v="1"/>
    <x v="0"/>
    <x v="7"/>
    <n v="98.632999999999996"/>
    <x v="2459"/>
    <n v="26.215"/>
    <n v="29.445"/>
    <n v="42.972999999999999"/>
    <s v="8,23,40"/>
    <x v="1"/>
  </r>
  <r>
    <x v="6"/>
    <x v="4"/>
    <x v="2"/>
    <x v="13"/>
    <s v="STR"/>
    <x v="13"/>
    <x v="8"/>
    <x v="14"/>
    <n v="0"/>
    <x v="1"/>
    <x v="0"/>
    <x v="7"/>
    <n v="99.444000000000003"/>
    <x v="2460"/>
    <n v="26.428999999999998"/>
    <n v="29.661000000000001"/>
    <n v="43.246000000000002"/>
    <s v="9,21,26,35"/>
    <x v="1"/>
  </r>
  <r>
    <x v="6"/>
    <x v="4"/>
    <x v="2"/>
    <x v="16"/>
    <s v="MAG"/>
    <x v="9"/>
    <x v="18"/>
    <x v="15"/>
    <n v="0"/>
    <x v="1"/>
    <x v="0"/>
    <x v="7"/>
    <n v="101.077"/>
    <x v="2461"/>
    <n v="26.677"/>
    <n v="30.364999999999998"/>
    <n v="43.625"/>
    <s v="17,27"/>
    <x v="1"/>
  </r>
  <r>
    <x v="6"/>
    <x v="4"/>
    <x v="2"/>
    <x v="34"/>
    <s v="SAR"/>
    <x v="7"/>
    <x v="17"/>
    <x v="16"/>
    <n v="0"/>
    <x v="1"/>
    <x v="0"/>
    <x v="7"/>
    <n v="101"/>
    <x v="2462"/>
    <n v="26.901"/>
    <n v="30.265000000000001"/>
    <n v="43.728999999999999"/>
    <s v="12,24"/>
    <x v="1"/>
  </r>
  <r>
    <x v="6"/>
    <x v="4"/>
    <x v="2"/>
    <x v="3"/>
    <s v="RIC"/>
    <x v="17"/>
    <x v="10"/>
    <x v="17"/>
    <n v="0"/>
    <x v="1"/>
    <x v="21"/>
    <x v="60"/>
    <n v="100.994"/>
    <x v="2463"/>
    <n v="26.681999999999999"/>
    <n v="30.486999999999998"/>
    <n v="43.466000000000001"/>
    <s v="14,33"/>
    <x v="1"/>
  </r>
  <r>
    <x v="6"/>
    <x v="4"/>
    <x v="2"/>
    <x v="29"/>
    <s v="TSU"/>
    <x v="17"/>
    <x v="19"/>
    <x v="18"/>
    <n v="0"/>
    <x v="1"/>
    <x v="21"/>
    <x v="63"/>
    <n v="101.593"/>
    <x v="2464"/>
    <n v="27.018999999999998"/>
    <n v="30.593"/>
    <n v="43.981000000000002"/>
    <s v="8,23"/>
    <x v="1"/>
  </r>
  <r>
    <x v="6"/>
    <x v="4"/>
    <x v="2"/>
    <x v="7"/>
    <s v="BOT"/>
    <x v="16"/>
    <x v="4"/>
    <x v="19"/>
    <n v="0"/>
    <x v="1"/>
    <x v="21"/>
    <x v="54"/>
    <n v="101.276"/>
    <x v="2465"/>
    <n v="27.03"/>
    <n v="30.425999999999998"/>
    <n v="43.82"/>
    <n v="9"/>
    <x v="1"/>
  </r>
  <r>
    <x v="6"/>
    <x v="5"/>
    <x v="34"/>
    <x v="21"/>
    <s v="NOR"/>
    <x v="3"/>
    <x v="16"/>
    <x v="0"/>
    <n v="25"/>
    <x v="0"/>
    <x v="0"/>
    <x v="1"/>
    <n v="90.98"/>
    <x v="2466"/>
    <n v="30.309000000000001"/>
    <n v="34.634999999999998"/>
    <n v="25.648"/>
    <n v="29"/>
    <x v="1"/>
  </r>
  <r>
    <x v="6"/>
    <x v="5"/>
    <x v="34"/>
    <x v="5"/>
    <s v="VER"/>
    <x v="2"/>
    <x v="1"/>
    <x v="1"/>
    <n v="18"/>
    <x v="0"/>
    <x v="0"/>
    <x v="1"/>
    <n v="91.260999999999996"/>
    <x v="2467"/>
    <n v="30.530999999999999"/>
    <n v="34.728999999999999"/>
    <n v="25.667999999999999"/>
    <n v="23"/>
    <x v="1"/>
  </r>
  <r>
    <x v="6"/>
    <x v="5"/>
    <x v="34"/>
    <x v="12"/>
    <s v="LEC"/>
    <x v="0"/>
    <x v="2"/>
    <x v="2"/>
    <n v="15"/>
    <x v="0"/>
    <x v="0"/>
    <x v="1"/>
    <n v="91.084000000000003"/>
    <x v="2468"/>
    <n v="30.382999999999999"/>
    <n v="34.798000000000002"/>
    <n v="25.603999999999999"/>
    <n v="19"/>
    <x v="1"/>
  </r>
  <r>
    <x v="6"/>
    <x v="5"/>
    <x v="34"/>
    <x v="10"/>
    <s v="PER"/>
    <x v="2"/>
    <x v="5"/>
    <x v="3"/>
    <n v="12"/>
    <x v="1"/>
    <x v="0"/>
    <x v="1"/>
    <n v="90.855000000000004"/>
    <x v="2469"/>
    <n v="30.488"/>
    <n v="34.765999999999998"/>
    <n v="25.535"/>
    <s v="17,28"/>
    <x v="1"/>
  </r>
  <r>
    <x v="6"/>
    <x v="5"/>
    <x v="34"/>
    <x v="9"/>
    <s v="SAI"/>
    <x v="0"/>
    <x v="0"/>
    <x v="4"/>
    <n v="10"/>
    <x v="1"/>
    <x v="0"/>
    <x v="1"/>
    <n v="90.927999999999997"/>
    <x v="2470"/>
    <n v="30.318000000000001"/>
    <n v="34.671999999999997"/>
    <n v="25.524000000000001"/>
    <n v="27"/>
    <x v="1"/>
  </r>
  <r>
    <x v="6"/>
    <x v="5"/>
    <x v="34"/>
    <x v="1"/>
    <s v="HAM"/>
    <x v="1"/>
    <x v="3"/>
    <x v="5"/>
    <n v="8"/>
    <x v="1"/>
    <x v="0"/>
    <x v="1"/>
    <n v="91.233000000000004"/>
    <x v="2471"/>
    <n v="30.51"/>
    <n v="34.845999999999997"/>
    <n v="25.52"/>
    <n v="26"/>
    <x v="1"/>
  </r>
  <r>
    <x v="6"/>
    <x v="5"/>
    <x v="34"/>
    <x v="29"/>
    <s v="TSU"/>
    <x v="17"/>
    <x v="4"/>
    <x v="6"/>
    <n v="6"/>
    <x v="1"/>
    <x v="0"/>
    <x v="1"/>
    <n v="91.682000000000002"/>
    <x v="2472"/>
    <n v="30.670999999999999"/>
    <n v="34.933999999999997"/>
    <n v="25.797000000000001"/>
    <n v="28"/>
    <x v="1"/>
  </r>
  <r>
    <x v="6"/>
    <x v="5"/>
    <x v="34"/>
    <x v="24"/>
    <s v="RUS"/>
    <x v="1"/>
    <x v="6"/>
    <x v="7"/>
    <n v="4"/>
    <x v="1"/>
    <x v="0"/>
    <x v="1"/>
    <n v="91.921000000000006"/>
    <x v="2473"/>
    <n v="30.722999999999999"/>
    <n v="35.165999999999997"/>
    <n v="25.696999999999999"/>
    <n v="24"/>
    <x v="1"/>
  </r>
  <r>
    <x v="6"/>
    <x v="5"/>
    <x v="34"/>
    <x v="4"/>
    <s v="ALO"/>
    <x v="13"/>
    <x v="7"/>
    <x v="8"/>
    <n v="2"/>
    <x v="1"/>
    <x v="0"/>
    <x v="1"/>
    <n v="91.727000000000004"/>
    <x v="2474"/>
    <n v="30.652999999999999"/>
    <n v="35.198999999999998"/>
    <n v="25.666"/>
    <n v="22"/>
    <x v="1"/>
  </r>
  <r>
    <x v="6"/>
    <x v="5"/>
    <x v="34"/>
    <x v="11"/>
    <s v="OCO"/>
    <x v="14"/>
    <x v="13"/>
    <x v="9"/>
    <n v="1"/>
    <x v="1"/>
    <x v="0"/>
    <x v="1"/>
    <n v="92.037000000000006"/>
    <x v="2475"/>
    <n v="30.829000000000001"/>
    <n v="35.031999999999996"/>
    <n v="25.663"/>
    <n v="22"/>
    <x v="1"/>
  </r>
  <r>
    <x v="6"/>
    <x v="5"/>
    <x v="34"/>
    <x v="6"/>
    <s v="HUL"/>
    <x v="9"/>
    <x v="9"/>
    <x v="10"/>
    <n v="0"/>
    <x v="1"/>
    <x v="0"/>
    <x v="1"/>
    <n v="91.941000000000003"/>
    <x v="2476"/>
    <n v="31.068000000000001"/>
    <n v="35.180999999999997"/>
    <n v="25.341000000000001"/>
    <s v="12,28"/>
    <x v="1"/>
  </r>
  <r>
    <x v="6"/>
    <x v="5"/>
    <x v="34"/>
    <x v="17"/>
    <s v="GAS"/>
    <x v="14"/>
    <x v="10"/>
    <x v="11"/>
    <n v="0"/>
    <x v="1"/>
    <x v="0"/>
    <x v="1"/>
    <n v="92.055000000000007"/>
    <x v="2477"/>
    <n v="30.856999999999999"/>
    <n v="35.220999999999997"/>
    <n v="25.811"/>
    <n v="12"/>
    <x v="1"/>
  </r>
  <r>
    <x v="6"/>
    <x v="5"/>
    <x v="34"/>
    <x v="35"/>
    <s v="PIA"/>
    <x v="3"/>
    <x v="15"/>
    <x v="12"/>
    <n v="0"/>
    <x v="1"/>
    <x v="0"/>
    <x v="1"/>
    <n v="90.634"/>
    <x v="2478"/>
    <n v="30.353999999999999"/>
    <n v="34.61"/>
    <n v="25.411000000000001"/>
    <s v="27,40"/>
    <x v="1"/>
  </r>
  <r>
    <x v="6"/>
    <x v="5"/>
    <x v="34"/>
    <x v="32"/>
    <s v="ZHO"/>
    <x v="16"/>
    <x v="19"/>
    <x v="13"/>
    <n v="0"/>
    <x v="1"/>
    <x v="0"/>
    <x v="1"/>
    <n v="91.991"/>
    <x v="2479"/>
    <n v="30.989000000000001"/>
    <n v="35.21"/>
    <n v="25.635999999999999"/>
    <n v="28"/>
    <x v="1"/>
  </r>
  <r>
    <x v="6"/>
    <x v="5"/>
    <x v="34"/>
    <x v="3"/>
    <s v="RIC"/>
    <x v="17"/>
    <x v="17"/>
    <x v="14"/>
    <n v="0"/>
    <x v="1"/>
    <x v="0"/>
    <x v="1"/>
    <n v="92.122"/>
    <x v="2480"/>
    <n v="31.08"/>
    <n v="34.984999999999999"/>
    <n v="25.632999999999999"/>
    <n v="28"/>
    <x v="1"/>
  </r>
  <r>
    <x v="6"/>
    <x v="5"/>
    <x v="34"/>
    <x v="7"/>
    <s v="BOT"/>
    <x v="16"/>
    <x v="14"/>
    <x v="15"/>
    <n v="0"/>
    <x v="1"/>
    <x v="0"/>
    <x v="1"/>
    <n v="92.097999999999999"/>
    <x v="2481"/>
    <n v="31.158000000000001"/>
    <n v="35.176000000000002"/>
    <n v="25.597000000000001"/>
    <s v="11,29"/>
    <x v="1"/>
  </r>
  <r>
    <x v="6"/>
    <x v="5"/>
    <x v="34"/>
    <x v="13"/>
    <s v="STR"/>
    <x v="13"/>
    <x v="8"/>
    <x v="16"/>
    <n v="0"/>
    <x v="1"/>
    <x v="0"/>
    <x v="1"/>
    <n v="91.587999999999994"/>
    <x v="2482"/>
    <n v="30.866"/>
    <n v="35.082000000000001"/>
    <n v="25.437999999999999"/>
    <s v="11,28"/>
    <x v="1"/>
  </r>
  <r>
    <x v="6"/>
    <x v="5"/>
    <x v="34"/>
    <x v="22"/>
    <s v="ALB"/>
    <x v="7"/>
    <x v="11"/>
    <x v="17"/>
    <n v="0"/>
    <x v="1"/>
    <x v="0"/>
    <x v="1"/>
    <n v="90.849000000000004"/>
    <x v="2483"/>
    <n v="30.981000000000002"/>
    <n v="34.424999999999997"/>
    <n v="25.393999999999998"/>
    <s v="10,53"/>
    <x v="1"/>
  </r>
  <r>
    <x v="6"/>
    <x v="5"/>
    <x v="34"/>
    <x v="16"/>
    <s v="MAG"/>
    <x v="9"/>
    <x v="12"/>
    <x v="18"/>
    <n v="0"/>
    <x v="1"/>
    <x v="0"/>
    <x v="1"/>
    <n v="91.774000000000001"/>
    <x v="2484"/>
    <n v="30.917000000000002"/>
    <n v="34.960999999999999"/>
    <n v="25.527000000000001"/>
    <s v="22,28,31"/>
    <x v="1"/>
  </r>
  <r>
    <x v="6"/>
    <x v="5"/>
    <x v="34"/>
    <x v="34"/>
    <s v="SAR"/>
    <x v="7"/>
    <x v="18"/>
    <x v="19"/>
    <n v="0"/>
    <x v="1"/>
    <x v="21"/>
    <x v="34"/>
    <n v="93.451999999999998"/>
    <x v="2485"/>
    <n v="31.792000000000002"/>
    <n v="35.381"/>
    <n v="25.762"/>
    <n v="11"/>
    <x v="1"/>
  </r>
  <r>
    <x v="6"/>
    <x v="6"/>
    <x v="26"/>
    <x v="5"/>
    <s v="VER"/>
    <x v="2"/>
    <x v="1"/>
    <x v="0"/>
    <n v="25"/>
    <x v="0"/>
    <x v="0"/>
    <x v="20"/>
    <n v="80.366"/>
    <x v="2486"/>
    <n v="25.300999999999998"/>
    <n v="27.898"/>
    <n v="26.814"/>
    <n v="24"/>
    <x v="1"/>
  </r>
  <r>
    <x v="6"/>
    <x v="6"/>
    <x v="26"/>
    <x v="21"/>
    <s v="NOR"/>
    <x v="3"/>
    <x v="2"/>
    <x v="1"/>
    <n v="18"/>
    <x v="0"/>
    <x v="0"/>
    <x v="20"/>
    <n v="79.994"/>
    <x v="2487"/>
    <n v="25.07"/>
    <n v="27.882000000000001"/>
    <n v="26.809000000000001"/>
    <n v="22"/>
    <x v="1"/>
  </r>
  <r>
    <x v="6"/>
    <x v="6"/>
    <x v="26"/>
    <x v="12"/>
    <s v="LEC"/>
    <x v="0"/>
    <x v="0"/>
    <x v="2"/>
    <n v="15"/>
    <x v="0"/>
    <x v="0"/>
    <x v="20"/>
    <n v="79.935000000000002"/>
    <x v="2488"/>
    <n v="25.111999999999998"/>
    <n v="27.79"/>
    <n v="26.805"/>
    <n v="25"/>
    <x v="1"/>
  </r>
  <r>
    <x v="6"/>
    <x v="6"/>
    <x v="26"/>
    <x v="35"/>
    <s v="PIA"/>
    <x v="3"/>
    <x v="16"/>
    <x v="3"/>
    <n v="12"/>
    <x v="1"/>
    <x v="0"/>
    <x v="20"/>
    <n v="79.906999999999996"/>
    <x v="2489"/>
    <n v="24.925999999999998"/>
    <n v="28.003"/>
    <n v="26.885000000000002"/>
    <n v="23"/>
    <x v="1"/>
  </r>
  <r>
    <x v="6"/>
    <x v="6"/>
    <x v="26"/>
    <x v="9"/>
    <s v="SAI"/>
    <x v="0"/>
    <x v="5"/>
    <x v="4"/>
    <n v="10"/>
    <x v="1"/>
    <x v="0"/>
    <x v="20"/>
    <n v="80.22"/>
    <x v="2490"/>
    <n v="25.408999999999999"/>
    <n v="27.998000000000001"/>
    <n v="26.68"/>
    <n v="27"/>
    <x v="1"/>
  </r>
  <r>
    <x v="6"/>
    <x v="6"/>
    <x v="26"/>
    <x v="1"/>
    <s v="HAM"/>
    <x v="1"/>
    <x v="3"/>
    <x v="5"/>
    <n v="8"/>
    <x v="1"/>
    <x v="0"/>
    <x v="20"/>
    <n v="80.331000000000003"/>
    <x v="2491"/>
    <n v="25.190999999999999"/>
    <n v="27.960999999999999"/>
    <n v="26.849"/>
    <n v="27"/>
    <x v="1"/>
  </r>
  <r>
    <x v="6"/>
    <x v="6"/>
    <x v="26"/>
    <x v="24"/>
    <s v="RUS"/>
    <x v="1"/>
    <x v="15"/>
    <x v="6"/>
    <n v="7"/>
    <x v="1"/>
    <x v="0"/>
    <x v="20"/>
    <n v="78.588999999999999"/>
    <x v="2492"/>
    <n v="25.137"/>
    <n v="27.091999999999999"/>
    <n v="26.36"/>
    <s v="21,52"/>
    <x v="1"/>
  </r>
  <r>
    <x v="6"/>
    <x v="6"/>
    <x v="26"/>
    <x v="10"/>
    <s v="PER"/>
    <x v="2"/>
    <x v="8"/>
    <x v="7"/>
    <n v="4"/>
    <x v="1"/>
    <x v="0"/>
    <x v="20"/>
    <n v="79.686000000000007"/>
    <x v="2493"/>
    <n v="25.177"/>
    <n v="27.622"/>
    <n v="26.728000000000002"/>
    <n v="37"/>
    <x v="1"/>
  </r>
  <r>
    <x v="6"/>
    <x v="6"/>
    <x v="26"/>
    <x v="13"/>
    <s v="STR"/>
    <x v="13"/>
    <x v="13"/>
    <x v="8"/>
    <n v="2"/>
    <x v="1"/>
    <x v="0"/>
    <x v="20"/>
    <n v="80.569999999999993"/>
    <x v="2494"/>
    <n v="25.154"/>
    <n v="27.922999999999998"/>
    <n v="26.972000000000001"/>
    <n v="37"/>
    <x v="1"/>
  </r>
  <r>
    <x v="6"/>
    <x v="6"/>
    <x v="26"/>
    <x v="29"/>
    <s v="TSU"/>
    <x v="17"/>
    <x v="6"/>
    <x v="9"/>
    <n v="1"/>
    <x v="1"/>
    <x v="52"/>
    <x v="52"/>
    <n v="80.936000000000007"/>
    <x v="2495"/>
    <n v="25.648"/>
    <n v="28.018999999999998"/>
    <n v="27.195"/>
    <n v="12"/>
    <x v="1"/>
  </r>
  <r>
    <x v="6"/>
    <x v="6"/>
    <x v="26"/>
    <x v="6"/>
    <s v="HUL"/>
    <x v="9"/>
    <x v="4"/>
    <x v="10"/>
    <n v="0"/>
    <x v="1"/>
    <x v="52"/>
    <x v="52"/>
    <n v="81.7"/>
    <x v="2496"/>
    <n v="25.623999999999999"/>
    <n v="28.361000000000001"/>
    <n v="27.382999999999999"/>
    <n v="13"/>
    <x v="1"/>
  </r>
  <r>
    <x v="6"/>
    <x v="6"/>
    <x v="26"/>
    <x v="16"/>
    <s v="MAG"/>
    <x v="9"/>
    <x v="12"/>
    <x v="11"/>
    <n v="0"/>
    <x v="1"/>
    <x v="52"/>
    <x v="52"/>
    <n v="81.009"/>
    <x v="2497"/>
    <n v="25.388999999999999"/>
    <n v="28.184999999999999"/>
    <n v="27.088999999999999"/>
    <n v="37"/>
    <x v="1"/>
  </r>
  <r>
    <x v="6"/>
    <x v="6"/>
    <x v="26"/>
    <x v="3"/>
    <s v="RIC"/>
    <x v="17"/>
    <x v="9"/>
    <x v="12"/>
    <n v="0"/>
    <x v="1"/>
    <x v="52"/>
    <x v="52"/>
    <n v="81.569000000000003"/>
    <x v="2498"/>
    <n v="25.614000000000001"/>
    <n v="28.364999999999998"/>
    <n v="27.079000000000001"/>
    <n v="11"/>
    <x v="1"/>
  </r>
  <r>
    <x v="6"/>
    <x v="6"/>
    <x v="26"/>
    <x v="11"/>
    <s v="OCO"/>
    <x v="14"/>
    <x v="10"/>
    <x v="13"/>
    <n v="0"/>
    <x v="1"/>
    <x v="52"/>
    <x v="52"/>
    <n v="81.304000000000002"/>
    <x v="2499"/>
    <n v="25.46"/>
    <n v="28.381"/>
    <n v="27.327000000000002"/>
    <n v="25"/>
    <x v="1"/>
  </r>
  <r>
    <x v="6"/>
    <x v="6"/>
    <x v="26"/>
    <x v="32"/>
    <s v="ZHO"/>
    <x v="16"/>
    <x v="18"/>
    <x v="14"/>
    <n v="0"/>
    <x v="1"/>
    <x v="52"/>
    <x v="52"/>
    <n v="81.016000000000005"/>
    <x v="2500"/>
    <n v="25.495000000000001"/>
    <n v="28.169"/>
    <n v="27.102"/>
    <n v="33"/>
    <x v="1"/>
  </r>
  <r>
    <x v="6"/>
    <x v="6"/>
    <x v="26"/>
    <x v="17"/>
    <s v="GAS"/>
    <x v="14"/>
    <x v="7"/>
    <x v="15"/>
    <n v="0"/>
    <x v="1"/>
    <x v="52"/>
    <x v="52"/>
    <n v="81.370999999999995"/>
    <x v="2501"/>
    <n v="25.69"/>
    <n v="28.17"/>
    <n v="27.08"/>
    <s v="8,30"/>
    <x v="1"/>
  </r>
  <r>
    <x v="6"/>
    <x v="6"/>
    <x v="26"/>
    <x v="34"/>
    <s v="SAR"/>
    <x v="7"/>
    <x v="19"/>
    <x v="16"/>
    <n v="0"/>
    <x v="1"/>
    <x v="52"/>
    <x v="52"/>
    <n v="81.228999999999999"/>
    <x v="2502"/>
    <n v="25.53"/>
    <n v="28.263999999999999"/>
    <n v="27.135000000000002"/>
    <n v="31"/>
    <x v="1"/>
  </r>
  <r>
    <x v="6"/>
    <x v="6"/>
    <x v="26"/>
    <x v="7"/>
    <s v="BOT"/>
    <x v="16"/>
    <x v="14"/>
    <x v="17"/>
    <n v="0"/>
    <x v="1"/>
    <x v="52"/>
    <x v="52"/>
    <n v="81.454999999999998"/>
    <x v="2503"/>
    <n v="25.890999999999998"/>
    <n v="28.263999999999999"/>
    <n v="27.202000000000002"/>
    <n v="8"/>
    <x v="1"/>
  </r>
  <r>
    <x v="6"/>
    <x v="6"/>
    <x v="26"/>
    <x v="4"/>
    <s v="ALO"/>
    <x v="13"/>
    <x v="17"/>
    <x v="18"/>
    <n v="0"/>
    <x v="1"/>
    <x v="52"/>
    <x v="52"/>
    <n v="79.004000000000005"/>
    <x v="2504"/>
    <n v="25.184000000000001"/>
    <n v="27.367000000000001"/>
    <n v="26.452999999999999"/>
    <s v="7,40,59"/>
    <x v="1"/>
  </r>
  <r>
    <x v="6"/>
    <x v="6"/>
    <x v="26"/>
    <x v="22"/>
    <s v="ALB"/>
    <x v="7"/>
    <x v="11"/>
    <x v="19"/>
    <n v="0"/>
    <x v="1"/>
    <x v="21"/>
    <x v="11"/>
    <n v="81.274000000000001"/>
    <x v="2505"/>
    <n v="25.384"/>
    <n v="28.45"/>
    <n v="27.135000000000002"/>
    <s v="8,9,23,28,51"/>
    <x v="1"/>
  </r>
  <r>
    <x v="6"/>
    <x v="7"/>
    <x v="5"/>
    <x v="12"/>
    <s v="LEC"/>
    <x v="0"/>
    <x v="1"/>
    <x v="0"/>
    <n v="25"/>
    <x v="0"/>
    <x v="0"/>
    <x v="24"/>
    <n v="75.162000000000006"/>
    <x v="2506"/>
    <n v="19.716000000000001"/>
    <n v="35.500999999999998"/>
    <n v="19.942"/>
    <n v="1"/>
    <x v="1"/>
  </r>
  <r>
    <x v="6"/>
    <x v="7"/>
    <x v="5"/>
    <x v="35"/>
    <s v="PIA"/>
    <x v="3"/>
    <x v="2"/>
    <x v="1"/>
    <n v="18"/>
    <x v="0"/>
    <x v="0"/>
    <x v="24"/>
    <n v="76.281000000000006"/>
    <x v="2507"/>
    <n v="19.797999999999998"/>
    <n v="36.018000000000001"/>
    <n v="20.379000000000001"/>
    <n v="1"/>
    <x v="1"/>
  </r>
  <r>
    <x v="6"/>
    <x v="7"/>
    <x v="5"/>
    <x v="9"/>
    <s v="SAI"/>
    <x v="0"/>
    <x v="0"/>
    <x v="2"/>
    <n v="15"/>
    <x v="0"/>
    <x v="0"/>
    <x v="24"/>
    <n v="74.725999999999999"/>
    <x v="2508"/>
    <n v="19.53"/>
    <n v="35.265999999999998"/>
    <n v="19.849"/>
    <n v="1"/>
    <x v="1"/>
  </r>
  <r>
    <x v="6"/>
    <x v="7"/>
    <x v="5"/>
    <x v="21"/>
    <s v="NOR"/>
    <x v="3"/>
    <x v="5"/>
    <x v="3"/>
    <n v="12"/>
    <x v="1"/>
    <x v="0"/>
    <x v="24"/>
    <n v="75.742000000000004"/>
    <x v="2509"/>
    <n v="19.811"/>
    <n v="35.837000000000003"/>
    <n v="20.012"/>
    <n v="1"/>
    <x v="1"/>
  </r>
  <r>
    <x v="6"/>
    <x v="7"/>
    <x v="5"/>
    <x v="24"/>
    <s v="RUS"/>
    <x v="1"/>
    <x v="16"/>
    <x v="4"/>
    <n v="10"/>
    <x v="1"/>
    <x v="0"/>
    <x v="24"/>
    <n v="75.227999999999994"/>
    <x v="2510"/>
    <n v="19.584"/>
    <n v="35.408000000000001"/>
    <n v="20.161999999999999"/>
    <n v="1"/>
    <x v="1"/>
  </r>
  <r>
    <x v="6"/>
    <x v="7"/>
    <x v="5"/>
    <x v="5"/>
    <s v="VER"/>
    <x v="2"/>
    <x v="15"/>
    <x v="5"/>
    <n v="8"/>
    <x v="1"/>
    <x v="0"/>
    <x v="24"/>
    <n v="74.569000000000003"/>
    <x v="2511"/>
    <n v="19.343"/>
    <n v="35.369"/>
    <n v="19.835999999999999"/>
    <s v="1,52"/>
    <x v="1"/>
  </r>
  <r>
    <x v="6"/>
    <x v="7"/>
    <x v="5"/>
    <x v="1"/>
    <s v="HAM"/>
    <x v="1"/>
    <x v="6"/>
    <x v="6"/>
    <n v="7"/>
    <x v="1"/>
    <x v="0"/>
    <x v="24"/>
    <n v="74.165000000000006"/>
    <x v="2512"/>
    <n v="19.484999999999999"/>
    <n v="34.841999999999999"/>
    <n v="19.7"/>
    <s v="1,51"/>
    <x v="1"/>
  </r>
  <r>
    <x v="6"/>
    <x v="7"/>
    <x v="5"/>
    <x v="29"/>
    <s v="TSU"/>
    <x v="17"/>
    <x v="3"/>
    <x v="7"/>
    <n v="4"/>
    <x v="1"/>
    <x v="52"/>
    <x v="25"/>
    <n v="74.72"/>
    <x v="2513"/>
    <n v="19.503"/>
    <n v="35.232999999999997"/>
    <n v="19.984000000000002"/>
    <n v="1"/>
    <x v="1"/>
  </r>
  <r>
    <x v="6"/>
    <x v="7"/>
    <x v="5"/>
    <x v="22"/>
    <s v="ALB"/>
    <x v="7"/>
    <x v="9"/>
    <x v="8"/>
    <n v="2"/>
    <x v="1"/>
    <x v="52"/>
    <x v="25"/>
    <n v="77.06"/>
    <x v="2514"/>
    <n v="20.364000000000001"/>
    <n v="36.195999999999998"/>
    <n v="20.5"/>
    <n v="1"/>
    <x v="1"/>
  </r>
  <r>
    <x v="6"/>
    <x v="7"/>
    <x v="5"/>
    <x v="17"/>
    <s v="GAS"/>
    <x v="14"/>
    <x v="4"/>
    <x v="9"/>
    <n v="1"/>
    <x v="1"/>
    <x v="52"/>
    <x v="25"/>
    <n v="75.625"/>
    <x v="2515"/>
    <n v="19.978000000000002"/>
    <n v="35.326999999999998"/>
    <n v="20.32"/>
    <n v="1"/>
    <x v="1"/>
  </r>
  <r>
    <x v="6"/>
    <x v="7"/>
    <x v="5"/>
    <x v="4"/>
    <s v="ALO"/>
    <x v="13"/>
    <x v="11"/>
    <x v="10"/>
    <n v="0"/>
    <x v="1"/>
    <x v="52"/>
    <x v="26"/>
    <n v="77.938999999999993"/>
    <x v="2516"/>
    <n v="20.279"/>
    <n v="36.658999999999999"/>
    <n v="20.83"/>
    <n v="1"/>
    <x v="1"/>
  </r>
  <r>
    <x v="6"/>
    <x v="7"/>
    <x v="5"/>
    <x v="3"/>
    <s v="RIC"/>
    <x v="17"/>
    <x v="10"/>
    <x v="11"/>
    <n v="0"/>
    <x v="1"/>
    <x v="52"/>
    <x v="26"/>
    <n v="77.171999999999997"/>
    <x v="2517"/>
    <n v="20.128"/>
    <n v="36.241999999999997"/>
    <n v="20.655000000000001"/>
    <n v="1"/>
    <x v="1"/>
  </r>
  <r>
    <x v="6"/>
    <x v="7"/>
    <x v="5"/>
    <x v="7"/>
    <s v="BOT"/>
    <x v="16"/>
    <x v="18"/>
    <x v="12"/>
    <n v="0"/>
    <x v="1"/>
    <x v="52"/>
    <x v="26"/>
    <n v="76.561000000000007"/>
    <x v="2518"/>
    <n v="20.149000000000001"/>
    <n v="35.884"/>
    <n v="20.286999999999999"/>
    <s v="1,15"/>
    <x v="1"/>
  </r>
  <r>
    <x v="6"/>
    <x v="7"/>
    <x v="5"/>
    <x v="13"/>
    <s v="STR"/>
    <x v="13"/>
    <x v="13"/>
    <x v="13"/>
    <n v="0"/>
    <x v="1"/>
    <x v="52"/>
    <x v="26"/>
    <n v="76.709999999999994"/>
    <x v="2519"/>
    <n v="19.890999999999998"/>
    <n v="35.89"/>
    <n v="20.617000000000001"/>
    <s v="1,42,48"/>
    <x v="1"/>
  </r>
  <r>
    <x v="6"/>
    <x v="7"/>
    <x v="5"/>
    <x v="34"/>
    <s v="SAR"/>
    <x v="7"/>
    <x v="7"/>
    <x v="14"/>
    <n v="0"/>
    <x v="1"/>
    <x v="52"/>
    <x v="26"/>
    <n v="75.525000000000006"/>
    <x v="2520"/>
    <n v="19.670999999999999"/>
    <n v="35.555999999999997"/>
    <n v="20.100999999999999"/>
    <s v="1,57"/>
    <x v="1"/>
  </r>
  <r>
    <x v="6"/>
    <x v="7"/>
    <x v="5"/>
    <x v="32"/>
    <s v="ZHO"/>
    <x v="16"/>
    <x v="12"/>
    <x v="15"/>
    <n v="0"/>
    <x v="1"/>
    <x v="52"/>
    <x v="26"/>
    <n v="74.718000000000004"/>
    <x v="2521"/>
    <n v="19.751000000000001"/>
    <n v="34.99"/>
    <n v="19.977"/>
    <s v="1,70"/>
    <x v="1"/>
  </r>
  <r>
    <x v="6"/>
    <x v="7"/>
    <x v="5"/>
    <x v="11"/>
    <s v="OCO"/>
    <x v="14"/>
    <x v="8"/>
    <x v="16"/>
    <n v="0"/>
    <x v="1"/>
    <x v="21"/>
    <x v="16"/>
    <m/>
    <x v="19"/>
    <m/>
    <m/>
    <m/>
    <m/>
    <x v="1"/>
  </r>
  <r>
    <x v="6"/>
    <x v="7"/>
    <x v="5"/>
    <x v="10"/>
    <s v="PER"/>
    <x v="2"/>
    <x v="14"/>
    <x v="17"/>
    <n v="0"/>
    <x v="1"/>
    <x v="21"/>
    <x v="16"/>
    <m/>
    <x v="19"/>
    <m/>
    <m/>
    <m/>
    <m/>
    <x v="1"/>
  </r>
  <r>
    <x v="6"/>
    <x v="7"/>
    <x v="5"/>
    <x v="6"/>
    <s v="HUL"/>
    <x v="9"/>
    <x v="19"/>
    <x v="18"/>
    <n v="0"/>
    <x v="1"/>
    <x v="21"/>
    <x v="16"/>
    <m/>
    <x v="19"/>
    <m/>
    <m/>
    <m/>
    <m/>
    <x v="1"/>
  </r>
  <r>
    <x v="6"/>
    <x v="7"/>
    <x v="5"/>
    <x v="16"/>
    <s v="MAG"/>
    <x v="9"/>
    <x v="17"/>
    <x v="19"/>
    <n v="0"/>
    <x v="1"/>
    <x v="21"/>
    <x v="16"/>
    <m/>
    <x v="19"/>
    <m/>
    <m/>
    <m/>
    <m/>
    <x v="1"/>
  </r>
  <r>
    <x v="6"/>
    <x v="8"/>
    <x v="6"/>
    <x v="5"/>
    <s v="VER"/>
    <x v="2"/>
    <x v="2"/>
    <x v="0"/>
    <n v="25"/>
    <x v="0"/>
    <x v="0"/>
    <x v="29"/>
    <n v="75.569000000000003"/>
    <x v="2522"/>
    <n v="21.16"/>
    <n v="23.864000000000001"/>
    <n v="30.456"/>
    <s v="25,45"/>
    <x v="0"/>
  </r>
  <r>
    <x v="6"/>
    <x v="8"/>
    <x v="6"/>
    <x v="21"/>
    <s v="NOR"/>
    <x v="3"/>
    <x v="0"/>
    <x v="1"/>
    <n v="18"/>
    <x v="0"/>
    <x v="0"/>
    <x v="29"/>
    <n v="75.558000000000007"/>
    <x v="2523"/>
    <n v="21.061"/>
    <n v="23.963000000000001"/>
    <n v="30.521999999999998"/>
    <s v="26,47"/>
    <x v="0"/>
  </r>
  <r>
    <x v="6"/>
    <x v="8"/>
    <x v="6"/>
    <x v="24"/>
    <s v="RUS"/>
    <x v="1"/>
    <x v="1"/>
    <x v="2"/>
    <n v="15"/>
    <x v="0"/>
    <x v="0"/>
    <x v="29"/>
    <n v="74.894999999999996"/>
    <x v="2524"/>
    <n v="21.202999999999999"/>
    <n v="23.670999999999999"/>
    <n v="30.021000000000001"/>
    <s v="25,45,54"/>
    <x v="0"/>
  </r>
  <r>
    <x v="6"/>
    <x v="8"/>
    <x v="6"/>
    <x v="1"/>
    <s v="HAM"/>
    <x v="1"/>
    <x v="6"/>
    <x v="3"/>
    <n v="13"/>
    <x v="1"/>
    <x v="0"/>
    <x v="29"/>
    <n v="74.855999999999995"/>
    <x v="2525"/>
    <n v="21.126000000000001"/>
    <n v="23.678999999999998"/>
    <n v="29.89"/>
    <s v="25,43,54"/>
    <x v="0"/>
  </r>
  <r>
    <x v="6"/>
    <x v="8"/>
    <x v="6"/>
    <x v="35"/>
    <s v="PIA"/>
    <x v="3"/>
    <x v="5"/>
    <x v="4"/>
    <n v="10"/>
    <x v="1"/>
    <x v="0"/>
    <x v="29"/>
    <n v="76.247"/>
    <x v="2526"/>
    <n v="21.138999999999999"/>
    <n v="24.073"/>
    <n v="30.443999999999999"/>
    <s v="25,44"/>
    <x v="0"/>
  </r>
  <r>
    <x v="6"/>
    <x v="8"/>
    <x v="6"/>
    <x v="4"/>
    <s v="ALO"/>
    <x v="13"/>
    <x v="15"/>
    <x v="5"/>
    <n v="8"/>
    <x v="1"/>
    <x v="0"/>
    <x v="29"/>
    <n v="76.302999999999997"/>
    <x v="2527"/>
    <n v="21.619"/>
    <n v="24.096"/>
    <n v="30.523"/>
    <s v="25,44"/>
    <x v="0"/>
  </r>
  <r>
    <x v="6"/>
    <x v="8"/>
    <x v="6"/>
    <x v="13"/>
    <s v="STR"/>
    <x v="13"/>
    <x v="9"/>
    <x v="6"/>
    <n v="6"/>
    <x v="1"/>
    <x v="0"/>
    <x v="29"/>
    <n v="76.762"/>
    <x v="2528"/>
    <n v="21.606000000000002"/>
    <n v="24.268000000000001"/>
    <n v="30.821999999999999"/>
    <s v="25,44"/>
    <x v="0"/>
  </r>
  <r>
    <x v="6"/>
    <x v="8"/>
    <x v="6"/>
    <x v="3"/>
    <s v="RIC"/>
    <x v="17"/>
    <x v="16"/>
    <x v="7"/>
    <n v="4"/>
    <x v="1"/>
    <x v="0"/>
    <x v="29"/>
    <n v="77.075999999999993"/>
    <x v="2529"/>
    <n v="21.655000000000001"/>
    <n v="24.283999999999999"/>
    <n v="30.3"/>
    <s v="26,43"/>
    <x v="0"/>
  </r>
  <r>
    <x v="6"/>
    <x v="8"/>
    <x v="6"/>
    <x v="17"/>
    <s v="GAS"/>
    <x v="14"/>
    <x v="7"/>
    <x v="8"/>
    <n v="2"/>
    <x v="1"/>
    <x v="0"/>
    <x v="29"/>
    <n v="77.013000000000005"/>
    <x v="2530"/>
    <n v="21.853999999999999"/>
    <n v="24.347999999999999"/>
    <n v="30.623000000000001"/>
    <s v="25,40"/>
    <x v="0"/>
  </r>
  <r>
    <x v="6"/>
    <x v="8"/>
    <x v="6"/>
    <x v="11"/>
    <s v="OCO"/>
    <x v="14"/>
    <x v="12"/>
    <x v="9"/>
    <n v="1"/>
    <x v="1"/>
    <x v="0"/>
    <x v="29"/>
    <n v="77.012"/>
    <x v="2531"/>
    <n v="22.041"/>
    <n v="24.498000000000001"/>
    <n v="30.373000000000001"/>
    <n v="44"/>
    <x v="0"/>
  </r>
  <r>
    <x v="6"/>
    <x v="8"/>
    <x v="6"/>
    <x v="6"/>
    <s v="HUL"/>
    <x v="9"/>
    <x v="18"/>
    <x v="10"/>
    <n v="0"/>
    <x v="1"/>
    <x v="0"/>
    <x v="29"/>
    <n v="76.683000000000007"/>
    <x v="2532"/>
    <n v="21.533000000000001"/>
    <n v="24.370999999999999"/>
    <n v="30.425999999999998"/>
    <s v="12,25,44"/>
    <x v="0"/>
  </r>
  <r>
    <x v="6"/>
    <x v="8"/>
    <x v="6"/>
    <x v="16"/>
    <s v="MAG"/>
    <x v="9"/>
    <x v="11"/>
    <x v="11"/>
    <n v="0"/>
    <x v="1"/>
    <x v="0"/>
    <x v="29"/>
    <n v="76.498999999999995"/>
    <x v="2533"/>
    <n v="21.687999999999999"/>
    <n v="24.187000000000001"/>
    <n v="30.439"/>
    <s v="7,25,41,54"/>
    <x v="0"/>
  </r>
  <r>
    <x v="6"/>
    <x v="8"/>
    <x v="6"/>
    <x v="7"/>
    <s v="BOT"/>
    <x v="16"/>
    <x v="19"/>
    <x v="12"/>
    <n v="0"/>
    <x v="1"/>
    <x v="0"/>
    <x v="29"/>
    <n v="77.25"/>
    <x v="2534"/>
    <n v="21.841999999999999"/>
    <n v="24.582999999999998"/>
    <n v="30.757999999999999"/>
    <n v="42"/>
    <x v="0"/>
  </r>
  <r>
    <x v="6"/>
    <x v="8"/>
    <x v="6"/>
    <x v="29"/>
    <s v="TSU"/>
    <x v="17"/>
    <x v="3"/>
    <x v="13"/>
    <n v="0"/>
    <x v="1"/>
    <x v="0"/>
    <x v="29"/>
    <n v="77.308999999999997"/>
    <x v="2535"/>
    <n v="21.817"/>
    <n v="24.315999999999999"/>
    <n v="30.957999999999998"/>
    <n v="44"/>
    <x v="0"/>
  </r>
  <r>
    <x v="6"/>
    <x v="8"/>
    <x v="6"/>
    <x v="32"/>
    <s v="ZHO"/>
    <x v="16"/>
    <x v="17"/>
    <x v="14"/>
    <n v="0"/>
    <x v="1"/>
    <x v="52"/>
    <x v="30"/>
    <n v="77.325000000000003"/>
    <x v="2536"/>
    <n v="22.045999999999999"/>
    <n v="24.3"/>
    <n v="30.834"/>
    <s v="24,44,52"/>
    <x v="0"/>
  </r>
  <r>
    <x v="6"/>
    <x v="8"/>
    <x v="6"/>
    <x v="9"/>
    <s v="SAI"/>
    <x v="0"/>
    <x v="10"/>
    <x v="15"/>
    <n v="0"/>
    <x v="1"/>
    <x v="21"/>
    <x v="28"/>
    <n v="78.956999999999994"/>
    <x v="2537"/>
    <n v="23.001999999999999"/>
    <n v="24.896000000000001"/>
    <n v="31.047999999999998"/>
    <s v="25,43,53"/>
    <x v="0"/>
  </r>
  <r>
    <x v="6"/>
    <x v="8"/>
    <x v="6"/>
    <x v="22"/>
    <s v="ALB"/>
    <x v="7"/>
    <x v="4"/>
    <x v="16"/>
    <n v="0"/>
    <x v="1"/>
    <x v="21"/>
    <x v="28"/>
    <n v="79.358999999999995"/>
    <x v="2538"/>
    <n v="22.826000000000001"/>
    <n v="24.977"/>
    <n v="31.155000000000001"/>
    <s v="25,44"/>
    <x v="0"/>
  </r>
  <r>
    <x v="6"/>
    <x v="8"/>
    <x v="6"/>
    <x v="10"/>
    <s v="PER"/>
    <x v="2"/>
    <x v="14"/>
    <x v="17"/>
    <n v="0"/>
    <x v="1"/>
    <x v="21"/>
    <x v="33"/>
    <n v="78.819000000000003"/>
    <x v="2539"/>
    <n v="23.045000000000002"/>
    <n v="24.86"/>
    <n v="30.914000000000001"/>
    <s v="25,43,52"/>
    <x v="0"/>
  </r>
  <r>
    <x v="6"/>
    <x v="8"/>
    <x v="6"/>
    <x v="12"/>
    <s v="LEC"/>
    <x v="0"/>
    <x v="8"/>
    <x v="18"/>
    <n v="0"/>
    <x v="1"/>
    <x v="21"/>
    <x v="32"/>
    <n v="86.012"/>
    <x v="2540"/>
    <n v="25.161999999999999"/>
    <n v="27.34"/>
    <n v="33.034999999999997"/>
    <s v="25,28,31,41"/>
    <x v="0"/>
  </r>
  <r>
    <x v="6"/>
    <x v="8"/>
    <x v="6"/>
    <x v="34"/>
    <s v="SAR"/>
    <x v="7"/>
    <x v="13"/>
    <x v="19"/>
    <n v="0"/>
    <x v="1"/>
    <x v="21"/>
    <x v="2"/>
    <n v="86.483999999999995"/>
    <x v="2541"/>
    <n v="25.568999999999999"/>
    <n v="27.437999999999999"/>
    <n v="33.42"/>
    <m/>
    <x v="0"/>
  </r>
  <r>
    <x v="6"/>
    <x v="9"/>
    <x v="4"/>
    <x v="5"/>
    <s v="VER"/>
    <x v="2"/>
    <x v="2"/>
    <x v="0"/>
    <n v="25"/>
    <x v="0"/>
    <x v="0"/>
    <x v="17"/>
    <n v="77.775999999999996"/>
    <x v="2542"/>
    <n v="23.032"/>
    <n v="31.242000000000001"/>
    <n v="23.363"/>
    <s v="17,44"/>
    <x v="0"/>
  </r>
  <r>
    <x v="6"/>
    <x v="9"/>
    <x v="4"/>
    <x v="21"/>
    <s v="NOR"/>
    <x v="3"/>
    <x v="1"/>
    <x v="1"/>
    <n v="19"/>
    <x v="0"/>
    <x v="0"/>
    <x v="17"/>
    <n v="77.114999999999995"/>
    <x v="2543"/>
    <n v="22.594999999999999"/>
    <n v="31.242999999999999"/>
    <n v="23.245999999999999"/>
    <s v="23,47"/>
    <x v="0"/>
  </r>
  <r>
    <x v="6"/>
    <x v="9"/>
    <x v="4"/>
    <x v="1"/>
    <s v="HAM"/>
    <x v="1"/>
    <x v="0"/>
    <x v="2"/>
    <n v="15"/>
    <x v="0"/>
    <x v="0"/>
    <x v="17"/>
    <n v="77.808999999999997"/>
    <x v="2544"/>
    <n v="22.564"/>
    <n v="31.355"/>
    <n v="23.623000000000001"/>
    <s v="16,43"/>
    <x v="0"/>
  </r>
  <r>
    <x v="6"/>
    <x v="9"/>
    <x v="4"/>
    <x v="24"/>
    <s v="RUS"/>
    <x v="1"/>
    <x v="5"/>
    <x v="3"/>
    <n v="12"/>
    <x v="1"/>
    <x v="0"/>
    <x v="17"/>
    <n v="78.290000000000006"/>
    <x v="2545"/>
    <n v="22.797000000000001"/>
    <n v="31.512"/>
    <n v="23.553000000000001"/>
    <s v="15,36"/>
    <x v="0"/>
  </r>
  <r>
    <x v="6"/>
    <x v="9"/>
    <x v="4"/>
    <x v="12"/>
    <s v="LEC"/>
    <x v="0"/>
    <x v="16"/>
    <x v="4"/>
    <n v="10"/>
    <x v="1"/>
    <x v="0"/>
    <x v="17"/>
    <n v="77.897000000000006"/>
    <x v="2546"/>
    <n v="22.827999999999999"/>
    <n v="31.195"/>
    <n v="23.488"/>
    <s v="24,47"/>
    <x v="0"/>
  </r>
  <r>
    <x v="6"/>
    <x v="9"/>
    <x v="4"/>
    <x v="9"/>
    <s v="SAI"/>
    <x v="0"/>
    <x v="15"/>
    <x v="5"/>
    <n v="8"/>
    <x v="1"/>
    <x v="0"/>
    <x v="17"/>
    <n v="78.539000000000001"/>
    <x v="2547"/>
    <n v="22.978000000000002"/>
    <n v="31.611000000000001"/>
    <n v="23.678999999999998"/>
    <s v="15,36"/>
    <x v="0"/>
  </r>
  <r>
    <x v="6"/>
    <x v="9"/>
    <x v="4"/>
    <x v="35"/>
    <s v="PIA"/>
    <x v="3"/>
    <x v="9"/>
    <x v="6"/>
    <n v="6"/>
    <x v="1"/>
    <x v="0"/>
    <x v="17"/>
    <n v="77.873999999999995"/>
    <x v="2548"/>
    <n v="22.981999999999999"/>
    <n v="31.241"/>
    <n v="23.283999999999999"/>
    <s v="21,46"/>
    <x v="0"/>
  </r>
  <r>
    <x v="6"/>
    <x v="9"/>
    <x v="4"/>
    <x v="10"/>
    <s v="PER"/>
    <x v="2"/>
    <x v="8"/>
    <x v="7"/>
    <n v="4"/>
    <x v="1"/>
    <x v="0"/>
    <x v="17"/>
    <n v="77.784999999999997"/>
    <x v="2549"/>
    <n v="22.841999999999999"/>
    <n v="31.257000000000001"/>
    <n v="23.414000000000001"/>
    <s v="13,31,49"/>
    <x v="0"/>
  </r>
  <r>
    <x v="6"/>
    <x v="9"/>
    <x v="4"/>
    <x v="17"/>
    <s v="GAS"/>
    <x v="14"/>
    <x v="6"/>
    <x v="8"/>
    <n v="2"/>
    <x v="1"/>
    <x v="0"/>
    <x v="17"/>
    <n v="79.045000000000002"/>
    <x v="2550"/>
    <n v="23.077999999999999"/>
    <n v="31.681000000000001"/>
    <n v="23.844999999999999"/>
    <s v="14,38"/>
    <x v="0"/>
  </r>
  <r>
    <x v="6"/>
    <x v="9"/>
    <x v="4"/>
    <x v="11"/>
    <s v="OCO"/>
    <x v="14"/>
    <x v="3"/>
    <x v="9"/>
    <n v="1"/>
    <x v="1"/>
    <x v="0"/>
    <x v="17"/>
    <n v="78.981999999999999"/>
    <x v="2551"/>
    <n v="23.190999999999999"/>
    <n v="31.76"/>
    <n v="23.83"/>
    <s v="13,37"/>
    <x v="0"/>
  </r>
  <r>
    <x v="6"/>
    <x v="9"/>
    <x v="4"/>
    <x v="6"/>
    <s v="HUL"/>
    <x v="9"/>
    <x v="13"/>
    <x v="10"/>
    <n v="0"/>
    <x v="1"/>
    <x v="0"/>
    <x v="17"/>
    <n v="78.608999999999995"/>
    <x v="2552"/>
    <n v="23.178000000000001"/>
    <n v="31.678000000000001"/>
    <n v="23.515000000000001"/>
    <s v="12,38"/>
    <x v="0"/>
  </r>
  <r>
    <x v="6"/>
    <x v="9"/>
    <x v="4"/>
    <x v="4"/>
    <s v="ALO"/>
    <x v="13"/>
    <x v="4"/>
    <x v="11"/>
    <n v="0"/>
    <x v="1"/>
    <x v="52"/>
    <x v="18"/>
    <n v="78.334000000000003"/>
    <x v="2553"/>
    <n v="22.748999999999999"/>
    <n v="31.55"/>
    <n v="23.635999999999999"/>
    <s v="19,45"/>
    <x v="0"/>
  </r>
  <r>
    <x v="6"/>
    <x v="9"/>
    <x v="4"/>
    <x v="32"/>
    <s v="ZHO"/>
    <x v="16"/>
    <x v="7"/>
    <x v="12"/>
    <n v="0"/>
    <x v="1"/>
    <x v="52"/>
    <x v="18"/>
    <n v="78.771000000000001"/>
    <x v="2554"/>
    <n v="23.152999999999999"/>
    <n v="31.774999999999999"/>
    <n v="23.591000000000001"/>
    <s v="9,41"/>
    <x v="0"/>
  </r>
  <r>
    <x v="6"/>
    <x v="9"/>
    <x v="4"/>
    <x v="13"/>
    <s v="STR"/>
    <x v="13"/>
    <x v="11"/>
    <x v="13"/>
    <n v="0"/>
    <x v="1"/>
    <x v="52"/>
    <x v="18"/>
    <n v="79.317999999999998"/>
    <x v="2555"/>
    <n v="23.385000000000002"/>
    <n v="31.925999999999998"/>
    <n v="23.808"/>
    <s v="17,37"/>
    <x v="0"/>
  </r>
  <r>
    <x v="6"/>
    <x v="9"/>
    <x v="4"/>
    <x v="3"/>
    <s v="RIC"/>
    <x v="17"/>
    <x v="12"/>
    <x v="14"/>
    <n v="0"/>
    <x v="1"/>
    <x v="52"/>
    <x v="18"/>
    <n v="79.45"/>
    <x v="2556"/>
    <n v="23.195"/>
    <n v="31.994"/>
    <n v="23.855"/>
    <s v="16,42"/>
    <x v="0"/>
  </r>
  <r>
    <x v="6"/>
    <x v="9"/>
    <x v="4"/>
    <x v="7"/>
    <s v="BOT"/>
    <x v="16"/>
    <x v="10"/>
    <x v="15"/>
    <n v="0"/>
    <x v="1"/>
    <x v="52"/>
    <x v="18"/>
    <n v="79.608000000000004"/>
    <x v="2557"/>
    <n v="23.335999999999999"/>
    <n v="31.988"/>
    <n v="23.952999999999999"/>
    <s v="11,28"/>
    <x v="0"/>
  </r>
  <r>
    <x v="6"/>
    <x v="9"/>
    <x v="4"/>
    <x v="16"/>
    <s v="MAG"/>
    <x v="9"/>
    <x v="14"/>
    <x v="16"/>
    <n v="0"/>
    <x v="1"/>
    <x v="52"/>
    <x v="18"/>
    <n v="79.805000000000007"/>
    <x v="2558"/>
    <n v="23.515000000000001"/>
    <n v="32.03"/>
    <n v="24.047000000000001"/>
    <s v="10,29"/>
    <x v="0"/>
  </r>
  <r>
    <x v="6"/>
    <x v="9"/>
    <x v="4"/>
    <x v="22"/>
    <s v="ALB"/>
    <x v="7"/>
    <x v="17"/>
    <x v="17"/>
    <n v="0"/>
    <x v="1"/>
    <x v="52"/>
    <x v="18"/>
    <n v="79.132000000000005"/>
    <x v="2559"/>
    <n v="23.468"/>
    <n v="31.706"/>
    <n v="23.677"/>
    <s v="18,43"/>
    <x v="0"/>
  </r>
  <r>
    <x v="6"/>
    <x v="9"/>
    <x v="4"/>
    <x v="29"/>
    <s v="TSU"/>
    <x v="17"/>
    <x v="18"/>
    <x v="18"/>
    <n v="0"/>
    <x v="1"/>
    <x v="52"/>
    <x v="18"/>
    <n v="79.447000000000003"/>
    <x v="2560"/>
    <n v="23.27"/>
    <n v="31.911000000000001"/>
    <n v="24.010999999999999"/>
    <s v="9,27,44"/>
    <x v="0"/>
  </r>
  <r>
    <x v="6"/>
    <x v="9"/>
    <x v="4"/>
    <x v="34"/>
    <s v="SAR"/>
    <x v="7"/>
    <x v="19"/>
    <x v="19"/>
    <n v="0"/>
    <x v="1"/>
    <x v="52"/>
    <x v="19"/>
    <n v="80.171999999999997"/>
    <x v="2561"/>
    <n v="23.72"/>
    <n v="32.191000000000003"/>
    <n v="24.207000000000001"/>
    <s v="14,34"/>
    <x v="0"/>
  </r>
  <r>
    <x v="6"/>
    <x v="10"/>
    <x v="8"/>
    <x v="24"/>
    <s v="RUS"/>
    <x v="1"/>
    <x v="0"/>
    <x v="0"/>
    <n v="25"/>
    <x v="0"/>
    <x v="0"/>
    <x v="27"/>
    <n v="69.164000000000001"/>
    <x v="2562"/>
    <n v="17.227"/>
    <n v="30.89"/>
    <n v="20.738"/>
    <s v="22,46"/>
    <x v="0"/>
  </r>
  <r>
    <x v="6"/>
    <x v="10"/>
    <x v="8"/>
    <x v="35"/>
    <s v="PIA"/>
    <x v="3"/>
    <x v="6"/>
    <x v="1"/>
    <n v="18"/>
    <x v="0"/>
    <x v="0"/>
    <x v="27"/>
    <n v="68.697000000000003"/>
    <x v="2563"/>
    <n v="17.141999999999999"/>
    <n v="30.748999999999999"/>
    <n v="20.55"/>
    <s v="25,51"/>
    <x v="0"/>
  </r>
  <r>
    <x v="6"/>
    <x v="10"/>
    <x v="8"/>
    <x v="9"/>
    <s v="SAI"/>
    <x v="0"/>
    <x v="5"/>
    <x v="2"/>
    <n v="15"/>
    <x v="0"/>
    <x v="0"/>
    <x v="27"/>
    <n v="69.281999999999996"/>
    <x v="2564"/>
    <n v="17.242999999999999"/>
    <n v="30.818000000000001"/>
    <n v="20.859000000000002"/>
    <s v="22,47"/>
    <x v="0"/>
  </r>
  <r>
    <x v="6"/>
    <x v="10"/>
    <x v="8"/>
    <x v="1"/>
    <s v="HAM"/>
    <x v="1"/>
    <x v="16"/>
    <x v="3"/>
    <n v="12"/>
    <x v="1"/>
    <x v="0"/>
    <x v="27"/>
    <n v="69.561999999999998"/>
    <x v="2565"/>
    <n v="17.32"/>
    <n v="31.111000000000001"/>
    <n v="20.878"/>
    <s v="21,53"/>
    <x v="0"/>
  </r>
  <r>
    <x v="6"/>
    <x v="10"/>
    <x v="8"/>
    <x v="5"/>
    <s v="VER"/>
    <x v="2"/>
    <x v="1"/>
    <x v="4"/>
    <n v="10"/>
    <x v="1"/>
    <x v="0"/>
    <x v="27"/>
    <n v="67.718999999999994"/>
    <x v="2566"/>
    <n v="16.933"/>
    <n v="30.279"/>
    <n v="20.297999999999998"/>
    <s v="23,51,64"/>
    <x v="0"/>
  </r>
  <r>
    <x v="6"/>
    <x v="10"/>
    <x v="8"/>
    <x v="6"/>
    <s v="HUL"/>
    <x v="9"/>
    <x v="9"/>
    <x v="5"/>
    <n v="8"/>
    <x v="1"/>
    <x v="0"/>
    <x v="27"/>
    <n v="70.215000000000003"/>
    <x v="2567"/>
    <n v="17.257999999999999"/>
    <n v="31.155000000000001"/>
    <n v="21.177"/>
    <s v="11,39"/>
    <x v="0"/>
  </r>
  <r>
    <x v="6"/>
    <x v="10"/>
    <x v="8"/>
    <x v="10"/>
    <s v="PER"/>
    <x v="2"/>
    <x v="3"/>
    <x v="6"/>
    <n v="6"/>
    <x v="1"/>
    <x v="0"/>
    <x v="27"/>
    <n v="69.694000000000003"/>
    <x v="2568"/>
    <n v="17.079999999999998"/>
    <n v="31.326000000000001"/>
    <n v="21.016999999999999"/>
    <s v="21,51"/>
    <x v="0"/>
  </r>
  <r>
    <x v="6"/>
    <x v="10"/>
    <x v="8"/>
    <x v="16"/>
    <s v="MAG"/>
    <x v="9"/>
    <x v="10"/>
    <x v="7"/>
    <n v="4"/>
    <x v="1"/>
    <x v="0"/>
    <x v="27"/>
    <n v="70.125"/>
    <x v="2569"/>
    <n v="17.173999999999999"/>
    <n v="31.492000000000001"/>
    <n v="21.280999999999999"/>
    <s v="10,38"/>
    <x v="0"/>
  </r>
  <r>
    <x v="6"/>
    <x v="10"/>
    <x v="8"/>
    <x v="3"/>
    <s v="RIC"/>
    <x v="17"/>
    <x v="8"/>
    <x v="8"/>
    <n v="2"/>
    <x v="1"/>
    <x v="0"/>
    <x v="27"/>
    <n v="70.426000000000002"/>
    <x v="2570"/>
    <n v="17.175000000000001"/>
    <n v="31.465"/>
    <n v="21.312000000000001"/>
    <s v="10,37"/>
    <x v="0"/>
  </r>
  <r>
    <x v="6"/>
    <x v="10"/>
    <x v="8"/>
    <x v="17"/>
    <s v="GAS"/>
    <x v="14"/>
    <x v="13"/>
    <x v="9"/>
    <n v="1"/>
    <x v="1"/>
    <x v="0"/>
    <x v="27"/>
    <n v="69.608999999999995"/>
    <x v="2571"/>
    <n v="17.189"/>
    <n v="30.92"/>
    <n v="20.989000000000001"/>
    <s v="20,42"/>
    <x v="0"/>
  </r>
  <r>
    <x v="6"/>
    <x v="10"/>
    <x v="8"/>
    <x v="12"/>
    <s v="LEC"/>
    <x v="0"/>
    <x v="15"/>
    <x v="10"/>
    <n v="0"/>
    <x v="1"/>
    <x v="0"/>
    <x v="27"/>
    <n v="69.584000000000003"/>
    <x v="2572"/>
    <n v="17.158000000000001"/>
    <n v="30.99"/>
    <n v="20.873000000000001"/>
    <s v="1,16,33,51"/>
    <x v="0"/>
  </r>
  <r>
    <x v="6"/>
    <x v="10"/>
    <x v="8"/>
    <x v="11"/>
    <s v="OCO"/>
    <x v="14"/>
    <x v="4"/>
    <x v="11"/>
    <n v="0"/>
    <x v="1"/>
    <x v="0"/>
    <x v="27"/>
    <n v="69.649000000000001"/>
    <x v="2573"/>
    <n v="17.285"/>
    <n v="31.062000000000001"/>
    <n v="20.922999999999998"/>
    <s v="19,43"/>
    <x v="0"/>
  </r>
  <r>
    <x v="6"/>
    <x v="10"/>
    <x v="8"/>
    <x v="13"/>
    <s v="STR"/>
    <x v="13"/>
    <x v="18"/>
    <x v="12"/>
    <n v="0"/>
    <x v="1"/>
    <x v="52"/>
    <x v="29"/>
    <n v="70.143000000000001"/>
    <x v="2574"/>
    <n v="17.248999999999999"/>
    <n v="31.373000000000001"/>
    <n v="21.105"/>
    <s v="20,43"/>
    <x v="0"/>
  </r>
  <r>
    <x v="6"/>
    <x v="10"/>
    <x v="8"/>
    <x v="29"/>
    <s v="TSU"/>
    <x v="17"/>
    <x v="11"/>
    <x v="13"/>
    <n v="0"/>
    <x v="1"/>
    <x v="52"/>
    <x v="29"/>
    <n v="70.317999999999998"/>
    <x v="2575"/>
    <n v="17.43"/>
    <n v="31.427"/>
    <n v="21.274000000000001"/>
    <s v="21,44"/>
    <x v="0"/>
  </r>
  <r>
    <x v="6"/>
    <x v="10"/>
    <x v="8"/>
    <x v="22"/>
    <s v="ALB"/>
    <x v="7"/>
    <x v="14"/>
    <x v="14"/>
    <n v="0"/>
    <x v="1"/>
    <x v="52"/>
    <x v="29"/>
    <n v="70.364000000000004"/>
    <x v="2576"/>
    <n v="17.216000000000001"/>
    <n v="31.388999999999999"/>
    <n v="21.257999999999999"/>
    <s v="12,39"/>
    <x v="0"/>
  </r>
  <r>
    <x v="6"/>
    <x v="10"/>
    <x v="8"/>
    <x v="7"/>
    <s v="BOT"/>
    <x v="16"/>
    <x v="12"/>
    <x v="15"/>
    <n v="0"/>
    <x v="1"/>
    <x v="52"/>
    <x v="29"/>
    <n v="70.448999999999998"/>
    <x v="2577"/>
    <n v="17.297999999999998"/>
    <n v="31.353999999999999"/>
    <n v="21.254999999999999"/>
    <s v="19,42"/>
    <x v="0"/>
  </r>
  <r>
    <x v="6"/>
    <x v="10"/>
    <x v="8"/>
    <x v="32"/>
    <s v="ZHO"/>
    <x v="16"/>
    <x v="17"/>
    <x v="16"/>
    <n v="0"/>
    <x v="1"/>
    <x v="52"/>
    <x v="29"/>
    <n v="70.47"/>
    <x v="2578"/>
    <n v="17.477"/>
    <n v="31.497"/>
    <n v="21.138999999999999"/>
    <s v="28,51"/>
    <x v="0"/>
  </r>
  <r>
    <x v="6"/>
    <x v="10"/>
    <x v="8"/>
    <x v="4"/>
    <s v="ALO"/>
    <x v="13"/>
    <x v="7"/>
    <x v="17"/>
    <n v="0"/>
    <x v="1"/>
    <x v="52"/>
    <x v="29"/>
    <n v="67.694000000000003"/>
    <x v="2579"/>
    <n v="17.196000000000002"/>
    <n v="30.126999999999999"/>
    <n v="20.370999999999999"/>
    <s v="11,35,68"/>
    <x v="0"/>
  </r>
  <r>
    <x v="6"/>
    <x v="10"/>
    <x v="8"/>
    <x v="34"/>
    <s v="SAR"/>
    <x v="7"/>
    <x v="19"/>
    <x v="18"/>
    <n v="0"/>
    <x v="1"/>
    <x v="52"/>
    <x v="30"/>
    <n v="70.406000000000006"/>
    <x v="2580"/>
    <n v="17.295000000000002"/>
    <n v="31.486999999999998"/>
    <n v="21.266999999999999"/>
    <s v="1,20,49"/>
    <x v="0"/>
  </r>
  <r>
    <x v="6"/>
    <x v="10"/>
    <x v="8"/>
    <x v="21"/>
    <s v="NOR"/>
    <x v="3"/>
    <x v="2"/>
    <x v="19"/>
    <n v="0"/>
    <x v="1"/>
    <x v="52"/>
    <x v="19"/>
    <n v="68.016000000000005"/>
    <x v="2581"/>
    <n v="16.896999999999998"/>
    <n v="30.558"/>
    <n v="20.510999999999999"/>
    <s v="23,51,64"/>
    <x v="0"/>
  </r>
  <r>
    <x v="6"/>
    <x v="11"/>
    <x v="9"/>
    <x v="1"/>
    <s v="HAM"/>
    <x v="1"/>
    <x v="2"/>
    <x v="0"/>
    <n v="25"/>
    <x v="0"/>
    <x v="0"/>
    <x v="33"/>
    <n v="89.438000000000002"/>
    <x v="2582"/>
    <n v="28.689"/>
    <n v="35.945999999999998"/>
    <n v="24.331"/>
    <s v="27,38"/>
    <x v="0"/>
  </r>
  <r>
    <x v="6"/>
    <x v="11"/>
    <x v="9"/>
    <x v="5"/>
    <s v="VER"/>
    <x v="2"/>
    <x v="5"/>
    <x v="1"/>
    <n v="18"/>
    <x v="0"/>
    <x v="0"/>
    <x v="33"/>
    <n v="88.951999999999998"/>
    <x v="2583"/>
    <n v="28.789000000000001"/>
    <n v="35.591000000000001"/>
    <n v="23.978999999999999"/>
    <s v="26,38"/>
    <x v="0"/>
  </r>
  <r>
    <x v="6"/>
    <x v="11"/>
    <x v="9"/>
    <x v="21"/>
    <s v="NOR"/>
    <x v="3"/>
    <x v="0"/>
    <x v="2"/>
    <n v="15"/>
    <x v="0"/>
    <x v="0"/>
    <x v="33"/>
    <n v="89.262"/>
    <x v="2584"/>
    <n v="28.786000000000001"/>
    <n v="35.883000000000003"/>
    <n v="24.439"/>
    <s v="27,39"/>
    <x v="0"/>
  </r>
  <r>
    <x v="6"/>
    <x v="11"/>
    <x v="9"/>
    <x v="35"/>
    <s v="PIA"/>
    <x v="3"/>
    <x v="16"/>
    <x v="3"/>
    <n v="12"/>
    <x v="1"/>
    <x v="0"/>
    <x v="33"/>
    <n v="88.748000000000005"/>
    <x v="2585"/>
    <n v="28.853000000000002"/>
    <n v="35.704000000000001"/>
    <n v="24.172999999999998"/>
    <s v="28,38"/>
    <x v="0"/>
  </r>
  <r>
    <x v="6"/>
    <x v="11"/>
    <x v="9"/>
    <x v="9"/>
    <s v="SAI"/>
    <x v="0"/>
    <x v="6"/>
    <x v="4"/>
    <n v="11"/>
    <x v="1"/>
    <x v="0"/>
    <x v="33"/>
    <n v="88.293000000000006"/>
    <x v="2586"/>
    <n v="28.55"/>
    <n v="35.619"/>
    <n v="24.123999999999999"/>
    <s v="26,39,50"/>
    <x v="0"/>
  </r>
  <r>
    <x v="6"/>
    <x v="11"/>
    <x v="9"/>
    <x v="6"/>
    <s v="HUL"/>
    <x v="9"/>
    <x v="15"/>
    <x v="5"/>
    <n v="8"/>
    <x v="1"/>
    <x v="0"/>
    <x v="33"/>
    <n v="89.835999999999999"/>
    <x v="2587"/>
    <n v="28.896000000000001"/>
    <n v="36.156999999999996"/>
    <n v="24.628"/>
    <s v="26,39"/>
    <x v="0"/>
  </r>
  <r>
    <x v="6"/>
    <x v="11"/>
    <x v="9"/>
    <x v="13"/>
    <s v="STR"/>
    <x v="13"/>
    <x v="3"/>
    <x v="6"/>
    <n v="6"/>
    <x v="1"/>
    <x v="0"/>
    <x v="33"/>
    <n v="89.897000000000006"/>
    <x v="2588"/>
    <n v="28.734000000000002"/>
    <n v="36.220999999999997"/>
    <n v="24.57"/>
    <s v="26,39"/>
    <x v="0"/>
  </r>
  <r>
    <x v="6"/>
    <x v="11"/>
    <x v="9"/>
    <x v="4"/>
    <s v="ALO"/>
    <x v="13"/>
    <x v="4"/>
    <x v="7"/>
    <n v="4"/>
    <x v="1"/>
    <x v="0"/>
    <x v="33"/>
    <n v="89.71"/>
    <x v="2589"/>
    <n v="28.693999999999999"/>
    <n v="36.094000000000001"/>
    <n v="24.585000000000001"/>
    <s v="27,38"/>
    <x v="0"/>
  </r>
  <r>
    <x v="6"/>
    <x v="11"/>
    <x v="9"/>
    <x v="22"/>
    <s v="ALB"/>
    <x v="7"/>
    <x v="9"/>
    <x v="8"/>
    <n v="2"/>
    <x v="1"/>
    <x v="0"/>
    <x v="33"/>
    <n v="89.718000000000004"/>
    <x v="2590"/>
    <n v="28.643999999999998"/>
    <n v="36.186"/>
    <n v="24.411000000000001"/>
    <s v="27,38"/>
    <x v="0"/>
  </r>
  <r>
    <x v="6"/>
    <x v="11"/>
    <x v="9"/>
    <x v="29"/>
    <s v="TSU"/>
    <x v="17"/>
    <x v="13"/>
    <x v="9"/>
    <n v="1"/>
    <x v="1"/>
    <x v="0"/>
    <x v="33"/>
    <n v="90.228999999999999"/>
    <x v="2591"/>
    <n v="28.893000000000001"/>
    <n v="36.404000000000003"/>
    <n v="24.853999999999999"/>
    <s v="27,38"/>
    <x v="0"/>
  </r>
  <r>
    <x v="6"/>
    <x v="11"/>
    <x v="9"/>
    <x v="34"/>
    <s v="SAR"/>
    <x v="7"/>
    <x v="10"/>
    <x v="10"/>
    <n v="0"/>
    <x v="1"/>
    <x v="0"/>
    <x v="33"/>
    <n v="89.971999999999994"/>
    <x v="2592"/>
    <n v="28.81"/>
    <n v="36.445"/>
    <n v="24.138999999999999"/>
    <s v="27,38"/>
    <x v="0"/>
  </r>
  <r>
    <x v="6"/>
    <x v="11"/>
    <x v="9"/>
    <x v="16"/>
    <s v="MAG"/>
    <x v="9"/>
    <x v="18"/>
    <x v="11"/>
    <n v="0"/>
    <x v="1"/>
    <x v="0"/>
    <x v="33"/>
    <n v="90.093000000000004"/>
    <x v="2593"/>
    <n v="28.933"/>
    <n v="36.531999999999996"/>
    <n v="24.622"/>
    <s v="27,37"/>
    <x v="0"/>
  </r>
  <r>
    <x v="6"/>
    <x v="11"/>
    <x v="9"/>
    <x v="3"/>
    <s v="RIC"/>
    <x v="17"/>
    <x v="7"/>
    <x v="12"/>
    <n v="0"/>
    <x v="1"/>
    <x v="52"/>
    <x v="11"/>
    <n v="90.734999999999999"/>
    <x v="2594"/>
    <n v="29.14"/>
    <n v="36.631999999999998"/>
    <n v="24.925000000000001"/>
    <s v="26,37"/>
    <x v="0"/>
  </r>
  <r>
    <x v="6"/>
    <x v="11"/>
    <x v="9"/>
    <x v="12"/>
    <s v="LEC"/>
    <x v="0"/>
    <x v="8"/>
    <x v="13"/>
    <n v="0"/>
    <x v="1"/>
    <x v="52"/>
    <x v="11"/>
    <n v="89.748000000000005"/>
    <x v="2595"/>
    <n v="28.93"/>
    <n v="36.106000000000002"/>
    <n v="24.527999999999999"/>
    <s v="19,27,37"/>
    <x v="0"/>
  </r>
  <r>
    <x v="6"/>
    <x v="11"/>
    <x v="9"/>
    <x v="7"/>
    <s v="BOT"/>
    <x v="16"/>
    <x v="14"/>
    <x v="14"/>
    <n v="0"/>
    <x v="1"/>
    <x v="52"/>
    <x v="11"/>
    <n v="91.277000000000001"/>
    <x v="2596"/>
    <n v="29.24"/>
    <n v="36.921999999999997"/>
    <n v="24.916"/>
    <s v="26,37"/>
    <x v="0"/>
  </r>
  <r>
    <x v="6"/>
    <x v="11"/>
    <x v="9"/>
    <x v="11"/>
    <s v="OCO"/>
    <x v="14"/>
    <x v="12"/>
    <x v="15"/>
    <n v="0"/>
    <x v="1"/>
    <x v="52"/>
    <x v="43"/>
    <n v="90.875"/>
    <x v="2597"/>
    <n v="29.138999999999999"/>
    <n v="36.39"/>
    <n v="24.927"/>
    <s v="19,21,26,38"/>
    <x v="0"/>
  </r>
  <r>
    <x v="6"/>
    <x v="11"/>
    <x v="9"/>
    <x v="10"/>
    <s v="PER"/>
    <x v="2"/>
    <x v="17"/>
    <x v="16"/>
    <n v="0"/>
    <x v="1"/>
    <x v="52"/>
    <x v="43"/>
    <n v="89.706999999999994"/>
    <x v="2598"/>
    <n v="28.949000000000002"/>
    <n v="35.978000000000002"/>
    <n v="24.524999999999999"/>
    <s v="19,28,37,47"/>
    <x v="0"/>
  </r>
  <r>
    <x v="6"/>
    <x v="11"/>
    <x v="9"/>
    <x v="32"/>
    <s v="ZHO"/>
    <x v="16"/>
    <x v="11"/>
    <x v="17"/>
    <n v="0"/>
    <x v="1"/>
    <x v="52"/>
    <x v="43"/>
    <n v="91.013999999999996"/>
    <x v="2599"/>
    <n v="29.163"/>
    <n v="36.625"/>
    <n v="24.957999999999998"/>
    <s v="12,19,26,37"/>
    <x v="0"/>
  </r>
  <r>
    <x v="6"/>
    <x v="11"/>
    <x v="9"/>
    <x v="24"/>
    <s v="RUS"/>
    <x v="1"/>
    <x v="1"/>
    <x v="18"/>
    <n v="0"/>
    <x v="1"/>
    <x v="21"/>
    <x v="60"/>
    <n v="91.298000000000002"/>
    <x v="2600"/>
    <n v="29.298999999999999"/>
    <n v="36.793999999999997"/>
    <n v="24.917000000000002"/>
    <s v="27,33"/>
    <x v="0"/>
  </r>
  <r>
    <x v="6"/>
    <x v="11"/>
    <x v="9"/>
    <x v="17"/>
    <s v="GAS"/>
    <x v="14"/>
    <x v="19"/>
    <x v="19"/>
    <n v="0"/>
    <x v="1"/>
    <x v="53"/>
    <x v="68"/>
    <m/>
    <x v="19"/>
    <m/>
    <m/>
    <m/>
    <m/>
    <x v="0"/>
  </r>
  <r>
    <x v="6"/>
    <x v="12"/>
    <x v="11"/>
    <x v="35"/>
    <s v="PIA"/>
    <x v="3"/>
    <x v="2"/>
    <x v="0"/>
    <n v="25"/>
    <x v="0"/>
    <x v="0"/>
    <x v="29"/>
    <n v="81.715999999999994"/>
    <x v="2601"/>
    <n v="29.516999999999999"/>
    <n v="28.881"/>
    <n v="23.094000000000001"/>
    <s v="18,47"/>
    <x v="1"/>
  </r>
  <r>
    <x v="6"/>
    <x v="12"/>
    <x v="11"/>
    <x v="21"/>
    <s v="NOR"/>
    <x v="3"/>
    <x v="1"/>
    <x v="1"/>
    <n v="18"/>
    <x v="0"/>
    <x v="0"/>
    <x v="29"/>
    <n v="81.712000000000003"/>
    <x v="2602"/>
    <n v="29.437999999999999"/>
    <n v="28.951000000000001"/>
    <n v="23.06"/>
    <s v="17,45"/>
    <x v="1"/>
  </r>
  <r>
    <x v="6"/>
    <x v="12"/>
    <x v="11"/>
    <x v="1"/>
    <s v="HAM"/>
    <x v="1"/>
    <x v="16"/>
    <x v="2"/>
    <n v="15"/>
    <x v="0"/>
    <x v="0"/>
    <x v="29"/>
    <n v="82.153000000000006"/>
    <x v="2603"/>
    <n v="29.585999999999999"/>
    <n v="29.15"/>
    <n v="23.074000000000002"/>
    <s v="16,40"/>
    <x v="1"/>
  </r>
  <r>
    <x v="6"/>
    <x v="12"/>
    <x v="11"/>
    <x v="12"/>
    <s v="LEC"/>
    <x v="0"/>
    <x v="15"/>
    <x v="3"/>
    <n v="12"/>
    <x v="1"/>
    <x v="0"/>
    <x v="29"/>
    <n v="82.182000000000002"/>
    <x v="2604"/>
    <n v="29.645"/>
    <n v="29.024999999999999"/>
    <n v="23.332000000000001"/>
    <s v="23,40"/>
    <x v="1"/>
  </r>
  <r>
    <x v="6"/>
    <x v="12"/>
    <x v="11"/>
    <x v="5"/>
    <s v="VER"/>
    <x v="2"/>
    <x v="0"/>
    <x v="4"/>
    <n v="10"/>
    <x v="1"/>
    <x v="0"/>
    <x v="29"/>
    <n v="80.908000000000001"/>
    <x v="2605"/>
    <n v="29.033999999999999"/>
    <n v="28.844000000000001"/>
    <n v="22.873999999999999"/>
    <s v="21,49"/>
    <x v="1"/>
  </r>
  <r>
    <x v="6"/>
    <x v="12"/>
    <x v="11"/>
    <x v="9"/>
    <s v="SAI"/>
    <x v="0"/>
    <x v="5"/>
    <x v="5"/>
    <n v="8"/>
    <x v="1"/>
    <x v="0"/>
    <x v="29"/>
    <n v="81.441000000000003"/>
    <x v="2606"/>
    <n v="29.439"/>
    <n v="28.843"/>
    <n v="22.984000000000002"/>
    <s v="21,47"/>
    <x v="1"/>
  </r>
  <r>
    <x v="6"/>
    <x v="12"/>
    <x v="11"/>
    <x v="10"/>
    <s v="PER"/>
    <x v="2"/>
    <x v="14"/>
    <x v="6"/>
    <n v="6"/>
    <x v="1"/>
    <x v="0"/>
    <x v="29"/>
    <n v="81.096000000000004"/>
    <x v="2607"/>
    <n v="29.228000000000002"/>
    <n v="28.936"/>
    <n v="22.829000000000001"/>
    <s v="28,47"/>
    <x v="1"/>
  </r>
  <r>
    <x v="6"/>
    <x v="12"/>
    <x v="11"/>
    <x v="24"/>
    <s v="RUS"/>
    <x v="1"/>
    <x v="18"/>
    <x v="7"/>
    <n v="5"/>
    <x v="1"/>
    <x v="0"/>
    <x v="29"/>
    <n v="80.305000000000007"/>
    <x v="2608"/>
    <n v="29.202000000000002"/>
    <n v="28.36"/>
    <n v="22.742999999999999"/>
    <s v="33,53"/>
    <x v="1"/>
  </r>
  <r>
    <x v="6"/>
    <x v="12"/>
    <x v="11"/>
    <x v="29"/>
    <s v="TSU"/>
    <x v="17"/>
    <x v="4"/>
    <x v="8"/>
    <n v="2"/>
    <x v="1"/>
    <x v="0"/>
    <x v="29"/>
    <n v="83.533000000000001"/>
    <x v="2609"/>
    <n v="29.91"/>
    <n v="29.75"/>
    <n v="23.449000000000002"/>
    <n v="29"/>
    <x v="1"/>
  </r>
  <r>
    <x v="6"/>
    <x v="12"/>
    <x v="11"/>
    <x v="13"/>
    <s v="STR"/>
    <x v="13"/>
    <x v="3"/>
    <x v="9"/>
    <n v="1"/>
    <x v="1"/>
    <x v="0"/>
    <x v="29"/>
    <n v="82.337999999999994"/>
    <x v="2610"/>
    <n v="29.481999999999999"/>
    <n v="29.462"/>
    <n v="23.393999999999998"/>
    <s v="14,45"/>
    <x v="1"/>
  </r>
  <r>
    <x v="6"/>
    <x v="12"/>
    <x v="11"/>
    <x v="4"/>
    <s v="ALO"/>
    <x v="13"/>
    <x v="6"/>
    <x v="10"/>
    <n v="0"/>
    <x v="1"/>
    <x v="0"/>
    <x v="29"/>
    <n v="83.063000000000002"/>
    <x v="2611"/>
    <n v="29.408999999999999"/>
    <n v="29.641999999999999"/>
    <n v="23.494"/>
    <s v="7,37"/>
    <x v="1"/>
  </r>
  <r>
    <x v="6"/>
    <x v="12"/>
    <x v="11"/>
    <x v="3"/>
    <s v="RIC"/>
    <x v="17"/>
    <x v="9"/>
    <x v="11"/>
    <n v="0"/>
    <x v="1"/>
    <x v="52"/>
    <x v="30"/>
    <n v="82.64"/>
    <x v="2612"/>
    <n v="29.736000000000001"/>
    <n v="29.535"/>
    <n v="23.369"/>
    <s v="7,28"/>
    <x v="1"/>
  </r>
  <r>
    <x v="6"/>
    <x v="12"/>
    <x v="11"/>
    <x v="6"/>
    <s v="HUL"/>
    <x v="9"/>
    <x v="8"/>
    <x v="12"/>
    <n v="0"/>
    <x v="1"/>
    <x v="52"/>
    <x v="30"/>
    <n v="83.460999999999999"/>
    <x v="2613"/>
    <n v="29.695"/>
    <n v="29.872"/>
    <n v="23.497"/>
    <s v="2,29"/>
    <x v="1"/>
  </r>
  <r>
    <x v="6"/>
    <x v="12"/>
    <x v="11"/>
    <x v="22"/>
    <s v="ALB"/>
    <x v="7"/>
    <x v="13"/>
    <x v="13"/>
    <n v="0"/>
    <x v="1"/>
    <x v="52"/>
    <x v="30"/>
    <n v="83.93"/>
    <x v="2614"/>
    <n v="29.951999999999899"/>
    <n v="29.905000000000001"/>
    <n v="23.582000000000001"/>
    <s v="6,29"/>
    <x v="1"/>
  </r>
  <r>
    <x v="6"/>
    <x v="12"/>
    <x v="11"/>
    <x v="16"/>
    <s v="MAG"/>
    <x v="9"/>
    <x v="7"/>
    <x v="14"/>
    <n v="0"/>
    <x v="1"/>
    <x v="52"/>
    <x v="30"/>
    <n v="83.552999999999997"/>
    <x v="2615"/>
    <n v="29.687000000000001"/>
    <n v="29.64"/>
    <n v="23.803000000000001"/>
    <s v="6,34"/>
    <x v="1"/>
  </r>
  <r>
    <x v="6"/>
    <x v="12"/>
    <x v="11"/>
    <x v="7"/>
    <s v="BOT"/>
    <x v="16"/>
    <x v="10"/>
    <x v="15"/>
    <n v="0"/>
    <x v="1"/>
    <x v="52"/>
    <x v="30"/>
    <n v="82.792000000000002"/>
    <x v="2616"/>
    <n v="29.753"/>
    <n v="29.498999999999999"/>
    <n v="23.454000000000001"/>
    <s v="16,45"/>
    <x v="1"/>
  </r>
  <r>
    <x v="6"/>
    <x v="12"/>
    <x v="11"/>
    <x v="34"/>
    <s v="SAR"/>
    <x v="7"/>
    <x v="11"/>
    <x v="16"/>
    <n v="0"/>
    <x v="1"/>
    <x v="52"/>
    <x v="30"/>
    <n v="80.561000000000007"/>
    <x v="2617"/>
    <n v="29.196999999999999"/>
    <n v="28.649000000000001"/>
    <n v="22.715"/>
    <s v="8,33,63"/>
    <x v="1"/>
  </r>
  <r>
    <x v="6"/>
    <x v="12"/>
    <x v="11"/>
    <x v="11"/>
    <s v="OCO"/>
    <x v="14"/>
    <x v="19"/>
    <x v="17"/>
    <n v="0"/>
    <x v="1"/>
    <x v="52"/>
    <x v="30"/>
    <n v="81.61"/>
    <x v="2618"/>
    <n v="29.26"/>
    <n v="29.082000000000001"/>
    <n v="23.268000000000001"/>
    <s v="6,30,64"/>
    <x v="1"/>
  </r>
  <r>
    <x v="6"/>
    <x v="12"/>
    <x v="11"/>
    <x v="32"/>
    <s v="ZHO"/>
    <x v="16"/>
    <x v="12"/>
    <x v="18"/>
    <n v="0"/>
    <x v="1"/>
    <x v="52"/>
    <x v="30"/>
    <n v="83.486999999999995"/>
    <x v="2619"/>
    <n v="30.032"/>
    <n v="29.826000000000001"/>
    <n v="23.442"/>
    <s v="7,36"/>
    <x v="1"/>
  </r>
  <r>
    <x v="6"/>
    <x v="12"/>
    <x v="11"/>
    <x v="17"/>
    <s v="GAS"/>
    <x v="14"/>
    <x v="17"/>
    <x v="19"/>
    <n v="0"/>
    <x v="1"/>
    <x v="21"/>
    <x v="60"/>
    <n v="83.34"/>
    <x v="2620"/>
    <n v="29.652000000000001"/>
    <n v="30.045999999999999"/>
    <n v="23.54"/>
    <s v="28,33"/>
    <x v="1"/>
  </r>
  <r>
    <x v="6"/>
    <x v="20"/>
    <x v="12"/>
    <x v="1"/>
    <s v="HAM"/>
    <x v="1"/>
    <x v="0"/>
    <x v="0"/>
    <n v="25"/>
    <x v="0"/>
    <x v="0"/>
    <x v="44"/>
    <n v="106.65300000000001"/>
    <x v="2621"/>
    <n v="30.637"/>
    <n v="46.606999999999999"/>
    <n v="28.798999999999999"/>
    <s v="11,26"/>
    <x v="1"/>
  </r>
  <r>
    <x v="6"/>
    <x v="20"/>
    <x v="12"/>
    <x v="35"/>
    <s v="PIA"/>
    <x v="3"/>
    <x v="16"/>
    <x v="1"/>
    <n v="18"/>
    <x v="0"/>
    <x v="0"/>
    <x v="44"/>
    <n v="105.84"/>
    <x v="2622"/>
    <n v="30.405999999999999"/>
    <n v="46.432000000000002"/>
    <n v="28.617999999999999"/>
    <s v="11,30"/>
    <x v="1"/>
  </r>
  <r>
    <x v="6"/>
    <x v="20"/>
    <x v="12"/>
    <x v="12"/>
    <s v="LEC"/>
    <x v="0"/>
    <x v="1"/>
    <x v="2"/>
    <n v="15"/>
    <x v="0"/>
    <x v="0"/>
    <x v="44"/>
    <n v="107.01300000000001"/>
    <x v="2623"/>
    <n v="30.922999999999998"/>
    <n v="46.85"/>
    <n v="28.823"/>
    <s v="12,25"/>
    <x v="1"/>
  </r>
  <r>
    <x v="6"/>
    <x v="20"/>
    <x v="12"/>
    <x v="5"/>
    <s v="VER"/>
    <x v="2"/>
    <x v="8"/>
    <x v="3"/>
    <n v="12"/>
    <x v="1"/>
    <x v="0"/>
    <x v="44"/>
    <n v="106.128"/>
    <x v="2624"/>
    <n v="30.579000000000001"/>
    <n v="46.512"/>
    <n v="28.692"/>
    <s v="10,28"/>
    <x v="1"/>
  </r>
  <r>
    <x v="6"/>
    <x v="20"/>
    <x v="12"/>
    <x v="21"/>
    <s v="NOR"/>
    <x v="3"/>
    <x v="5"/>
    <x v="4"/>
    <n v="10"/>
    <x v="1"/>
    <x v="0"/>
    <x v="44"/>
    <n v="105.563"/>
    <x v="2625"/>
    <n v="30.359000000000002"/>
    <n v="46.633000000000003"/>
    <n v="28.571000000000002"/>
    <s v="15,29"/>
    <x v="1"/>
  </r>
  <r>
    <x v="6"/>
    <x v="20"/>
    <x v="12"/>
    <x v="9"/>
    <s v="SAI"/>
    <x v="0"/>
    <x v="6"/>
    <x v="5"/>
    <n v="8"/>
    <x v="1"/>
    <x v="0"/>
    <x v="44"/>
    <n v="106.364"/>
    <x v="2626"/>
    <n v="30.574999999999999"/>
    <n v="46.625999999999998"/>
    <n v="28.794"/>
    <s v="20,28"/>
    <x v="1"/>
  </r>
  <r>
    <x v="6"/>
    <x v="20"/>
    <x v="12"/>
    <x v="10"/>
    <s v="PER"/>
    <x v="2"/>
    <x v="2"/>
    <x v="6"/>
    <n v="7"/>
    <x v="1"/>
    <x v="0"/>
    <x v="44"/>
    <n v="104.70099999999999"/>
    <x v="2627"/>
    <n v="30.765000000000001"/>
    <n v="45.308999999999997"/>
    <n v="28.584"/>
    <s v="11,21,42"/>
    <x v="1"/>
  </r>
  <r>
    <x v="6"/>
    <x v="20"/>
    <x v="12"/>
    <x v="4"/>
    <s v="ALO"/>
    <x v="13"/>
    <x v="3"/>
    <x v="7"/>
    <n v="4"/>
    <x v="1"/>
    <x v="0"/>
    <x v="44"/>
    <n v="108.051"/>
    <x v="2628"/>
    <n v="30.791"/>
    <n v="47.814"/>
    <n v="29.032"/>
    <n v="13"/>
    <x v="1"/>
  </r>
  <r>
    <x v="6"/>
    <x v="20"/>
    <x v="12"/>
    <x v="11"/>
    <s v="OCO"/>
    <x v="14"/>
    <x v="9"/>
    <x v="8"/>
    <n v="2"/>
    <x v="1"/>
    <x v="0"/>
    <x v="44"/>
    <n v="106.95699999999999"/>
    <x v="2629"/>
    <n v="30.417999999999999"/>
    <n v="47.49"/>
    <n v="28.576999999999899"/>
    <s v="12,30"/>
    <x v="1"/>
  </r>
  <r>
    <x v="6"/>
    <x v="20"/>
    <x v="12"/>
    <x v="3"/>
    <s v="RIC"/>
    <x v="17"/>
    <x v="13"/>
    <x v="9"/>
    <n v="1"/>
    <x v="1"/>
    <x v="0"/>
    <x v="44"/>
    <n v="107.435"/>
    <x v="2630"/>
    <n v="30.584"/>
    <n v="47.542999999999999"/>
    <n v="28.844000000000001"/>
    <s v="8,21"/>
    <x v="1"/>
  </r>
  <r>
    <x v="6"/>
    <x v="20"/>
    <x v="12"/>
    <x v="13"/>
    <s v="STR"/>
    <x v="13"/>
    <x v="7"/>
    <x v="10"/>
    <n v="0"/>
    <x v="1"/>
    <x v="0"/>
    <x v="44"/>
    <n v="108.105"/>
    <x v="2631"/>
    <n v="30.994"/>
    <n v="48.085999999999999"/>
    <n v="28.925999999999998"/>
    <n v="12"/>
    <x v="1"/>
  </r>
  <r>
    <x v="6"/>
    <x v="20"/>
    <x v="12"/>
    <x v="22"/>
    <s v="ALB"/>
    <x v="7"/>
    <x v="4"/>
    <x v="11"/>
    <n v="0"/>
    <x v="1"/>
    <x v="0"/>
    <x v="44"/>
    <n v="107.996"/>
    <x v="2632"/>
    <n v="30.527000000000001"/>
    <n v="48.195"/>
    <n v="28.722000000000001"/>
    <s v="8,23"/>
    <x v="1"/>
  </r>
  <r>
    <x v="6"/>
    <x v="20"/>
    <x v="12"/>
    <x v="17"/>
    <s v="GAS"/>
    <x v="14"/>
    <x v="10"/>
    <x v="12"/>
    <n v="0"/>
    <x v="1"/>
    <x v="0"/>
    <x v="44"/>
    <n v="107.41800000000001"/>
    <x v="2633"/>
    <n v="30.515000000000001"/>
    <n v="47.646999999999998"/>
    <n v="28.864999999999998"/>
    <s v="9,28"/>
    <x v="1"/>
  </r>
  <r>
    <x v="6"/>
    <x v="20"/>
    <x v="12"/>
    <x v="16"/>
    <s v="MAG"/>
    <x v="9"/>
    <x v="18"/>
    <x v="13"/>
    <n v="0"/>
    <x v="1"/>
    <x v="0"/>
    <x v="44"/>
    <n v="107.848"/>
    <x v="2634"/>
    <n v="30.907"/>
    <n v="48.027999999999999"/>
    <n v="28.811"/>
    <n v="17"/>
    <x v="1"/>
  </r>
  <r>
    <x v="6"/>
    <x v="20"/>
    <x v="12"/>
    <x v="7"/>
    <s v="BOT"/>
    <x v="16"/>
    <x v="11"/>
    <x v="14"/>
    <n v="0"/>
    <x v="1"/>
    <x v="0"/>
    <x v="44"/>
    <n v="107.01900000000001"/>
    <x v="2635"/>
    <n v="30.544"/>
    <n v="47.37"/>
    <n v="28.795000000000002"/>
    <s v="11,35"/>
    <x v="1"/>
  </r>
  <r>
    <x v="6"/>
    <x v="20"/>
    <x v="12"/>
    <x v="29"/>
    <s v="TSU"/>
    <x v="17"/>
    <x v="17"/>
    <x v="15"/>
    <n v="0"/>
    <x v="1"/>
    <x v="0"/>
    <x v="44"/>
    <n v="107.96899999999999"/>
    <x v="2636"/>
    <n v="30.914000000000001"/>
    <n v="48.057000000000002"/>
    <n v="28.93"/>
    <n v="15"/>
    <x v="1"/>
  </r>
  <r>
    <x v="6"/>
    <x v="20"/>
    <x v="12"/>
    <x v="34"/>
    <s v="SAR"/>
    <x v="7"/>
    <x v="12"/>
    <x v="16"/>
    <n v="0"/>
    <x v="1"/>
    <x v="0"/>
    <x v="44"/>
    <n v="107.49"/>
    <x v="2637"/>
    <n v="30.52"/>
    <n v="47.936"/>
    <n v="28.895"/>
    <s v="8,24"/>
    <x v="1"/>
  </r>
  <r>
    <x v="6"/>
    <x v="20"/>
    <x v="12"/>
    <x v="6"/>
    <s v="HUL"/>
    <x v="9"/>
    <x v="14"/>
    <x v="17"/>
    <n v="0"/>
    <x v="1"/>
    <x v="0"/>
    <x v="44"/>
    <n v="108.95399999999999"/>
    <x v="2638"/>
    <n v="30.541"/>
    <n v="48.594999999999999"/>
    <n v="29.048999999999999"/>
    <s v="7,20"/>
    <x v="1"/>
  </r>
  <r>
    <x v="6"/>
    <x v="20"/>
    <x v="12"/>
    <x v="32"/>
    <s v="ZHO"/>
    <x v="16"/>
    <x v="19"/>
    <x v="18"/>
    <n v="0"/>
    <x v="1"/>
    <x v="21"/>
    <x v="6"/>
    <n v="112.099"/>
    <x v="2639"/>
    <n v="31.082999999999998"/>
    <n v="50.332000000000001"/>
    <n v="29.702999999999999"/>
    <n v="5"/>
    <x v="1"/>
  </r>
  <r>
    <x v="6"/>
    <x v="20"/>
    <x v="12"/>
    <x v="24"/>
    <s v="RUS"/>
    <x v="1"/>
    <x v="15"/>
    <x v="19"/>
    <n v="0"/>
    <x v="1"/>
    <x v="26"/>
    <x v="44"/>
    <n v="107.113"/>
    <x v="2640"/>
    <n v="30.73"/>
    <n v="47.171999999999997"/>
    <n v="28.832000000000001"/>
    <n v="10"/>
    <x v="1"/>
  </r>
  <r>
    <x v="6"/>
    <x v="13"/>
    <x v="29"/>
    <x v="21"/>
    <s v="NOR"/>
    <x v="3"/>
    <x v="1"/>
    <x v="0"/>
    <n v="26"/>
    <x v="0"/>
    <x v="0"/>
    <x v="75"/>
    <n v="73.816999999999993"/>
    <x v="2641"/>
    <n v="24.876000000000001"/>
    <n v="26.837"/>
    <n v="22.103999999999999"/>
    <n v="28"/>
    <x v="1"/>
  </r>
  <r>
    <x v="6"/>
    <x v="13"/>
    <x v="29"/>
    <x v="5"/>
    <s v="VER"/>
    <x v="2"/>
    <x v="2"/>
    <x v="1"/>
    <n v="18"/>
    <x v="0"/>
    <x v="0"/>
    <x v="75"/>
    <n v="74.751999999999995"/>
    <x v="2642"/>
    <n v="25.262"/>
    <n v="26.791"/>
    <n v="22.393000000000001"/>
    <n v="27"/>
    <x v="1"/>
  </r>
  <r>
    <x v="6"/>
    <x v="13"/>
    <x v="29"/>
    <x v="12"/>
    <s v="LEC"/>
    <x v="0"/>
    <x v="15"/>
    <x v="2"/>
    <n v="15"/>
    <x v="0"/>
    <x v="0"/>
    <x v="75"/>
    <n v="74.584999999999994"/>
    <x v="2643"/>
    <n v="25.169"/>
    <n v="26.960999999999999"/>
    <n v="22.25"/>
    <n v="24"/>
    <x v="1"/>
  </r>
  <r>
    <x v="6"/>
    <x v="13"/>
    <x v="29"/>
    <x v="35"/>
    <s v="PIA"/>
    <x v="3"/>
    <x v="0"/>
    <x v="3"/>
    <n v="12"/>
    <x v="1"/>
    <x v="0"/>
    <x v="75"/>
    <n v="74.236999999999995"/>
    <x v="2644"/>
    <n v="24.992999999999999"/>
    <n v="26.855"/>
    <n v="22.187999999999999"/>
    <n v="33"/>
    <x v="1"/>
  </r>
  <r>
    <x v="6"/>
    <x v="13"/>
    <x v="29"/>
    <x v="9"/>
    <s v="SAI"/>
    <x v="0"/>
    <x v="4"/>
    <x v="4"/>
    <n v="10"/>
    <x v="1"/>
    <x v="0"/>
    <x v="75"/>
    <n v="74.117000000000004"/>
    <x v="2645"/>
    <n v="25.082000000000001"/>
    <n v="26.873999999999999"/>
    <n v="22.023"/>
    <n v="30"/>
    <x v="1"/>
  </r>
  <r>
    <x v="6"/>
    <x v="13"/>
    <x v="29"/>
    <x v="10"/>
    <s v="PER"/>
    <x v="2"/>
    <x v="16"/>
    <x v="5"/>
    <n v="8"/>
    <x v="1"/>
    <x v="0"/>
    <x v="75"/>
    <n v="74.587000000000003"/>
    <x v="2646"/>
    <n v="25.152999999999999"/>
    <n v="26.81"/>
    <n v="22.26"/>
    <n v="29"/>
    <x v="1"/>
  </r>
  <r>
    <x v="6"/>
    <x v="13"/>
    <x v="29"/>
    <x v="24"/>
    <s v="RUS"/>
    <x v="1"/>
    <x v="5"/>
    <x v="6"/>
    <n v="6"/>
    <x v="1"/>
    <x v="0"/>
    <x v="75"/>
    <n v="73.927000000000007"/>
    <x v="2647"/>
    <n v="25.032"/>
    <n v="26.436"/>
    <n v="22.062999999999999"/>
    <s v="25,54"/>
    <x v="1"/>
  </r>
  <r>
    <x v="6"/>
    <x v="13"/>
    <x v="29"/>
    <x v="1"/>
    <s v="HAM"/>
    <x v="1"/>
    <x v="11"/>
    <x v="7"/>
    <n v="4"/>
    <x v="1"/>
    <x v="0"/>
    <x v="75"/>
    <n v="73.878"/>
    <x v="2648"/>
    <n v="24.870999999999999"/>
    <n v="26.398"/>
    <n v="22.09"/>
    <s v="23,48"/>
    <x v="1"/>
  </r>
  <r>
    <x v="6"/>
    <x v="13"/>
    <x v="29"/>
    <x v="17"/>
    <s v="GAS"/>
    <x v="14"/>
    <x v="9"/>
    <x v="8"/>
    <n v="2"/>
    <x v="1"/>
    <x v="52"/>
    <x v="27"/>
    <n v="74.855000000000004"/>
    <x v="2649"/>
    <n v="25.286000000000001"/>
    <n v="27.119"/>
    <n v="22.294"/>
    <n v="32"/>
    <x v="1"/>
  </r>
  <r>
    <x v="6"/>
    <x v="13"/>
    <x v="29"/>
    <x v="4"/>
    <s v="ALO"/>
    <x v="13"/>
    <x v="6"/>
    <x v="9"/>
    <n v="1"/>
    <x v="1"/>
    <x v="52"/>
    <x v="27"/>
    <n v="74.757999999999996"/>
    <x v="2650"/>
    <n v="25.193000000000001"/>
    <n v="26.815999999999999"/>
    <n v="22.449000000000002"/>
    <n v="31"/>
    <x v="1"/>
  </r>
  <r>
    <x v="6"/>
    <x v="13"/>
    <x v="29"/>
    <x v="6"/>
    <s v="HUL"/>
    <x v="9"/>
    <x v="10"/>
    <x v="10"/>
    <n v="0"/>
    <x v="1"/>
    <x v="52"/>
    <x v="27"/>
    <n v="75.656999999999996"/>
    <x v="2651"/>
    <n v="25.443000000000001"/>
    <n v="27.244"/>
    <n v="22.536999999999999"/>
    <n v="14"/>
    <x v="1"/>
  </r>
  <r>
    <x v="6"/>
    <x v="13"/>
    <x v="29"/>
    <x v="3"/>
    <s v="RIC"/>
    <x v="17"/>
    <x v="13"/>
    <x v="11"/>
    <n v="0"/>
    <x v="1"/>
    <x v="52"/>
    <x v="27"/>
    <n v="75.221999999999994"/>
    <x v="2652"/>
    <n v="25.495999999999999"/>
    <n v="27.068999999999999"/>
    <n v="22.4"/>
    <n v="29"/>
    <x v="1"/>
  </r>
  <r>
    <x v="6"/>
    <x v="13"/>
    <x v="29"/>
    <x v="13"/>
    <s v="STR"/>
    <x v="13"/>
    <x v="3"/>
    <x v="12"/>
    <n v="0"/>
    <x v="1"/>
    <x v="52"/>
    <x v="27"/>
    <n v="75.254999999999995"/>
    <x v="2653"/>
    <n v="25.370999999999999"/>
    <n v="26.891999999999999"/>
    <n v="22.341000000000001"/>
    <n v="30"/>
    <x v="1"/>
  </r>
  <r>
    <x v="6"/>
    <x v="13"/>
    <x v="29"/>
    <x v="22"/>
    <s v="ALB"/>
    <x v="7"/>
    <x v="19"/>
    <x v="13"/>
    <n v="0"/>
    <x v="1"/>
    <x v="52"/>
    <x v="27"/>
    <n v="74.433999999999997"/>
    <x v="2654"/>
    <n v="25.177"/>
    <n v="26.914999999999999"/>
    <n v="22.140999999999998"/>
    <s v="12,54"/>
    <x v="1"/>
  </r>
  <r>
    <x v="6"/>
    <x v="13"/>
    <x v="29"/>
    <x v="11"/>
    <s v="OCO"/>
    <x v="14"/>
    <x v="7"/>
    <x v="14"/>
    <n v="0"/>
    <x v="1"/>
    <x v="52"/>
    <x v="27"/>
    <n v="75.39"/>
    <x v="2655"/>
    <n v="25.45"/>
    <n v="27.033999999999999"/>
    <n v="22.623000000000001"/>
    <n v="30"/>
    <x v="1"/>
  </r>
  <r>
    <x v="6"/>
    <x v="13"/>
    <x v="29"/>
    <x v="34"/>
    <s v="SAR"/>
    <x v="7"/>
    <x v="12"/>
    <x v="15"/>
    <n v="0"/>
    <x v="1"/>
    <x v="52"/>
    <x v="27"/>
    <n v="75.539000000000001"/>
    <x v="2656"/>
    <n v="25.536999999999999"/>
    <n v="27.052"/>
    <n v="22.571999999999999"/>
    <n v="22"/>
    <x v="1"/>
  </r>
  <r>
    <x v="6"/>
    <x v="13"/>
    <x v="29"/>
    <x v="29"/>
    <s v="TSU"/>
    <x v="17"/>
    <x v="8"/>
    <x v="16"/>
    <n v="0"/>
    <x v="1"/>
    <x v="52"/>
    <x v="27"/>
    <n v="75.552000000000007"/>
    <x v="2657"/>
    <n v="25.741"/>
    <n v="26.992000000000001"/>
    <n v="22.54"/>
    <s v="14,32"/>
    <x v="1"/>
  </r>
  <r>
    <x v="6"/>
    <x v="13"/>
    <x v="29"/>
    <x v="16"/>
    <s v="MAG"/>
    <x v="9"/>
    <x v="17"/>
    <x v="17"/>
    <n v="0"/>
    <x v="1"/>
    <x v="52"/>
    <x v="27"/>
    <n v="74.953999999999994"/>
    <x v="2658"/>
    <n v="25.53"/>
    <n v="26.876999999999999"/>
    <n v="22.253"/>
    <n v="40"/>
    <x v="1"/>
  </r>
  <r>
    <x v="6"/>
    <x v="13"/>
    <x v="29"/>
    <x v="7"/>
    <s v="BOT"/>
    <x v="16"/>
    <x v="14"/>
    <x v="18"/>
    <n v="0"/>
    <x v="1"/>
    <x v="52"/>
    <x v="29"/>
    <n v="75.822000000000003"/>
    <x v="2659"/>
    <n v="25.748999999999999"/>
    <n v="27.207999999999998"/>
    <n v="22.712"/>
    <s v="15,43"/>
    <x v="1"/>
  </r>
  <r>
    <x v="6"/>
    <x v="13"/>
    <x v="29"/>
    <x v="32"/>
    <s v="ZHO"/>
    <x v="16"/>
    <x v="18"/>
    <x v="19"/>
    <n v="0"/>
    <x v="1"/>
    <x v="52"/>
    <x v="29"/>
    <n v="75.724000000000004"/>
    <x v="2660"/>
    <n v="25.745999999999999"/>
    <n v="27.106000000000002"/>
    <n v="22.602"/>
    <s v="18,51"/>
    <x v="1"/>
  </r>
  <r>
    <x v="6"/>
    <x v="14"/>
    <x v="20"/>
    <x v="12"/>
    <s v="LEC"/>
    <x v="0"/>
    <x v="5"/>
    <x v="0"/>
    <n v="25"/>
    <x v="0"/>
    <x v="0"/>
    <x v="28"/>
    <n v="83.225999999999999"/>
    <x v="2661"/>
    <n v="27.189"/>
    <n v="28.259"/>
    <n v="27.591999999999999"/>
    <n v="15"/>
    <x v="1"/>
  </r>
  <r>
    <x v="6"/>
    <x v="14"/>
    <x v="20"/>
    <x v="35"/>
    <s v="PIA"/>
    <x v="3"/>
    <x v="2"/>
    <x v="1"/>
    <n v="18"/>
    <x v="0"/>
    <x v="0"/>
    <x v="28"/>
    <n v="81.942999999999998"/>
    <x v="2662"/>
    <n v="27.087"/>
    <n v="27.725000000000001"/>
    <n v="27.032"/>
    <s v="16,38"/>
    <x v="1"/>
  </r>
  <r>
    <x v="6"/>
    <x v="14"/>
    <x v="20"/>
    <x v="21"/>
    <s v="NOR"/>
    <x v="3"/>
    <x v="1"/>
    <x v="2"/>
    <n v="16"/>
    <x v="0"/>
    <x v="0"/>
    <x v="28"/>
    <n v="81.432000000000002"/>
    <x v="2663"/>
    <n v="26.936"/>
    <n v="27.492000000000001"/>
    <n v="26.803999999999998"/>
    <s v="14,32"/>
    <x v="1"/>
  </r>
  <r>
    <x v="6"/>
    <x v="14"/>
    <x v="20"/>
    <x v="9"/>
    <s v="SAI"/>
    <x v="0"/>
    <x v="16"/>
    <x v="3"/>
    <n v="12"/>
    <x v="1"/>
    <x v="0"/>
    <x v="28"/>
    <n v="83.218999999999994"/>
    <x v="2664"/>
    <n v="27.295999999999999"/>
    <n v="28.236999999999998"/>
    <n v="27.503"/>
    <n v="19"/>
    <x v="1"/>
  </r>
  <r>
    <x v="6"/>
    <x v="14"/>
    <x v="20"/>
    <x v="1"/>
    <s v="HAM"/>
    <x v="1"/>
    <x v="15"/>
    <x v="4"/>
    <n v="10"/>
    <x v="1"/>
    <x v="0"/>
    <x v="28"/>
    <n v="81.512"/>
    <x v="2665"/>
    <n v="27.053999999999998"/>
    <n v="27.439"/>
    <n v="27.004000000000001"/>
    <s v="15,37"/>
    <x v="1"/>
  </r>
  <r>
    <x v="6"/>
    <x v="14"/>
    <x v="20"/>
    <x v="5"/>
    <s v="VER"/>
    <x v="2"/>
    <x v="6"/>
    <x v="5"/>
    <n v="8"/>
    <x v="1"/>
    <x v="0"/>
    <x v="28"/>
    <n v="81.745000000000005"/>
    <x v="2666"/>
    <n v="26.876999999999999"/>
    <n v="27.614000000000001"/>
    <n v="27.177"/>
    <s v="22,41"/>
    <x v="1"/>
  </r>
  <r>
    <x v="6"/>
    <x v="14"/>
    <x v="20"/>
    <x v="24"/>
    <s v="RUS"/>
    <x v="1"/>
    <x v="0"/>
    <x v="6"/>
    <n v="6"/>
    <x v="1"/>
    <x v="0"/>
    <x v="28"/>
    <n v="82.036000000000001"/>
    <x v="2667"/>
    <n v="27.068000000000001"/>
    <n v="27.824999999999999"/>
    <n v="27.013000000000002"/>
    <s v="11,33"/>
    <x v="1"/>
  </r>
  <r>
    <x v="6"/>
    <x v="14"/>
    <x v="20"/>
    <x v="10"/>
    <s v="PER"/>
    <x v="2"/>
    <x v="3"/>
    <x v="7"/>
    <n v="4"/>
    <x v="1"/>
    <x v="0"/>
    <x v="28"/>
    <n v="82.971000000000004"/>
    <x v="2668"/>
    <n v="27.254000000000001"/>
    <n v="28.12"/>
    <n v="27.347000000000001"/>
    <s v="23,35"/>
    <x v="1"/>
  </r>
  <r>
    <x v="6"/>
    <x v="14"/>
    <x v="20"/>
    <x v="22"/>
    <s v="ALB"/>
    <x v="7"/>
    <x v="9"/>
    <x v="8"/>
    <n v="2"/>
    <x v="1"/>
    <x v="0"/>
    <x v="28"/>
    <n v="83.918000000000006"/>
    <x v="2669"/>
    <n v="27.263999999999999"/>
    <n v="28.576999999999899"/>
    <n v="27.742000000000001"/>
    <n v="17"/>
    <x v="1"/>
  </r>
  <r>
    <x v="6"/>
    <x v="14"/>
    <x v="20"/>
    <x v="16"/>
    <s v="MAG"/>
    <x v="9"/>
    <x v="13"/>
    <x v="9"/>
    <n v="1"/>
    <x v="1"/>
    <x v="0"/>
    <x v="28"/>
    <n v="83.436999999999998"/>
    <x v="2670"/>
    <n v="27.395"/>
    <n v="28.449000000000002"/>
    <n v="27.478000000000002"/>
    <n v="14"/>
    <x v="1"/>
  </r>
  <r>
    <x v="6"/>
    <x v="14"/>
    <x v="20"/>
    <x v="4"/>
    <s v="ALO"/>
    <x v="13"/>
    <x v="8"/>
    <x v="10"/>
    <n v="0"/>
    <x v="1"/>
    <x v="0"/>
    <x v="28"/>
    <n v="82.944000000000003"/>
    <x v="2671"/>
    <n v="27.073"/>
    <n v="28.327000000000002"/>
    <n v="27.501000000000001"/>
    <s v="12,35"/>
    <x v="1"/>
  </r>
  <r>
    <x v="6"/>
    <x v="14"/>
    <x v="20"/>
    <x v="38"/>
    <s v="COL"/>
    <x v="7"/>
    <x v="12"/>
    <x v="11"/>
    <n v="0"/>
    <x v="1"/>
    <x v="0"/>
    <x v="28"/>
    <n v="83.727999999999994"/>
    <x v="2672"/>
    <n v="27.47"/>
    <n v="28.56"/>
    <n v="27.698"/>
    <n v="16"/>
    <x v="1"/>
  </r>
  <r>
    <x v="6"/>
    <x v="14"/>
    <x v="20"/>
    <x v="3"/>
    <s v="RIC"/>
    <x v="17"/>
    <x v="10"/>
    <x v="12"/>
    <n v="0"/>
    <x v="1"/>
    <x v="0"/>
    <x v="28"/>
    <n v="84.218999999999994"/>
    <x v="2673"/>
    <n v="27.375"/>
    <n v="28.661000000000001"/>
    <n v="28.068999999999999"/>
    <n v="11"/>
    <x v="1"/>
  </r>
  <r>
    <x v="6"/>
    <x v="14"/>
    <x v="20"/>
    <x v="11"/>
    <s v="OCO"/>
    <x v="14"/>
    <x v="7"/>
    <x v="13"/>
    <n v="0"/>
    <x v="1"/>
    <x v="52"/>
    <x v="33"/>
    <n v="84.343000000000004"/>
    <x v="2674"/>
    <n v="27.49"/>
    <n v="28.733000000000001"/>
    <n v="27.962"/>
    <n v="31"/>
    <x v="1"/>
  </r>
  <r>
    <x v="6"/>
    <x v="14"/>
    <x v="20"/>
    <x v="17"/>
    <s v="GAS"/>
    <x v="14"/>
    <x v="11"/>
    <x v="14"/>
    <n v="0"/>
    <x v="1"/>
    <x v="52"/>
    <x v="33"/>
    <n v="83.754999999999995"/>
    <x v="2675"/>
    <n v="27.38"/>
    <n v="28.564"/>
    <n v="27.745000000000001"/>
    <s v="10,30"/>
    <x v="1"/>
  </r>
  <r>
    <x v="6"/>
    <x v="14"/>
    <x v="20"/>
    <x v="7"/>
    <s v="BOT"/>
    <x v="16"/>
    <x v="19"/>
    <x v="15"/>
    <n v="0"/>
    <x v="1"/>
    <x v="52"/>
    <x v="33"/>
    <n v="83.608999999999995"/>
    <x v="2676"/>
    <n v="27.332000000000001"/>
    <n v="28.419"/>
    <n v="27.64"/>
    <n v="33"/>
    <x v="1"/>
  </r>
  <r>
    <x v="6"/>
    <x v="14"/>
    <x v="20"/>
    <x v="6"/>
    <s v="HUL"/>
    <x v="9"/>
    <x v="4"/>
    <x v="16"/>
    <n v="0"/>
    <x v="1"/>
    <x v="52"/>
    <x v="33"/>
    <n v="83.275000000000006"/>
    <x v="2677"/>
    <n v="27.026"/>
    <n v="28.475999999999999"/>
    <n v="27.547999999999998"/>
    <s v="5,32"/>
    <x v="1"/>
  </r>
  <r>
    <x v="6"/>
    <x v="14"/>
    <x v="20"/>
    <x v="32"/>
    <s v="ZHO"/>
    <x v="16"/>
    <x v="17"/>
    <x v="17"/>
    <n v="0"/>
    <x v="1"/>
    <x v="52"/>
    <x v="33"/>
    <n v="85.091999999999999"/>
    <x v="2678"/>
    <n v="27.567"/>
    <n v="29.103999999999999"/>
    <n v="28.292000000000002"/>
    <n v="15"/>
    <x v="1"/>
  </r>
  <r>
    <x v="6"/>
    <x v="14"/>
    <x v="20"/>
    <x v="13"/>
    <s v="STR"/>
    <x v="13"/>
    <x v="18"/>
    <x v="18"/>
    <n v="0"/>
    <x v="1"/>
    <x v="52"/>
    <x v="33"/>
    <n v="82.231999999999999"/>
    <x v="2679"/>
    <n v="26.931999999999999"/>
    <n v="27.914000000000001"/>
    <n v="27.385999999999999"/>
    <s v="19,36,50"/>
    <x v="1"/>
  </r>
  <r>
    <x v="6"/>
    <x v="14"/>
    <x v="20"/>
    <x v="29"/>
    <s v="TSU"/>
    <x v="17"/>
    <x v="14"/>
    <x v="19"/>
    <n v="0"/>
    <x v="1"/>
    <x v="21"/>
    <x v="56"/>
    <n v="86.197999999999993"/>
    <x v="2680"/>
    <n v="27.631"/>
    <n v="29.689"/>
    <n v="28.878"/>
    <n v="7"/>
    <x v="1"/>
  </r>
  <r>
    <x v="6"/>
    <x v="15"/>
    <x v="3"/>
    <x v="35"/>
    <s v="PIA"/>
    <x v="3"/>
    <x v="2"/>
    <x v="0"/>
    <n v="25"/>
    <x v="0"/>
    <x v="0"/>
    <x v="11"/>
    <n v="107.06"/>
    <x v="2681"/>
    <n v="38.234000000000002"/>
    <n v="43.283000000000001"/>
    <n v="25.047000000000001"/>
    <n v="15"/>
    <x v="1"/>
  </r>
  <r>
    <x v="6"/>
    <x v="15"/>
    <x v="3"/>
    <x v="12"/>
    <s v="LEC"/>
    <x v="0"/>
    <x v="1"/>
    <x v="1"/>
    <n v="18"/>
    <x v="0"/>
    <x v="0"/>
    <x v="11"/>
    <n v="107.06699999999999"/>
    <x v="2682"/>
    <n v="38.246000000000002"/>
    <n v="43.427999999999997"/>
    <n v="25.085999999999999"/>
    <n v="16"/>
    <x v="1"/>
  </r>
  <r>
    <x v="6"/>
    <x v="15"/>
    <x v="3"/>
    <x v="24"/>
    <s v="RUS"/>
    <x v="1"/>
    <x v="16"/>
    <x v="2"/>
    <n v="15"/>
    <x v="0"/>
    <x v="0"/>
    <x v="11"/>
    <n v="106.628"/>
    <x v="2683"/>
    <n v="38.058999999999997"/>
    <n v="43.165999999999997"/>
    <n v="24.693000000000001"/>
    <n v="12"/>
    <x v="1"/>
  </r>
  <r>
    <x v="6"/>
    <x v="15"/>
    <x v="3"/>
    <x v="21"/>
    <s v="NOR"/>
    <x v="3"/>
    <x v="7"/>
    <x v="3"/>
    <n v="13"/>
    <x v="1"/>
    <x v="0"/>
    <x v="11"/>
    <n v="105.255"/>
    <x v="2684"/>
    <n v="37.53"/>
    <n v="42.536999999999999"/>
    <n v="24.940999999999999"/>
    <n v="37"/>
    <x v="1"/>
  </r>
  <r>
    <x v="6"/>
    <x v="15"/>
    <x v="3"/>
    <x v="5"/>
    <s v="VER"/>
    <x v="2"/>
    <x v="15"/>
    <x v="4"/>
    <n v="10"/>
    <x v="1"/>
    <x v="0"/>
    <x v="11"/>
    <n v="106.798"/>
    <x v="2685"/>
    <n v="38.040999999999997"/>
    <n v="43.271000000000001"/>
    <n v="25.106000000000002"/>
    <s v="12,49"/>
    <x v="1"/>
  </r>
  <r>
    <x v="6"/>
    <x v="15"/>
    <x v="3"/>
    <x v="4"/>
    <s v="ALO"/>
    <x v="13"/>
    <x v="6"/>
    <x v="5"/>
    <n v="8"/>
    <x v="1"/>
    <x v="0"/>
    <x v="11"/>
    <n v="107.057"/>
    <x v="2686"/>
    <n v="38.067"/>
    <n v="43.567"/>
    <n v="25.141999999999999"/>
    <n v="11"/>
    <x v="1"/>
  </r>
  <r>
    <x v="6"/>
    <x v="15"/>
    <x v="3"/>
    <x v="22"/>
    <s v="ALB"/>
    <x v="7"/>
    <x v="9"/>
    <x v="6"/>
    <n v="6"/>
    <x v="1"/>
    <x v="0"/>
    <x v="11"/>
    <n v="106.947"/>
    <x v="2687"/>
    <n v="38.319000000000003"/>
    <n v="43.186999999999998"/>
    <n v="25.007999999999999"/>
    <n v="31"/>
    <x v="1"/>
  </r>
  <r>
    <x v="6"/>
    <x v="15"/>
    <x v="3"/>
    <x v="38"/>
    <s v="COL"/>
    <x v="7"/>
    <x v="3"/>
    <x v="7"/>
    <n v="4"/>
    <x v="1"/>
    <x v="0"/>
    <x v="11"/>
    <n v="107.274"/>
    <x v="2688"/>
    <n v="38.238999999999997"/>
    <n v="43.531999999999996"/>
    <n v="25.056000000000001"/>
    <n v="10"/>
    <x v="1"/>
  </r>
  <r>
    <x v="6"/>
    <x v="15"/>
    <x v="3"/>
    <x v="1"/>
    <s v="HAM"/>
    <x v="1"/>
    <x v="19"/>
    <x v="8"/>
    <n v="2"/>
    <x v="1"/>
    <x v="0"/>
    <x v="11"/>
    <n v="107.236"/>
    <x v="2689"/>
    <n v="38.341000000000001"/>
    <n v="43.756"/>
    <n v="24.762"/>
    <n v="12"/>
    <x v="1"/>
  </r>
  <r>
    <x v="6"/>
    <x v="15"/>
    <x v="3"/>
    <x v="37"/>
    <s v="BEA"/>
    <x v="9"/>
    <x v="4"/>
    <x v="9"/>
    <n v="1"/>
    <x v="1"/>
    <x v="0"/>
    <x v="11"/>
    <n v="107.048"/>
    <x v="2690"/>
    <n v="38.183"/>
    <n v="43.515000000000001"/>
    <n v="25.032"/>
    <n v="14"/>
    <x v="1"/>
  </r>
  <r>
    <x v="6"/>
    <x v="15"/>
    <x v="3"/>
    <x v="6"/>
    <s v="HUL"/>
    <x v="9"/>
    <x v="10"/>
    <x v="10"/>
    <n v="0"/>
    <x v="1"/>
    <x v="0"/>
    <x v="11"/>
    <n v="107.691"/>
    <x v="2691"/>
    <n v="38.334000000000003"/>
    <n v="43.683"/>
    <n v="24.942"/>
    <n v="15"/>
    <x v="1"/>
  </r>
  <r>
    <x v="6"/>
    <x v="15"/>
    <x v="3"/>
    <x v="17"/>
    <s v="GAS"/>
    <x v="14"/>
    <x v="12"/>
    <x v="11"/>
    <n v="0"/>
    <x v="1"/>
    <x v="0"/>
    <x v="11"/>
    <n v="108.018"/>
    <x v="2692"/>
    <n v="38.497"/>
    <n v="43.893999999999998"/>
    <n v="25.22"/>
    <n v="50"/>
    <x v="1"/>
  </r>
  <r>
    <x v="6"/>
    <x v="15"/>
    <x v="3"/>
    <x v="3"/>
    <s v="RIC"/>
    <x v="17"/>
    <x v="11"/>
    <x v="12"/>
    <n v="0"/>
    <x v="1"/>
    <x v="0"/>
    <x v="11"/>
    <n v="108.38"/>
    <x v="2693"/>
    <n v="38.558"/>
    <n v="43.963999999999999"/>
    <n v="25.387"/>
    <n v="49"/>
    <x v="1"/>
  </r>
  <r>
    <x v="6"/>
    <x v="15"/>
    <x v="3"/>
    <x v="32"/>
    <s v="ZHO"/>
    <x v="16"/>
    <x v="18"/>
    <x v="13"/>
    <n v="0"/>
    <x v="1"/>
    <x v="0"/>
    <x v="11"/>
    <n v="107.64400000000001"/>
    <x v="2694"/>
    <n v="38.494"/>
    <n v="43.587000000000003"/>
    <n v="25.201000000000001"/>
    <n v="34"/>
    <x v="1"/>
  </r>
  <r>
    <x v="6"/>
    <x v="15"/>
    <x v="3"/>
    <x v="11"/>
    <s v="OCO"/>
    <x v="14"/>
    <x v="17"/>
    <x v="14"/>
    <n v="0"/>
    <x v="1"/>
    <x v="52"/>
    <x v="43"/>
    <n v="108.831"/>
    <x v="2695"/>
    <n v="38.831000000000003"/>
    <n v="44.106000000000002"/>
    <n v="25.393000000000001"/>
    <n v="49"/>
    <x v="1"/>
  </r>
  <r>
    <x v="6"/>
    <x v="15"/>
    <x v="3"/>
    <x v="7"/>
    <s v="BOT"/>
    <x v="16"/>
    <x v="14"/>
    <x v="15"/>
    <n v="0"/>
    <x v="1"/>
    <x v="52"/>
    <x v="43"/>
    <n v="108.41800000000001"/>
    <x v="2696"/>
    <n v="38.65"/>
    <n v="44.033000000000001"/>
    <n v="25.411999999999999"/>
    <n v="11"/>
    <x v="1"/>
  </r>
  <r>
    <x v="6"/>
    <x v="15"/>
    <x v="3"/>
    <x v="10"/>
    <s v="PER"/>
    <x v="2"/>
    <x v="5"/>
    <x v="16"/>
    <n v="0"/>
    <x v="1"/>
    <x v="21"/>
    <x v="43"/>
    <n v="107.01300000000001"/>
    <x v="2697"/>
    <n v="38.146000000000001"/>
    <n v="43.35"/>
    <n v="25.181999999999999"/>
    <n v="13"/>
    <x v="1"/>
  </r>
  <r>
    <x v="6"/>
    <x v="15"/>
    <x v="3"/>
    <x v="9"/>
    <s v="SAI"/>
    <x v="0"/>
    <x v="0"/>
    <x v="17"/>
    <n v="0"/>
    <x v="1"/>
    <x v="21"/>
    <x v="43"/>
    <n v="106.866"/>
    <x v="2698"/>
    <n v="38.106999999999999"/>
    <n v="43.232999999999997"/>
    <n v="25.015000000000001"/>
    <n v="17"/>
    <x v="1"/>
  </r>
  <r>
    <x v="6"/>
    <x v="15"/>
    <x v="3"/>
    <x v="13"/>
    <s v="STR"/>
    <x v="13"/>
    <x v="13"/>
    <x v="18"/>
    <n v="0"/>
    <x v="1"/>
    <x v="21"/>
    <x v="55"/>
    <n v="108.148"/>
    <x v="2699"/>
    <n v="38.74"/>
    <n v="44.027999999999999"/>
    <n v="25.193000000000001"/>
    <s v="1,22,45"/>
    <x v="1"/>
  </r>
  <r>
    <x v="6"/>
    <x v="15"/>
    <x v="3"/>
    <x v="29"/>
    <s v="TSU"/>
    <x v="17"/>
    <x v="8"/>
    <x v="19"/>
    <n v="0"/>
    <x v="1"/>
    <x v="21"/>
    <x v="4"/>
    <n v="110.887"/>
    <x v="2700"/>
    <n v="39.777999999999999"/>
    <n v="45.268000000000001"/>
    <n v="25.725999999999999"/>
    <s v="12,14"/>
    <x v="1"/>
  </r>
  <r>
    <x v="6"/>
    <x v="16"/>
    <x v="13"/>
    <x v="21"/>
    <s v="NOR"/>
    <x v="3"/>
    <x v="1"/>
    <x v="0"/>
    <n v="25"/>
    <x v="0"/>
    <x v="0"/>
    <x v="52"/>
    <n v="94.924999999999997"/>
    <x v="2701"/>
    <n v="28.238"/>
    <n v="40.206000000000003"/>
    <n v="26.481000000000002"/>
    <n v="30"/>
    <x v="1"/>
  </r>
  <r>
    <x v="6"/>
    <x v="16"/>
    <x v="13"/>
    <x v="5"/>
    <s v="VER"/>
    <x v="2"/>
    <x v="2"/>
    <x v="1"/>
    <n v="18"/>
    <x v="0"/>
    <x v="0"/>
    <x v="52"/>
    <n v="95.966999999999999"/>
    <x v="2702"/>
    <n v="28.352"/>
    <n v="40.694000000000003"/>
    <n v="26.829000000000001"/>
    <n v="29"/>
    <x v="1"/>
  </r>
  <r>
    <x v="6"/>
    <x v="16"/>
    <x v="13"/>
    <x v="35"/>
    <s v="PIA"/>
    <x v="3"/>
    <x v="16"/>
    <x v="2"/>
    <n v="15"/>
    <x v="0"/>
    <x v="0"/>
    <x v="52"/>
    <n v="95.745000000000005"/>
    <x v="2703"/>
    <n v="28.148"/>
    <n v="40.478000000000002"/>
    <n v="26.663"/>
    <n v="38"/>
    <x v="1"/>
  </r>
  <r>
    <x v="6"/>
    <x v="16"/>
    <x v="13"/>
    <x v="24"/>
    <s v="RUS"/>
    <x v="1"/>
    <x v="5"/>
    <x v="3"/>
    <n v="12"/>
    <x v="1"/>
    <x v="0"/>
    <x v="52"/>
    <n v="97.046999999999997"/>
    <x v="2704"/>
    <n v="28.611000000000001"/>
    <n v="41.103999999999999"/>
    <n v="27.114999999999998"/>
    <n v="27"/>
    <x v="1"/>
  </r>
  <r>
    <x v="6"/>
    <x v="16"/>
    <x v="13"/>
    <x v="12"/>
    <s v="LEC"/>
    <x v="0"/>
    <x v="9"/>
    <x v="4"/>
    <n v="10"/>
    <x v="1"/>
    <x v="0"/>
    <x v="52"/>
    <n v="95.370999999999995"/>
    <x v="2705"/>
    <n v="28.213999999999999"/>
    <n v="40.369"/>
    <n v="26.788"/>
    <n v="36"/>
    <x v="1"/>
  </r>
  <r>
    <x v="6"/>
    <x v="16"/>
    <x v="13"/>
    <x v="1"/>
    <s v="HAM"/>
    <x v="1"/>
    <x v="0"/>
    <x v="5"/>
    <n v="8"/>
    <x v="1"/>
    <x v="0"/>
    <x v="52"/>
    <n v="97.393000000000001"/>
    <x v="2706"/>
    <n v="28.867999999999999"/>
    <n v="41.256999999999998"/>
    <n v="27.068999999999999"/>
    <n v="17"/>
    <x v="1"/>
  </r>
  <r>
    <x v="6"/>
    <x v="16"/>
    <x v="13"/>
    <x v="9"/>
    <s v="SAI"/>
    <x v="0"/>
    <x v="4"/>
    <x v="6"/>
    <n v="6"/>
    <x v="1"/>
    <x v="0"/>
    <x v="52"/>
    <n v="96.561000000000007"/>
    <x v="2707"/>
    <n v="28.706"/>
    <n v="40.737000000000002"/>
    <n v="27.113"/>
    <n v="13"/>
    <x v="1"/>
  </r>
  <r>
    <x v="6"/>
    <x v="16"/>
    <x v="13"/>
    <x v="4"/>
    <s v="ALO"/>
    <x v="13"/>
    <x v="6"/>
    <x v="7"/>
    <n v="4"/>
    <x v="1"/>
    <x v="52"/>
    <x v="46"/>
    <n v="97.741"/>
    <x v="2708"/>
    <n v="28.771999999999998"/>
    <n v="41.646000000000001"/>
    <n v="27.058"/>
    <n v="25"/>
    <x v="1"/>
  </r>
  <r>
    <x v="6"/>
    <x v="16"/>
    <x v="13"/>
    <x v="6"/>
    <s v="HUL"/>
    <x v="9"/>
    <x v="15"/>
    <x v="8"/>
    <n v="2"/>
    <x v="1"/>
    <x v="52"/>
    <x v="46"/>
    <n v="97.47"/>
    <x v="2709"/>
    <n v="28.664000000000001"/>
    <n v="41.341000000000001"/>
    <n v="27.146000000000001"/>
    <n v="29"/>
    <x v="1"/>
  </r>
  <r>
    <x v="6"/>
    <x v="16"/>
    <x v="13"/>
    <x v="10"/>
    <s v="PER"/>
    <x v="2"/>
    <x v="13"/>
    <x v="9"/>
    <n v="1"/>
    <x v="1"/>
    <x v="52"/>
    <x v="46"/>
    <n v="97.477000000000004"/>
    <x v="2710"/>
    <n v="28.59"/>
    <n v="41.41"/>
    <n v="27.292999999999999"/>
    <n v="28"/>
    <x v="1"/>
  </r>
  <r>
    <x v="6"/>
    <x v="16"/>
    <x v="13"/>
    <x v="38"/>
    <s v="COL"/>
    <x v="7"/>
    <x v="10"/>
    <x v="10"/>
    <n v="0"/>
    <x v="1"/>
    <x v="52"/>
    <x v="46"/>
    <n v="97.262"/>
    <x v="2711"/>
    <n v="28.707999999999998"/>
    <n v="41.128"/>
    <n v="27.167000000000002"/>
    <n v="29"/>
    <x v="1"/>
  </r>
  <r>
    <x v="6"/>
    <x v="16"/>
    <x v="13"/>
    <x v="29"/>
    <s v="TSU"/>
    <x v="17"/>
    <x v="3"/>
    <x v="11"/>
    <n v="0"/>
    <x v="1"/>
    <x v="52"/>
    <x v="46"/>
    <n v="96.393000000000001"/>
    <x v="2712"/>
    <n v="28.558"/>
    <n v="40.85"/>
    <n v="26.984999999999999"/>
    <n v="33"/>
    <x v="1"/>
  </r>
  <r>
    <x v="6"/>
    <x v="16"/>
    <x v="13"/>
    <x v="11"/>
    <s v="OCO"/>
    <x v="14"/>
    <x v="7"/>
    <x v="12"/>
    <n v="0"/>
    <x v="1"/>
    <x v="52"/>
    <x v="46"/>
    <n v="97.963999999999999"/>
    <x v="2713"/>
    <n v="28.757999999999999"/>
    <n v="41.478000000000002"/>
    <n v="27.419"/>
    <n v="29"/>
    <x v="1"/>
  </r>
  <r>
    <x v="6"/>
    <x v="16"/>
    <x v="13"/>
    <x v="13"/>
    <s v="STR"/>
    <x v="13"/>
    <x v="18"/>
    <x v="13"/>
    <n v="0"/>
    <x v="1"/>
    <x v="52"/>
    <x v="46"/>
    <n v="97.850999999999999"/>
    <x v="2714"/>
    <n v="28.768999999999998"/>
    <n v="41.445999999999998"/>
    <n v="27.164999999999999"/>
    <n v="26"/>
    <x v="1"/>
  </r>
  <r>
    <x v="6"/>
    <x v="16"/>
    <x v="13"/>
    <x v="32"/>
    <s v="ZHO"/>
    <x v="16"/>
    <x v="17"/>
    <x v="14"/>
    <n v="0"/>
    <x v="1"/>
    <x v="52"/>
    <x v="46"/>
    <n v="97.460999999999999"/>
    <x v="2715"/>
    <n v="28.648"/>
    <n v="41.189"/>
    <n v="27.324999999999999"/>
    <n v="34"/>
    <x v="1"/>
  </r>
  <r>
    <x v="6"/>
    <x v="16"/>
    <x v="13"/>
    <x v="7"/>
    <s v="BOT"/>
    <x v="16"/>
    <x v="19"/>
    <x v="15"/>
    <n v="0"/>
    <x v="1"/>
    <x v="52"/>
    <x v="46"/>
    <n v="97.524000000000001"/>
    <x v="2716"/>
    <n v="28.631"/>
    <n v="41.54"/>
    <n v="27.187000000000001"/>
    <n v="33"/>
    <x v="1"/>
  </r>
  <r>
    <x v="6"/>
    <x v="16"/>
    <x v="13"/>
    <x v="17"/>
    <s v="GAS"/>
    <x v="14"/>
    <x v="12"/>
    <x v="16"/>
    <n v="0"/>
    <x v="1"/>
    <x v="52"/>
    <x v="46"/>
    <n v="96.927000000000007"/>
    <x v="2717"/>
    <n v="28.672999999999998"/>
    <n v="41.171999999999997"/>
    <n v="26.981000000000002"/>
    <n v="37"/>
    <x v="1"/>
  </r>
  <r>
    <x v="6"/>
    <x v="16"/>
    <x v="13"/>
    <x v="3"/>
    <s v="RIC"/>
    <x v="17"/>
    <x v="14"/>
    <x v="17"/>
    <n v="0"/>
    <x v="1"/>
    <x v="52"/>
    <x v="46"/>
    <n v="94.486000000000004"/>
    <x v="2718"/>
    <n v="28.091000000000001"/>
    <n v="39.948"/>
    <n v="26.446999999999999"/>
    <s v="10,46,58"/>
    <x v="1"/>
  </r>
  <r>
    <x v="6"/>
    <x v="16"/>
    <x v="13"/>
    <x v="16"/>
    <s v="MAG"/>
    <x v="9"/>
    <x v="11"/>
    <x v="18"/>
    <n v="0"/>
    <x v="1"/>
    <x v="21"/>
    <x v="1"/>
    <n v="94.754000000000005"/>
    <x v="2719"/>
    <n v="28.236999999999998"/>
    <n v="40.058"/>
    <n v="26.459"/>
    <s v="28,49,57"/>
    <x v="1"/>
  </r>
  <r>
    <x v="6"/>
    <x v="16"/>
    <x v="13"/>
    <x v="22"/>
    <s v="ALB"/>
    <x v="7"/>
    <x v="8"/>
    <x v="19"/>
    <n v="0"/>
    <x v="1"/>
    <x v="21"/>
    <x v="67"/>
    <n v="96.888000000000005"/>
    <x v="2720"/>
    <n v="28.928000000000001"/>
    <n v="40.665999999999997"/>
    <n v="27.294"/>
    <s v="11,15"/>
    <x v="1"/>
  </r>
  <r>
    <x v="6"/>
    <x v="17"/>
    <x v="16"/>
    <x v="12"/>
    <s v="LEC"/>
    <x v="0"/>
    <x v="5"/>
    <x v="0"/>
    <n v="25"/>
    <x v="0"/>
    <x v="0"/>
    <x v="7"/>
    <n v="97.834000000000003"/>
    <x v="2721"/>
    <n v="26.007000000000001"/>
    <n v="39.020000000000003"/>
    <n v="32.244999999999997"/>
    <n v="26"/>
    <x v="1"/>
  </r>
  <r>
    <x v="6"/>
    <x v="17"/>
    <x v="16"/>
    <x v="9"/>
    <s v="SAI"/>
    <x v="0"/>
    <x v="0"/>
    <x v="1"/>
    <n v="18"/>
    <x v="0"/>
    <x v="0"/>
    <x v="7"/>
    <n v="97.763000000000005"/>
    <x v="2722"/>
    <n v="26.102"/>
    <n v="39.097000000000001"/>
    <n v="32.296999999999997"/>
    <n v="21"/>
    <x v="1"/>
  </r>
  <r>
    <x v="6"/>
    <x v="17"/>
    <x v="16"/>
    <x v="5"/>
    <s v="VER"/>
    <x v="2"/>
    <x v="2"/>
    <x v="2"/>
    <n v="15"/>
    <x v="0"/>
    <x v="0"/>
    <x v="7"/>
    <n v="98.117000000000004"/>
    <x v="2723"/>
    <n v="26.053000000000001"/>
    <n v="39.359000000000002"/>
    <n v="32.353000000000002"/>
    <n v="25"/>
    <x v="1"/>
  </r>
  <r>
    <x v="6"/>
    <x v="17"/>
    <x v="16"/>
    <x v="21"/>
    <s v="NOR"/>
    <x v="3"/>
    <x v="1"/>
    <x v="3"/>
    <n v="12"/>
    <x v="1"/>
    <x v="0"/>
    <x v="7"/>
    <n v="97.679000000000002"/>
    <x v="2724"/>
    <n v="26.181000000000001"/>
    <n v="39.084000000000003"/>
    <n v="32.256"/>
    <n v="31"/>
    <x v="1"/>
  </r>
  <r>
    <x v="6"/>
    <x v="17"/>
    <x v="16"/>
    <x v="35"/>
    <s v="PIA"/>
    <x v="3"/>
    <x v="16"/>
    <x v="4"/>
    <n v="10"/>
    <x v="1"/>
    <x v="0"/>
    <x v="7"/>
    <n v="97.882999999999996"/>
    <x v="2725"/>
    <n v="26.213999999999999"/>
    <n v="39.106999999999999"/>
    <n v="32.225999999999999"/>
    <n v="32"/>
    <x v="1"/>
  </r>
  <r>
    <x v="6"/>
    <x v="17"/>
    <x v="16"/>
    <x v="24"/>
    <s v="RUS"/>
    <x v="1"/>
    <x v="17"/>
    <x v="5"/>
    <n v="8"/>
    <x v="1"/>
    <x v="0"/>
    <x v="7"/>
    <n v="97.656000000000006"/>
    <x v="2726"/>
    <n v="26.145"/>
    <n v="38.874000000000002"/>
    <n v="32.286000000000001"/>
    <n v="40"/>
    <x v="1"/>
  </r>
  <r>
    <x v="6"/>
    <x v="17"/>
    <x v="16"/>
    <x v="10"/>
    <s v="PER"/>
    <x v="2"/>
    <x v="9"/>
    <x v="6"/>
    <n v="6"/>
    <x v="1"/>
    <x v="0"/>
    <x v="7"/>
    <n v="98.513999999999996"/>
    <x v="2727"/>
    <n v="26.222000000000001"/>
    <n v="39.524000000000001"/>
    <n v="32.552"/>
    <n v="26"/>
    <x v="1"/>
  </r>
  <r>
    <x v="6"/>
    <x v="17"/>
    <x v="16"/>
    <x v="6"/>
    <s v="HUL"/>
    <x v="9"/>
    <x v="8"/>
    <x v="7"/>
    <n v="4"/>
    <x v="1"/>
    <x v="0"/>
    <x v="7"/>
    <n v="98.403999999999996"/>
    <x v="2728"/>
    <n v="26.346"/>
    <n v="39.386000000000003"/>
    <n v="32.5"/>
    <n v="27"/>
    <x v="1"/>
  </r>
  <r>
    <x v="6"/>
    <x v="17"/>
    <x v="16"/>
    <x v="36"/>
    <s v="LAW"/>
    <x v="17"/>
    <x v="19"/>
    <x v="8"/>
    <n v="2"/>
    <x v="1"/>
    <x v="0"/>
    <x v="7"/>
    <n v="98.090999999999994"/>
    <x v="2729"/>
    <n v="26.292000000000002"/>
    <n v="38.893999999999998"/>
    <n v="32.392000000000003"/>
    <n v="36"/>
    <x v="1"/>
  </r>
  <r>
    <x v="6"/>
    <x v="17"/>
    <x v="16"/>
    <x v="38"/>
    <s v="COL"/>
    <x v="7"/>
    <x v="7"/>
    <x v="9"/>
    <n v="1"/>
    <x v="1"/>
    <x v="0"/>
    <x v="7"/>
    <n v="97.611000000000004"/>
    <x v="2730"/>
    <n v="26.117999999999999"/>
    <n v="39.030999999999999"/>
    <n v="32.215000000000003"/>
    <n v="39"/>
    <x v="1"/>
  </r>
  <r>
    <x v="6"/>
    <x v="17"/>
    <x v="16"/>
    <x v="16"/>
    <s v="MAG"/>
    <x v="9"/>
    <x v="3"/>
    <x v="10"/>
    <n v="0"/>
    <x v="1"/>
    <x v="0"/>
    <x v="7"/>
    <n v="98.21"/>
    <x v="2731"/>
    <n v="26.239000000000001"/>
    <n v="39.219000000000001"/>
    <n v="32.308999999999997"/>
    <s v="17,38"/>
    <x v="1"/>
  </r>
  <r>
    <x v="6"/>
    <x v="17"/>
    <x v="16"/>
    <x v="17"/>
    <s v="GAS"/>
    <x v="14"/>
    <x v="15"/>
    <x v="11"/>
    <n v="0"/>
    <x v="1"/>
    <x v="0"/>
    <x v="7"/>
    <n v="98.311000000000007"/>
    <x v="2732"/>
    <n v="26.324999999999999"/>
    <n v="39.451999999999998"/>
    <n v="32.459000000000003"/>
    <n v="18"/>
    <x v="1"/>
  </r>
  <r>
    <x v="6"/>
    <x v="17"/>
    <x v="16"/>
    <x v="4"/>
    <s v="ALO"/>
    <x v="13"/>
    <x v="6"/>
    <x v="12"/>
    <n v="0"/>
    <x v="1"/>
    <x v="52"/>
    <x v="35"/>
    <n v="99.260999999999996"/>
    <x v="2733"/>
    <n v="26.495999999999999"/>
    <n v="39.755000000000003"/>
    <n v="32.674999999999997"/>
    <n v="26"/>
    <x v="1"/>
  </r>
  <r>
    <x v="6"/>
    <x v="17"/>
    <x v="16"/>
    <x v="29"/>
    <s v="TSU"/>
    <x v="17"/>
    <x v="4"/>
    <x v="13"/>
    <n v="0"/>
    <x v="1"/>
    <x v="52"/>
    <x v="35"/>
    <n v="99.192999999999998"/>
    <x v="2734"/>
    <n v="26.45"/>
    <n v="39.720999999999997"/>
    <n v="32.79"/>
    <n v="18"/>
    <x v="1"/>
  </r>
  <r>
    <x v="6"/>
    <x v="17"/>
    <x v="16"/>
    <x v="13"/>
    <s v="STR"/>
    <x v="13"/>
    <x v="13"/>
    <x v="14"/>
    <n v="0"/>
    <x v="1"/>
    <x v="52"/>
    <x v="35"/>
    <n v="99.213999999999999"/>
    <x v="2735"/>
    <n v="26.715"/>
    <n v="39.523000000000003"/>
    <n v="32.606000000000002"/>
    <n v="27"/>
    <x v="1"/>
  </r>
  <r>
    <x v="6"/>
    <x v="17"/>
    <x v="16"/>
    <x v="22"/>
    <s v="ALB"/>
    <x v="7"/>
    <x v="11"/>
    <x v="15"/>
    <n v="0"/>
    <x v="1"/>
    <x v="52"/>
    <x v="35"/>
    <n v="99.084000000000003"/>
    <x v="2736"/>
    <n v="26.515999999999998"/>
    <n v="39.594000000000001"/>
    <n v="32.664999999999999"/>
    <s v="3,33"/>
    <x v="1"/>
  </r>
  <r>
    <x v="6"/>
    <x v="17"/>
    <x v="16"/>
    <x v="7"/>
    <s v="BOT"/>
    <x v="16"/>
    <x v="14"/>
    <x v="16"/>
    <n v="0"/>
    <x v="1"/>
    <x v="52"/>
    <x v="35"/>
    <n v="100.575"/>
    <x v="2737"/>
    <n v="26.849"/>
    <n v="40.072000000000003"/>
    <n v="33.113"/>
    <n v="15"/>
    <x v="1"/>
  </r>
  <r>
    <x v="6"/>
    <x v="17"/>
    <x v="16"/>
    <x v="11"/>
    <s v="OCO"/>
    <x v="14"/>
    <x v="10"/>
    <x v="17"/>
    <n v="0"/>
    <x v="1"/>
    <x v="52"/>
    <x v="35"/>
    <n v="97.33"/>
    <x v="2738"/>
    <n v="26.416"/>
    <n v="38.906999999999996"/>
    <n v="32.006999999999998"/>
    <s v="31,51"/>
    <x v="1"/>
  </r>
  <r>
    <x v="6"/>
    <x v="17"/>
    <x v="16"/>
    <x v="32"/>
    <s v="ZHO"/>
    <x v="16"/>
    <x v="12"/>
    <x v="18"/>
    <n v="0"/>
    <x v="1"/>
    <x v="52"/>
    <x v="35"/>
    <n v="99.272000000000006"/>
    <x v="2739"/>
    <n v="26.681999999999999"/>
    <n v="39.874000000000002"/>
    <n v="32.637"/>
    <s v="13,35"/>
    <x v="1"/>
  </r>
  <r>
    <x v="6"/>
    <x v="17"/>
    <x v="16"/>
    <x v="1"/>
    <s v="HAM"/>
    <x v="1"/>
    <x v="18"/>
    <x v="19"/>
    <n v="0"/>
    <x v="1"/>
    <x v="21"/>
    <x v="10"/>
    <m/>
    <x v="19"/>
    <m/>
    <m/>
    <m/>
    <m/>
    <x v="1"/>
  </r>
  <r>
    <x v="6"/>
    <x v="18"/>
    <x v="30"/>
    <x v="9"/>
    <s v="SAI"/>
    <x v="0"/>
    <x v="1"/>
    <x v="0"/>
    <n v="25"/>
    <x v="0"/>
    <x v="0"/>
    <x v="27"/>
    <n v="80.137"/>
    <x v="2740"/>
    <n v="28.283999999999999"/>
    <n v="31.187999999999999"/>
    <n v="20.535"/>
    <n v="32"/>
    <x v="1"/>
  </r>
  <r>
    <x v="6"/>
    <x v="18"/>
    <x v="30"/>
    <x v="21"/>
    <s v="NOR"/>
    <x v="3"/>
    <x v="0"/>
    <x v="1"/>
    <n v="18"/>
    <x v="0"/>
    <x v="0"/>
    <x v="27"/>
    <n v="79.691000000000003"/>
    <x v="2741"/>
    <n v="27.963000000000001"/>
    <n v="30.826000000000001"/>
    <n v="20.431999999999999"/>
    <n v="30"/>
    <x v="1"/>
  </r>
  <r>
    <x v="6"/>
    <x v="18"/>
    <x v="30"/>
    <x v="12"/>
    <s v="LEC"/>
    <x v="0"/>
    <x v="5"/>
    <x v="2"/>
    <n v="16"/>
    <x v="0"/>
    <x v="0"/>
    <x v="27"/>
    <n v="78.335999999999999"/>
    <x v="2742"/>
    <n v="27.884"/>
    <n v="30.312999999999999"/>
    <n v="20.138999999999999"/>
    <s v="31,69"/>
    <x v="1"/>
  </r>
  <r>
    <x v="6"/>
    <x v="18"/>
    <x v="30"/>
    <x v="1"/>
    <s v="HAM"/>
    <x v="1"/>
    <x v="15"/>
    <x v="3"/>
    <n v="12"/>
    <x v="1"/>
    <x v="0"/>
    <x v="27"/>
    <n v="80.370999999999995"/>
    <x v="2743"/>
    <n v="27.936"/>
    <n v="31.167000000000002"/>
    <n v="20.652000000000001"/>
    <n v="28"/>
    <x v="1"/>
  </r>
  <r>
    <x v="6"/>
    <x v="18"/>
    <x v="30"/>
    <x v="24"/>
    <s v="RUS"/>
    <x v="1"/>
    <x v="16"/>
    <x v="4"/>
    <n v="10"/>
    <x v="1"/>
    <x v="0"/>
    <x v="27"/>
    <n v="80.730999999999995"/>
    <x v="2744"/>
    <n v="28.382999999999999"/>
    <n v="31.268000000000001"/>
    <n v="20.742999999999999"/>
    <n v="31"/>
    <x v="1"/>
  </r>
  <r>
    <x v="6"/>
    <x v="18"/>
    <x v="30"/>
    <x v="5"/>
    <s v="VER"/>
    <x v="2"/>
    <x v="2"/>
    <x v="5"/>
    <n v="8"/>
    <x v="1"/>
    <x v="0"/>
    <x v="27"/>
    <n v="80.872"/>
    <x v="2745"/>
    <n v="28.381"/>
    <n v="31.193999999999999"/>
    <n v="20.762"/>
    <n v="26"/>
    <x v="1"/>
  </r>
  <r>
    <x v="6"/>
    <x v="18"/>
    <x v="30"/>
    <x v="16"/>
    <s v="MAG"/>
    <x v="9"/>
    <x v="6"/>
    <x v="6"/>
    <n v="6"/>
    <x v="1"/>
    <x v="0"/>
    <x v="27"/>
    <n v="80.637"/>
    <x v="2746"/>
    <n v="28.266999999999999"/>
    <n v="31.131"/>
    <n v="20.835999999999999"/>
    <n v="30"/>
    <x v="1"/>
  </r>
  <r>
    <x v="6"/>
    <x v="18"/>
    <x v="30"/>
    <x v="35"/>
    <s v="PIA"/>
    <x v="3"/>
    <x v="18"/>
    <x v="7"/>
    <n v="4"/>
    <x v="1"/>
    <x v="0"/>
    <x v="27"/>
    <n v="80.063999999999993"/>
    <x v="2747"/>
    <n v="27.916"/>
    <n v="30.818999999999999"/>
    <n v="20.53"/>
    <n v="39"/>
    <x v="1"/>
  </r>
  <r>
    <x v="6"/>
    <x v="18"/>
    <x v="30"/>
    <x v="6"/>
    <s v="HUL"/>
    <x v="9"/>
    <x v="4"/>
    <x v="8"/>
    <n v="2"/>
    <x v="1"/>
    <x v="52"/>
    <x v="29"/>
    <n v="80.748000000000005"/>
    <x v="2748"/>
    <n v="28.245000000000001"/>
    <n v="31.338000000000001"/>
    <n v="20.757000000000001"/>
    <n v="29"/>
    <x v="1"/>
  </r>
  <r>
    <x v="6"/>
    <x v="18"/>
    <x v="30"/>
    <x v="17"/>
    <s v="GAS"/>
    <x v="14"/>
    <x v="3"/>
    <x v="9"/>
    <n v="1"/>
    <x v="1"/>
    <x v="52"/>
    <x v="29"/>
    <n v="81.274000000000001"/>
    <x v="2749"/>
    <n v="28.507000000000001"/>
    <n v="31.513999999999999"/>
    <n v="20.859000000000002"/>
    <n v="28"/>
    <x v="1"/>
  </r>
  <r>
    <x v="6"/>
    <x v="18"/>
    <x v="30"/>
    <x v="13"/>
    <s v="STR"/>
    <x v="13"/>
    <x v="11"/>
    <x v="10"/>
    <n v="0"/>
    <x v="1"/>
    <x v="52"/>
    <x v="29"/>
    <n v="81.311000000000007"/>
    <x v="2750"/>
    <n v="28.452999999999999"/>
    <n v="31.629000000000001"/>
    <n v="20.765000000000001"/>
    <n v="26"/>
    <x v="1"/>
  </r>
  <r>
    <x v="6"/>
    <x v="18"/>
    <x v="30"/>
    <x v="38"/>
    <s v="COL"/>
    <x v="7"/>
    <x v="14"/>
    <x v="11"/>
    <n v="0"/>
    <x v="1"/>
    <x v="52"/>
    <x v="29"/>
    <n v="80.09"/>
    <x v="2751"/>
    <n v="28.335999999999999"/>
    <n v="31.029"/>
    <n v="20.527000000000001"/>
    <n v="47"/>
    <x v="1"/>
  </r>
  <r>
    <x v="6"/>
    <x v="18"/>
    <x v="30"/>
    <x v="11"/>
    <s v="OCO"/>
    <x v="14"/>
    <x v="20"/>
    <x v="12"/>
    <n v="0"/>
    <x v="1"/>
    <x v="52"/>
    <x v="29"/>
    <n v="80.659000000000006"/>
    <x v="2752"/>
    <n v="28.32"/>
    <n v="31.387"/>
    <n v="20.811"/>
    <n v="48"/>
    <x v="1"/>
  </r>
  <r>
    <x v="6"/>
    <x v="18"/>
    <x v="30"/>
    <x v="7"/>
    <s v="BOT"/>
    <x v="16"/>
    <x v="7"/>
    <x v="13"/>
    <n v="0"/>
    <x v="1"/>
    <x v="52"/>
    <x v="29"/>
    <n v="81.084999999999994"/>
    <x v="2753"/>
    <n v="28.806000000000001"/>
    <n v="31.222000000000001"/>
    <n v="20.808"/>
    <n v="49"/>
    <x v="1"/>
  </r>
  <r>
    <x v="6"/>
    <x v="18"/>
    <x v="30"/>
    <x v="32"/>
    <s v="ZHO"/>
    <x v="16"/>
    <x v="19"/>
    <x v="14"/>
    <n v="0"/>
    <x v="1"/>
    <x v="52"/>
    <x v="29"/>
    <n v="81.552999999999997"/>
    <x v="2754"/>
    <n v="28.652000000000001"/>
    <n v="31.591000000000001"/>
    <n v="20.965"/>
    <n v="43"/>
    <x v="1"/>
  </r>
  <r>
    <x v="6"/>
    <x v="18"/>
    <x v="30"/>
    <x v="36"/>
    <s v="LAW"/>
    <x v="17"/>
    <x v="10"/>
    <x v="15"/>
    <n v="0"/>
    <x v="1"/>
    <x v="52"/>
    <x v="29"/>
    <n v="79.501999999999995"/>
    <x v="2755"/>
    <n v="28.370999999999999"/>
    <n v="30.565000000000001"/>
    <n v="20.529"/>
    <s v="39,65"/>
    <x v="1"/>
  </r>
  <r>
    <x v="6"/>
    <x v="18"/>
    <x v="30"/>
    <x v="10"/>
    <s v="PER"/>
    <x v="2"/>
    <x v="12"/>
    <x v="16"/>
    <n v="0"/>
    <x v="1"/>
    <x v="52"/>
    <x v="29"/>
    <n v="79.209000000000003"/>
    <x v="2756"/>
    <n v="28.369"/>
    <n v="30.492000000000001"/>
    <n v="20.347999999999999"/>
    <s v="20,43,68"/>
    <x v="1"/>
  </r>
  <r>
    <x v="6"/>
    <x v="18"/>
    <x v="30"/>
    <x v="4"/>
    <s v="ALO"/>
    <x v="13"/>
    <x v="13"/>
    <x v="17"/>
    <n v="0"/>
    <x v="1"/>
    <x v="21"/>
    <x v="67"/>
    <n v="82.721999999999994"/>
    <x v="2757"/>
    <n v="28.885000000000002"/>
    <n v="32.067999999999998"/>
    <n v="21.289000000000001"/>
    <n v="15"/>
    <x v="1"/>
  </r>
  <r>
    <x v="6"/>
    <x v="18"/>
    <x v="30"/>
    <x v="22"/>
    <s v="ALB"/>
    <x v="7"/>
    <x v="9"/>
    <x v="18"/>
    <n v="0"/>
    <x v="1"/>
    <x v="21"/>
    <x v="16"/>
    <m/>
    <x v="19"/>
    <m/>
    <m/>
    <m/>
    <m/>
    <x v="1"/>
  </r>
  <r>
    <x v="6"/>
    <x v="18"/>
    <x v="30"/>
    <x v="29"/>
    <s v="TSU"/>
    <x v="17"/>
    <x v="8"/>
    <x v="19"/>
    <n v="0"/>
    <x v="1"/>
    <x v="21"/>
    <x v="16"/>
    <m/>
    <x v="19"/>
    <m/>
    <m/>
    <m/>
    <m/>
    <x v="1"/>
  </r>
  <r>
    <x v="6"/>
    <x v="19"/>
    <x v="31"/>
    <x v="5"/>
    <s v="VER"/>
    <x v="2"/>
    <x v="18"/>
    <x v="0"/>
    <n v="26"/>
    <x v="0"/>
    <x v="0"/>
    <x v="30"/>
    <n v="80.471999999999994"/>
    <x v="2758"/>
    <n v="20.545999999999999"/>
    <n v="42.235999999999997"/>
    <n v="17.690000000000001"/>
    <n v="32"/>
    <x v="0"/>
  </r>
  <r>
    <x v="6"/>
    <x v="19"/>
    <x v="31"/>
    <x v="11"/>
    <s v="OCO"/>
    <x v="14"/>
    <x v="5"/>
    <x v="1"/>
    <n v="18"/>
    <x v="0"/>
    <x v="0"/>
    <x v="30"/>
    <n v="81.771000000000001"/>
    <x v="2759"/>
    <n v="20.646000000000001"/>
    <n v="42.997999999999998"/>
    <n v="18.001000000000001"/>
    <n v="32"/>
    <x v="0"/>
  </r>
  <r>
    <x v="6"/>
    <x v="19"/>
    <x v="31"/>
    <x v="17"/>
    <s v="GAS"/>
    <x v="14"/>
    <x v="13"/>
    <x v="2"/>
    <n v="15"/>
    <x v="0"/>
    <x v="0"/>
    <x v="30"/>
    <n v="81.644999999999996"/>
    <x v="2760"/>
    <n v="20.724"/>
    <n v="42.95"/>
    <n v="17.866"/>
    <n v="32"/>
    <x v="0"/>
  </r>
  <r>
    <x v="6"/>
    <x v="19"/>
    <x v="31"/>
    <x v="24"/>
    <s v="RUS"/>
    <x v="1"/>
    <x v="2"/>
    <x v="3"/>
    <n v="12"/>
    <x v="1"/>
    <x v="0"/>
    <x v="30"/>
    <n v="81.644999999999996"/>
    <x v="2761"/>
    <n v="20.809000000000001"/>
    <n v="42.987000000000002"/>
    <n v="17.72"/>
    <s v="28,32"/>
    <x v="0"/>
  </r>
  <r>
    <x v="6"/>
    <x v="19"/>
    <x v="31"/>
    <x v="12"/>
    <s v="LEC"/>
    <x v="0"/>
    <x v="15"/>
    <x v="4"/>
    <n v="10"/>
    <x v="1"/>
    <x v="0"/>
    <x v="30"/>
    <n v="81.631"/>
    <x v="2762"/>
    <n v="20.702999999999999"/>
    <n v="43.002000000000002"/>
    <n v="17.797999999999998"/>
    <s v="24,32"/>
    <x v="0"/>
  </r>
  <r>
    <x v="6"/>
    <x v="19"/>
    <x v="31"/>
    <x v="21"/>
    <s v="NOR"/>
    <x v="3"/>
    <x v="1"/>
    <x v="5"/>
    <n v="8"/>
    <x v="1"/>
    <x v="0"/>
    <x v="30"/>
    <n v="81.516999999999996"/>
    <x v="2763"/>
    <n v="20.725000000000001"/>
    <n v="42.808999999999997"/>
    <n v="17.760000000000002"/>
    <s v="28,32"/>
    <x v="0"/>
  </r>
  <r>
    <x v="6"/>
    <x v="19"/>
    <x v="31"/>
    <x v="29"/>
    <s v="TSU"/>
    <x v="17"/>
    <x v="0"/>
    <x v="6"/>
    <n v="6"/>
    <x v="1"/>
    <x v="0"/>
    <x v="30"/>
    <n v="81.828000000000003"/>
    <x v="2764"/>
    <n v="20.756"/>
    <n v="43.12"/>
    <n v="17.866"/>
    <s v="28,32"/>
    <x v="0"/>
  </r>
  <r>
    <x v="6"/>
    <x v="19"/>
    <x v="31"/>
    <x v="35"/>
    <s v="PIA"/>
    <x v="3"/>
    <x v="3"/>
    <x v="7"/>
    <n v="4"/>
    <x v="1"/>
    <x v="0"/>
    <x v="30"/>
    <n v="81.531999999999996"/>
    <x v="2765"/>
    <n v="20.783999999999999"/>
    <n v="42.890999999999998"/>
    <n v="17.757999999999999"/>
    <s v="27,32"/>
    <x v="0"/>
  </r>
  <r>
    <x v="6"/>
    <x v="19"/>
    <x v="31"/>
    <x v="36"/>
    <s v="LAW"/>
    <x v="17"/>
    <x v="16"/>
    <x v="8"/>
    <n v="2"/>
    <x v="1"/>
    <x v="0"/>
    <x v="30"/>
    <n v="82.123000000000005"/>
    <x v="2766"/>
    <n v="20.99"/>
    <n v="43.161999999999999"/>
    <n v="17.898"/>
    <s v="28,32"/>
    <x v="0"/>
  </r>
  <r>
    <x v="6"/>
    <x v="19"/>
    <x v="31"/>
    <x v="1"/>
    <s v="HAM"/>
    <x v="1"/>
    <x v="11"/>
    <x v="9"/>
    <n v="1"/>
    <x v="1"/>
    <x v="0"/>
    <x v="30"/>
    <n v="82.040999999999997"/>
    <x v="2767"/>
    <n v="20.792000000000002"/>
    <n v="42.957000000000001"/>
    <n v="17.771000000000001"/>
    <s v="27,32"/>
    <x v="0"/>
  </r>
  <r>
    <x v="6"/>
    <x v="19"/>
    <x v="31"/>
    <x v="10"/>
    <s v="PER"/>
    <x v="2"/>
    <x v="10"/>
    <x v="10"/>
    <n v="0"/>
    <x v="1"/>
    <x v="0"/>
    <x v="30"/>
    <n v="82.143000000000001"/>
    <x v="2768"/>
    <n v="20.858000000000001"/>
    <n v="43.115000000000002"/>
    <n v="17.917000000000002"/>
    <s v="27,32"/>
    <x v="0"/>
  </r>
  <r>
    <x v="6"/>
    <x v="19"/>
    <x v="31"/>
    <x v="37"/>
    <s v="BEA"/>
    <x v="9"/>
    <x v="7"/>
    <x v="11"/>
    <n v="0"/>
    <x v="1"/>
    <x v="0"/>
    <x v="30"/>
    <n v="82.494"/>
    <x v="2769"/>
    <n v="20.963999999999999"/>
    <n v="43.343000000000004"/>
    <n v="17.911999999999999"/>
    <s v="27,32"/>
    <x v="0"/>
  </r>
  <r>
    <x v="6"/>
    <x v="19"/>
    <x v="31"/>
    <x v="7"/>
    <s v="BOT"/>
    <x v="16"/>
    <x v="8"/>
    <x v="12"/>
    <n v="0"/>
    <x v="1"/>
    <x v="0"/>
    <x v="30"/>
    <n v="82.876999999999995"/>
    <x v="2770"/>
    <n v="21.058"/>
    <n v="43.344999999999999"/>
    <n v="18.164999999999999"/>
    <n v="32"/>
    <x v="0"/>
  </r>
  <r>
    <x v="6"/>
    <x v="19"/>
    <x v="31"/>
    <x v="4"/>
    <s v="ALO"/>
    <x v="13"/>
    <x v="9"/>
    <x v="13"/>
    <n v="0"/>
    <x v="1"/>
    <x v="0"/>
    <x v="30"/>
    <n v="82.293000000000006"/>
    <x v="2771"/>
    <n v="21.047000000000001"/>
    <n v="43.241"/>
    <n v="17.949000000000002"/>
    <s v="27,32"/>
    <x v="0"/>
  </r>
  <r>
    <x v="6"/>
    <x v="19"/>
    <x v="31"/>
    <x v="32"/>
    <s v="ZHO"/>
    <x v="16"/>
    <x v="19"/>
    <x v="14"/>
    <n v="0"/>
    <x v="1"/>
    <x v="0"/>
    <x v="30"/>
    <n v="83.058000000000007"/>
    <x v="2772"/>
    <n v="21.170999999999999"/>
    <n v="43.642000000000003"/>
    <n v="18.138999999999999"/>
    <s v="27,28,31,32"/>
    <x v="0"/>
  </r>
  <r>
    <x v="6"/>
    <x v="19"/>
    <x v="31"/>
    <x v="9"/>
    <s v="SAI"/>
    <x v="0"/>
    <x v="17"/>
    <x v="15"/>
    <n v="0"/>
    <x v="1"/>
    <x v="21"/>
    <x v="22"/>
    <n v="84.200999999999993"/>
    <x v="2773"/>
    <n v="21.234000000000002"/>
    <n v="44.357999999999997"/>
    <n v="18.202999999999999"/>
    <s v="27,32"/>
    <x v="0"/>
  </r>
  <r>
    <x v="6"/>
    <x v="19"/>
    <x v="31"/>
    <x v="38"/>
    <s v="COL"/>
    <x v="7"/>
    <x v="14"/>
    <x v="16"/>
    <n v="0"/>
    <x v="1"/>
    <x v="21"/>
    <x v="57"/>
    <n v="84.296000000000006"/>
    <x v="2774"/>
    <n v="21.318999999999999"/>
    <n v="44.554000000000002"/>
    <n v="18.116"/>
    <s v="26,30"/>
    <x v="0"/>
  </r>
  <r>
    <x v="6"/>
    <x v="19"/>
    <x v="31"/>
    <x v="22"/>
    <s v="ALB"/>
    <x v="7"/>
    <x v="6"/>
    <x v="17"/>
    <n v="0"/>
    <x v="1"/>
    <x v="53"/>
    <x v="68"/>
    <m/>
    <x v="19"/>
    <m/>
    <m/>
    <m/>
    <m/>
    <x v="0"/>
  </r>
  <r>
    <x v="6"/>
    <x v="19"/>
    <x v="31"/>
    <x v="13"/>
    <s v="STR"/>
    <x v="13"/>
    <x v="4"/>
    <x v="18"/>
    <n v="0"/>
    <x v="1"/>
    <x v="53"/>
    <x v="68"/>
    <m/>
    <x v="19"/>
    <m/>
    <m/>
    <m/>
    <m/>
    <x v="0"/>
  </r>
  <r>
    <x v="6"/>
    <x v="19"/>
    <x v="31"/>
    <x v="6"/>
    <s v="HUL"/>
    <x v="9"/>
    <x v="12"/>
    <x v="19"/>
    <n v="0"/>
    <x v="1"/>
    <x v="26"/>
    <x v="57"/>
    <n v="83.763999999999996"/>
    <x v="2775"/>
    <n v="21.419"/>
    <n v="44.079000000000001"/>
    <n v="18.093"/>
    <s v="25,27,29,30"/>
    <x v="0"/>
  </r>
  <r>
    <x v="6"/>
    <x v="21"/>
    <x v="35"/>
    <x v="24"/>
    <s v="RUS"/>
    <x v="1"/>
    <x v="1"/>
    <x v="0"/>
    <n v="25"/>
    <x v="0"/>
    <x v="0"/>
    <x v="43"/>
    <n v="95.945999999999998"/>
    <x v="2776"/>
    <n v="27.286000000000001"/>
    <n v="32.164000000000001"/>
    <n v="36.337000000000003"/>
    <s v="12,32"/>
    <x v="1"/>
  </r>
  <r>
    <x v="6"/>
    <x v="21"/>
    <x v="35"/>
    <x v="1"/>
    <s v="HAM"/>
    <x v="1"/>
    <x v="4"/>
    <x v="1"/>
    <n v="18"/>
    <x v="0"/>
    <x v="0"/>
    <x v="43"/>
    <n v="95.48"/>
    <x v="2777"/>
    <n v="27.175000000000001"/>
    <n v="32.01"/>
    <n v="36.057000000000002"/>
    <s v="13,27"/>
    <x v="1"/>
  </r>
  <r>
    <x v="6"/>
    <x v="21"/>
    <x v="35"/>
    <x v="9"/>
    <s v="SAI"/>
    <x v="0"/>
    <x v="2"/>
    <x v="2"/>
    <n v="15"/>
    <x v="0"/>
    <x v="0"/>
    <x v="43"/>
    <n v="95.875"/>
    <x v="2778"/>
    <n v="27.245999999999999"/>
    <n v="32.253"/>
    <n v="36.091000000000001"/>
    <s v="10,28"/>
    <x v="1"/>
  </r>
  <r>
    <x v="6"/>
    <x v="21"/>
    <x v="35"/>
    <x v="12"/>
    <s v="LEC"/>
    <x v="0"/>
    <x v="5"/>
    <x v="3"/>
    <n v="12"/>
    <x v="1"/>
    <x v="0"/>
    <x v="43"/>
    <n v="95.674000000000007"/>
    <x v="2779"/>
    <n v="27.381"/>
    <n v="32.253999999999998"/>
    <n v="35.779000000000003"/>
    <s v="9,31"/>
    <x v="1"/>
  </r>
  <r>
    <x v="6"/>
    <x v="21"/>
    <x v="35"/>
    <x v="5"/>
    <s v="VER"/>
    <x v="2"/>
    <x v="16"/>
    <x v="4"/>
    <n v="10"/>
    <x v="1"/>
    <x v="0"/>
    <x v="43"/>
    <n v="96.248000000000005"/>
    <x v="2780"/>
    <n v="27.492000000000001"/>
    <n v="32.277999999999999"/>
    <n v="36.225999999999999"/>
    <s v="11,27"/>
    <x v="1"/>
  </r>
  <r>
    <x v="6"/>
    <x v="21"/>
    <x v="35"/>
    <x v="21"/>
    <s v="NOR"/>
    <x v="3"/>
    <x v="15"/>
    <x v="5"/>
    <n v="9"/>
    <x v="1"/>
    <x v="0"/>
    <x v="43"/>
    <n v="95.527000000000001"/>
    <x v="2781"/>
    <n v="27.169"/>
    <n v="32.08"/>
    <n v="36.061999999999998"/>
    <s v="9,30,48"/>
    <x v="1"/>
  </r>
  <r>
    <x v="6"/>
    <x v="21"/>
    <x v="35"/>
    <x v="35"/>
    <s v="PIA"/>
    <x v="3"/>
    <x v="3"/>
    <x v="6"/>
    <n v="6"/>
    <x v="1"/>
    <x v="0"/>
    <x v="43"/>
    <n v="96.597999999999999"/>
    <x v="2782"/>
    <n v="27.547999999999998"/>
    <n v="32.585999999999999"/>
    <n v="36.292999999999999"/>
    <s v="10,25"/>
    <x v="1"/>
  </r>
  <r>
    <x v="6"/>
    <x v="21"/>
    <x v="35"/>
    <x v="6"/>
    <s v="HUL"/>
    <x v="9"/>
    <x v="9"/>
    <x v="7"/>
    <n v="4"/>
    <x v="1"/>
    <x v="0"/>
    <x v="43"/>
    <n v="96.584999999999994"/>
    <x v="2783"/>
    <n v="27.503"/>
    <n v="32.365000000000002"/>
    <n v="36.268000000000001"/>
    <s v="14,33"/>
    <x v="1"/>
  </r>
  <r>
    <x v="6"/>
    <x v="21"/>
    <x v="35"/>
    <x v="29"/>
    <s v="TSU"/>
    <x v="17"/>
    <x v="6"/>
    <x v="8"/>
    <n v="2"/>
    <x v="1"/>
    <x v="0"/>
    <x v="43"/>
    <n v="96.956999999999994"/>
    <x v="2784"/>
    <n v="27.832999999999998"/>
    <n v="32.377000000000002"/>
    <n v="36.417999999999999"/>
    <s v="10,29"/>
    <x v="1"/>
  </r>
  <r>
    <x v="6"/>
    <x v="21"/>
    <x v="35"/>
    <x v="10"/>
    <s v="PER"/>
    <x v="2"/>
    <x v="7"/>
    <x v="9"/>
    <n v="1"/>
    <x v="1"/>
    <x v="0"/>
    <x v="43"/>
    <n v="96.325999999999993"/>
    <x v="2785"/>
    <n v="27.44"/>
    <n v="32.258000000000003"/>
    <n v="36.451999999999998"/>
    <s v="17,32"/>
    <x v="1"/>
  </r>
  <r>
    <x v="6"/>
    <x v="21"/>
    <x v="35"/>
    <x v="4"/>
    <s v="ALO"/>
    <x v="13"/>
    <x v="14"/>
    <x v="10"/>
    <n v="0"/>
    <x v="1"/>
    <x v="0"/>
    <x v="43"/>
    <n v="96.552999999999997"/>
    <x v="2786"/>
    <n v="27.623000000000001"/>
    <n v="32.619"/>
    <n v="36.127000000000002"/>
    <s v="4,24"/>
    <x v="1"/>
  </r>
  <r>
    <x v="6"/>
    <x v="21"/>
    <x v="35"/>
    <x v="16"/>
    <s v="MAG"/>
    <x v="9"/>
    <x v="10"/>
    <x v="11"/>
    <n v="0"/>
    <x v="1"/>
    <x v="0"/>
    <x v="43"/>
    <n v="96.557000000000002"/>
    <x v="2787"/>
    <n v="27.565999999999999"/>
    <n v="32.609000000000002"/>
    <n v="36.290999999999997"/>
    <n v="17"/>
    <x v="1"/>
  </r>
  <r>
    <x v="6"/>
    <x v="21"/>
    <x v="35"/>
    <x v="32"/>
    <s v="ZHO"/>
    <x v="16"/>
    <x v="13"/>
    <x v="12"/>
    <n v="0"/>
    <x v="1"/>
    <x v="0"/>
    <x v="43"/>
    <n v="96.323999999999998"/>
    <x v="2788"/>
    <n v="27.381"/>
    <n v="32.47"/>
    <n v="36.225000000000001"/>
    <s v="11,34"/>
    <x v="1"/>
  </r>
  <r>
    <x v="6"/>
    <x v="21"/>
    <x v="35"/>
    <x v="38"/>
    <s v="COL"/>
    <x v="7"/>
    <x v="17"/>
    <x v="13"/>
    <n v="0"/>
    <x v="1"/>
    <x v="0"/>
    <x v="43"/>
    <n v="96.867000000000004"/>
    <x v="2789"/>
    <n v="27.628"/>
    <n v="32.631999999999998"/>
    <n v="36.265999999999998"/>
    <s v="16,26"/>
    <x v="1"/>
  </r>
  <r>
    <x v="6"/>
    <x v="21"/>
    <x v="35"/>
    <x v="13"/>
    <s v="STR"/>
    <x v="13"/>
    <x v="12"/>
    <x v="14"/>
    <n v="0"/>
    <x v="1"/>
    <x v="0"/>
    <x v="43"/>
    <n v="97.179000000000002"/>
    <x v="2790"/>
    <n v="27.94"/>
    <n v="32.511000000000003"/>
    <n v="36.564999999999998"/>
    <s v="9,28"/>
    <x v="1"/>
  </r>
  <r>
    <x v="6"/>
    <x v="21"/>
    <x v="35"/>
    <x v="36"/>
    <s v="LAW"/>
    <x v="17"/>
    <x v="11"/>
    <x v="15"/>
    <n v="0"/>
    <x v="1"/>
    <x v="0"/>
    <x v="43"/>
    <n v="97.033000000000001"/>
    <x v="2791"/>
    <n v="27.713000000000001"/>
    <n v="32.380000000000003"/>
    <n v="36.698999999999998"/>
    <s v="11,38"/>
    <x v="1"/>
  </r>
  <r>
    <x v="6"/>
    <x v="21"/>
    <x v="35"/>
    <x v="11"/>
    <s v="OCO"/>
    <x v="14"/>
    <x v="8"/>
    <x v="16"/>
    <n v="0"/>
    <x v="1"/>
    <x v="52"/>
    <x v="12"/>
    <n v="96.510999999999996"/>
    <x v="2792"/>
    <n v="27.695"/>
    <n v="32.380000000000003"/>
    <n v="36.418999999999997"/>
    <s v="11,12,45"/>
    <x v="1"/>
  </r>
  <r>
    <x v="6"/>
    <x v="21"/>
    <x v="35"/>
    <x v="7"/>
    <s v="BOT"/>
    <x v="16"/>
    <x v="19"/>
    <x v="17"/>
    <n v="0"/>
    <x v="1"/>
    <x v="52"/>
    <x v="12"/>
    <n v="96.600999999999999"/>
    <x v="2793"/>
    <n v="27.422000000000001"/>
    <n v="32.299999999999997"/>
    <n v="36.582000000000001"/>
    <s v="17,35"/>
    <x v="1"/>
  </r>
  <r>
    <x v="6"/>
    <x v="21"/>
    <x v="35"/>
    <x v="22"/>
    <s v="ALB"/>
    <x v="7"/>
    <x v="18"/>
    <x v="18"/>
    <n v="0"/>
    <x v="1"/>
    <x v="21"/>
    <x v="23"/>
    <n v="98.007999999999996"/>
    <x v="2794"/>
    <n v="28.052"/>
    <n v="32.970999999999997"/>
    <n v="36.722999999999999"/>
    <s v="9,25"/>
    <x v="1"/>
  </r>
  <r>
    <x v="6"/>
    <x v="21"/>
    <x v="35"/>
    <x v="17"/>
    <s v="GAS"/>
    <x v="14"/>
    <x v="0"/>
    <x v="19"/>
    <n v="0"/>
    <x v="1"/>
    <x v="21"/>
    <x v="67"/>
    <n v="98.313999999999993"/>
    <x v="2795"/>
    <n v="28.548999999999999"/>
    <n v="33.057000000000002"/>
    <n v="36.561"/>
    <s v="10,15"/>
    <x v="1"/>
  </r>
  <r>
    <x v="6"/>
    <x v="22"/>
    <x v="32"/>
    <x v="5"/>
    <s v="VER"/>
    <x v="2"/>
    <x v="2"/>
    <x v="0"/>
    <n v="25"/>
    <x v="0"/>
    <x v="0"/>
    <x v="1"/>
    <n v="82.905000000000001"/>
    <x v="2796"/>
    <n v="30.832999999999998"/>
    <n v="28.004999999999999"/>
    <n v="23.995999999999999"/>
    <s v="35,36,37"/>
    <x v="1"/>
  </r>
  <r>
    <x v="6"/>
    <x v="22"/>
    <x v="32"/>
    <x v="12"/>
    <s v="LEC"/>
    <x v="0"/>
    <x v="16"/>
    <x v="1"/>
    <n v="18"/>
    <x v="0"/>
    <x v="0"/>
    <x v="1"/>
    <n v="83.242000000000004"/>
    <x v="2797"/>
    <n v="31.076000000000001"/>
    <n v="28.228999999999999"/>
    <n v="23.887"/>
    <s v="35,36,37"/>
    <x v="1"/>
  </r>
  <r>
    <x v="6"/>
    <x v="22"/>
    <x v="32"/>
    <x v="35"/>
    <s v="PIA"/>
    <x v="3"/>
    <x v="5"/>
    <x v="2"/>
    <n v="15"/>
    <x v="0"/>
    <x v="0"/>
    <x v="1"/>
    <n v="83.218000000000004"/>
    <x v="2798"/>
    <n v="31.024999999999999"/>
    <n v="28.158999999999999"/>
    <n v="23.89"/>
    <s v="34,36,37"/>
    <x v="1"/>
  </r>
  <r>
    <x v="6"/>
    <x v="22"/>
    <x v="32"/>
    <x v="24"/>
    <s v="RUS"/>
    <x v="1"/>
    <x v="1"/>
    <x v="3"/>
    <n v="12"/>
    <x v="1"/>
    <x v="0"/>
    <x v="1"/>
    <n v="83.355000000000004"/>
    <x v="2799"/>
    <n v="30.933"/>
    <n v="28.26"/>
    <n v="24.021000000000001"/>
    <s v="23,35,36,37"/>
    <x v="1"/>
  </r>
  <r>
    <x v="6"/>
    <x v="22"/>
    <x v="32"/>
    <x v="17"/>
    <s v="GAS"/>
    <x v="14"/>
    <x v="8"/>
    <x v="4"/>
    <n v="10"/>
    <x v="1"/>
    <x v="0"/>
    <x v="1"/>
    <n v="83.704999999999998"/>
    <x v="2800"/>
    <n v="31.152000000000001"/>
    <n v="28.181999999999999"/>
    <n v="24.274000000000001"/>
    <s v="35,36,37"/>
    <x v="1"/>
  </r>
  <r>
    <x v="6"/>
    <x v="22"/>
    <x v="32"/>
    <x v="9"/>
    <s v="SAI"/>
    <x v="0"/>
    <x v="6"/>
    <x v="5"/>
    <n v="8"/>
    <x v="1"/>
    <x v="0"/>
    <x v="1"/>
    <n v="83.465000000000003"/>
    <x v="2801"/>
    <n v="31.024000000000001"/>
    <n v="28.38"/>
    <n v="23.969000000000001"/>
    <s v="34,36,37"/>
    <x v="1"/>
  </r>
  <r>
    <x v="6"/>
    <x v="22"/>
    <x v="32"/>
    <x v="4"/>
    <s v="ALO"/>
    <x v="13"/>
    <x v="3"/>
    <x v="6"/>
    <n v="6"/>
    <x v="1"/>
    <x v="0"/>
    <x v="1"/>
    <n v="83.667000000000002"/>
    <x v="2802"/>
    <n v="31.08"/>
    <n v="28.361999999999998"/>
    <n v="24.119"/>
    <s v="35,36,37"/>
    <x v="1"/>
  </r>
  <r>
    <x v="6"/>
    <x v="22"/>
    <x v="32"/>
    <x v="32"/>
    <s v="ZHO"/>
    <x v="16"/>
    <x v="10"/>
    <x v="7"/>
    <n v="4"/>
    <x v="1"/>
    <x v="0"/>
    <x v="1"/>
    <n v="83.888999999999996"/>
    <x v="2803"/>
    <n v="31.204000000000001"/>
    <n v="28.2"/>
    <n v="24.468"/>
    <s v="35,36,37"/>
    <x v="1"/>
  </r>
  <r>
    <x v="6"/>
    <x v="22"/>
    <x v="32"/>
    <x v="16"/>
    <s v="MAG"/>
    <x v="9"/>
    <x v="4"/>
    <x v="8"/>
    <n v="2"/>
    <x v="1"/>
    <x v="0"/>
    <x v="1"/>
    <n v="84.259"/>
    <x v="2804"/>
    <n v="31.388999999999999"/>
    <n v="28.247"/>
    <n v="24.466999999999999"/>
    <s v="27,36,37"/>
    <x v="1"/>
  </r>
  <r>
    <x v="6"/>
    <x v="22"/>
    <x v="32"/>
    <x v="21"/>
    <s v="NOR"/>
    <x v="3"/>
    <x v="0"/>
    <x v="9"/>
    <n v="2"/>
    <x v="1"/>
    <x v="0"/>
    <x v="1"/>
    <n v="82.384"/>
    <x v="2805"/>
    <n v="30.454000000000001"/>
    <n v="27.885000000000002"/>
    <n v="23.795000000000002"/>
    <s v="35,36,37,45"/>
    <x v="1"/>
  </r>
  <r>
    <x v="6"/>
    <x v="22"/>
    <x v="32"/>
    <x v="7"/>
    <s v="BOT"/>
    <x v="16"/>
    <x v="13"/>
    <x v="10"/>
    <n v="0"/>
    <x v="1"/>
    <x v="0"/>
    <x v="1"/>
    <n v="85.533000000000001"/>
    <x v="2806"/>
    <n v="31.701000000000001"/>
    <n v="28.56"/>
    <n v="24.948"/>
    <s v="24,35,36"/>
    <x v="1"/>
  </r>
  <r>
    <x v="6"/>
    <x v="22"/>
    <x v="32"/>
    <x v="1"/>
    <s v="HAM"/>
    <x v="1"/>
    <x v="15"/>
    <x v="11"/>
    <n v="0"/>
    <x v="1"/>
    <x v="0"/>
    <x v="1"/>
    <n v="83.864999999999995"/>
    <x v="2807"/>
    <n v="31.123999999999999"/>
    <n v="28.381"/>
    <n v="24.259"/>
    <s v="34,35,36,47"/>
    <x v="1"/>
  </r>
  <r>
    <x v="6"/>
    <x v="22"/>
    <x v="32"/>
    <x v="29"/>
    <s v="TSU"/>
    <x v="17"/>
    <x v="11"/>
    <x v="12"/>
    <n v="0"/>
    <x v="1"/>
    <x v="0"/>
    <x v="1"/>
    <n v="86.144000000000005"/>
    <x v="2808"/>
    <n v="32.121000000000002"/>
    <n v="28.905000000000001"/>
    <n v="24.959"/>
    <s v="35,36,37,40"/>
    <x v="1"/>
  </r>
  <r>
    <x v="6"/>
    <x v="22"/>
    <x v="32"/>
    <x v="36"/>
    <s v="LAW"/>
    <x v="17"/>
    <x v="18"/>
    <x v="13"/>
    <n v="0"/>
    <x v="1"/>
    <x v="0"/>
    <x v="1"/>
    <n v="86.075999999999993"/>
    <x v="2809"/>
    <n v="31.998999999999999"/>
    <n v="29.015999999999998"/>
    <n v="24.896999999999998"/>
    <s v="35,36,37,40"/>
    <x v="1"/>
  </r>
  <r>
    <x v="6"/>
    <x v="22"/>
    <x v="32"/>
    <x v="22"/>
    <s v="ALB"/>
    <x v="7"/>
    <x v="14"/>
    <x v="14"/>
    <n v="0"/>
    <x v="1"/>
    <x v="52"/>
    <x v="7"/>
    <n v="85.558999999999997"/>
    <x v="2810"/>
    <n v="31.786999999999999"/>
    <n v="28.747"/>
    <n v="24.896999999999998"/>
    <s v="35,36,37,55"/>
    <x v="1"/>
  </r>
  <r>
    <x v="6"/>
    <x v="22"/>
    <x v="32"/>
    <x v="6"/>
    <s v="HUL"/>
    <x v="9"/>
    <x v="12"/>
    <x v="15"/>
    <n v="0"/>
    <x v="1"/>
    <x v="21"/>
    <x v="14"/>
    <n v="85.766999999999996"/>
    <x v="2811"/>
    <n v="31.931999999999999"/>
    <n v="28.536000000000001"/>
    <n v="25.125"/>
    <s v="1,31,36,37"/>
    <x v="1"/>
  </r>
  <r>
    <x v="6"/>
    <x v="22"/>
    <x v="32"/>
    <x v="10"/>
    <s v="PER"/>
    <x v="2"/>
    <x v="9"/>
    <x v="16"/>
    <n v="0"/>
    <x v="1"/>
    <x v="21"/>
    <x v="22"/>
    <n v="85.287999999999997"/>
    <x v="2812"/>
    <n v="31.709"/>
    <n v="28.867000000000001"/>
    <n v="24.606000000000002"/>
    <s v="35,36,37"/>
    <x v="1"/>
  </r>
  <r>
    <x v="6"/>
    <x v="22"/>
    <x v="32"/>
    <x v="13"/>
    <s v="STR"/>
    <x v="13"/>
    <x v="7"/>
    <x v="17"/>
    <n v="0"/>
    <x v="1"/>
    <x v="21"/>
    <x v="45"/>
    <n v="90.935000000000002"/>
    <x v="2813"/>
    <n v="34.1"/>
    <n v="30.222999999999999"/>
    <n v="26.611999999999998"/>
    <s v="1,7,8"/>
    <x v="1"/>
  </r>
  <r>
    <x v="6"/>
    <x v="22"/>
    <x v="32"/>
    <x v="38"/>
    <s v="COL"/>
    <x v="7"/>
    <x v="19"/>
    <x v="18"/>
    <n v="0"/>
    <x v="1"/>
    <x v="21"/>
    <x v="16"/>
    <m/>
    <x v="19"/>
    <m/>
    <m/>
    <m/>
    <m/>
    <x v="1"/>
  </r>
  <r>
    <x v="6"/>
    <x v="22"/>
    <x v="32"/>
    <x v="11"/>
    <s v="OCO"/>
    <x v="14"/>
    <x v="17"/>
    <x v="19"/>
    <n v="0"/>
    <x v="1"/>
    <x v="21"/>
    <x v="16"/>
    <m/>
    <x v="19"/>
    <m/>
    <m/>
    <m/>
    <m/>
    <x v="1"/>
  </r>
  <r>
    <x v="6"/>
    <x v="23"/>
    <x v="19"/>
    <x v="21"/>
    <s v="NOR"/>
    <x v="3"/>
    <x v="1"/>
    <x v="0"/>
    <n v="25"/>
    <x v="0"/>
    <x v="0"/>
    <x v="0"/>
    <n v="87.438000000000002"/>
    <x v="2814"/>
    <n v="17.513000000000002"/>
    <n v="37.828000000000003"/>
    <n v="31.913"/>
    <n v="26"/>
    <x v="1"/>
  </r>
  <r>
    <x v="6"/>
    <x v="23"/>
    <x v="19"/>
    <x v="9"/>
    <s v="SAI"/>
    <x v="0"/>
    <x v="0"/>
    <x v="1"/>
    <n v="18"/>
    <x v="0"/>
    <x v="0"/>
    <x v="0"/>
    <n v="87.765000000000001"/>
    <x v="2815"/>
    <n v="17.553000000000001"/>
    <n v="37.825000000000003"/>
    <n v="32.237000000000002"/>
    <n v="25"/>
    <x v="1"/>
  </r>
  <r>
    <x v="6"/>
    <x v="23"/>
    <x v="19"/>
    <x v="12"/>
    <s v="LEC"/>
    <x v="0"/>
    <x v="19"/>
    <x v="2"/>
    <n v="15"/>
    <x v="0"/>
    <x v="0"/>
    <x v="0"/>
    <n v="88.018000000000001"/>
    <x v="2816"/>
    <n v="17.701000000000001"/>
    <n v="37.744999999999997"/>
    <n v="32.226999999999997"/>
    <n v="20"/>
    <x v="1"/>
  </r>
  <r>
    <x v="6"/>
    <x v="23"/>
    <x v="19"/>
    <x v="1"/>
    <s v="HAM"/>
    <x v="1"/>
    <x v="14"/>
    <x v="3"/>
    <n v="12"/>
    <x v="1"/>
    <x v="0"/>
    <x v="0"/>
    <n v="87.278000000000006"/>
    <x v="2817"/>
    <n v="17.375"/>
    <n v="37.588000000000001"/>
    <n v="31.809000000000001"/>
    <n v="34"/>
    <x v="1"/>
  </r>
  <r>
    <x v="6"/>
    <x v="23"/>
    <x v="19"/>
    <x v="24"/>
    <s v="RUS"/>
    <x v="1"/>
    <x v="15"/>
    <x v="4"/>
    <n v="10"/>
    <x v="1"/>
    <x v="0"/>
    <x v="0"/>
    <n v="88.194999999999993"/>
    <x v="2818"/>
    <n v="17.484999999999999"/>
    <n v="37.834000000000003"/>
    <n v="32.348999999999997"/>
    <n v="26"/>
    <x v="1"/>
  </r>
  <r>
    <x v="6"/>
    <x v="23"/>
    <x v="19"/>
    <x v="5"/>
    <s v="VER"/>
    <x v="2"/>
    <x v="5"/>
    <x v="5"/>
    <n v="8"/>
    <x v="1"/>
    <x v="0"/>
    <x v="0"/>
    <n v="87.765000000000001"/>
    <x v="2819"/>
    <n v="17.542999999999999"/>
    <n v="37.731000000000002"/>
    <n v="32.125999999999998"/>
    <n v="29"/>
    <x v="1"/>
  </r>
  <r>
    <x v="6"/>
    <x v="23"/>
    <x v="19"/>
    <x v="17"/>
    <s v="GAS"/>
    <x v="14"/>
    <x v="16"/>
    <x v="6"/>
    <n v="6"/>
    <x v="1"/>
    <x v="0"/>
    <x v="0"/>
    <n v="89.212000000000003"/>
    <x v="2820"/>
    <n v="17.783999999999999"/>
    <n v="37.866"/>
    <n v="32.698"/>
    <n v="14"/>
    <x v="1"/>
  </r>
  <r>
    <x v="6"/>
    <x v="23"/>
    <x v="19"/>
    <x v="6"/>
    <s v="HUL"/>
    <x v="9"/>
    <x v="6"/>
    <x v="7"/>
    <n v="4"/>
    <x v="1"/>
    <x v="0"/>
    <x v="0"/>
    <n v="89.152000000000001"/>
    <x v="2821"/>
    <n v="17.783999999999999"/>
    <n v="37.685000000000002"/>
    <n v="32.956000000000003"/>
    <n v="13"/>
    <x v="1"/>
  </r>
  <r>
    <x v="6"/>
    <x v="23"/>
    <x v="19"/>
    <x v="4"/>
    <s v="ALO"/>
    <x v="13"/>
    <x v="3"/>
    <x v="8"/>
    <n v="2"/>
    <x v="1"/>
    <x v="0"/>
    <x v="0"/>
    <n v="87.947999999999993"/>
    <x v="2822"/>
    <n v="17.492000000000001"/>
    <n v="37.856000000000002"/>
    <n v="32.222000000000001"/>
    <s v="13,37"/>
    <x v="1"/>
  </r>
  <r>
    <x v="6"/>
    <x v="23"/>
    <x v="19"/>
    <x v="35"/>
    <s v="PIA"/>
    <x v="3"/>
    <x v="2"/>
    <x v="9"/>
    <n v="1"/>
    <x v="1"/>
    <x v="0"/>
    <x v="0"/>
    <n v="87.69"/>
    <x v="2823"/>
    <n v="17.556999999999999"/>
    <n v="37.732999999999997"/>
    <n v="32.042999999999999"/>
    <s v="4,32"/>
    <x v="1"/>
  </r>
  <r>
    <x v="6"/>
    <x v="23"/>
    <x v="19"/>
    <x v="22"/>
    <s v="ALB"/>
    <x v="7"/>
    <x v="12"/>
    <x v="10"/>
    <n v="0"/>
    <x v="1"/>
    <x v="52"/>
    <x v="1"/>
    <n v="89.438000000000002"/>
    <x v="2824"/>
    <n v="17.89"/>
    <n v="37.914999999999999"/>
    <n v="32.981999999999999"/>
    <n v="12"/>
    <x v="1"/>
  </r>
  <r>
    <x v="6"/>
    <x v="23"/>
    <x v="19"/>
    <x v="29"/>
    <s v="TSU"/>
    <x v="17"/>
    <x v="8"/>
    <x v="11"/>
    <n v="0"/>
    <x v="1"/>
    <x v="52"/>
    <x v="1"/>
    <n v="89.2"/>
    <x v="2825"/>
    <n v="17.791"/>
    <n v="37.942999999999998"/>
    <n v="32.831000000000003"/>
    <n v="22"/>
    <x v="1"/>
  </r>
  <r>
    <x v="6"/>
    <x v="23"/>
    <x v="19"/>
    <x v="32"/>
    <s v="ZHO"/>
    <x v="16"/>
    <x v="7"/>
    <x v="12"/>
    <n v="0"/>
    <x v="1"/>
    <x v="52"/>
    <x v="1"/>
    <n v="87.981999999999999"/>
    <x v="2826"/>
    <n v="17.523"/>
    <n v="38.040999999999997"/>
    <n v="32.091999999999999"/>
    <s v="12,39"/>
    <x v="1"/>
  </r>
  <r>
    <x v="6"/>
    <x v="23"/>
    <x v="19"/>
    <x v="13"/>
    <s v="STR"/>
    <x v="13"/>
    <x v="13"/>
    <x v="13"/>
    <n v="0"/>
    <x v="1"/>
    <x v="52"/>
    <x v="1"/>
    <n v="88.603999999999999"/>
    <x v="2827"/>
    <n v="17.652000000000001"/>
    <n v="37.734000000000002"/>
    <n v="32.655000000000001"/>
    <s v="11,32"/>
    <x v="1"/>
  </r>
  <r>
    <x v="6"/>
    <x v="23"/>
    <x v="19"/>
    <x v="39"/>
    <s v="DOO"/>
    <x v="14"/>
    <x v="18"/>
    <x v="14"/>
    <n v="0"/>
    <x v="1"/>
    <x v="52"/>
    <x v="1"/>
    <n v="89.120999999999995"/>
    <x v="2828"/>
    <n v="17.754000000000001"/>
    <n v="38.122999999999998"/>
    <n v="32.857999999999997"/>
    <n v="22"/>
    <x v="1"/>
  </r>
  <r>
    <x v="6"/>
    <x v="23"/>
    <x v="19"/>
    <x v="16"/>
    <s v="MAG"/>
    <x v="9"/>
    <x v="11"/>
    <x v="15"/>
    <n v="0"/>
    <x v="1"/>
    <x v="52"/>
    <x v="1"/>
    <n v="85.637"/>
    <x v="2829"/>
    <n v="17.257000000000001"/>
    <n v="37.109000000000002"/>
    <n v="31.271000000000001"/>
    <s v="12,29,30,55"/>
    <x v="1"/>
  </r>
  <r>
    <x v="6"/>
    <x v="23"/>
    <x v="19"/>
    <x v="36"/>
    <s v="LAW"/>
    <x v="17"/>
    <x v="10"/>
    <x v="16"/>
    <n v="0"/>
    <x v="1"/>
    <x v="21"/>
    <x v="7"/>
    <n v="88.751000000000005"/>
    <x v="2830"/>
    <n v="17.756"/>
    <n v="38.231000000000002"/>
    <n v="32.517000000000003"/>
    <s v="23,24,29"/>
    <x v="1"/>
  </r>
  <r>
    <x v="6"/>
    <x v="23"/>
    <x v="19"/>
    <x v="7"/>
    <s v="BOT"/>
    <x v="16"/>
    <x v="9"/>
    <x v="17"/>
    <n v="0"/>
    <x v="1"/>
    <x v="21"/>
    <x v="57"/>
    <n v="89.481999999999999"/>
    <x v="2831"/>
    <n v="17.940999999999999"/>
    <n v="38.414999999999999"/>
    <n v="32.723999999999997"/>
    <s v="6,30"/>
    <x v="1"/>
  </r>
  <r>
    <x v="6"/>
    <x v="23"/>
    <x v="19"/>
    <x v="38"/>
    <s v="COL"/>
    <x v="7"/>
    <x v="17"/>
    <x v="18"/>
    <n v="0"/>
    <x v="1"/>
    <x v="21"/>
    <x v="65"/>
    <n v="89.411000000000001"/>
    <x v="2832"/>
    <n v="18.097999999999999"/>
    <n v="38.414999999999999"/>
    <n v="32.737000000000002"/>
    <s v="3,26"/>
    <x v="1"/>
  </r>
  <r>
    <x v="6"/>
    <x v="23"/>
    <x v="19"/>
    <x v="10"/>
    <s v="PER"/>
    <x v="2"/>
    <x v="4"/>
    <x v="19"/>
    <n v="0"/>
    <x v="1"/>
    <x v="21"/>
    <x v="16"/>
    <m/>
    <x v="19"/>
    <m/>
    <m/>
    <m/>
    <m/>
    <x v="1"/>
  </r>
  <r>
    <x v="7"/>
    <x v="0"/>
    <x v="0"/>
    <x v="21"/>
    <s v="NOR"/>
    <x v="3"/>
    <x v="1"/>
    <x v="0"/>
    <n v="25"/>
    <x v="0"/>
    <x v="0"/>
    <x v="1"/>
    <n v="82.167000000000002"/>
    <x v="2833"/>
    <n v="28.553000000000001"/>
    <n v="18.536999999999999"/>
    <n v="34.89"/>
    <s v="2,3,4,34,44"/>
    <x v="0"/>
  </r>
  <r>
    <x v="7"/>
    <x v="0"/>
    <x v="0"/>
    <x v="5"/>
    <s v="VER"/>
    <x v="2"/>
    <x v="0"/>
    <x v="1"/>
    <n v="18"/>
    <x v="0"/>
    <x v="0"/>
    <x v="1"/>
    <n v="83.081000000000003"/>
    <x v="2834"/>
    <n v="28.765999999999998"/>
    <n v="18.154"/>
    <n v="35.634"/>
    <s v="2,3,4,34,46"/>
    <x v="0"/>
  </r>
  <r>
    <x v="7"/>
    <x v="0"/>
    <x v="0"/>
    <x v="24"/>
    <s v="RUS"/>
    <x v="1"/>
    <x v="5"/>
    <x v="2"/>
    <n v="15"/>
    <x v="0"/>
    <x v="0"/>
    <x v="1"/>
    <n v="85.064999999999998"/>
    <x v="2835"/>
    <n v="29.510999999999999"/>
    <n v="18.617000000000001"/>
    <n v="36.795999999999999"/>
    <s v="2,3,4,34,44"/>
    <x v="0"/>
  </r>
  <r>
    <x v="7"/>
    <x v="0"/>
    <x v="0"/>
    <x v="40"/>
    <s v="ANT"/>
    <x v="1"/>
    <x v="14"/>
    <x v="3"/>
    <n v="12"/>
    <x v="1"/>
    <x v="0"/>
    <x v="1"/>
    <n v="84.900999999999996"/>
    <x v="2836"/>
    <n v="29.606000000000002"/>
    <n v="18.341000000000001"/>
    <n v="36.834000000000003"/>
    <s v="2,3,4,33,44"/>
    <x v="0"/>
  </r>
  <r>
    <x v="7"/>
    <x v="0"/>
    <x v="0"/>
    <x v="22"/>
    <s v="ALB"/>
    <x v="7"/>
    <x v="15"/>
    <x v="4"/>
    <n v="10"/>
    <x v="1"/>
    <x v="0"/>
    <x v="1"/>
    <n v="84.596999999999994"/>
    <x v="2837"/>
    <n v="29.495999999999999"/>
    <n v="18.2"/>
    <n v="36.901000000000003"/>
    <s v="2,3,4,33,44"/>
    <x v="0"/>
  </r>
  <r>
    <x v="7"/>
    <x v="0"/>
    <x v="0"/>
    <x v="13"/>
    <s v="STR"/>
    <x v="13"/>
    <x v="13"/>
    <x v="5"/>
    <n v="8"/>
    <x v="1"/>
    <x v="0"/>
    <x v="1"/>
    <n v="85.537999999999997"/>
    <x v="2838"/>
    <n v="29.78"/>
    <n v="18.445"/>
    <n v="37.313000000000002"/>
    <s v="2,3,4,33,44"/>
    <x v="0"/>
  </r>
  <r>
    <x v="7"/>
    <x v="0"/>
    <x v="0"/>
    <x v="6"/>
    <s v="HUL"/>
    <x v="16"/>
    <x v="18"/>
    <x v="6"/>
    <n v="6"/>
    <x v="1"/>
    <x v="0"/>
    <x v="1"/>
    <n v="85.242999999999995"/>
    <x v="2839"/>
    <n v="30.039000000000001"/>
    <n v="18.731999999999999"/>
    <n v="36.472000000000001"/>
    <s v="2,3,4,33,44"/>
    <x v="0"/>
  </r>
  <r>
    <x v="7"/>
    <x v="0"/>
    <x v="0"/>
    <x v="12"/>
    <s v="LEC"/>
    <x v="0"/>
    <x v="6"/>
    <x v="7"/>
    <n v="4"/>
    <x v="1"/>
    <x v="0"/>
    <x v="1"/>
    <n v="85.271000000000001"/>
    <x v="2840"/>
    <n v="29.433"/>
    <n v="17.831"/>
    <n v="36.911999999999999"/>
    <s v="2,3,4,34,47"/>
    <x v="0"/>
  </r>
  <r>
    <x v="7"/>
    <x v="0"/>
    <x v="0"/>
    <x v="35"/>
    <s v="PIA"/>
    <x v="3"/>
    <x v="2"/>
    <x v="8"/>
    <n v="2"/>
    <x v="1"/>
    <x v="0"/>
    <x v="1"/>
    <n v="83.242000000000004"/>
    <x v="2841"/>
    <n v="28.966000000000001"/>
    <n v="18.119"/>
    <n v="35.662999999999997"/>
    <s v="2,3,4,34,44"/>
    <x v="0"/>
  </r>
  <r>
    <x v="7"/>
    <x v="0"/>
    <x v="0"/>
    <x v="1"/>
    <s v="HAM"/>
    <x v="0"/>
    <x v="3"/>
    <x v="9"/>
    <n v="1"/>
    <x v="1"/>
    <x v="0"/>
    <x v="1"/>
    <n v="84.218000000000004"/>
    <x v="2842"/>
    <n v="29.552"/>
    <n v="18.440000000000001"/>
    <n v="36.191000000000003"/>
    <s v="2,3,4,33,47"/>
    <x v="0"/>
  </r>
  <r>
    <x v="7"/>
    <x v="0"/>
    <x v="0"/>
    <x v="17"/>
    <s v="GAS"/>
    <x v="14"/>
    <x v="9"/>
    <x v="10"/>
    <n v="0"/>
    <x v="1"/>
    <x v="0"/>
    <x v="1"/>
    <n v="85.02"/>
    <x v="2843"/>
    <n v="29.466999999999999"/>
    <n v="18.594000000000001"/>
    <n v="36.606000000000002"/>
    <s v="2,3,4,33,46"/>
    <x v="0"/>
  </r>
  <r>
    <x v="7"/>
    <x v="0"/>
    <x v="0"/>
    <x v="29"/>
    <s v="TSU"/>
    <x v="18"/>
    <x v="16"/>
    <x v="11"/>
    <n v="0"/>
    <x v="1"/>
    <x v="0"/>
    <x v="1"/>
    <n v="84.194000000000003"/>
    <x v="2844"/>
    <n v="29.553000000000001"/>
    <n v="18.100000000000001"/>
    <n v="36.540999999999997"/>
    <s v="2,3,4,33,47"/>
    <x v="0"/>
  </r>
  <r>
    <x v="7"/>
    <x v="0"/>
    <x v="0"/>
    <x v="11"/>
    <s v="OCO"/>
    <x v="9"/>
    <x v="19"/>
    <x v="12"/>
    <n v="0"/>
    <x v="1"/>
    <x v="0"/>
    <x v="1"/>
    <n v="86.763999999999996"/>
    <x v="2845"/>
    <n v="30.003"/>
    <n v="18.823"/>
    <n v="37.359000000000002"/>
    <s v="2,3,4,39,46"/>
    <x v="0"/>
  </r>
  <r>
    <x v="7"/>
    <x v="0"/>
    <x v="0"/>
    <x v="37"/>
    <s v="BEA"/>
    <x v="9"/>
    <x v="17"/>
    <x v="13"/>
    <n v="0"/>
    <x v="1"/>
    <x v="0"/>
    <x v="1"/>
    <n v="87.602999999999994"/>
    <x v="2846"/>
    <n v="30.29"/>
    <n v="19.123999999999999"/>
    <n v="37.819000000000003"/>
    <s v="2,3,4,39,44"/>
    <x v="0"/>
  </r>
  <r>
    <x v="7"/>
    <x v="0"/>
    <x v="0"/>
    <x v="36"/>
    <s v="LAW"/>
    <x v="2"/>
    <x v="12"/>
    <x v="14"/>
    <n v="0"/>
    <x v="1"/>
    <x v="21"/>
    <x v="38"/>
    <n v="82.97"/>
    <x v="2847"/>
    <n v="28.698"/>
    <n v="18.234000000000002"/>
    <n v="35.81"/>
    <s v="2,3,4,33"/>
    <x v="0"/>
  </r>
  <r>
    <x v="7"/>
    <x v="0"/>
    <x v="0"/>
    <x v="41"/>
    <s v="BOR"/>
    <x v="16"/>
    <x v="7"/>
    <x v="15"/>
    <n v="0"/>
    <x v="1"/>
    <x v="21"/>
    <x v="21"/>
    <n v="84.191999999999993"/>
    <x v="2848"/>
    <n v="29.065999999999999"/>
    <n v="18.780999999999999"/>
    <n v="35.917999999999999"/>
    <s v="2,3,4,33,44"/>
    <x v="0"/>
  </r>
  <r>
    <x v="7"/>
    <x v="0"/>
    <x v="0"/>
    <x v="4"/>
    <s v="ALO"/>
    <x v="13"/>
    <x v="10"/>
    <x v="16"/>
    <n v="0"/>
    <x v="1"/>
    <x v="21"/>
    <x v="60"/>
    <n v="88.819000000000003"/>
    <x v="2849"/>
    <n v="31.155999999999999"/>
    <n v="18.616"/>
    <n v="38.573999999999998"/>
    <s v="2,3,4"/>
    <x v="0"/>
  </r>
  <r>
    <x v="7"/>
    <x v="0"/>
    <x v="0"/>
    <x v="9"/>
    <s v="SAI"/>
    <x v="7"/>
    <x v="4"/>
    <x v="17"/>
    <n v="0"/>
    <x v="1"/>
    <x v="21"/>
    <x v="16"/>
    <m/>
    <x v="19"/>
    <m/>
    <m/>
    <m/>
    <m/>
    <x v="0"/>
  </r>
  <r>
    <x v="7"/>
    <x v="0"/>
    <x v="0"/>
    <x v="39"/>
    <s v="DOO"/>
    <x v="14"/>
    <x v="11"/>
    <x v="18"/>
    <n v="0"/>
    <x v="1"/>
    <x v="21"/>
    <x v="16"/>
    <m/>
    <x v="19"/>
    <m/>
    <m/>
    <m/>
    <m/>
    <x v="0"/>
  </r>
  <r>
    <x v="7"/>
    <x v="0"/>
    <x v="0"/>
    <x v="42"/>
    <s v="HAD"/>
    <x v="18"/>
    <x v="8"/>
    <x v="19"/>
    <n v="0"/>
    <x v="1"/>
    <x v="21"/>
    <x v="16"/>
    <m/>
    <x v="19"/>
    <m/>
    <m/>
    <m/>
    <m/>
    <x v="0"/>
  </r>
  <r>
    <x v="7"/>
    <x v="1"/>
    <x v="2"/>
    <x v="35"/>
    <s v="PIA"/>
    <x v="3"/>
    <x v="1"/>
    <x v="0"/>
    <n v="25"/>
    <x v="0"/>
    <x v="0"/>
    <x v="7"/>
    <n v="95.52"/>
    <x v="2850"/>
    <n v="25.565000000000001"/>
    <n v="28.606999999999999"/>
    <n v="41.204999999999998"/>
    <n v="14"/>
    <x v="1"/>
  </r>
  <r>
    <x v="7"/>
    <x v="1"/>
    <x v="2"/>
    <x v="21"/>
    <s v="NOR"/>
    <x v="3"/>
    <x v="0"/>
    <x v="1"/>
    <n v="18"/>
    <x v="0"/>
    <x v="0"/>
    <x v="7"/>
    <n v="95.453999999999994"/>
    <x v="2851"/>
    <n v="25.433"/>
    <n v="28.616"/>
    <n v="41.265999999999998"/>
    <n v="15"/>
    <x v="1"/>
  </r>
  <r>
    <x v="7"/>
    <x v="1"/>
    <x v="2"/>
    <x v="24"/>
    <s v="RUS"/>
    <x v="1"/>
    <x v="2"/>
    <x v="2"/>
    <n v="15"/>
    <x v="0"/>
    <x v="0"/>
    <x v="7"/>
    <n v="95.816000000000003"/>
    <x v="2852"/>
    <n v="25.573"/>
    <n v="28.805"/>
    <n v="41.286999999999999"/>
    <n v="14"/>
    <x v="1"/>
  </r>
  <r>
    <x v="7"/>
    <x v="1"/>
    <x v="2"/>
    <x v="5"/>
    <s v="VER"/>
    <x v="2"/>
    <x v="5"/>
    <x v="3"/>
    <n v="12"/>
    <x v="1"/>
    <x v="0"/>
    <x v="7"/>
    <n v="95.488"/>
    <x v="2853"/>
    <n v="25.341000000000001"/>
    <n v="28.678999999999998"/>
    <n v="41.192"/>
    <n v="13"/>
    <x v="1"/>
  </r>
  <r>
    <x v="7"/>
    <x v="1"/>
    <x v="2"/>
    <x v="11"/>
    <s v="OCO"/>
    <x v="9"/>
    <x v="8"/>
    <x v="4"/>
    <n v="10"/>
    <x v="1"/>
    <x v="0"/>
    <x v="7"/>
    <n v="95.74"/>
    <x v="2854"/>
    <n v="25.54"/>
    <n v="28.780999999999999"/>
    <n v="41.366999999999997"/>
    <n v="11"/>
    <x v="1"/>
  </r>
  <r>
    <x v="7"/>
    <x v="1"/>
    <x v="2"/>
    <x v="43"/>
    <s v="ANT"/>
    <x v="1"/>
    <x v="3"/>
    <x v="5"/>
    <n v="8"/>
    <x v="1"/>
    <x v="0"/>
    <x v="7"/>
    <n v="96.046000000000006"/>
    <x v="2855"/>
    <n v="25.696999999999999"/>
    <n v="28.888999999999999"/>
    <n v="41.32"/>
    <n v="12"/>
    <x v="1"/>
  </r>
  <r>
    <x v="7"/>
    <x v="1"/>
    <x v="2"/>
    <x v="22"/>
    <s v="ALB"/>
    <x v="7"/>
    <x v="4"/>
    <x v="6"/>
    <n v="6"/>
    <x v="1"/>
    <x v="0"/>
    <x v="7"/>
    <n v="96.254000000000005"/>
    <x v="2856"/>
    <n v="25.748999999999999"/>
    <n v="28.911000000000001"/>
    <n v="41.462000000000003"/>
    <n v="20"/>
    <x v="1"/>
  </r>
  <r>
    <x v="7"/>
    <x v="1"/>
    <x v="2"/>
    <x v="37"/>
    <s v="BEA"/>
    <x v="9"/>
    <x v="18"/>
    <x v="7"/>
    <n v="4"/>
    <x v="1"/>
    <x v="0"/>
    <x v="7"/>
    <n v="96.363"/>
    <x v="2857"/>
    <n v="25.689"/>
    <n v="29.01"/>
    <n v="41.308999999999997"/>
    <n v="26"/>
    <x v="1"/>
  </r>
  <r>
    <x v="7"/>
    <x v="1"/>
    <x v="2"/>
    <x v="13"/>
    <s v="STR"/>
    <x v="13"/>
    <x v="11"/>
    <x v="8"/>
    <n v="2"/>
    <x v="1"/>
    <x v="0"/>
    <x v="7"/>
    <n v="96.043999999999997"/>
    <x v="2858"/>
    <n v="25.433"/>
    <n v="28.934999999999999"/>
    <n v="41.38"/>
    <n v="36"/>
    <x v="1"/>
  </r>
  <r>
    <x v="7"/>
    <x v="1"/>
    <x v="2"/>
    <x v="9"/>
    <s v="SAI"/>
    <x v="7"/>
    <x v="7"/>
    <x v="9"/>
    <n v="1"/>
    <x v="1"/>
    <x v="0"/>
    <x v="7"/>
    <n v="96.778999999999996"/>
    <x v="2859"/>
    <n v="25.776"/>
    <n v="29.058"/>
    <n v="41.747999999999998"/>
    <n v="17"/>
    <x v="1"/>
  </r>
  <r>
    <x v="7"/>
    <x v="1"/>
    <x v="2"/>
    <x v="42"/>
    <s v="HAD"/>
    <x v="18"/>
    <x v="6"/>
    <x v="10"/>
    <n v="0"/>
    <x v="1"/>
    <x v="0"/>
    <x v="7"/>
    <n v="95.867999999999995"/>
    <x v="2860"/>
    <n v="25.571999999999999"/>
    <n v="28.786999999999999"/>
    <n v="41.509"/>
    <s v="12,33"/>
    <x v="1"/>
  </r>
  <r>
    <x v="7"/>
    <x v="1"/>
    <x v="2"/>
    <x v="36"/>
    <s v="LAW"/>
    <x v="2"/>
    <x v="17"/>
    <x v="11"/>
    <n v="0"/>
    <x v="1"/>
    <x v="0"/>
    <x v="7"/>
    <n v="95.984999999999999"/>
    <x v="2861"/>
    <n v="25.425999999999998"/>
    <n v="29.018000000000001"/>
    <n v="41.365000000000002"/>
    <s v="18,30"/>
    <x v="1"/>
  </r>
  <r>
    <x v="7"/>
    <x v="1"/>
    <x v="2"/>
    <x v="39"/>
    <s v="DOO"/>
    <x v="14"/>
    <x v="12"/>
    <x v="12"/>
    <n v="0"/>
    <x v="1"/>
    <x v="0"/>
    <x v="7"/>
    <n v="96.424000000000007"/>
    <x v="2862"/>
    <n v="25.786000000000001"/>
    <n v="28.858000000000001"/>
    <n v="41.697000000000003"/>
    <n v="11"/>
    <x v="1"/>
  </r>
  <r>
    <x v="7"/>
    <x v="1"/>
    <x v="2"/>
    <x v="41"/>
    <s v="BOR"/>
    <x v="16"/>
    <x v="19"/>
    <x v="13"/>
    <n v="0"/>
    <x v="1"/>
    <x v="52"/>
    <x v="35"/>
    <n v="95.873999999999995"/>
    <x v="2863"/>
    <n v="25.593"/>
    <n v="28.722999999999999"/>
    <n v="41.558"/>
    <s v="1,26"/>
    <x v="1"/>
  </r>
  <r>
    <x v="7"/>
    <x v="1"/>
    <x v="2"/>
    <x v="6"/>
    <s v="HUL"/>
    <x v="16"/>
    <x v="10"/>
    <x v="14"/>
    <n v="0"/>
    <x v="1"/>
    <x v="52"/>
    <x v="35"/>
    <n v="97.275000000000006"/>
    <x v="2864"/>
    <n v="25.895"/>
    <n v="29.324999999999999"/>
    <n v="41.975000000000001"/>
    <n v="20"/>
    <x v="1"/>
  </r>
  <r>
    <x v="7"/>
    <x v="1"/>
    <x v="2"/>
    <x v="29"/>
    <s v="TSU"/>
    <x v="18"/>
    <x v="9"/>
    <x v="15"/>
    <n v="0"/>
    <x v="1"/>
    <x v="52"/>
    <x v="35"/>
    <n v="95.870999999999995"/>
    <x v="2865"/>
    <n v="25.62"/>
    <n v="28.751999999999999"/>
    <n v="41.423000000000002"/>
    <s v="11,35,46"/>
    <x v="1"/>
  </r>
  <r>
    <x v="7"/>
    <x v="1"/>
    <x v="2"/>
    <x v="4"/>
    <s v="ALO"/>
    <x v="13"/>
    <x v="13"/>
    <x v="16"/>
    <n v="0"/>
    <x v="1"/>
    <x v="21"/>
    <x v="9"/>
    <n v="99.256"/>
    <x v="2866"/>
    <n v="26.288"/>
    <n v="30.334"/>
    <n v="42.59"/>
    <n v="4"/>
    <x v="1"/>
  </r>
  <r>
    <x v="7"/>
    <x v="1"/>
    <x v="2"/>
    <x v="12"/>
    <s v="LEC"/>
    <x v="0"/>
    <x v="15"/>
    <x v="17"/>
    <n v="0"/>
    <x v="1"/>
    <x v="26"/>
    <x v="7"/>
    <n v="96.156999999999996"/>
    <x v="2867"/>
    <n v="25.539000000000001"/>
    <n v="29.012"/>
    <n v="41.408000000000001"/>
    <n v="15"/>
    <x v="1"/>
  </r>
  <r>
    <x v="7"/>
    <x v="1"/>
    <x v="2"/>
    <x v="1"/>
    <s v="HAM"/>
    <x v="0"/>
    <x v="16"/>
    <x v="18"/>
    <n v="0"/>
    <x v="1"/>
    <x v="26"/>
    <x v="7"/>
    <n v="95.069000000000003"/>
    <x v="2868"/>
    <n v="25.334"/>
    <n v="28.437000000000001"/>
    <n v="41.177"/>
    <s v="13,37"/>
    <x v="1"/>
  </r>
  <r>
    <x v="7"/>
    <x v="1"/>
    <x v="2"/>
    <x v="17"/>
    <s v="GAS"/>
    <x v="14"/>
    <x v="14"/>
    <x v="19"/>
    <n v="0"/>
    <x v="1"/>
    <x v="26"/>
    <x v="7"/>
    <n v="96.424999999999997"/>
    <x v="2869"/>
    <n v="25.628"/>
    <n v="28.913"/>
    <n v="41.792000000000002"/>
    <n v="10"/>
    <x v="1"/>
  </r>
  <r>
    <x v="7"/>
    <x v="2"/>
    <x v="15"/>
    <x v="5"/>
    <s v="VER"/>
    <x v="2"/>
    <x v="1"/>
    <x v="0"/>
    <n v="25"/>
    <x v="0"/>
    <x v="0"/>
    <x v="28"/>
    <n v="91.040999999999997"/>
    <x v="2870"/>
    <n v="31.286000000000001"/>
    <n v="41.707999999999998"/>
    <n v="17.858000000000001"/>
    <n v="21"/>
    <x v="1"/>
  </r>
  <r>
    <x v="7"/>
    <x v="2"/>
    <x v="15"/>
    <x v="21"/>
    <s v="NOR"/>
    <x v="3"/>
    <x v="2"/>
    <x v="1"/>
    <n v="18"/>
    <x v="0"/>
    <x v="0"/>
    <x v="28"/>
    <n v="91.116"/>
    <x v="2871"/>
    <n v="31.234999999999999"/>
    <n v="41.726999999999997"/>
    <n v="17.835999999999999"/>
    <n v="21"/>
    <x v="1"/>
  </r>
  <r>
    <x v="7"/>
    <x v="2"/>
    <x v="15"/>
    <x v="35"/>
    <s v="PIA"/>
    <x v="3"/>
    <x v="0"/>
    <x v="2"/>
    <n v="15"/>
    <x v="0"/>
    <x v="0"/>
    <x v="28"/>
    <n v="91.039000000000001"/>
    <x v="2872"/>
    <n v="31.335000000000001"/>
    <n v="41.515000000000001"/>
    <n v="17.884"/>
    <n v="20"/>
    <x v="1"/>
  </r>
  <r>
    <x v="7"/>
    <x v="2"/>
    <x v="15"/>
    <x v="12"/>
    <s v="LEC"/>
    <x v="0"/>
    <x v="5"/>
    <x v="3"/>
    <n v="12"/>
    <x v="1"/>
    <x v="0"/>
    <x v="28"/>
    <n v="91.468999999999994"/>
    <x v="2873"/>
    <n v="31.649000000000001"/>
    <n v="41.682000000000002"/>
    <n v="17.907"/>
    <n v="21"/>
    <x v="1"/>
  </r>
  <r>
    <x v="7"/>
    <x v="2"/>
    <x v="15"/>
    <x v="24"/>
    <s v="RUS"/>
    <x v="1"/>
    <x v="16"/>
    <x v="4"/>
    <n v="10"/>
    <x v="1"/>
    <x v="0"/>
    <x v="28"/>
    <n v="91.356999999999999"/>
    <x v="2874"/>
    <n v="31.353999999999999"/>
    <n v="41.884999999999998"/>
    <n v="17.920000000000002"/>
    <n v="19"/>
    <x v="1"/>
  </r>
  <r>
    <x v="7"/>
    <x v="2"/>
    <x v="15"/>
    <x v="43"/>
    <s v="ANT"/>
    <x v="1"/>
    <x v="15"/>
    <x v="5"/>
    <n v="8"/>
    <x v="1"/>
    <x v="0"/>
    <x v="28"/>
    <n v="90.965000000000003"/>
    <x v="2875"/>
    <n v="31.396000000000001"/>
    <n v="41.496000000000002"/>
    <n v="17.751000000000001"/>
    <n v="31"/>
    <x v="1"/>
  </r>
  <r>
    <x v="7"/>
    <x v="2"/>
    <x v="15"/>
    <x v="1"/>
    <s v="HAM"/>
    <x v="0"/>
    <x v="3"/>
    <x v="6"/>
    <n v="6"/>
    <x v="1"/>
    <x v="0"/>
    <x v="28"/>
    <n v="91.406000000000006"/>
    <x v="2876"/>
    <n v="31.664999999999999"/>
    <n v="41.404000000000003"/>
    <n v="17.741"/>
    <n v="30"/>
    <x v="1"/>
  </r>
  <r>
    <x v="7"/>
    <x v="2"/>
    <x v="15"/>
    <x v="42"/>
    <s v="HAD"/>
    <x v="18"/>
    <x v="6"/>
    <x v="7"/>
    <n v="4"/>
    <x v="1"/>
    <x v="0"/>
    <x v="28"/>
    <n v="91.316999999999993"/>
    <x v="2877"/>
    <n v="31.576000000000001"/>
    <n v="41.75"/>
    <n v="17.956"/>
    <n v="25"/>
    <x v="1"/>
  </r>
  <r>
    <x v="7"/>
    <x v="2"/>
    <x v="15"/>
    <x v="22"/>
    <s v="ALB"/>
    <x v="7"/>
    <x v="9"/>
    <x v="8"/>
    <n v="2"/>
    <x v="1"/>
    <x v="0"/>
    <x v="28"/>
    <n v="91.125"/>
    <x v="2878"/>
    <n v="31.466000000000001"/>
    <n v="41.756"/>
    <n v="17.809000000000001"/>
    <n v="24"/>
    <x v="1"/>
  </r>
  <r>
    <x v="7"/>
    <x v="2"/>
    <x v="15"/>
    <x v="37"/>
    <s v="BEA"/>
    <x v="9"/>
    <x v="4"/>
    <x v="9"/>
    <n v="1"/>
    <x v="1"/>
    <x v="0"/>
    <x v="28"/>
    <n v="92.006"/>
    <x v="2879"/>
    <n v="31.751999999999999"/>
    <n v="41.927999999999997"/>
    <n v="18.036000000000001"/>
    <n v="23"/>
    <x v="1"/>
  </r>
  <r>
    <x v="7"/>
    <x v="2"/>
    <x v="15"/>
    <x v="4"/>
    <s v="ALO"/>
    <x v="13"/>
    <x v="10"/>
    <x v="10"/>
    <n v="0"/>
    <x v="1"/>
    <x v="0"/>
    <x v="28"/>
    <n v="91.77"/>
    <x v="2880"/>
    <n v="31.690999999999999"/>
    <n v="41.798999999999999"/>
    <n v="18.027000000000001"/>
    <n v="24"/>
    <x v="1"/>
  </r>
  <r>
    <x v="7"/>
    <x v="2"/>
    <x v="15"/>
    <x v="29"/>
    <s v="TSU"/>
    <x v="2"/>
    <x v="11"/>
    <x v="11"/>
    <n v="0"/>
    <x v="1"/>
    <x v="0"/>
    <x v="28"/>
    <n v="91.870999999999995"/>
    <x v="2881"/>
    <n v="31.855"/>
    <n v="41.811999999999998"/>
    <n v="17.975000000000001"/>
    <n v="23"/>
    <x v="1"/>
  </r>
  <r>
    <x v="7"/>
    <x v="2"/>
    <x v="15"/>
    <x v="17"/>
    <s v="GAS"/>
    <x v="14"/>
    <x v="8"/>
    <x v="12"/>
    <n v="0"/>
    <x v="1"/>
    <x v="0"/>
    <x v="28"/>
    <n v="91.82"/>
    <x v="2882"/>
    <n v="31.52"/>
    <n v="41.972999999999999"/>
    <n v="17.949000000000002"/>
    <n v="24"/>
    <x v="1"/>
  </r>
  <r>
    <x v="7"/>
    <x v="2"/>
    <x v="15"/>
    <x v="9"/>
    <s v="SAI"/>
    <x v="7"/>
    <x v="7"/>
    <x v="13"/>
    <n v="0"/>
    <x v="1"/>
    <x v="0"/>
    <x v="28"/>
    <n v="91.105999999999995"/>
    <x v="2883"/>
    <n v="31.440999999999999"/>
    <n v="41.484000000000002"/>
    <n v="17.7"/>
    <n v="33"/>
    <x v="1"/>
  </r>
  <r>
    <x v="7"/>
    <x v="2"/>
    <x v="15"/>
    <x v="39"/>
    <s v="DOO"/>
    <x v="14"/>
    <x v="19"/>
    <x v="14"/>
    <n v="0"/>
    <x v="1"/>
    <x v="0"/>
    <x v="28"/>
    <n v="92.685000000000002"/>
    <x v="2884"/>
    <n v="32.24"/>
    <n v="42.188000000000002"/>
    <n v="18.140999999999998"/>
    <n v="15"/>
    <x v="1"/>
  </r>
  <r>
    <x v="7"/>
    <x v="2"/>
    <x v="15"/>
    <x v="6"/>
    <s v="HUL"/>
    <x v="16"/>
    <x v="14"/>
    <x v="15"/>
    <n v="0"/>
    <x v="1"/>
    <x v="0"/>
    <x v="28"/>
    <n v="92.572000000000003"/>
    <x v="2885"/>
    <n v="31.989000000000001"/>
    <n v="41.664000000000001"/>
    <n v="17.98"/>
    <n v="22"/>
    <x v="1"/>
  </r>
  <r>
    <x v="7"/>
    <x v="2"/>
    <x v="15"/>
    <x v="36"/>
    <s v="LAW"/>
    <x v="18"/>
    <x v="13"/>
    <x v="16"/>
    <n v="0"/>
    <x v="1"/>
    <x v="0"/>
    <x v="28"/>
    <n v="92.043000000000006"/>
    <x v="2886"/>
    <n v="32.210999999999999"/>
    <n v="41.505000000000003"/>
    <n v="17.928000000000001"/>
    <n v="33"/>
    <x v="1"/>
  </r>
  <r>
    <x v="7"/>
    <x v="2"/>
    <x v="15"/>
    <x v="11"/>
    <s v="OCO"/>
    <x v="9"/>
    <x v="12"/>
    <x v="17"/>
    <n v="0"/>
    <x v="1"/>
    <x v="0"/>
    <x v="28"/>
    <n v="91.966999999999999"/>
    <x v="2887"/>
    <n v="32.021999999999998"/>
    <n v="41.862000000000002"/>
    <n v="18.003"/>
    <n v="32"/>
    <x v="1"/>
  </r>
  <r>
    <x v="7"/>
    <x v="2"/>
    <x v="15"/>
    <x v="41"/>
    <s v="BOR"/>
    <x v="16"/>
    <x v="18"/>
    <x v="18"/>
    <n v="0"/>
    <x v="1"/>
    <x v="0"/>
    <x v="28"/>
    <n v="92.034000000000006"/>
    <x v="2888"/>
    <n v="31.911000000000001"/>
    <n v="41.597000000000001"/>
    <n v="17.896999999999998"/>
    <n v="31"/>
    <x v="1"/>
  </r>
  <r>
    <x v="7"/>
    <x v="2"/>
    <x v="15"/>
    <x v="13"/>
    <s v="STR"/>
    <x v="13"/>
    <x v="17"/>
    <x v="19"/>
    <n v="0"/>
    <x v="1"/>
    <x v="52"/>
    <x v="33"/>
    <n v="92.052000000000007"/>
    <x v="2889"/>
    <n v="31.792000000000002"/>
    <n v="41.738"/>
    <n v="18.088000000000001"/>
    <s v="9,30"/>
    <x v="1"/>
  </r>
  <r>
    <x v="7"/>
    <x v="3"/>
    <x v="1"/>
    <x v="35"/>
    <s v="PIA"/>
    <x v="3"/>
    <x v="1"/>
    <x v="0"/>
    <n v="25"/>
    <x v="0"/>
    <x v="0"/>
    <x v="1"/>
    <n v="95.14"/>
    <x v="2890"/>
    <n v="30.547999999999998"/>
    <n v="41.215000000000003"/>
    <n v="23.376999999999999"/>
    <s v="14,32"/>
    <x v="1"/>
  </r>
  <r>
    <x v="7"/>
    <x v="3"/>
    <x v="1"/>
    <x v="24"/>
    <s v="RUS"/>
    <x v="1"/>
    <x v="0"/>
    <x v="1"/>
    <n v="18"/>
    <x v="0"/>
    <x v="0"/>
    <x v="1"/>
    <n v="95.518000000000001"/>
    <x v="2891"/>
    <n v="30.751999999999999"/>
    <n v="41.505000000000003"/>
    <n v="23.260999999999999"/>
    <s v="13,32"/>
    <x v="1"/>
  </r>
  <r>
    <x v="7"/>
    <x v="3"/>
    <x v="1"/>
    <x v="21"/>
    <s v="NOR"/>
    <x v="3"/>
    <x v="15"/>
    <x v="2"/>
    <n v="15"/>
    <x v="0"/>
    <x v="0"/>
    <x v="1"/>
    <n v="95.727999999999994"/>
    <x v="2892"/>
    <n v="30.584"/>
    <n v="41.466999999999999"/>
    <n v="23.448"/>
    <s v="10,32"/>
    <x v="1"/>
  </r>
  <r>
    <x v="7"/>
    <x v="3"/>
    <x v="1"/>
    <x v="12"/>
    <s v="LEC"/>
    <x v="0"/>
    <x v="2"/>
    <x v="3"/>
    <n v="12"/>
    <x v="1"/>
    <x v="0"/>
    <x v="1"/>
    <n v="96.132000000000005"/>
    <x v="2893"/>
    <n v="30.795000000000002"/>
    <n v="41.387999999999998"/>
    <n v="23.568999999999999"/>
    <s v="17,32"/>
    <x v="1"/>
  </r>
  <r>
    <x v="7"/>
    <x v="3"/>
    <x v="1"/>
    <x v="1"/>
    <s v="HAM"/>
    <x v="0"/>
    <x v="9"/>
    <x v="4"/>
    <n v="10"/>
    <x v="1"/>
    <x v="0"/>
    <x v="1"/>
    <n v="96.234999999999999"/>
    <x v="2894"/>
    <n v="30.457000000000001"/>
    <n v="41.457999999999998"/>
    <n v="23.675999999999998"/>
    <s v="17,32"/>
    <x v="1"/>
  </r>
  <r>
    <x v="7"/>
    <x v="3"/>
    <x v="1"/>
    <x v="5"/>
    <s v="VER"/>
    <x v="2"/>
    <x v="6"/>
    <x v="5"/>
    <n v="8"/>
    <x v="1"/>
    <x v="0"/>
    <x v="1"/>
    <n v="96.167000000000002"/>
    <x v="2895"/>
    <n v="30.521000000000001"/>
    <n v="41.674999999999997"/>
    <n v="23.747"/>
    <s v="10,26"/>
    <x v="1"/>
  </r>
  <r>
    <x v="7"/>
    <x v="3"/>
    <x v="1"/>
    <x v="17"/>
    <s v="GAS"/>
    <x v="14"/>
    <x v="5"/>
    <x v="6"/>
    <n v="6"/>
    <x v="1"/>
    <x v="0"/>
    <x v="1"/>
    <n v="96.531000000000006"/>
    <x v="2896"/>
    <n v="30.718"/>
    <n v="41.744999999999997"/>
    <n v="23.652000000000001"/>
    <s v="10,28"/>
    <x v="1"/>
  </r>
  <r>
    <x v="7"/>
    <x v="3"/>
    <x v="1"/>
    <x v="11"/>
    <s v="OCO"/>
    <x v="9"/>
    <x v="11"/>
    <x v="7"/>
    <n v="4"/>
    <x v="1"/>
    <x v="0"/>
    <x v="1"/>
    <n v="97.097999999999999"/>
    <x v="2897"/>
    <n v="30.922999999999998"/>
    <n v="42.167999999999999"/>
    <n v="23.853999999999999"/>
    <s v="8,27"/>
    <x v="1"/>
  </r>
  <r>
    <x v="7"/>
    <x v="3"/>
    <x v="1"/>
    <x v="29"/>
    <s v="TSU"/>
    <x v="2"/>
    <x v="4"/>
    <x v="8"/>
    <n v="2"/>
    <x v="1"/>
    <x v="0"/>
    <x v="1"/>
    <n v="97.224999999999994"/>
    <x v="2898"/>
    <n v="30.625"/>
    <n v="42.238999999999997"/>
    <n v="23.943999999999999"/>
    <s v="11,32"/>
    <x v="1"/>
  </r>
  <r>
    <x v="7"/>
    <x v="3"/>
    <x v="1"/>
    <x v="37"/>
    <s v="BEA"/>
    <x v="9"/>
    <x v="17"/>
    <x v="9"/>
    <n v="1"/>
    <x v="1"/>
    <x v="0"/>
    <x v="1"/>
    <n v="97.302999999999997"/>
    <x v="2899"/>
    <n v="30.638999999999999"/>
    <n v="42.497"/>
    <n v="23.9"/>
    <s v="14,32"/>
    <x v="1"/>
  </r>
  <r>
    <x v="7"/>
    <x v="3"/>
    <x v="1"/>
    <x v="43"/>
    <s v="ANT"/>
    <x v="1"/>
    <x v="16"/>
    <x v="10"/>
    <n v="0"/>
    <x v="1"/>
    <x v="0"/>
    <x v="1"/>
    <n v="96.69"/>
    <x v="2900"/>
    <n v="30.526"/>
    <n v="42.012"/>
    <n v="23.655000000000001"/>
    <s v="12,27,32"/>
    <x v="1"/>
  </r>
  <r>
    <x v="7"/>
    <x v="3"/>
    <x v="1"/>
    <x v="22"/>
    <s v="ALB"/>
    <x v="7"/>
    <x v="7"/>
    <x v="11"/>
    <n v="0"/>
    <x v="1"/>
    <x v="0"/>
    <x v="1"/>
    <n v="97.141000000000005"/>
    <x v="2901"/>
    <n v="30.593"/>
    <n v="42.371000000000002"/>
    <n v="23.757999999999999"/>
    <s v="16,32"/>
    <x v="1"/>
  </r>
  <r>
    <x v="7"/>
    <x v="3"/>
    <x v="1"/>
    <x v="42"/>
    <s v="HAD"/>
    <x v="18"/>
    <x v="10"/>
    <x v="12"/>
    <n v="0"/>
    <x v="1"/>
    <x v="0"/>
    <x v="1"/>
    <n v="96.951999999999998"/>
    <x v="2902"/>
    <n v="30.666"/>
    <n v="42.384999999999998"/>
    <n v="23.742000000000001"/>
    <s v="6,28"/>
    <x v="1"/>
  </r>
  <r>
    <x v="7"/>
    <x v="3"/>
    <x v="1"/>
    <x v="39"/>
    <s v="DOO"/>
    <x v="14"/>
    <x v="8"/>
    <x v="13"/>
    <n v="0"/>
    <x v="1"/>
    <x v="0"/>
    <x v="1"/>
    <n v="96.682000000000002"/>
    <x v="2903"/>
    <n v="30.893999999999998"/>
    <n v="41.838999999999999"/>
    <n v="23.814"/>
    <s v="9,28"/>
    <x v="1"/>
  </r>
  <r>
    <x v="7"/>
    <x v="3"/>
    <x v="1"/>
    <x v="4"/>
    <s v="ALO"/>
    <x v="13"/>
    <x v="13"/>
    <x v="14"/>
    <n v="0"/>
    <x v="1"/>
    <x v="0"/>
    <x v="1"/>
    <n v="97.906000000000006"/>
    <x v="2904"/>
    <n v="30.905000000000001"/>
    <n v="42.478999999999999"/>
    <n v="24.106999999999999"/>
    <s v="16,32"/>
    <x v="1"/>
  </r>
  <r>
    <x v="7"/>
    <x v="3"/>
    <x v="1"/>
    <x v="36"/>
    <s v="LAW"/>
    <x v="18"/>
    <x v="18"/>
    <x v="15"/>
    <n v="0"/>
    <x v="1"/>
    <x v="0"/>
    <x v="1"/>
    <n v="97.38"/>
    <x v="2905"/>
    <n v="30.814"/>
    <n v="42.351999999999997"/>
    <n v="23.960999999999999"/>
    <s v="14,32"/>
    <x v="1"/>
  </r>
  <r>
    <x v="7"/>
    <x v="3"/>
    <x v="1"/>
    <x v="13"/>
    <s v="STR"/>
    <x v="13"/>
    <x v="19"/>
    <x v="16"/>
    <n v="0"/>
    <x v="1"/>
    <x v="0"/>
    <x v="1"/>
    <n v="98.063999999999993"/>
    <x v="2906"/>
    <n v="30.85"/>
    <n v="42.787999999999997"/>
    <n v="24.152999999999999"/>
    <s v="12,32"/>
    <x v="1"/>
  </r>
  <r>
    <x v="7"/>
    <x v="3"/>
    <x v="1"/>
    <x v="41"/>
    <s v="BOR"/>
    <x v="16"/>
    <x v="12"/>
    <x v="17"/>
    <n v="0"/>
    <x v="1"/>
    <x v="0"/>
    <x v="1"/>
    <n v="98.006"/>
    <x v="2907"/>
    <n v="30.946999999999999"/>
    <n v="42.694000000000003"/>
    <n v="24.225000000000001"/>
    <s v="13,32"/>
    <x v="1"/>
  </r>
  <r>
    <x v="7"/>
    <x v="3"/>
    <x v="1"/>
    <x v="9"/>
    <s v="SAI"/>
    <x v="7"/>
    <x v="3"/>
    <x v="18"/>
    <n v="0"/>
    <x v="1"/>
    <x v="21"/>
    <x v="55"/>
    <n v="96.953999999999994"/>
    <x v="2908"/>
    <n v="30.548999999999999"/>
    <n v="42.491"/>
    <n v="23.914000000000001"/>
    <s v="14,32,44,45"/>
    <x v="1"/>
  </r>
  <r>
    <x v="7"/>
    <x v="3"/>
    <x v="1"/>
    <x v="6"/>
    <s v="HUL"/>
    <x v="16"/>
    <x v="14"/>
    <x v="19"/>
    <n v="0"/>
    <x v="1"/>
    <x v="26"/>
    <x v="1"/>
    <n v="97.337999999999994"/>
    <x v="2909"/>
    <n v="30.852"/>
    <n v="42.399000000000001"/>
    <n v="23.824000000000002"/>
    <s v="5,27"/>
    <x v="1"/>
  </r>
  <r>
    <x v="7"/>
    <x v="4"/>
    <x v="33"/>
    <x v="35"/>
    <s v="PIA"/>
    <x v="3"/>
    <x v="2"/>
    <x v="0"/>
    <n v="25"/>
    <x v="0"/>
    <x v="0"/>
    <x v="43"/>
    <n v="92.227999999999994"/>
    <x v="2910"/>
    <n v="33.933999999999997"/>
    <n v="28.888000000000002"/>
    <n v="29.353000000000002"/>
    <n v="19"/>
    <x v="1"/>
  </r>
  <r>
    <x v="7"/>
    <x v="4"/>
    <x v="33"/>
    <x v="5"/>
    <s v="VER"/>
    <x v="2"/>
    <x v="1"/>
    <x v="1"/>
    <n v="18"/>
    <x v="0"/>
    <x v="0"/>
    <x v="43"/>
    <n v="92.28"/>
    <x v="2911"/>
    <n v="33.667000000000002"/>
    <n v="29.094999999999999"/>
    <n v="29.308"/>
    <n v="21"/>
    <x v="1"/>
  </r>
  <r>
    <x v="7"/>
    <x v="4"/>
    <x v="33"/>
    <x v="12"/>
    <s v="LEC"/>
    <x v="0"/>
    <x v="5"/>
    <x v="2"/>
    <n v="15"/>
    <x v="0"/>
    <x v="0"/>
    <x v="43"/>
    <n v="92.191999999999993"/>
    <x v="2912"/>
    <n v="33.636000000000003"/>
    <n v="28.994"/>
    <n v="29.113"/>
    <n v="29"/>
    <x v="1"/>
  </r>
  <r>
    <x v="7"/>
    <x v="4"/>
    <x v="33"/>
    <x v="21"/>
    <s v="NOR"/>
    <x v="3"/>
    <x v="4"/>
    <x v="3"/>
    <n v="12"/>
    <x v="1"/>
    <x v="0"/>
    <x v="43"/>
    <n v="91.778000000000006"/>
    <x v="2913"/>
    <n v="33.499000000000002"/>
    <n v="28.922999999999998"/>
    <n v="29.202000000000002"/>
    <n v="34"/>
    <x v="1"/>
  </r>
  <r>
    <x v="7"/>
    <x v="4"/>
    <x v="33"/>
    <x v="24"/>
    <s v="RUS"/>
    <x v="1"/>
    <x v="0"/>
    <x v="4"/>
    <n v="10"/>
    <x v="1"/>
    <x v="0"/>
    <x v="43"/>
    <n v="92.893000000000001"/>
    <x v="2914"/>
    <n v="34.148000000000003"/>
    <n v="29.026"/>
    <n v="29.507999999999999"/>
    <n v="20"/>
    <x v="1"/>
  </r>
  <r>
    <x v="7"/>
    <x v="4"/>
    <x v="33"/>
    <x v="43"/>
    <s v="ANT"/>
    <x v="1"/>
    <x v="16"/>
    <x v="5"/>
    <n v="8"/>
    <x v="1"/>
    <x v="0"/>
    <x v="43"/>
    <n v="92.396000000000001"/>
    <x v="2915"/>
    <n v="33.869999999999997"/>
    <n v="28.992000000000001"/>
    <n v="29.411999999999999"/>
    <n v="19"/>
    <x v="1"/>
  </r>
  <r>
    <x v="7"/>
    <x v="4"/>
    <x v="33"/>
    <x v="1"/>
    <s v="HAM"/>
    <x v="0"/>
    <x v="6"/>
    <x v="6"/>
    <n v="6"/>
    <x v="1"/>
    <x v="0"/>
    <x v="43"/>
    <n v="92.6"/>
    <x v="2916"/>
    <n v="34"/>
    <n v="29.030999999999999"/>
    <n v="29.5"/>
    <n v="23"/>
    <x v="1"/>
  </r>
  <r>
    <x v="7"/>
    <x v="4"/>
    <x v="33"/>
    <x v="9"/>
    <s v="SAI"/>
    <x v="7"/>
    <x v="15"/>
    <x v="7"/>
    <n v="4"/>
    <x v="1"/>
    <x v="0"/>
    <x v="43"/>
    <n v="92.465999999999994"/>
    <x v="2917"/>
    <n v="34.095999999999997"/>
    <n v="28.972000000000001"/>
    <n v="29.398"/>
    <n v="21"/>
    <x v="1"/>
  </r>
  <r>
    <x v="7"/>
    <x v="4"/>
    <x v="33"/>
    <x v="22"/>
    <s v="ALB"/>
    <x v="7"/>
    <x v="8"/>
    <x v="8"/>
    <n v="2"/>
    <x v="1"/>
    <x v="0"/>
    <x v="43"/>
    <n v="93.477000000000004"/>
    <x v="2918"/>
    <n v="34.710999999999999"/>
    <n v="29.228999999999999"/>
    <n v="29.297999999999998"/>
    <n v="22"/>
    <x v="1"/>
  </r>
  <r>
    <x v="7"/>
    <x v="4"/>
    <x v="33"/>
    <x v="42"/>
    <s v="HAD"/>
    <x v="18"/>
    <x v="11"/>
    <x v="9"/>
    <n v="1"/>
    <x v="1"/>
    <x v="0"/>
    <x v="43"/>
    <n v="93.257000000000005"/>
    <x v="2919"/>
    <n v="34.496000000000002"/>
    <n v="29.062999999999999"/>
    <n v="29.498999999999999"/>
    <n v="34"/>
    <x v="1"/>
  </r>
  <r>
    <x v="7"/>
    <x v="4"/>
    <x v="33"/>
    <x v="4"/>
    <s v="ALO"/>
    <x v="13"/>
    <x v="13"/>
    <x v="10"/>
    <n v="0"/>
    <x v="1"/>
    <x v="0"/>
    <x v="43"/>
    <n v="93.009"/>
    <x v="2920"/>
    <n v="34.029000000000003"/>
    <n v="29.202000000000002"/>
    <n v="29.716999999999999"/>
    <n v="19"/>
    <x v="1"/>
  </r>
  <r>
    <x v="7"/>
    <x v="4"/>
    <x v="33"/>
    <x v="36"/>
    <s v="LAW"/>
    <x v="18"/>
    <x v="10"/>
    <x v="11"/>
    <n v="0"/>
    <x v="1"/>
    <x v="0"/>
    <x v="43"/>
    <n v="92.998000000000005"/>
    <x v="2921"/>
    <n v="34.226999999999997"/>
    <n v="29.181999999999999"/>
    <n v="29.431000000000001"/>
    <n v="20"/>
    <x v="1"/>
  </r>
  <r>
    <x v="7"/>
    <x v="4"/>
    <x v="33"/>
    <x v="37"/>
    <s v="BEA"/>
    <x v="9"/>
    <x v="7"/>
    <x v="12"/>
    <n v="0"/>
    <x v="1"/>
    <x v="0"/>
    <x v="43"/>
    <n v="93.238"/>
    <x v="2922"/>
    <n v="34.347999999999999"/>
    <n v="29.356999999999999"/>
    <n v="29.471"/>
    <n v="18"/>
    <x v="1"/>
  </r>
  <r>
    <x v="7"/>
    <x v="4"/>
    <x v="33"/>
    <x v="11"/>
    <s v="OCO"/>
    <x v="9"/>
    <x v="19"/>
    <x v="13"/>
    <n v="0"/>
    <x v="1"/>
    <x v="0"/>
    <x v="43"/>
    <n v="94.308999999999997"/>
    <x v="2923"/>
    <n v="34.621000000000002"/>
    <n v="29.661999999999999"/>
    <n v="29.718"/>
    <n v="1"/>
    <x v="1"/>
  </r>
  <r>
    <x v="7"/>
    <x v="4"/>
    <x v="33"/>
    <x v="6"/>
    <s v="HUL"/>
    <x v="16"/>
    <x v="12"/>
    <x v="14"/>
    <n v="0"/>
    <x v="1"/>
    <x v="52"/>
    <x v="12"/>
    <n v="93.445999999999998"/>
    <x v="2924"/>
    <n v="34.424999999999997"/>
    <n v="29.323"/>
    <n v="29.521000000000001"/>
    <n v="33"/>
    <x v="1"/>
  </r>
  <r>
    <x v="7"/>
    <x v="4"/>
    <x v="33"/>
    <x v="13"/>
    <s v="STR"/>
    <x v="13"/>
    <x v="14"/>
    <x v="15"/>
    <n v="0"/>
    <x v="1"/>
    <x v="52"/>
    <x v="12"/>
    <n v="92.745000000000005"/>
    <x v="2925"/>
    <n v="33.906999999999996"/>
    <n v="29.189"/>
    <n v="29.631"/>
    <n v="39"/>
    <x v="1"/>
  </r>
  <r>
    <x v="7"/>
    <x v="4"/>
    <x v="33"/>
    <x v="39"/>
    <s v="DOO"/>
    <x v="14"/>
    <x v="18"/>
    <x v="16"/>
    <n v="0"/>
    <x v="1"/>
    <x v="52"/>
    <x v="12"/>
    <n v="93.15"/>
    <x v="2926"/>
    <n v="34.158000000000001"/>
    <n v="29.225999999999999"/>
    <n v="29.6"/>
    <s v="1,32"/>
    <x v="1"/>
  </r>
  <r>
    <x v="7"/>
    <x v="4"/>
    <x v="33"/>
    <x v="41"/>
    <s v="BOR"/>
    <x v="16"/>
    <x v="17"/>
    <x v="17"/>
    <n v="0"/>
    <x v="1"/>
    <x v="52"/>
    <x v="12"/>
    <n v="94.447000000000003"/>
    <x v="2927"/>
    <n v="34.81"/>
    <n v="29.614999999999998"/>
    <n v="29.951999999999899"/>
    <n v="1"/>
    <x v="1"/>
  </r>
  <r>
    <x v="7"/>
    <x v="4"/>
    <x v="33"/>
    <x v="29"/>
    <s v="TSU"/>
    <x v="2"/>
    <x v="3"/>
    <x v="18"/>
    <n v="0"/>
    <x v="1"/>
    <x v="21"/>
    <x v="16"/>
    <m/>
    <x v="19"/>
    <m/>
    <m/>
    <m/>
    <n v="1"/>
    <x v="1"/>
  </r>
  <r>
    <x v="7"/>
    <x v="4"/>
    <x v="33"/>
    <x v="17"/>
    <s v="GAS"/>
    <x v="14"/>
    <x v="9"/>
    <x v="19"/>
    <n v="0"/>
    <x v="1"/>
    <x v="21"/>
    <x v="16"/>
    <m/>
    <x v="19"/>
    <m/>
    <m/>
    <m/>
    <m/>
    <x v="1"/>
  </r>
  <r>
    <x v="7"/>
    <x v="5"/>
    <x v="34"/>
    <x v="35"/>
    <s v="PIA"/>
    <x v="3"/>
    <x v="5"/>
    <x v="0"/>
    <n v="25"/>
    <x v="0"/>
    <x v="0"/>
    <x v="1"/>
    <n v="89.822000000000003"/>
    <x v="2928"/>
    <n v="29.888999999999999"/>
    <n v="34.295000000000002"/>
    <n v="25.402000000000001"/>
    <n v="29"/>
    <x v="0"/>
  </r>
  <r>
    <x v="7"/>
    <x v="5"/>
    <x v="34"/>
    <x v="21"/>
    <s v="NOR"/>
    <x v="3"/>
    <x v="2"/>
    <x v="1"/>
    <n v="18"/>
    <x v="0"/>
    <x v="0"/>
    <x v="1"/>
    <n v="89.745999999999995"/>
    <x v="2929"/>
    <n v="29.832999999999998"/>
    <n v="34.124000000000002"/>
    <n v="25.474"/>
    <n v="29"/>
    <x v="0"/>
  </r>
  <r>
    <x v="7"/>
    <x v="5"/>
    <x v="34"/>
    <x v="24"/>
    <s v="RUS"/>
    <x v="1"/>
    <x v="16"/>
    <x v="2"/>
    <n v="15"/>
    <x v="0"/>
    <x v="0"/>
    <x v="1"/>
    <n v="90.317999999999998"/>
    <x v="2930"/>
    <n v="29.876999999999999"/>
    <n v="34.57"/>
    <n v="25.646000000000001"/>
    <n v="29"/>
    <x v="0"/>
  </r>
  <r>
    <x v="7"/>
    <x v="5"/>
    <x v="34"/>
    <x v="5"/>
    <s v="VER"/>
    <x v="2"/>
    <x v="1"/>
    <x v="3"/>
    <n v="12"/>
    <x v="1"/>
    <x v="0"/>
    <x v="1"/>
    <n v="90.465999999999994"/>
    <x v="2931"/>
    <n v="30.074999999999999"/>
    <n v="34.552999999999997"/>
    <n v="25.712"/>
    <n v="26"/>
    <x v="0"/>
  </r>
  <r>
    <x v="7"/>
    <x v="5"/>
    <x v="34"/>
    <x v="22"/>
    <s v="ALB"/>
    <x v="7"/>
    <x v="6"/>
    <x v="4"/>
    <n v="10"/>
    <x v="1"/>
    <x v="0"/>
    <x v="1"/>
    <n v="90.481999999999999"/>
    <x v="2932"/>
    <n v="30.251000000000001"/>
    <n v="34.381"/>
    <n v="25.507000000000001"/>
    <n v="26"/>
    <x v="0"/>
  </r>
  <r>
    <x v="7"/>
    <x v="5"/>
    <x v="34"/>
    <x v="43"/>
    <s v="ANT"/>
    <x v="1"/>
    <x v="0"/>
    <x v="5"/>
    <n v="8"/>
    <x v="1"/>
    <x v="0"/>
    <x v="1"/>
    <n v="90.795000000000002"/>
    <x v="2933"/>
    <n v="30.244"/>
    <n v="34.607999999999997"/>
    <n v="25.695"/>
    <n v="25"/>
    <x v="0"/>
  </r>
  <r>
    <x v="7"/>
    <x v="5"/>
    <x v="34"/>
    <x v="12"/>
    <s v="LEC"/>
    <x v="0"/>
    <x v="3"/>
    <x v="6"/>
    <n v="6"/>
    <x v="1"/>
    <x v="0"/>
    <x v="1"/>
    <n v="90.460999999999999"/>
    <x v="2934"/>
    <n v="30.053999999999998"/>
    <n v="34.612000000000002"/>
    <n v="25.469000000000001"/>
    <n v="29"/>
    <x v="0"/>
  </r>
  <r>
    <x v="7"/>
    <x v="5"/>
    <x v="34"/>
    <x v="1"/>
    <s v="HAM"/>
    <x v="0"/>
    <x v="10"/>
    <x v="7"/>
    <n v="4"/>
    <x v="1"/>
    <x v="0"/>
    <x v="1"/>
    <n v="90.561999999999998"/>
    <x v="2935"/>
    <n v="30.244"/>
    <n v="34.661999999999999"/>
    <n v="25.335000000000001"/>
    <n v="28"/>
    <x v="0"/>
  </r>
  <r>
    <x v="7"/>
    <x v="5"/>
    <x v="34"/>
    <x v="9"/>
    <s v="SAI"/>
    <x v="7"/>
    <x v="15"/>
    <x v="8"/>
    <n v="2"/>
    <x v="1"/>
    <x v="0"/>
    <x v="1"/>
    <n v="90.703000000000003"/>
    <x v="2936"/>
    <n v="30.64"/>
    <n v="34.463999999999999"/>
    <n v="25.427"/>
    <n v="25"/>
    <x v="0"/>
  </r>
  <r>
    <x v="7"/>
    <x v="5"/>
    <x v="34"/>
    <x v="29"/>
    <s v="TSU"/>
    <x v="2"/>
    <x v="4"/>
    <x v="9"/>
    <n v="1"/>
    <x v="1"/>
    <x v="0"/>
    <x v="1"/>
    <n v="90.963999999999999"/>
    <x v="2937"/>
    <n v="30.093"/>
    <n v="34.735999999999997"/>
    <n v="25.777000000000001"/>
    <n v="27"/>
    <x v="0"/>
  </r>
  <r>
    <x v="7"/>
    <x v="5"/>
    <x v="34"/>
    <x v="42"/>
    <s v="HAD"/>
    <x v="18"/>
    <x v="8"/>
    <x v="10"/>
    <n v="0"/>
    <x v="1"/>
    <x v="0"/>
    <x v="1"/>
    <n v="90.971000000000004"/>
    <x v="2938"/>
    <n v="30.335999999999999"/>
    <n v="34.689"/>
    <n v="25.823"/>
    <n v="22"/>
    <x v="0"/>
  </r>
  <r>
    <x v="7"/>
    <x v="5"/>
    <x v="34"/>
    <x v="11"/>
    <s v="OCO"/>
    <x v="9"/>
    <x v="9"/>
    <x v="11"/>
    <n v="0"/>
    <x v="1"/>
    <x v="0"/>
    <x v="1"/>
    <n v="91.122"/>
    <x v="2939"/>
    <n v="30.370999999999999"/>
    <n v="34.695999999999998"/>
    <n v="25.57"/>
    <n v="23"/>
    <x v="0"/>
  </r>
  <r>
    <x v="7"/>
    <x v="5"/>
    <x v="34"/>
    <x v="17"/>
    <s v="GAS"/>
    <x v="14"/>
    <x v="17"/>
    <x v="12"/>
    <n v="0"/>
    <x v="1"/>
    <x v="0"/>
    <x v="1"/>
    <n v="91.159000000000006"/>
    <x v="2940"/>
    <n v="30.446000000000002"/>
    <n v="34.817"/>
    <n v="25.782"/>
    <n v="32"/>
    <x v="0"/>
  </r>
  <r>
    <x v="7"/>
    <x v="5"/>
    <x v="34"/>
    <x v="6"/>
    <s v="HUL"/>
    <x v="16"/>
    <x v="14"/>
    <x v="13"/>
    <n v="0"/>
    <x v="1"/>
    <x v="52"/>
    <x v="7"/>
    <n v="91.015000000000001"/>
    <x v="2941"/>
    <n v="30.216000000000001"/>
    <n v="34.786000000000001"/>
    <n v="25.771000000000001"/>
    <n v="36"/>
    <x v="0"/>
  </r>
  <r>
    <x v="7"/>
    <x v="5"/>
    <x v="34"/>
    <x v="4"/>
    <s v="ALO"/>
    <x v="13"/>
    <x v="18"/>
    <x v="14"/>
    <n v="0"/>
    <x v="1"/>
    <x v="52"/>
    <x v="7"/>
    <n v="91.287000000000006"/>
    <x v="2942"/>
    <n v="30.513999999999999"/>
    <n v="34.917999999999999"/>
    <n v="25.699000000000002"/>
    <n v="28"/>
    <x v="0"/>
  </r>
  <r>
    <x v="7"/>
    <x v="5"/>
    <x v="34"/>
    <x v="13"/>
    <s v="STR"/>
    <x v="13"/>
    <x v="12"/>
    <x v="15"/>
    <n v="0"/>
    <x v="1"/>
    <x v="52"/>
    <x v="7"/>
    <n v="91.769000000000005"/>
    <x v="2943"/>
    <n v="30.626000000000001"/>
    <n v="35.215000000000003"/>
    <n v="25.756"/>
    <n v="20"/>
    <x v="0"/>
  </r>
  <r>
    <x v="7"/>
    <x v="5"/>
    <x v="34"/>
    <x v="36"/>
    <s v="LAW"/>
    <x v="18"/>
    <x v="7"/>
    <x v="16"/>
    <n v="0"/>
    <x v="1"/>
    <x v="21"/>
    <x v="74"/>
    <n v="91.77"/>
    <x v="2944"/>
    <n v="31.033999999999999"/>
    <n v="34.948999999999998"/>
    <n v="25.786999999999999"/>
    <s v="28,36"/>
    <x v="0"/>
  </r>
  <r>
    <x v="7"/>
    <x v="5"/>
    <x v="34"/>
    <x v="41"/>
    <s v="BOR"/>
    <x v="16"/>
    <x v="13"/>
    <x v="17"/>
    <n v="0"/>
    <x v="1"/>
    <x v="21"/>
    <x v="50"/>
    <n v="92.328000000000003"/>
    <x v="2945"/>
    <n v="30.895"/>
    <n v="35.28"/>
    <n v="25.920999999999999"/>
    <n v="19"/>
    <x v="0"/>
  </r>
  <r>
    <x v="7"/>
    <x v="5"/>
    <x v="34"/>
    <x v="37"/>
    <s v="BEA"/>
    <x v="9"/>
    <x v="19"/>
    <x v="18"/>
    <n v="0"/>
    <x v="1"/>
    <x v="21"/>
    <x v="34"/>
    <n v="92.68"/>
    <x v="2946"/>
    <n v="31.073"/>
    <n v="35.409999999999997"/>
    <n v="25.916"/>
    <m/>
    <x v="0"/>
  </r>
  <r>
    <x v="7"/>
    <x v="5"/>
    <x v="34"/>
    <x v="39"/>
    <s v="DOO"/>
    <x v="14"/>
    <x v="11"/>
    <x v="19"/>
    <n v="0"/>
    <x v="1"/>
    <x v="21"/>
    <x v="16"/>
    <m/>
    <x v="19"/>
    <m/>
    <m/>
    <m/>
    <m/>
    <x v="0"/>
  </r>
  <r>
    <x v="7"/>
    <x v="6"/>
    <x v="26"/>
    <x v="5"/>
    <s v="VER"/>
    <x v="2"/>
    <x v="2"/>
    <x v="0"/>
    <n v="25"/>
    <x v="0"/>
    <x v="0"/>
    <x v="20"/>
    <n v="77.988"/>
    <x v="2947"/>
    <n v="24.77"/>
    <n v="26.965"/>
    <n v="26.07"/>
    <s v="29,46"/>
    <x v="1"/>
  </r>
  <r>
    <x v="7"/>
    <x v="6"/>
    <x v="26"/>
    <x v="21"/>
    <s v="NOR"/>
    <x v="3"/>
    <x v="5"/>
    <x v="1"/>
    <n v="18"/>
    <x v="0"/>
    <x v="0"/>
    <x v="20"/>
    <n v="78.311000000000007"/>
    <x v="2948"/>
    <n v="24.898"/>
    <n v="27.11"/>
    <n v="26.138999999999999"/>
    <s v="28,46"/>
    <x v="1"/>
  </r>
  <r>
    <x v="7"/>
    <x v="6"/>
    <x v="26"/>
    <x v="35"/>
    <s v="PIA"/>
    <x v="3"/>
    <x v="1"/>
    <x v="2"/>
    <n v="15"/>
    <x v="0"/>
    <x v="0"/>
    <x v="20"/>
    <n v="78.894000000000005"/>
    <x v="2949"/>
    <n v="24.808"/>
    <n v="27.376000000000001"/>
    <n v="26.396000000000001"/>
    <s v="13,30"/>
    <x v="1"/>
  </r>
  <r>
    <x v="7"/>
    <x v="6"/>
    <x v="26"/>
    <x v="1"/>
    <s v="HAM"/>
    <x v="0"/>
    <x v="10"/>
    <x v="3"/>
    <n v="12"/>
    <x v="1"/>
    <x v="0"/>
    <x v="20"/>
    <n v="78.265000000000001"/>
    <x v="2950"/>
    <n v="24.533999999999999"/>
    <n v="27.385000000000002"/>
    <n v="26.251000000000001"/>
    <s v="29,46"/>
    <x v="1"/>
  </r>
  <r>
    <x v="7"/>
    <x v="6"/>
    <x v="26"/>
    <x v="22"/>
    <s v="ALB"/>
    <x v="7"/>
    <x v="6"/>
    <x v="4"/>
    <n v="10"/>
    <x v="1"/>
    <x v="0"/>
    <x v="20"/>
    <n v="78.289000000000001"/>
    <x v="2951"/>
    <n v="24.599"/>
    <n v="27.405999999999999"/>
    <n v="26.283999999999999"/>
    <s v="29,47"/>
    <x v="1"/>
  </r>
  <r>
    <x v="7"/>
    <x v="6"/>
    <x v="26"/>
    <x v="12"/>
    <s v="LEC"/>
    <x v="0"/>
    <x v="8"/>
    <x v="5"/>
    <n v="8"/>
    <x v="1"/>
    <x v="0"/>
    <x v="20"/>
    <n v="79.048000000000002"/>
    <x v="2952"/>
    <n v="24.827999999999999"/>
    <n v="27.623000000000001"/>
    <n v="26.411999999999999"/>
    <s v="10,29"/>
    <x v="1"/>
  </r>
  <r>
    <x v="7"/>
    <x v="6"/>
    <x v="26"/>
    <x v="24"/>
    <s v="RUS"/>
    <x v="1"/>
    <x v="0"/>
    <x v="6"/>
    <n v="6"/>
    <x v="1"/>
    <x v="0"/>
    <x v="20"/>
    <n v="79.733000000000004"/>
    <x v="2953"/>
    <n v="25.03"/>
    <n v="27.812999999999999"/>
    <n v="26.529"/>
    <s v="11,29"/>
    <x v="1"/>
  </r>
  <r>
    <x v="7"/>
    <x v="6"/>
    <x v="26"/>
    <x v="9"/>
    <s v="SAI"/>
    <x v="7"/>
    <x v="15"/>
    <x v="7"/>
    <n v="4"/>
    <x v="1"/>
    <x v="0"/>
    <x v="20"/>
    <n v="79.835999999999999"/>
    <x v="2954"/>
    <n v="24.792999999999999"/>
    <n v="27.876000000000001"/>
    <n v="26.669"/>
    <s v="11,29"/>
    <x v="1"/>
  </r>
  <r>
    <x v="7"/>
    <x v="6"/>
    <x v="26"/>
    <x v="42"/>
    <s v="HAD"/>
    <x v="18"/>
    <x v="9"/>
    <x v="8"/>
    <n v="2"/>
    <x v="1"/>
    <x v="0"/>
    <x v="20"/>
    <n v="79.472999999999999"/>
    <x v="2955"/>
    <n v="24.92"/>
    <n v="27.626999999999999"/>
    <n v="26.654"/>
    <s v="29,46"/>
    <x v="1"/>
  </r>
  <r>
    <x v="7"/>
    <x v="6"/>
    <x v="26"/>
    <x v="29"/>
    <s v="TSU"/>
    <x v="2"/>
    <x v="17"/>
    <x v="9"/>
    <n v="1"/>
    <x v="1"/>
    <x v="0"/>
    <x v="20"/>
    <n v="80.039000000000001"/>
    <x v="2956"/>
    <n v="25.361000000000001"/>
    <n v="27.783000000000001"/>
    <n v="26.747"/>
    <n v="29"/>
    <x v="1"/>
  </r>
  <r>
    <x v="7"/>
    <x v="6"/>
    <x v="26"/>
    <x v="4"/>
    <s v="ALO"/>
    <x v="13"/>
    <x v="16"/>
    <x v="10"/>
    <n v="0"/>
    <x v="1"/>
    <x v="0"/>
    <x v="20"/>
    <n v="79.894000000000005"/>
    <x v="2957"/>
    <n v="24.898"/>
    <n v="27.896000000000001"/>
    <n v="26.710999999999999"/>
    <s v="12,46"/>
    <x v="1"/>
  </r>
  <r>
    <x v="7"/>
    <x v="6"/>
    <x v="26"/>
    <x v="6"/>
    <s v="HUL"/>
    <x v="16"/>
    <x v="18"/>
    <x v="11"/>
    <n v="0"/>
    <x v="1"/>
    <x v="0"/>
    <x v="20"/>
    <n v="80.400999999999996"/>
    <x v="2958"/>
    <n v="25.251999999999999"/>
    <n v="28.04"/>
    <n v="26.913"/>
    <n v="29"/>
    <x v="1"/>
  </r>
  <r>
    <x v="7"/>
    <x v="6"/>
    <x v="26"/>
    <x v="17"/>
    <s v="GAS"/>
    <x v="14"/>
    <x v="4"/>
    <x v="12"/>
    <n v="0"/>
    <x v="1"/>
    <x v="0"/>
    <x v="20"/>
    <n v="80.397999999999996"/>
    <x v="2959"/>
    <n v="25.169"/>
    <n v="28.042999999999999"/>
    <n v="26.734000000000002"/>
    <s v="9,29"/>
    <x v="1"/>
  </r>
  <r>
    <x v="7"/>
    <x v="6"/>
    <x v="26"/>
    <x v="36"/>
    <s v="LAW"/>
    <x v="18"/>
    <x v="7"/>
    <x v="13"/>
    <n v="0"/>
    <x v="1"/>
    <x v="0"/>
    <x v="20"/>
    <n v="80.472999999999999"/>
    <x v="2960"/>
    <n v="25.13"/>
    <n v="27.992000000000001"/>
    <n v="26.86"/>
    <s v="10,29"/>
    <x v="1"/>
  </r>
  <r>
    <x v="7"/>
    <x v="6"/>
    <x v="26"/>
    <x v="13"/>
    <s v="STR"/>
    <x v="13"/>
    <x v="3"/>
    <x v="14"/>
    <n v="0"/>
    <x v="1"/>
    <x v="0"/>
    <x v="20"/>
    <n v="80.501000000000005"/>
    <x v="2961"/>
    <n v="24.986999999999998"/>
    <n v="28.074000000000002"/>
    <n v="27.001999999999999"/>
    <s v="14,46"/>
    <x v="1"/>
  </r>
  <r>
    <x v="7"/>
    <x v="6"/>
    <x v="26"/>
    <x v="38"/>
    <s v="COL"/>
    <x v="14"/>
    <x v="14"/>
    <x v="15"/>
    <n v="0"/>
    <x v="1"/>
    <x v="0"/>
    <x v="20"/>
    <n v="80.344999999999999"/>
    <x v="2962"/>
    <n v="24.763999999999999"/>
    <n v="28.207999999999998"/>
    <n v="26.954999999999998"/>
    <s v="22,46"/>
    <x v="1"/>
  </r>
  <r>
    <x v="7"/>
    <x v="6"/>
    <x v="26"/>
    <x v="37"/>
    <s v="BEA"/>
    <x v="9"/>
    <x v="19"/>
    <x v="16"/>
    <n v="0"/>
    <x v="1"/>
    <x v="0"/>
    <x v="20"/>
    <n v="79.649000000000001"/>
    <x v="2963"/>
    <n v="24.949000000000002"/>
    <n v="27.6"/>
    <n v="26.736999999999998"/>
    <s v="29,31"/>
    <x v="1"/>
  </r>
  <r>
    <x v="7"/>
    <x v="6"/>
    <x v="26"/>
    <x v="41"/>
    <s v="BOR"/>
    <x v="16"/>
    <x v="11"/>
    <x v="17"/>
    <n v="0"/>
    <x v="1"/>
    <x v="0"/>
    <x v="20"/>
    <n v="80.63"/>
    <x v="2964"/>
    <n v="25.186"/>
    <n v="28.143999999999998"/>
    <n v="27.053999999999998"/>
    <s v="12,29,46"/>
    <x v="1"/>
  </r>
  <r>
    <x v="7"/>
    <x v="6"/>
    <x v="26"/>
    <x v="43"/>
    <s v="ANT"/>
    <x v="1"/>
    <x v="13"/>
    <x v="18"/>
    <n v="0"/>
    <x v="1"/>
    <x v="21"/>
    <x v="55"/>
    <n v="80.62"/>
    <x v="2965"/>
    <n v="25.442"/>
    <n v="28.084"/>
    <n v="26.745999999999999"/>
    <n v="29"/>
    <x v="1"/>
  </r>
  <r>
    <x v="7"/>
    <x v="6"/>
    <x v="26"/>
    <x v="11"/>
    <s v="OCO"/>
    <x v="9"/>
    <x v="12"/>
    <x v="19"/>
    <n v="0"/>
    <x v="1"/>
    <x v="21"/>
    <x v="34"/>
    <n v="81.412999999999997"/>
    <x v="2966"/>
    <n v="25.984999999999999"/>
    <n v="28.120999999999999"/>
    <n v="27.117000000000001"/>
    <n v="1"/>
    <x v="1"/>
  </r>
  <r>
    <x v="7"/>
    <x v="7"/>
    <x v="5"/>
    <x v="21"/>
    <s v="NOR"/>
    <x v="3"/>
    <x v="1"/>
    <x v="0"/>
    <n v="25"/>
    <x v="0"/>
    <x v="0"/>
    <x v="24"/>
    <n v="73.221000000000004"/>
    <x v="2967"/>
    <n v="19.145"/>
    <n v="34.697000000000003"/>
    <n v="19.379000000000001"/>
    <s v="19,50"/>
    <x v="1"/>
  </r>
  <r>
    <x v="7"/>
    <x v="7"/>
    <x v="5"/>
    <x v="12"/>
    <s v="LEC"/>
    <x v="0"/>
    <x v="2"/>
    <x v="1"/>
    <n v="18"/>
    <x v="0"/>
    <x v="0"/>
    <x v="24"/>
    <n v="74.055000000000007"/>
    <x v="2968"/>
    <n v="19.219000000000001"/>
    <n v="35.048999999999999"/>
    <n v="19.556999999999999"/>
    <s v="22,49"/>
    <x v="1"/>
  </r>
  <r>
    <x v="7"/>
    <x v="7"/>
    <x v="5"/>
    <x v="35"/>
    <s v="PIA"/>
    <x v="3"/>
    <x v="0"/>
    <x v="2"/>
    <n v="15"/>
    <x v="0"/>
    <x v="0"/>
    <x v="24"/>
    <n v="73.745000000000005"/>
    <x v="2969"/>
    <n v="19.388000000000002"/>
    <n v="34.786999999999999"/>
    <n v="19.489999999999998"/>
    <s v="20,48"/>
    <x v="1"/>
  </r>
  <r>
    <x v="7"/>
    <x v="7"/>
    <x v="5"/>
    <x v="5"/>
    <s v="VER"/>
    <x v="2"/>
    <x v="5"/>
    <x v="3"/>
    <n v="12"/>
    <x v="1"/>
    <x v="0"/>
    <x v="24"/>
    <n v="74.23"/>
    <x v="2970"/>
    <n v="19.233000000000001"/>
    <n v="35.103000000000002"/>
    <n v="19.669"/>
    <s v="28,77"/>
    <x v="1"/>
  </r>
  <r>
    <x v="7"/>
    <x v="7"/>
    <x v="5"/>
    <x v="1"/>
    <s v="HAM"/>
    <x v="0"/>
    <x v="6"/>
    <x v="4"/>
    <n v="10"/>
    <x v="1"/>
    <x v="0"/>
    <x v="24"/>
    <n v="74.09"/>
    <x v="2971"/>
    <n v="19.356000000000002"/>
    <n v="35.137999999999998"/>
    <n v="19.576999999999899"/>
    <s v="18,56"/>
    <x v="1"/>
  </r>
  <r>
    <x v="7"/>
    <x v="7"/>
    <x v="5"/>
    <x v="42"/>
    <s v="HAD"/>
    <x v="18"/>
    <x v="16"/>
    <x v="5"/>
    <n v="8"/>
    <x v="1"/>
    <x v="52"/>
    <x v="25"/>
    <n v="75.980999999999995"/>
    <x v="2972"/>
    <n v="19.724"/>
    <n v="35.982999999999997"/>
    <n v="19.922999999999998"/>
    <s v="14,19"/>
    <x v="1"/>
  </r>
  <r>
    <x v="7"/>
    <x v="7"/>
    <x v="5"/>
    <x v="11"/>
    <s v="OCO"/>
    <x v="9"/>
    <x v="3"/>
    <x v="6"/>
    <n v="6"/>
    <x v="1"/>
    <x v="52"/>
    <x v="25"/>
    <n v="75.156999999999996"/>
    <x v="2973"/>
    <n v="19.812999999999999"/>
    <n v="35.503"/>
    <n v="19.802"/>
    <s v="16,28"/>
    <x v="1"/>
  </r>
  <r>
    <x v="7"/>
    <x v="7"/>
    <x v="5"/>
    <x v="36"/>
    <s v="LAW"/>
    <x v="18"/>
    <x v="9"/>
    <x v="7"/>
    <n v="4"/>
    <x v="1"/>
    <x v="52"/>
    <x v="25"/>
    <n v="75.320999999999998"/>
    <x v="2974"/>
    <n v="19.594999999999999"/>
    <n v="35.607999999999997"/>
    <n v="20.010000000000002"/>
    <s v="31,40"/>
    <x v="1"/>
  </r>
  <r>
    <x v="7"/>
    <x v="7"/>
    <x v="5"/>
    <x v="22"/>
    <s v="ALB"/>
    <x v="7"/>
    <x v="4"/>
    <x v="8"/>
    <n v="2"/>
    <x v="1"/>
    <x v="52"/>
    <x v="26"/>
    <n v="74.596999999999994"/>
    <x v="2975"/>
    <n v="19.564"/>
    <n v="35.332000000000001"/>
    <n v="19.670999999999999"/>
    <s v="32,40"/>
    <x v="1"/>
  </r>
  <r>
    <x v="7"/>
    <x v="7"/>
    <x v="5"/>
    <x v="9"/>
    <s v="SAI"/>
    <x v="7"/>
    <x v="8"/>
    <x v="9"/>
    <n v="1"/>
    <x v="1"/>
    <x v="52"/>
    <x v="26"/>
    <n v="73.988"/>
    <x v="2976"/>
    <n v="19.34"/>
    <n v="35.165999999999997"/>
    <n v="19.481999999999999"/>
    <s v="48,53"/>
    <x v="1"/>
  </r>
  <r>
    <x v="7"/>
    <x v="7"/>
    <x v="5"/>
    <x v="24"/>
    <s v="RUS"/>
    <x v="1"/>
    <x v="11"/>
    <x v="10"/>
    <n v="0"/>
    <x v="1"/>
    <x v="52"/>
    <x v="26"/>
    <n v="73.405000000000001"/>
    <x v="2977"/>
    <n v="19.210999999999999"/>
    <n v="34.69"/>
    <n v="19.489999999999998"/>
    <s v="53,62,68"/>
    <x v="1"/>
  </r>
  <r>
    <x v="7"/>
    <x v="7"/>
    <x v="5"/>
    <x v="37"/>
    <s v="BEA"/>
    <x v="9"/>
    <x v="17"/>
    <x v="11"/>
    <n v="0"/>
    <x v="1"/>
    <x v="52"/>
    <x v="26"/>
    <n v="74.855000000000004"/>
    <x v="2978"/>
    <n v="19.527999999999999"/>
    <n v="35.411999999999999"/>
    <n v="19.724"/>
    <s v="1,17"/>
    <x v="1"/>
  </r>
  <r>
    <x v="7"/>
    <x v="7"/>
    <x v="5"/>
    <x v="38"/>
    <s v="COL"/>
    <x v="14"/>
    <x v="12"/>
    <x v="12"/>
    <n v="0"/>
    <x v="1"/>
    <x v="52"/>
    <x v="26"/>
    <n v="75.298000000000002"/>
    <x v="2979"/>
    <n v="19.484999999999999"/>
    <n v="35.484000000000002"/>
    <n v="19.914000000000001"/>
    <s v="13,26"/>
    <x v="1"/>
  </r>
  <r>
    <x v="7"/>
    <x v="7"/>
    <x v="5"/>
    <x v="41"/>
    <s v="BOR"/>
    <x v="16"/>
    <x v="14"/>
    <x v="13"/>
    <n v="0"/>
    <x v="1"/>
    <x v="52"/>
    <x v="26"/>
    <n v="74.884"/>
    <x v="2980"/>
    <n v="19.617999999999999"/>
    <n v="35.188000000000002"/>
    <n v="19.931999999999999"/>
    <s v="1,26,35"/>
    <x v="1"/>
  </r>
  <r>
    <x v="7"/>
    <x v="7"/>
    <x v="5"/>
    <x v="13"/>
    <s v="STR"/>
    <x v="13"/>
    <x v="19"/>
    <x v="14"/>
    <n v="0"/>
    <x v="1"/>
    <x v="52"/>
    <x v="26"/>
    <n v="74.876999999999995"/>
    <x v="2981"/>
    <n v="19.388999999999999"/>
    <n v="35.302999999999997"/>
    <n v="19.922000000000001"/>
    <s v="17,64"/>
    <x v="1"/>
  </r>
  <r>
    <x v="7"/>
    <x v="7"/>
    <x v="5"/>
    <x v="6"/>
    <s v="HUL"/>
    <x v="16"/>
    <x v="13"/>
    <x v="15"/>
    <n v="0"/>
    <x v="1"/>
    <x v="52"/>
    <x v="26"/>
    <n v="75.222999999999999"/>
    <x v="2982"/>
    <n v="19.774999999999999"/>
    <n v="35.445"/>
    <n v="19.931000000000001"/>
    <s v="12,44"/>
    <x v="1"/>
  </r>
  <r>
    <x v="7"/>
    <x v="7"/>
    <x v="5"/>
    <x v="29"/>
    <s v="TSU"/>
    <x v="2"/>
    <x v="10"/>
    <x v="16"/>
    <n v="0"/>
    <x v="1"/>
    <x v="52"/>
    <x v="26"/>
    <n v="74.912999999999997"/>
    <x v="2983"/>
    <n v="19.262"/>
    <n v="35.387999999999998"/>
    <n v="19.901"/>
    <s v="1,73"/>
    <x v="1"/>
  </r>
  <r>
    <x v="7"/>
    <x v="7"/>
    <x v="5"/>
    <x v="43"/>
    <s v="ANT"/>
    <x v="1"/>
    <x v="7"/>
    <x v="17"/>
    <n v="0"/>
    <x v="1"/>
    <x v="52"/>
    <x v="73"/>
    <n v="73.518000000000001"/>
    <x v="2984"/>
    <n v="19.187000000000001"/>
    <n v="34.832000000000001"/>
    <n v="19.466999999999999"/>
    <s v="69,71"/>
    <x v="1"/>
  </r>
  <r>
    <x v="7"/>
    <x v="7"/>
    <x v="5"/>
    <x v="4"/>
    <s v="ALO"/>
    <x v="13"/>
    <x v="15"/>
    <x v="18"/>
    <n v="0"/>
    <x v="1"/>
    <x v="21"/>
    <x v="49"/>
    <n v="75.593000000000004"/>
    <x v="2985"/>
    <n v="19.826999999999899"/>
    <n v="35.664999999999999"/>
    <n v="19.981999999999999"/>
    <n v="16"/>
    <x v="1"/>
  </r>
  <r>
    <x v="7"/>
    <x v="7"/>
    <x v="5"/>
    <x v="17"/>
    <s v="GAS"/>
    <x v="14"/>
    <x v="18"/>
    <x v="19"/>
    <n v="0"/>
    <x v="1"/>
    <x v="21"/>
    <x v="45"/>
    <n v="78.054000000000002"/>
    <x v="2986"/>
    <n v="20.587"/>
    <n v="36.798999999999999"/>
    <n v="20.667999999999999"/>
    <s v="1,8"/>
    <x v="1"/>
  </r>
  <r>
    <x v="7"/>
    <x v="8"/>
    <x v="4"/>
    <x v="35"/>
    <s v="PIA"/>
    <x v="3"/>
    <x v="1"/>
    <x v="0"/>
    <n v="25"/>
    <x v="0"/>
    <x v="0"/>
    <x v="17"/>
    <n v="75.742999999999995"/>
    <x v="2987"/>
    <n v="22.605"/>
    <n v="30.475999999999999"/>
    <n v="22.603000000000002"/>
    <s v="22,49,55"/>
    <x v="1"/>
  </r>
  <r>
    <x v="7"/>
    <x v="8"/>
    <x v="4"/>
    <x v="21"/>
    <s v="NOR"/>
    <x v="3"/>
    <x v="2"/>
    <x v="1"/>
    <n v="18"/>
    <x v="0"/>
    <x v="0"/>
    <x v="17"/>
    <n v="76.186999999999998"/>
    <x v="2988"/>
    <n v="22.5"/>
    <n v="30.690999999999999"/>
    <n v="22.567"/>
    <s v="21,48,55"/>
    <x v="1"/>
  </r>
  <r>
    <x v="7"/>
    <x v="8"/>
    <x v="4"/>
    <x v="12"/>
    <s v="LEC"/>
    <x v="0"/>
    <x v="6"/>
    <x v="2"/>
    <n v="15"/>
    <x v="0"/>
    <x v="0"/>
    <x v="17"/>
    <n v="77.259"/>
    <x v="2989"/>
    <n v="22.832999999999998"/>
    <n v="31.091999999999999"/>
    <n v="23.099"/>
    <s v="17,40,55"/>
    <x v="1"/>
  </r>
  <r>
    <x v="7"/>
    <x v="8"/>
    <x v="4"/>
    <x v="24"/>
    <s v="RUS"/>
    <x v="1"/>
    <x v="5"/>
    <x v="3"/>
    <n v="12"/>
    <x v="1"/>
    <x v="0"/>
    <x v="17"/>
    <n v="77.244"/>
    <x v="2990"/>
    <n v="22.736999999999998"/>
    <n v="31.091999999999999"/>
    <n v="23.164000000000001"/>
    <s v="20,41,55"/>
    <x v="1"/>
  </r>
  <r>
    <x v="7"/>
    <x v="8"/>
    <x v="4"/>
    <x v="6"/>
    <s v="HUL"/>
    <x v="16"/>
    <x v="7"/>
    <x v="4"/>
    <n v="10"/>
    <x v="1"/>
    <x v="0"/>
    <x v="17"/>
    <n v="77.575000000000003"/>
    <x v="2991"/>
    <n v="22.608000000000001"/>
    <n v="31.373000000000001"/>
    <n v="23.428999999999998"/>
    <s v="9,45,56"/>
    <x v="1"/>
  </r>
  <r>
    <x v="7"/>
    <x v="8"/>
    <x v="4"/>
    <x v="1"/>
    <s v="HAM"/>
    <x v="0"/>
    <x v="16"/>
    <x v="5"/>
    <n v="8"/>
    <x v="1"/>
    <x v="0"/>
    <x v="17"/>
    <n v="77.706000000000003"/>
    <x v="2992"/>
    <n v="22.922000000000001"/>
    <n v="31.207999999999998"/>
    <n v="23.515999999999998"/>
    <s v="16,46,55"/>
    <x v="1"/>
  </r>
  <r>
    <x v="7"/>
    <x v="8"/>
    <x v="4"/>
    <x v="42"/>
    <s v="HAD"/>
    <x v="18"/>
    <x v="9"/>
    <x v="6"/>
    <n v="6"/>
    <x v="1"/>
    <x v="0"/>
    <x v="17"/>
    <n v="77.77"/>
    <x v="2993"/>
    <n v="22.861999999999998"/>
    <n v="31.417000000000002"/>
    <n v="23.433"/>
    <s v="19,48,55"/>
    <x v="1"/>
  </r>
  <r>
    <x v="7"/>
    <x v="8"/>
    <x v="4"/>
    <x v="17"/>
    <s v="GAS"/>
    <x v="14"/>
    <x v="3"/>
    <x v="7"/>
    <n v="4"/>
    <x v="1"/>
    <x v="0"/>
    <x v="17"/>
    <n v="77.896000000000001"/>
    <x v="2994"/>
    <n v="22.849"/>
    <n v="31.475000000000001"/>
    <n v="23.571999999999999"/>
    <s v="10,31,55"/>
    <x v="1"/>
  </r>
  <r>
    <x v="7"/>
    <x v="8"/>
    <x v="4"/>
    <x v="4"/>
    <s v="ALO"/>
    <x v="13"/>
    <x v="4"/>
    <x v="8"/>
    <n v="2"/>
    <x v="1"/>
    <x v="0"/>
    <x v="17"/>
    <n v="78.128"/>
    <x v="2995"/>
    <n v="22.826999999999899"/>
    <n v="31.620999999999999"/>
    <n v="23.550999999999998"/>
    <s v="15,42,54"/>
    <x v="1"/>
  </r>
  <r>
    <x v="7"/>
    <x v="8"/>
    <x v="4"/>
    <x v="5"/>
    <s v="VER"/>
    <x v="2"/>
    <x v="0"/>
    <x v="9"/>
    <n v="1"/>
    <x v="1"/>
    <x v="0"/>
    <x v="17"/>
    <n v="77.019000000000005"/>
    <x v="2996"/>
    <n v="22.562000000000001"/>
    <n v="30.995000000000001"/>
    <n v="23.140999999999998"/>
    <s v="13,29,47,55"/>
    <x v="1"/>
  </r>
  <r>
    <x v="7"/>
    <x v="8"/>
    <x v="4"/>
    <x v="36"/>
    <s v="LAW"/>
    <x v="18"/>
    <x v="13"/>
    <x v="10"/>
    <n v="0"/>
    <x v="1"/>
    <x v="0"/>
    <x v="17"/>
    <n v="79.424000000000007"/>
    <x v="2997"/>
    <n v="23.448"/>
    <n v="32.003"/>
    <n v="23.821999999999999"/>
    <s v="18,44"/>
    <x v="1"/>
  </r>
  <r>
    <x v="7"/>
    <x v="8"/>
    <x v="4"/>
    <x v="41"/>
    <s v="BOR"/>
    <x v="16"/>
    <x v="10"/>
    <x v="11"/>
    <n v="0"/>
    <x v="1"/>
    <x v="0"/>
    <x v="17"/>
    <n v="78.296999999999997"/>
    <x v="2998"/>
    <n v="22.875"/>
    <n v="31.542000000000002"/>
    <n v="23.776"/>
    <s v="19,49"/>
    <x v="1"/>
  </r>
  <r>
    <x v="7"/>
    <x v="8"/>
    <x v="4"/>
    <x v="29"/>
    <s v="TSU"/>
    <x v="2"/>
    <x v="19"/>
    <x v="12"/>
    <n v="0"/>
    <x v="1"/>
    <x v="0"/>
    <x v="17"/>
    <n v="77.998000000000005"/>
    <x v="2999"/>
    <n v="23.164000000000001"/>
    <n v="31.43"/>
    <n v="23.404"/>
    <s v="8,24,44,54"/>
    <x v="1"/>
  </r>
  <r>
    <x v="7"/>
    <x v="8"/>
    <x v="4"/>
    <x v="9"/>
    <s v="SAI"/>
    <x v="7"/>
    <x v="18"/>
    <x v="13"/>
    <n v="0"/>
    <x v="1"/>
    <x v="0"/>
    <x v="17"/>
    <n v="79.316999999999993"/>
    <x v="3000"/>
    <n v="23.117000000000001"/>
    <n v="32.405000000000001"/>
    <n v="23.652999999999999"/>
    <s v="9,34,55"/>
    <x v="1"/>
  </r>
  <r>
    <x v="7"/>
    <x v="8"/>
    <x v="4"/>
    <x v="38"/>
    <s v="COL"/>
    <x v="14"/>
    <x v="12"/>
    <x v="14"/>
    <n v="0"/>
    <x v="1"/>
    <x v="0"/>
    <x v="17"/>
    <n v="78.352999999999994"/>
    <x v="3001"/>
    <n v="23.135999999999999"/>
    <n v="31.672999999999998"/>
    <n v="23.544"/>
    <s v="14,39,54"/>
    <x v="1"/>
  </r>
  <r>
    <x v="7"/>
    <x v="8"/>
    <x v="4"/>
    <x v="11"/>
    <s v="OCO"/>
    <x v="9"/>
    <x v="14"/>
    <x v="15"/>
    <n v="0"/>
    <x v="1"/>
    <x v="0"/>
    <x v="17"/>
    <n v="78.623999999999995"/>
    <x v="3002"/>
    <n v="22.988"/>
    <n v="31.884"/>
    <n v="23.751999999999999"/>
    <s v="20,43"/>
    <x v="1"/>
  </r>
  <r>
    <x v="7"/>
    <x v="8"/>
    <x v="4"/>
    <x v="37"/>
    <s v="BEA"/>
    <x v="9"/>
    <x v="11"/>
    <x v="16"/>
    <n v="0"/>
    <x v="1"/>
    <x v="0"/>
    <x v="17"/>
    <n v="78.906999999999996"/>
    <x v="3003"/>
    <n v="22.884"/>
    <n v="32.033999999999999"/>
    <n v="23.936"/>
    <s v="8,35,54"/>
    <x v="1"/>
  </r>
  <r>
    <x v="7"/>
    <x v="8"/>
    <x v="4"/>
    <x v="43"/>
    <s v="ANT"/>
    <x v="1"/>
    <x v="15"/>
    <x v="17"/>
    <n v="0"/>
    <x v="1"/>
    <x v="21"/>
    <x v="36"/>
    <n v="78.254999999999995"/>
    <x v="3004"/>
    <n v="23.382000000000001"/>
    <n v="31.542000000000002"/>
    <n v="23.331"/>
    <s v="21,49"/>
    <x v="1"/>
  </r>
  <r>
    <x v="7"/>
    <x v="8"/>
    <x v="4"/>
    <x v="22"/>
    <s v="ALB"/>
    <x v="7"/>
    <x v="8"/>
    <x v="18"/>
    <n v="0"/>
    <x v="1"/>
    <x v="21"/>
    <x v="63"/>
    <n v="80.507999999999996"/>
    <x v="3005"/>
    <n v="23.786999999999999"/>
    <n v="32.372999999999998"/>
    <n v="24.183"/>
    <s v="6,26,27"/>
    <x v="1"/>
  </r>
  <r>
    <x v="7"/>
    <x v="9"/>
    <x v="6"/>
    <x v="24"/>
    <s v="RUS"/>
    <x v="1"/>
    <x v="1"/>
    <x v="0"/>
    <n v="25"/>
    <x v="0"/>
    <x v="0"/>
    <x v="29"/>
    <n v="74.119"/>
    <x v="3006"/>
    <n v="20.623999999999999"/>
    <n v="23.41"/>
    <n v="30.021999999999998"/>
    <s v="13,42,67,68,69"/>
    <x v="0"/>
  </r>
  <r>
    <x v="7"/>
    <x v="9"/>
    <x v="6"/>
    <x v="5"/>
    <s v="VER"/>
    <x v="2"/>
    <x v="2"/>
    <x v="1"/>
    <n v="18"/>
    <x v="0"/>
    <x v="0"/>
    <x v="29"/>
    <n v="74.287000000000006"/>
    <x v="3007"/>
    <n v="20.699000000000002"/>
    <n v="23.494"/>
    <n v="29.739000000000001"/>
    <s v="12,37,67,68,69"/>
    <x v="0"/>
  </r>
  <r>
    <x v="7"/>
    <x v="9"/>
    <x v="6"/>
    <x v="43"/>
    <s v="ANT"/>
    <x v="1"/>
    <x v="5"/>
    <x v="2"/>
    <n v="15"/>
    <x v="0"/>
    <x v="0"/>
    <x v="29"/>
    <n v="74.454999999999998"/>
    <x v="3008"/>
    <n v="20.736000000000001"/>
    <n v="23.513999999999999"/>
    <n v="30.021000000000001"/>
    <s v="14,38,67,68,69"/>
    <x v="0"/>
  </r>
  <r>
    <x v="7"/>
    <x v="9"/>
    <x v="6"/>
    <x v="35"/>
    <s v="PIA"/>
    <x v="3"/>
    <x v="0"/>
    <x v="3"/>
    <n v="12"/>
    <x v="1"/>
    <x v="0"/>
    <x v="29"/>
    <n v="74.254999999999995"/>
    <x v="3009"/>
    <n v="20.69"/>
    <n v="23.515999999999998"/>
    <n v="29.760999999999999"/>
    <s v="16,45,67,68,69"/>
    <x v="0"/>
  </r>
  <r>
    <x v="7"/>
    <x v="9"/>
    <x v="6"/>
    <x v="12"/>
    <s v="LEC"/>
    <x v="0"/>
    <x v="3"/>
    <x v="4"/>
    <n v="10"/>
    <x v="1"/>
    <x v="0"/>
    <x v="29"/>
    <n v="74.260999999999996"/>
    <x v="3010"/>
    <n v="20.651"/>
    <n v="23.498000000000001"/>
    <n v="29.986000000000001"/>
    <s v="28,53,67,68,69"/>
    <x v="0"/>
  </r>
  <r>
    <x v="7"/>
    <x v="9"/>
    <x v="6"/>
    <x v="1"/>
    <s v="HAM"/>
    <x v="0"/>
    <x v="16"/>
    <x v="5"/>
    <n v="8"/>
    <x v="1"/>
    <x v="0"/>
    <x v="29"/>
    <n v="74.805000000000007"/>
    <x v="3011"/>
    <n v="20.831"/>
    <n v="23.632000000000001"/>
    <n v="30.315999999999999"/>
    <s v="15,45,67,68,69"/>
    <x v="0"/>
  </r>
  <r>
    <x v="7"/>
    <x v="9"/>
    <x v="6"/>
    <x v="4"/>
    <s v="ALO"/>
    <x v="13"/>
    <x v="15"/>
    <x v="6"/>
    <n v="6"/>
    <x v="1"/>
    <x v="0"/>
    <x v="29"/>
    <n v="75.024000000000001"/>
    <x v="3012"/>
    <n v="20.814"/>
    <n v="23.652999999999999"/>
    <n v="30.052"/>
    <s v="15,50,66,67,68,69"/>
    <x v="0"/>
  </r>
  <r>
    <x v="7"/>
    <x v="9"/>
    <x v="6"/>
    <x v="6"/>
    <s v="HUL"/>
    <x v="16"/>
    <x v="8"/>
    <x v="7"/>
    <n v="4"/>
    <x v="1"/>
    <x v="0"/>
    <x v="29"/>
    <n v="75.372"/>
    <x v="3013"/>
    <n v="21.026"/>
    <n v="23.797000000000001"/>
    <n v="30.06"/>
    <s v="19,66,67,68,69"/>
    <x v="0"/>
  </r>
  <r>
    <x v="7"/>
    <x v="9"/>
    <x v="6"/>
    <x v="11"/>
    <s v="OCO"/>
    <x v="9"/>
    <x v="11"/>
    <x v="8"/>
    <n v="2"/>
    <x v="1"/>
    <x v="52"/>
    <x v="30"/>
    <n v="74.593000000000004"/>
    <x v="3014"/>
    <n v="20.754000000000001"/>
    <n v="23.594999999999999"/>
    <n v="30.047000000000001"/>
    <s v="57,66,67,68"/>
    <x v="0"/>
  </r>
  <r>
    <x v="7"/>
    <x v="9"/>
    <x v="6"/>
    <x v="9"/>
    <s v="SAI"/>
    <x v="7"/>
    <x v="14"/>
    <x v="9"/>
    <n v="1"/>
    <x v="1"/>
    <x v="52"/>
    <x v="30"/>
    <n v="74.388999999999996"/>
    <x v="3015"/>
    <n v="20.712"/>
    <n v="23.559000000000001"/>
    <n v="30.009"/>
    <s v="57,66,67,68"/>
    <x v="0"/>
  </r>
  <r>
    <x v="7"/>
    <x v="9"/>
    <x v="6"/>
    <x v="37"/>
    <s v="BEA"/>
    <x v="9"/>
    <x v="13"/>
    <x v="10"/>
    <n v="0"/>
    <x v="1"/>
    <x v="52"/>
    <x v="30"/>
    <n v="75.397000000000006"/>
    <x v="3016"/>
    <n v="20.899000000000001"/>
    <n v="23.792000000000002"/>
    <n v="30.481000000000002"/>
    <s v="18,66,67,68"/>
    <x v="0"/>
  </r>
  <r>
    <x v="7"/>
    <x v="9"/>
    <x v="6"/>
    <x v="29"/>
    <s v="TSU"/>
    <x v="2"/>
    <x v="12"/>
    <x v="11"/>
    <n v="0"/>
    <x v="1"/>
    <x v="52"/>
    <x v="30"/>
    <n v="75.358000000000004"/>
    <x v="3017"/>
    <n v="20.978999999999999"/>
    <n v="23.728000000000002"/>
    <n v="30.295000000000002"/>
    <s v="56,66,67,68"/>
    <x v="0"/>
  </r>
  <r>
    <x v="7"/>
    <x v="9"/>
    <x v="6"/>
    <x v="38"/>
    <s v="COL"/>
    <x v="14"/>
    <x v="4"/>
    <x v="12"/>
    <n v="0"/>
    <x v="1"/>
    <x v="52"/>
    <x v="30"/>
    <n v="76.075999999999993"/>
    <x v="3018"/>
    <n v="21.202999999999999"/>
    <n v="23.888999999999999"/>
    <n v="30.498999999999999"/>
    <s v="14,66,67,68"/>
    <x v="0"/>
  </r>
  <r>
    <x v="7"/>
    <x v="9"/>
    <x v="6"/>
    <x v="41"/>
    <s v="BOR"/>
    <x v="16"/>
    <x v="7"/>
    <x v="13"/>
    <n v="0"/>
    <x v="1"/>
    <x v="52"/>
    <x v="30"/>
    <n v="75.414000000000001"/>
    <x v="3019"/>
    <n v="21.116"/>
    <n v="23.975000000000001"/>
    <n v="30.268000000000001"/>
    <s v="49,66,67,68"/>
    <x v="0"/>
  </r>
  <r>
    <x v="7"/>
    <x v="9"/>
    <x v="6"/>
    <x v="17"/>
    <s v="GAS"/>
    <x v="14"/>
    <x v="17"/>
    <x v="14"/>
    <n v="0"/>
    <x v="1"/>
    <x v="52"/>
    <x v="30"/>
    <n v="74.992999999999995"/>
    <x v="3020"/>
    <n v="20.89"/>
    <n v="23.7"/>
    <n v="30.181000000000001"/>
    <s v="53,66,67,68"/>
    <x v="0"/>
  </r>
  <r>
    <x v="7"/>
    <x v="9"/>
    <x v="6"/>
    <x v="42"/>
    <s v="HAD"/>
    <x v="18"/>
    <x v="10"/>
    <x v="15"/>
    <n v="0"/>
    <x v="1"/>
    <x v="52"/>
    <x v="30"/>
    <n v="76.292000000000002"/>
    <x v="3021"/>
    <n v="21.391999999999999"/>
    <n v="24.157"/>
    <n v="30.419"/>
    <s v="13,66,67,68"/>
    <x v="0"/>
  </r>
  <r>
    <x v="7"/>
    <x v="9"/>
    <x v="6"/>
    <x v="13"/>
    <s v="STR"/>
    <x v="13"/>
    <x v="18"/>
    <x v="16"/>
    <n v="0"/>
    <x v="1"/>
    <x v="52"/>
    <x v="30"/>
    <n v="74.902000000000001"/>
    <x v="3022"/>
    <n v="20.861999999999998"/>
    <n v="23.602"/>
    <n v="30.245999999999999"/>
    <s v="24,51,66,67,68"/>
    <x v="0"/>
  </r>
  <r>
    <x v="7"/>
    <x v="9"/>
    <x v="6"/>
    <x v="21"/>
    <s v="NOR"/>
    <x v="3"/>
    <x v="6"/>
    <x v="17"/>
    <n v="0"/>
    <x v="1"/>
    <x v="21"/>
    <x v="42"/>
    <n v="74.228999999999999"/>
    <x v="3023"/>
    <n v="20.692"/>
    <n v="23.463999999999999"/>
    <n v="29.597999999999999"/>
    <s v="29,47"/>
    <x v="0"/>
  </r>
  <r>
    <x v="7"/>
    <x v="9"/>
    <x v="6"/>
    <x v="36"/>
    <s v="LAW"/>
    <x v="18"/>
    <x v="19"/>
    <x v="18"/>
    <n v="0"/>
    <x v="1"/>
    <x v="21"/>
    <x v="36"/>
    <n v="76.319999999999993"/>
    <x v="3024"/>
    <n v="21.213000000000001"/>
    <n v="24.274000000000001"/>
    <n v="30.655999999999999"/>
    <s v="38,54"/>
    <x v="0"/>
  </r>
  <r>
    <x v="7"/>
    <x v="9"/>
    <x v="6"/>
    <x v="22"/>
    <s v="ALB"/>
    <x v="7"/>
    <x v="9"/>
    <x v="19"/>
    <n v="0"/>
    <x v="1"/>
    <x v="21"/>
    <x v="38"/>
    <n v="76.197000000000003"/>
    <x v="3025"/>
    <n v="21.221"/>
    <n v="24.123999999999999"/>
    <n v="30.696999999999999"/>
    <n v="23"/>
    <x v="0"/>
  </r>
  <r>
    <x v="7"/>
    <x v="10"/>
    <x v="8"/>
    <x v="21"/>
    <s v="NOR"/>
    <x v="3"/>
    <x v="1"/>
    <x v="0"/>
    <n v="25"/>
    <x v="0"/>
    <x v="0"/>
    <x v="29"/>
    <n v="68.272000000000006"/>
    <x v="3026"/>
    <n v="17.266999999999999"/>
    <n v="30.356999999999999"/>
    <n v="20.542999999999999"/>
    <s v="20,52"/>
    <x v="1"/>
  </r>
  <r>
    <x v="7"/>
    <x v="10"/>
    <x v="8"/>
    <x v="35"/>
    <s v="PIA"/>
    <x v="3"/>
    <x v="0"/>
    <x v="1"/>
    <n v="18"/>
    <x v="0"/>
    <x v="0"/>
    <x v="29"/>
    <n v="67.924000000000007"/>
    <x v="3027"/>
    <n v="17.082000000000001"/>
    <n v="30.283999999999999"/>
    <n v="20.440999999999999"/>
    <s v="24,53"/>
    <x v="1"/>
  </r>
  <r>
    <x v="7"/>
    <x v="10"/>
    <x v="8"/>
    <x v="12"/>
    <s v="LEC"/>
    <x v="0"/>
    <x v="2"/>
    <x v="2"/>
    <n v="15"/>
    <x v="0"/>
    <x v="0"/>
    <x v="29"/>
    <n v="68.765000000000001"/>
    <x v="3028"/>
    <n v="17.248999999999999"/>
    <n v="30.581"/>
    <n v="20.783000000000001"/>
    <s v="25,49"/>
    <x v="1"/>
  </r>
  <r>
    <x v="7"/>
    <x v="10"/>
    <x v="8"/>
    <x v="1"/>
    <s v="HAM"/>
    <x v="0"/>
    <x v="5"/>
    <x v="3"/>
    <n v="12"/>
    <x v="1"/>
    <x v="0"/>
    <x v="29"/>
    <n v="68.628"/>
    <x v="3029"/>
    <n v="17.309999999999999"/>
    <n v="30.474"/>
    <n v="20.806999999999999"/>
    <s v="26,50"/>
    <x v="1"/>
  </r>
  <r>
    <x v="7"/>
    <x v="10"/>
    <x v="8"/>
    <x v="24"/>
    <s v="RUS"/>
    <x v="1"/>
    <x v="16"/>
    <x v="4"/>
    <n v="10"/>
    <x v="1"/>
    <x v="0"/>
    <x v="29"/>
    <n v="69.372"/>
    <x v="3030"/>
    <n v="17.119"/>
    <n v="30.821999999999999"/>
    <n v="21.032"/>
    <s v="18,45"/>
    <x v="1"/>
  </r>
  <r>
    <x v="7"/>
    <x v="10"/>
    <x v="8"/>
    <x v="36"/>
    <s v="LAW"/>
    <x v="18"/>
    <x v="15"/>
    <x v="5"/>
    <n v="8"/>
    <x v="1"/>
    <x v="0"/>
    <x v="29"/>
    <n v="69.977000000000004"/>
    <x v="3031"/>
    <n v="17.228999999999999"/>
    <n v="31.143000000000001"/>
    <n v="21.084"/>
    <n v="32"/>
    <x v="1"/>
  </r>
  <r>
    <x v="7"/>
    <x v="10"/>
    <x v="8"/>
    <x v="4"/>
    <s v="ALO"/>
    <x v="13"/>
    <x v="8"/>
    <x v="6"/>
    <n v="6"/>
    <x v="1"/>
    <x v="52"/>
    <x v="30"/>
    <n v="69.935000000000002"/>
    <x v="3032"/>
    <n v="17.254000000000001"/>
    <n v="31.202999999999999"/>
    <n v="21.26"/>
    <n v="33"/>
    <x v="1"/>
  </r>
  <r>
    <x v="7"/>
    <x v="10"/>
    <x v="8"/>
    <x v="41"/>
    <s v="BOR"/>
    <x v="16"/>
    <x v="3"/>
    <x v="7"/>
    <n v="4"/>
    <x v="1"/>
    <x v="52"/>
    <x v="30"/>
    <n v="69.247"/>
    <x v="3033"/>
    <n v="17.277000000000001"/>
    <n v="30.798999999999999"/>
    <n v="20.771000000000001"/>
    <s v="21,49"/>
    <x v="1"/>
  </r>
  <r>
    <x v="7"/>
    <x v="10"/>
    <x v="8"/>
    <x v="6"/>
    <s v="HUL"/>
    <x v="16"/>
    <x v="17"/>
    <x v="8"/>
    <n v="2"/>
    <x v="1"/>
    <x v="52"/>
    <x v="30"/>
    <n v="69.459000000000003"/>
    <x v="3034"/>
    <n v="17.244"/>
    <n v="30.946999999999999"/>
    <n v="20.928000000000001"/>
    <s v="12,42"/>
    <x v="1"/>
  </r>
  <r>
    <x v="7"/>
    <x v="10"/>
    <x v="8"/>
    <x v="11"/>
    <s v="OCO"/>
    <x v="9"/>
    <x v="18"/>
    <x v="9"/>
    <n v="1"/>
    <x v="1"/>
    <x v="52"/>
    <x v="30"/>
    <n v="69.55"/>
    <x v="3035"/>
    <n v="17.248999999999999"/>
    <n v="30.882999999999999"/>
    <n v="21.055"/>
    <s v="19,50"/>
    <x v="1"/>
  </r>
  <r>
    <x v="7"/>
    <x v="10"/>
    <x v="8"/>
    <x v="37"/>
    <s v="BEA"/>
    <x v="9"/>
    <x v="7"/>
    <x v="10"/>
    <n v="0"/>
    <x v="1"/>
    <x v="52"/>
    <x v="30"/>
    <n v="69.959999999999994"/>
    <x v="3036"/>
    <n v="17.256"/>
    <n v="31.06"/>
    <n v="21.233000000000001"/>
    <s v="11,39"/>
    <x v="1"/>
  </r>
  <r>
    <x v="7"/>
    <x v="10"/>
    <x v="8"/>
    <x v="42"/>
    <s v="HAD"/>
    <x v="18"/>
    <x v="13"/>
    <x v="11"/>
    <n v="0"/>
    <x v="1"/>
    <x v="52"/>
    <x v="30"/>
    <n v="70.203999999999994"/>
    <x v="3037"/>
    <n v="17.292000000000002"/>
    <n v="31.273"/>
    <n v="21.257000000000001"/>
    <s v="2,28"/>
    <x v="1"/>
  </r>
  <r>
    <x v="7"/>
    <x v="10"/>
    <x v="8"/>
    <x v="17"/>
    <s v="GAS"/>
    <x v="14"/>
    <x v="4"/>
    <x v="12"/>
    <n v="0"/>
    <x v="1"/>
    <x v="52"/>
    <x v="30"/>
    <n v="70.150999999999996"/>
    <x v="3038"/>
    <n v="17.308"/>
    <n v="31.111000000000001"/>
    <n v="21.256"/>
    <s v="12,38"/>
    <x v="1"/>
  </r>
  <r>
    <x v="7"/>
    <x v="10"/>
    <x v="8"/>
    <x v="13"/>
    <s v="STR"/>
    <x v="13"/>
    <x v="14"/>
    <x v="13"/>
    <n v="0"/>
    <x v="1"/>
    <x v="52"/>
    <x v="30"/>
    <n v="69.213999999999999"/>
    <x v="3039"/>
    <n v="17.158999999999999"/>
    <n v="30.626999999999999"/>
    <n v="21.026"/>
    <s v="26,53"/>
    <x v="1"/>
  </r>
  <r>
    <x v="7"/>
    <x v="10"/>
    <x v="8"/>
    <x v="38"/>
    <s v="COL"/>
    <x v="14"/>
    <x v="11"/>
    <x v="14"/>
    <n v="0"/>
    <x v="1"/>
    <x v="52"/>
    <x v="30"/>
    <n v="69.620999999999995"/>
    <x v="3040"/>
    <n v="17.317"/>
    <n v="30.956"/>
    <n v="21.007999999999999"/>
    <s v="13,39"/>
    <x v="1"/>
  </r>
  <r>
    <x v="7"/>
    <x v="10"/>
    <x v="8"/>
    <x v="29"/>
    <s v="TSU"/>
    <x v="2"/>
    <x v="12"/>
    <x v="15"/>
    <n v="0"/>
    <x v="1"/>
    <x v="52"/>
    <x v="31"/>
    <n v="69.802000000000007"/>
    <x v="3041"/>
    <n v="17.135000000000002"/>
    <n v="30.940999999999999"/>
    <n v="21.273"/>
    <s v="18,30,60"/>
    <x v="1"/>
  </r>
  <r>
    <x v="7"/>
    <x v="10"/>
    <x v="8"/>
    <x v="22"/>
    <s v="ALB"/>
    <x v="7"/>
    <x v="10"/>
    <x v="16"/>
    <n v="0"/>
    <x v="1"/>
    <x v="21"/>
    <x v="67"/>
    <n v="70.641000000000005"/>
    <x v="3042"/>
    <n v="17.279"/>
    <n v="31.466999999999999"/>
    <n v="21.74"/>
    <s v="13,15"/>
    <x v="1"/>
  </r>
  <r>
    <x v="7"/>
    <x v="10"/>
    <x v="8"/>
    <x v="5"/>
    <s v="VER"/>
    <x v="2"/>
    <x v="6"/>
    <x v="17"/>
    <n v="0"/>
    <x v="1"/>
    <x v="21"/>
    <x v="16"/>
    <m/>
    <x v="19"/>
    <m/>
    <m/>
    <m/>
    <m/>
    <x v="1"/>
  </r>
  <r>
    <x v="7"/>
    <x v="10"/>
    <x v="8"/>
    <x v="43"/>
    <s v="ANT"/>
    <x v="1"/>
    <x v="9"/>
    <x v="18"/>
    <n v="0"/>
    <x v="1"/>
    <x v="21"/>
    <x v="16"/>
    <m/>
    <x v="19"/>
    <m/>
    <m/>
    <m/>
    <m/>
    <x v="1"/>
  </r>
  <r>
    <x v="7"/>
    <x v="10"/>
    <x v="8"/>
    <x v="9"/>
    <s v="SAI"/>
    <x v="7"/>
    <x v="19"/>
    <x v="19"/>
    <n v="0"/>
    <x v="1"/>
    <x v="53"/>
    <x v="68"/>
    <m/>
    <x v="19"/>
    <m/>
    <m/>
    <m/>
    <m/>
    <x v="1"/>
  </r>
  <r>
    <x v="7"/>
    <x v="11"/>
    <x v="9"/>
    <x v="21"/>
    <s v="NOR"/>
    <x v="3"/>
    <x v="0"/>
    <x v="0"/>
    <n v="25"/>
    <x v="0"/>
    <x v="0"/>
    <x v="33"/>
    <n v="89.733999999999995"/>
    <x v="3043"/>
    <n v="28.701000000000001"/>
    <n v="36.673999999999999"/>
    <n v="24.312000000000001"/>
    <s v="11,44"/>
    <x v="0"/>
  </r>
  <r>
    <x v="7"/>
    <x v="11"/>
    <x v="9"/>
    <x v="35"/>
    <s v="PIA"/>
    <x v="3"/>
    <x v="2"/>
    <x v="1"/>
    <n v="18"/>
    <x v="0"/>
    <x v="0"/>
    <x v="33"/>
    <n v="89.337000000000003"/>
    <x v="3044"/>
    <n v="28.704999999999998"/>
    <n v="36.332999999999998"/>
    <n v="24.298999999999999"/>
    <s v="11,43"/>
    <x v="0"/>
  </r>
  <r>
    <x v="7"/>
    <x v="11"/>
    <x v="9"/>
    <x v="6"/>
    <s v="HUL"/>
    <x v="16"/>
    <x v="19"/>
    <x v="2"/>
    <n v="15"/>
    <x v="0"/>
    <x v="0"/>
    <x v="33"/>
    <n v="90.933000000000007"/>
    <x v="3045"/>
    <n v="29.120999999999999"/>
    <n v="36.82"/>
    <n v="24.643000000000001"/>
    <s v="9,42"/>
    <x v="0"/>
  </r>
  <r>
    <x v="7"/>
    <x v="11"/>
    <x v="9"/>
    <x v="1"/>
    <s v="HAM"/>
    <x v="0"/>
    <x v="16"/>
    <x v="3"/>
    <n v="12"/>
    <x v="1"/>
    <x v="0"/>
    <x v="33"/>
    <n v="90.016000000000005"/>
    <x v="3046"/>
    <n v="28.908999999999999"/>
    <n v="36.74"/>
    <n v="24.367000000000001"/>
    <s v="11,41"/>
    <x v="0"/>
  </r>
  <r>
    <x v="7"/>
    <x v="11"/>
    <x v="9"/>
    <x v="5"/>
    <s v="VER"/>
    <x v="2"/>
    <x v="1"/>
    <x v="4"/>
    <n v="10"/>
    <x v="1"/>
    <x v="0"/>
    <x v="33"/>
    <n v="90.179000000000002"/>
    <x v="3047"/>
    <n v="28.94"/>
    <n v="36.728000000000002"/>
    <n v="24.393000000000001"/>
    <s v="11,41"/>
    <x v="0"/>
  </r>
  <r>
    <x v="7"/>
    <x v="11"/>
    <x v="9"/>
    <x v="17"/>
    <s v="GAS"/>
    <x v="14"/>
    <x v="3"/>
    <x v="5"/>
    <n v="8"/>
    <x v="1"/>
    <x v="0"/>
    <x v="33"/>
    <n v="90.751000000000005"/>
    <x v="3048"/>
    <n v="29.149000000000001"/>
    <n v="36.777999999999999"/>
    <n v="24.62"/>
    <s v="11,41"/>
    <x v="0"/>
  </r>
  <r>
    <x v="7"/>
    <x v="11"/>
    <x v="9"/>
    <x v="13"/>
    <s v="STR"/>
    <x v="13"/>
    <x v="18"/>
    <x v="6"/>
    <n v="6"/>
    <x v="1"/>
    <x v="0"/>
    <x v="33"/>
    <n v="92.087999999999994"/>
    <x v="3049"/>
    <n v="29.103000000000002"/>
    <n v="37.555999999999997"/>
    <n v="24.853999999999999"/>
    <s v="6,10,41"/>
    <x v="0"/>
  </r>
  <r>
    <x v="7"/>
    <x v="11"/>
    <x v="9"/>
    <x v="22"/>
    <s v="ALB"/>
    <x v="7"/>
    <x v="13"/>
    <x v="7"/>
    <n v="4"/>
    <x v="1"/>
    <x v="0"/>
    <x v="33"/>
    <n v="90.046999999999997"/>
    <x v="3050"/>
    <n v="28.742000000000001"/>
    <n v="36.685000000000002"/>
    <n v="24.3"/>
    <s v="12,42"/>
    <x v="0"/>
  </r>
  <r>
    <x v="7"/>
    <x v="11"/>
    <x v="9"/>
    <x v="4"/>
    <s v="ALO"/>
    <x v="13"/>
    <x v="6"/>
    <x v="8"/>
    <n v="2"/>
    <x v="1"/>
    <x v="0"/>
    <x v="33"/>
    <n v="90.352999999999994"/>
    <x v="3051"/>
    <n v="29.047000000000001"/>
    <n v="36.637999999999998"/>
    <n v="24.587"/>
    <s v="11,37"/>
    <x v="0"/>
  </r>
  <r>
    <x v="7"/>
    <x v="11"/>
    <x v="9"/>
    <x v="24"/>
    <s v="RUS"/>
    <x v="1"/>
    <x v="5"/>
    <x v="9"/>
    <n v="1"/>
    <x v="1"/>
    <x v="0"/>
    <x v="33"/>
    <n v="90.869"/>
    <x v="3052"/>
    <n v="28.998000000000001"/>
    <n v="36.896000000000001"/>
    <n v="24.803999999999998"/>
    <s v="10,38"/>
    <x v="0"/>
  </r>
  <r>
    <x v="7"/>
    <x v="11"/>
    <x v="9"/>
    <x v="37"/>
    <s v="BEA"/>
    <x v="9"/>
    <x v="12"/>
    <x v="10"/>
    <n v="0"/>
    <x v="1"/>
    <x v="0"/>
    <x v="33"/>
    <n v="90.921000000000006"/>
    <x v="3053"/>
    <n v="29.012"/>
    <n v="36.99"/>
    <n v="24.734999999999999"/>
    <s v="10,41"/>
    <x v="0"/>
  </r>
  <r>
    <x v="7"/>
    <x v="11"/>
    <x v="9"/>
    <x v="9"/>
    <s v="SAI"/>
    <x v="7"/>
    <x v="9"/>
    <x v="11"/>
    <n v="0"/>
    <x v="1"/>
    <x v="0"/>
    <x v="33"/>
    <n v="90.644999999999996"/>
    <x v="3054"/>
    <n v="28.927"/>
    <n v="36.975999999999999"/>
    <n v="24.623000000000001"/>
    <s v="11,41"/>
    <x v="0"/>
  </r>
  <r>
    <x v="7"/>
    <x v="11"/>
    <x v="9"/>
    <x v="11"/>
    <s v="OCO"/>
    <x v="9"/>
    <x v="11"/>
    <x v="12"/>
    <n v="0"/>
    <x v="1"/>
    <x v="0"/>
    <x v="33"/>
    <n v="90.817999999999998"/>
    <x v="3055"/>
    <n v="28.864000000000001"/>
    <n v="36.941000000000003"/>
    <n v="24.817"/>
    <s v="18,42"/>
    <x v="0"/>
  </r>
  <r>
    <x v="7"/>
    <x v="11"/>
    <x v="9"/>
    <x v="12"/>
    <s v="LEC"/>
    <x v="0"/>
    <x v="15"/>
    <x v="13"/>
    <n v="0"/>
    <x v="1"/>
    <x v="0"/>
    <x v="33"/>
    <n v="90.819000000000003"/>
    <x v="3056"/>
    <n v="29.096"/>
    <n v="37.067"/>
    <n v="24.655999999999999"/>
    <s v="10,42"/>
    <x v="0"/>
  </r>
  <r>
    <x v="7"/>
    <x v="11"/>
    <x v="9"/>
    <x v="29"/>
    <s v="TSU"/>
    <x v="2"/>
    <x v="8"/>
    <x v="14"/>
    <n v="0"/>
    <x v="1"/>
    <x v="52"/>
    <x v="11"/>
    <n v="90.873000000000005"/>
    <x v="3057"/>
    <n v="28.841000000000001"/>
    <n v="37.311"/>
    <n v="24.721"/>
    <s v="11,41"/>
    <x v="0"/>
  </r>
  <r>
    <x v="7"/>
    <x v="11"/>
    <x v="9"/>
    <x v="43"/>
    <s v="ANT"/>
    <x v="1"/>
    <x v="4"/>
    <x v="15"/>
    <n v="0"/>
    <x v="1"/>
    <x v="21"/>
    <x v="69"/>
    <n v="105.57599999999999"/>
    <x v="3058"/>
    <n v="33.207000000000001"/>
    <n v="39.634"/>
    <n v="29.681000000000001"/>
    <s v="2,9,20,23"/>
    <x v="0"/>
  </r>
  <r>
    <x v="7"/>
    <x v="11"/>
    <x v="9"/>
    <x v="42"/>
    <s v="HAD"/>
    <x v="18"/>
    <x v="10"/>
    <x v="16"/>
    <n v="0"/>
    <x v="1"/>
    <x v="21"/>
    <x v="41"/>
    <n v="101.705"/>
    <x v="3059"/>
    <n v="32.709000000000003"/>
    <n v="38.545000000000002"/>
    <n v="30.178999999999998"/>
    <n v="10"/>
    <x v="0"/>
  </r>
  <r>
    <x v="7"/>
    <x v="11"/>
    <x v="9"/>
    <x v="41"/>
    <s v="BOR"/>
    <x v="16"/>
    <x v="14"/>
    <x v="17"/>
    <n v="0"/>
    <x v="1"/>
    <x v="21"/>
    <x v="9"/>
    <m/>
    <x v="19"/>
    <m/>
    <m/>
    <m/>
    <m/>
    <x v="0"/>
  </r>
  <r>
    <x v="7"/>
    <x v="11"/>
    <x v="9"/>
    <x v="36"/>
    <s v="LAW"/>
    <x v="18"/>
    <x v="7"/>
    <x v="18"/>
    <n v="0"/>
    <x v="1"/>
    <x v="21"/>
    <x v="16"/>
    <m/>
    <x v="19"/>
    <m/>
    <m/>
    <m/>
    <m/>
    <x v="0"/>
  </r>
  <r>
    <x v="7"/>
    <x v="11"/>
    <x v="9"/>
    <x v="38"/>
    <s v="COL"/>
    <x v="14"/>
    <x v="17"/>
    <x v="19"/>
    <n v="0"/>
    <x v="1"/>
    <x v="53"/>
    <x v="68"/>
    <m/>
    <x v="19"/>
    <m/>
    <m/>
    <m/>
    <m/>
    <x v="0"/>
  </r>
  <r>
    <x v="7"/>
    <x v="12"/>
    <x v="12"/>
    <x v="35"/>
    <s v="PIA"/>
    <x v="3"/>
    <x v="2"/>
    <x v="0"/>
    <n v="25"/>
    <x v="0"/>
    <x v="0"/>
    <x v="44"/>
    <n v="105.706"/>
    <x v="3060"/>
    <n v="30.905000000000001"/>
    <n v="46.28"/>
    <n v="28.513999999999999"/>
    <n v="12"/>
    <x v="0"/>
  </r>
  <r>
    <x v="7"/>
    <x v="12"/>
    <x v="12"/>
    <x v="21"/>
    <s v="NOR"/>
    <x v="3"/>
    <x v="1"/>
    <x v="1"/>
    <n v="18"/>
    <x v="0"/>
    <x v="0"/>
    <x v="44"/>
    <n v="105.25700000000001"/>
    <x v="3061"/>
    <n v="30.811"/>
    <n v="45.929000000000002"/>
    <n v="28.408999999999999"/>
    <n v="13"/>
    <x v="0"/>
  </r>
  <r>
    <x v="7"/>
    <x v="12"/>
    <x v="12"/>
    <x v="12"/>
    <s v="LEC"/>
    <x v="0"/>
    <x v="0"/>
    <x v="2"/>
    <n v="15"/>
    <x v="0"/>
    <x v="0"/>
    <x v="44"/>
    <n v="106.17400000000001"/>
    <x v="3062"/>
    <n v="30.873999999999999"/>
    <n v="46.646999999999998"/>
    <n v="28.524000000000001"/>
    <n v="12"/>
    <x v="0"/>
  </r>
  <r>
    <x v="7"/>
    <x v="12"/>
    <x v="12"/>
    <x v="5"/>
    <s v="VER"/>
    <x v="2"/>
    <x v="5"/>
    <x v="3"/>
    <n v="12"/>
    <x v="1"/>
    <x v="0"/>
    <x v="44"/>
    <n v="106.096"/>
    <x v="3063"/>
    <n v="30.943000000000001"/>
    <n v="46.512"/>
    <n v="28.562999999999999"/>
    <n v="12"/>
    <x v="0"/>
  </r>
  <r>
    <x v="7"/>
    <x v="12"/>
    <x v="12"/>
    <x v="24"/>
    <s v="RUS"/>
    <x v="1"/>
    <x v="15"/>
    <x v="4"/>
    <n v="10"/>
    <x v="1"/>
    <x v="0"/>
    <x v="44"/>
    <n v="106.566"/>
    <x v="3064"/>
    <n v="30.765000000000001"/>
    <n v="47.104999999999997"/>
    <n v="28.542999999999999"/>
    <n v="12"/>
    <x v="0"/>
  </r>
  <r>
    <x v="7"/>
    <x v="12"/>
    <x v="12"/>
    <x v="22"/>
    <s v="ALB"/>
    <x v="7"/>
    <x v="16"/>
    <x v="5"/>
    <n v="8"/>
    <x v="1"/>
    <x v="0"/>
    <x v="44"/>
    <n v="106.813"/>
    <x v="3065"/>
    <n v="30.88"/>
    <n v="47.161000000000001"/>
    <n v="28.620999999999999"/>
    <n v="12"/>
    <x v="0"/>
  </r>
  <r>
    <x v="7"/>
    <x v="12"/>
    <x v="12"/>
    <x v="1"/>
    <s v="HAM"/>
    <x v="0"/>
    <x v="12"/>
    <x v="6"/>
    <n v="6"/>
    <x v="1"/>
    <x v="0"/>
    <x v="44"/>
    <n v="106.53400000000001"/>
    <x v="3066"/>
    <n v="30.651"/>
    <n v="46.817999999999998"/>
    <n v="28.640999999999998"/>
    <n v="11"/>
    <x v="0"/>
  </r>
  <r>
    <x v="7"/>
    <x v="12"/>
    <x v="12"/>
    <x v="36"/>
    <s v="LAW"/>
    <x v="18"/>
    <x v="9"/>
    <x v="7"/>
    <n v="4"/>
    <x v="1"/>
    <x v="0"/>
    <x v="44"/>
    <n v="106.649"/>
    <x v="3067"/>
    <n v="31.116"/>
    <n v="46.866"/>
    <n v="28.626000000000001"/>
    <n v="12"/>
    <x v="0"/>
  </r>
  <r>
    <x v="7"/>
    <x v="12"/>
    <x v="12"/>
    <x v="41"/>
    <s v="BOR"/>
    <x v="16"/>
    <x v="4"/>
    <x v="8"/>
    <n v="2"/>
    <x v="1"/>
    <x v="0"/>
    <x v="44"/>
    <n v="106.96599999999999"/>
    <x v="3068"/>
    <n v="31.12"/>
    <n v="46.932000000000002"/>
    <n v="28.72"/>
    <n v="12"/>
    <x v="0"/>
  </r>
  <r>
    <x v="7"/>
    <x v="12"/>
    <x v="12"/>
    <x v="17"/>
    <s v="GAS"/>
    <x v="14"/>
    <x v="13"/>
    <x v="9"/>
    <n v="1"/>
    <x v="1"/>
    <x v="0"/>
    <x v="44"/>
    <n v="107.17700000000001"/>
    <x v="3069"/>
    <n v="30.885000000000002"/>
    <n v="47.529000000000003"/>
    <n v="28.667000000000002"/>
    <n v="11"/>
    <x v="0"/>
  </r>
  <r>
    <x v="7"/>
    <x v="12"/>
    <x v="12"/>
    <x v="37"/>
    <s v="BEA"/>
    <x v="9"/>
    <x v="10"/>
    <x v="10"/>
    <n v="0"/>
    <x v="1"/>
    <x v="0"/>
    <x v="44"/>
    <n v="106.709"/>
    <x v="3070"/>
    <n v="30.513000000000002"/>
    <n v="47.146000000000001"/>
    <n v="28.692"/>
    <n v="12"/>
    <x v="0"/>
  </r>
  <r>
    <x v="7"/>
    <x v="12"/>
    <x v="12"/>
    <x v="6"/>
    <s v="HUL"/>
    <x v="16"/>
    <x v="11"/>
    <x v="11"/>
    <n v="0"/>
    <x v="1"/>
    <x v="0"/>
    <x v="44"/>
    <n v="105.068"/>
    <x v="3071"/>
    <n v="30.463000000000001"/>
    <n v="45.893999999999998"/>
    <n v="28.591000000000001"/>
    <s v="11,32"/>
    <x v="0"/>
  </r>
  <r>
    <x v="7"/>
    <x v="12"/>
    <x v="12"/>
    <x v="29"/>
    <s v="TSU"/>
    <x v="2"/>
    <x v="6"/>
    <x v="12"/>
    <n v="0"/>
    <x v="1"/>
    <x v="0"/>
    <x v="44"/>
    <n v="107.241"/>
    <x v="3072"/>
    <n v="30.74"/>
    <n v="47.524000000000001"/>
    <n v="28.748000000000001"/>
    <n v="13"/>
    <x v="0"/>
  </r>
  <r>
    <x v="7"/>
    <x v="12"/>
    <x v="12"/>
    <x v="13"/>
    <s v="STR"/>
    <x v="13"/>
    <x v="14"/>
    <x v="13"/>
    <n v="0"/>
    <x v="1"/>
    <x v="0"/>
    <x v="44"/>
    <n v="107.212"/>
    <x v="3073"/>
    <n v="30.893999999999998"/>
    <n v="47.393999999999998"/>
    <n v="28.683"/>
    <n v="12"/>
    <x v="0"/>
  </r>
  <r>
    <x v="7"/>
    <x v="12"/>
    <x v="12"/>
    <x v="11"/>
    <s v="OCO"/>
    <x v="9"/>
    <x v="8"/>
    <x v="14"/>
    <n v="0"/>
    <x v="1"/>
    <x v="0"/>
    <x v="44"/>
    <n v="106.744"/>
    <x v="3074"/>
    <n v="30.481000000000002"/>
    <n v="47.526000000000003"/>
    <n v="28.460999999999999"/>
    <n v="13"/>
    <x v="0"/>
  </r>
  <r>
    <x v="7"/>
    <x v="12"/>
    <x v="12"/>
    <x v="43"/>
    <s v="ANT"/>
    <x v="1"/>
    <x v="19"/>
    <x v="15"/>
    <n v="0"/>
    <x v="1"/>
    <x v="0"/>
    <x v="44"/>
    <n v="104.861"/>
    <x v="3075"/>
    <n v="30.420999999999999"/>
    <n v="45.439"/>
    <n v="28.579000000000001"/>
    <s v="12,30"/>
    <x v="0"/>
  </r>
  <r>
    <x v="7"/>
    <x v="12"/>
    <x v="12"/>
    <x v="4"/>
    <s v="ALO"/>
    <x v="13"/>
    <x v="17"/>
    <x v="16"/>
    <n v="0"/>
    <x v="1"/>
    <x v="0"/>
    <x v="44"/>
    <n v="105.849"/>
    <x v="3076"/>
    <n v="30.759"/>
    <n v="46.149000000000001"/>
    <n v="28.547000000000001"/>
    <s v="11,29"/>
    <x v="0"/>
  </r>
  <r>
    <x v="7"/>
    <x v="12"/>
    <x v="12"/>
    <x v="9"/>
    <s v="SAI"/>
    <x v="7"/>
    <x v="18"/>
    <x v="17"/>
    <n v="0"/>
    <x v="1"/>
    <x v="0"/>
    <x v="44"/>
    <n v="106.07299999999999"/>
    <x v="3077"/>
    <n v="31.006"/>
    <n v="45.918999999999997"/>
    <n v="28.891999999999999"/>
    <s v="12,26"/>
    <x v="0"/>
  </r>
  <r>
    <x v="7"/>
    <x v="12"/>
    <x v="12"/>
    <x v="38"/>
    <s v="COL"/>
    <x v="14"/>
    <x v="7"/>
    <x v="18"/>
    <n v="0"/>
    <x v="1"/>
    <x v="0"/>
    <x v="44"/>
    <n v="106.104"/>
    <x v="3078"/>
    <n v="30.602"/>
    <n v="46.914999999999999"/>
    <n v="28.436"/>
    <s v="12,28"/>
    <x v="0"/>
  </r>
  <r>
    <x v="7"/>
    <x v="12"/>
    <x v="12"/>
    <x v="42"/>
    <s v="HAD"/>
    <x v="18"/>
    <x v="3"/>
    <x v="19"/>
    <n v="0"/>
    <x v="1"/>
    <x v="52"/>
    <x v="13"/>
    <n v="107.667"/>
    <x v="3079"/>
    <n v="31.385000000000002"/>
    <n v="47.061999999999998"/>
    <n v="28.928000000000001"/>
    <s v="13,20"/>
    <x v="0"/>
  </r>
  <r>
    <x v="7"/>
    <x v="20"/>
    <x v="11"/>
    <x v="21"/>
    <s v="NOR"/>
    <x v="3"/>
    <x v="0"/>
    <x v="0"/>
    <n v="25"/>
    <x v="0"/>
    <x v="0"/>
    <x v="29"/>
    <n v="79.918000000000006"/>
    <x v="3080"/>
    <n v="28.951000000000001"/>
    <n v="28.213999999999999"/>
    <n v="22.556000000000001"/>
    <n v="31"/>
    <x v="1"/>
  </r>
  <r>
    <x v="7"/>
    <x v="20"/>
    <x v="11"/>
    <x v="35"/>
    <s v="PIA"/>
    <x v="3"/>
    <x v="2"/>
    <x v="1"/>
    <n v="18"/>
    <x v="0"/>
    <x v="0"/>
    <x v="29"/>
    <n v="79.412000000000006"/>
    <x v="3081"/>
    <n v="28.556999999999999"/>
    <n v="27.94"/>
    <n v="22.273"/>
    <s v="18,45"/>
    <x v="1"/>
  </r>
  <r>
    <x v="7"/>
    <x v="20"/>
    <x v="11"/>
    <x v="24"/>
    <s v="RUS"/>
    <x v="1"/>
    <x v="5"/>
    <x v="2"/>
    <n v="15"/>
    <x v="0"/>
    <x v="0"/>
    <x v="29"/>
    <n v="79.409000000000006"/>
    <x v="3082"/>
    <n v="28.834"/>
    <n v="28.135999999999999"/>
    <n v="22.305"/>
    <s v="19,43"/>
    <x v="1"/>
  </r>
  <r>
    <x v="7"/>
    <x v="20"/>
    <x v="11"/>
    <x v="12"/>
    <s v="LEC"/>
    <x v="0"/>
    <x v="1"/>
    <x v="3"/>
    <n v="12"/>
    <x v="1"/>
    <x v="0"/>
    <x v="29"/>
    <n v="80.44"/>
    <x v="3083"/>
    <n v="29.099"/>
    <n v="28.463999999999999"/>
    <n v="22.760999999999999"/>
    <s v="19,40"/>
    <x v="1"/>
  </r>
  <r>
    <x v="7"/>
    <x v="20"/>
    <x v="11"/>
    <x v="4"/>
    <s v="ALO"/>
    <x v="13"/>
    <x v="16"/>
    <x v="4"/>
    <n v="10"/>
    <x v="1"/>
    <x v="0"/>
    <x v="29"/>
    <n v="80.113"/>
    <x v="3084"/>
    <n v="29.071000000000002"/>
    <n v="28.297999999999998"/>
    <n v="22.559000000000001"/>
    <n v="39"/>
    <x v="1"/>
  </r>
  <r>
    <x v="7"/>
    <x v="20"/>
    <x v="11"/>
    <x v="41"/>
    <s v="BOR"/>
    <x v="16"/>
    <x v="6"/>
    <x v="5"/>
    <n v="8"/>
    <x v="1"/>
    <x v="0"/>
    <x v="29"/>
    <n v="80.704999999999998"/>
    <x v="3085"/>
    <n v="29.061"/>
    <n v="28.649000000000001"/>
    <n v="22.706"/>
    <n v="40"/>
    <x v="1"/>
  </r>
  <r>
    <x v="7"/>
    <x v="20"/>
    <x v="11"/>
    <x v="13"/>
    <s v="STR"/>
    <x v="13"/>
    <x v="15"/>
    <x v="6"/>
    <n v="6"/>
    <x v="1"/>
    <x v="0"/>
    <x v="29"/>
    <n v="80.707999999999998"/>
    <x v="3086"/>
    <n v="29.146999999999998"/>
    <n v="28.667000000000002"/>
    <n v="22.699000000000002"/>
    <n v="36"/>
    <x v="1"/>
  </r>
  <r>
    <x v="7"/>
    <x v="20"/>
    <x v="11"/>
    <x v="36"/>
    <s v="LAW"/>
    <x v="18"/>
    <x v="9"/>
    <x v="7"/>
    <n v="4"/>
    <x v="1"/>
    <x v="0"/>
    <x v="29"/>
    <n v="80.456999999999994"/>
    <x v="3087"/>
    <n v="29.094000000000001"/>
    <n v="28.635999999999999"/>
    <n v="22.637"/>
    <n v="40"/>
    <x v="1"/>
  </r>
  <r>
    <x v="7"/>
    <x v="20"/>
    <x v="11"/>
    <x v="5"/>
    <s v="VER"/>
    <x v="2"/>
    <x v="3"/>
    <x v="8"/>
    <n v="2"/>
    <x v="1"/>
    <x v="0"/>
    <x v="29"/>
    <n v="79.575999999999993"/>
    <x v="3088"/>
    <n v="28.773"/>
    <n v="28.166"/>
    <n v="22.388000000000002"/>
    <s v="17,48"/>
    <x v="1"/>
  </r>
  <r>
    <x v="7"/>
    <x v="20"/>
    <x v="11"/>
    <x v="43"/>
    <s v="ANT"/>
    <x v="1"/>
    <x v="7"/>
    <x v="9"/>
    <n v="1"/>
    <x v="1"/>
    <x v="52"/>
    <x v="30"/>
    <n v="80.745000000000005"/>
    <x v="3089"/>
    <n v="29.186"/>
    <n v="28.654"/>
    <n v="22.753"/>
    <n v="21"/>
    <x v="1"/>
  </r>
  <r>
    <x v="7"/>
    <x v="20"/>
    <x v="11"/>
    <x v="42"/>
    <s v="HAD"/>
    <x v="18"/>
    <x v="4"/>
    <x v="10"/>
    <n v="0"/>
    <x v="1"/>
    <x v="52"/>
    <x v="30"/>
    <n v="80.802000000000007"/>
    <x v="3090"/>
    <n v="29.085999999999999"/>
    <n v="28.686"/>
    <n v="22.734999999999999"/>
    <n v="33"/>
    <x v="1"/>
  </r>
  <r>
    <x v="7"/>
    <x v="20"/>
    <x v="11"/>
    <x v="1"/>
    <s v="HAM"/>
    <x v="0"/>
    <x v="10"/>
    <x v="11"/>
    <n v="0"/>
    <x v="1"/>
    <x v="52"/>
    <x v="30"/>
    <n v="80.022000000000006"/>
    <x v="3091"/>
    <n v="28.747"/>
    <n v="28.419"/>
    <n v="22.573"/>
    <n v="42"/>
    <x v="1"/>
  </r>
  <r>
    <x v="7"/>
    <x v="20"/>
    <x v="11"/>
    <x v="6"/>
    <s v="HUL"/>
    <x v="16"/>
    <x v="12"/>
    <x v="12"/>
    <n v="0"/>
    <x v="1"/>
    <x v="52"/>
    <x v="30"/>
    <n v="80.013000000000005"/>
    <x v="3092"/>
    <n v="28.77"/>
    <n v="28.58"/>
    <n v="22.573"/>
    <s v="5,41"/>
    <x v="1"/>
  </r>
  <r>
    <x v="7"/>
    <x v="20"/>
    <x v="11"/>
    <x v="9"/>
    <s v="SAI"/>
    <x v="7"/>
    <x v="13"/>
    <x v="13"/>
    <n v="0"/>
    <x v="1"/>
    <x v="52"/>
    <x v="30"/>
    <n v="79.790000000000006"/>
    <x v="3093"/>
    <n v="28.716000000000001"/>
    <n v="28.588999999999999"/>
    <n v="22.484999999999999"/>
    <s v="15,51"/>
    <x v="1"/>
  </r>
  <r>
    <x v="7"/>
    <x v="20"/>
    <x v="11"/>
    <x v="22"/>
    <s v="ALB"/>
    <x v="7"/>
    <x v="19"/>
    <x v="14"/>
    <n v="0"/>
    <x v="1"/>
    <x v="52"/>
    <x v="30"/>
    <n v="80.778999999999996"/>
    <x v="3094"/>
    <n v="28.863"/>
    <n v="28.896000000000001"/>
    <n v="22.7"/>
    <s v="14,38"/>
    <x v="1"/>
  </r>
  <r>
    <x v="7"/>
    <x v="20"/>
    <x v="11"/>
    <x v="11"/>
    <s v="OCO"/>
    <x v="9"/>
    <x v="18"/>
    <x v="15"/>
    <n v="0"/>
    <x v="1"/>
    <x v="52"/>
    <x v="30"/>
    <n v="81.915999999999997"/>
    <x v="3095"/>
    <n v="29.423999999999999"/>
    <n v="29.236000000000001"/>
    <n v="23.032"/>
    <n v="14"/>
    <x v="1"/>
  </r>
  <r>
    <x v="7"/>
    <x v="20"/>
    <x v="11"/>
    <x v="29"/>
    <s v="TSU"/>
    <x v="2"/>
    <x v="17"/>
    <x v="16"/>
    <n v="0"/>
    <x v="1"/>
    <x v="52"/>
    <x v="30"/>
    <n v="81.180000000000007"/>
    <x v="3096"/>
    <n v="29.297000000000001"/>
    <n v="28.937000000000001"/>
    <n v="22.832000000000001"/>
    <s v="20,37"/>
    <x v="1"/>
  </r>
  <r>
    <x v="7"/>
    <x v="20"/>
    <x v="11"/>
    <x v="38"/>
    <s v="COL"/>
    <x v="14"/>
    <x v="11"/>
    <x v="17"/>
    <n v="0"/>
    <x v="1"/>
    <x v="52"/>
    <x v="30"/>
    <n v="80.826999999999998"/>
    <x v="3097"/>
    <n v="29.225000000000001"/>
    <n v="28.765000000000001"/>
    <n v="22.776"/>
    <s v="13,35"/>
    <x v="1"/>
  </r>
  <r>
    <x v="7"/>
    <x v="20"/>
    <x v="11"/>
    <x v="17"/>
    <s v="GAS"/>
    <x v="14"/>
    <x v="14"/>
    <x v="18"/>
    <n v="0"/>
    <x v="1"/>
    <x v="52"/>
    <x v="30"/>
    <n v="81.433000000000007"/>
    <x v="3098"/>
    <n v="29.271999999999998"/>
    <n v="29.181999999999999"/>
    <n v="22.923999999999999"/>
    <n v="32"/>
    <x v="1"/>
  </r>
  <r>
    <x v="7"/>
    <x v="20"/>
    <x v="11"/>
    <x v="37"/>
    <s v="BEA"/>
    <x v="9"/>
    <x v="8"/>
    <x v="19"/>
    <n v="0"/>
    <x v="1"/>
    <x v="21"/>
    <x v="66"/>
    <n v="81.989000000000004"/>
    <x v="3099"/>
    <n v="29.539000000000001"/>
    <n v="29.236000000000001"/>
    <n v="23.091000000000001"/>
    <s v="30,48"/>
    <x v="1"/>
  </r>
  <r>
    <x v="7"/>
    <x v="13"/>
    <x v="29"/>
    <x v="35"/>
    <s v="PIA"/>
    <x v="3"/>
    <x v="1"/>
    <x v="0"/>
    <n v="25"/>
    <x v="0"/>
    <x v="0"/>
    <x v="75"/>
    <n v="72.271000000000001"/>
    <x v="3100"/>
    <n v="24.661000000000001"/>
    <n v="25.567"/>
    <n v="21.946000000000002"/>
    <s v="23,53"/>
    <x v="1"/>
  </r>
  <r>
    <x v="7"/>
    <x v="13"/>
    <x v="29"/>
    <x v="5"/>
    <s v="VER"/>
    <x v="2"/>
    <x v="0"/>
    <x v="1"/>
    <n v="18"/>
    <x v="0"/>
    <x v="0"/>
    <x v="75"/>
    <n v="72.921000000000006"/>
    <x v="3101"/>
    <n v="24.768999999999998"/>
    <n v="25.94"/>
    <n v="22.058"/>
    <s v="23,53"/>
    <x v="1"/>
  </r>
  <r>
    <x v="7"/>
    <x v="13"/>
    <x v="29"/>
    <x v="42"/>
    <s v="HAD"/>
    <x v="18"/>
    <x v="5"/>
    <x v="2"/>
    <n v="15"/>
    <x v="0"/>
    <x v="0"/>
    <x v="75"/>
    <n v="73.326999999999998"/>
    <x v="3102"/>
    <n v="24.774000000000001"/>
    <n v="26.103000000000002"/>
    <n v="22.167000000000002"/>
    <s v="23,53"/>
    <x v="1"/>
  </r>
  <r>
    <x v="7"/>
    <x v="13"/>
    <x v="29"/>
    <x v="24"/>
    <s v="RUS"/>
    <x v="1"/>
    <x v="16"/>
    <x v="3"/>
    <n v="12"/>
    <x v="1"/>
    <x v="0"/>
    <x v="75"/>
    <n v="73.727999999999994"/>
    <x v="3103"/>
    <n v="25.021999999999998"/>
    <n v="26.401"/>
    <n v="22.099"/>
    <s v="23,53"/>
    <x v="1"/>
  </r>
  <r>
    <x v="7"/>
    <x v="13"/>
    <x v="29"/>
    <x v="22"/>
    <s v="ALB"/>
    <x v="7"/>
    <x v="7"/>
    <x v="4"/>
    <n v="10"/>
    <x v="1"/>
    <x v="0"/>
    <x v="75"/>
    <n v="73.686999999999998"/>
    <x v="3104"/>
    <n v="24.885000000000002"/>
    <n v="26.466999999999999"/>
    <n v="21.959"/>
    <s v="23,53"/>
    <x v="1"/>
  </r>
  <r>
    <x v="7"/>
    <x v="13"/>
    <x v="29"/>
    <x v="37"/>
    <s v="BEA"/>
    <x v="9"/>
    <x v="17"/>
    <x v="5"/>
    <n v="8"/>
    <x v="1"/>
    <x v="0"/>
    <x v="75"/>
    <n v="73.95"/>
    <x v="3105"/>
    <n v="25.161000000000001"/>
    <n v="26.344999999999999"/>
    <n v="22.361999999999998"/>
    <n v="53"/>
    <x v="1"/>
  </r>
  <r>
    <x v="7"/>
    <x v="13"/>
    <x v="29"/>
    <x v="13"/>
    <s v="STR"/>
    <x v="13"/>
    <x v="19"/>
    <x v="6"/>
    <n v="6"/>
    <x v="1"/>
    <x v="0"/>
    <x v="75"/>
    <n v="73.822000000000003"/>
    <x v="3106"/>
    <n v="25.440999999999999"/>
    <n v="26.169"/>
    <n v="22.125"/>
    <s v="8,52"/>
    <x v="1"/>
  </r>
  <r>
    <x v="7"/>
    <x v="13"/>
    <x v="29"/>
    <x v="4"/>
    <s v="ALO"/>
    <x v="13"/>
    <x v="4"/>
    <x v="7"/>
    <n v="4"/>
    <x v="1"/>
    <x v="0"/>
    <x v="75"/>
    <n v="73.718999999999994"/>
    <x v="3107"/>
    <n v="25.125"/>
    <n v="26.195"/>
    <n v="22.399000000000001"/>
    <s v="18,40"/>
    <x v="1"/>
  </r>
  <r>
    <x v="7"/>
    <x v="13"/>
    <x v="29"/>
    <x v="29"/>
    <s v="TSU"/>
    <x v="2"/>
    <x v="10"/>
    <x v="8"/>
    <n v="2"/>
    <x v="1"/>
    <x v="0"/>
    <x v="75"/>
    <n v="74.353999999999999"/>
    <x v="3108"/>
    <n v="25.238"/>
    <n v="26.71"/>
    <n v="22.405999999999999"/>
    <s v="19,53"/>
    <x v="1"/>
  </r>
  <r>
    <x v="7"/>
    <x v="13"/>
    <x v="29"/>
    <x v="11"/>
    <s v="OCO"/>
    <x v="9"/>
    <x v="12"/>
    <x v="9"/>
    <n v="1"/>
    <x v="1"/>
    <x v="0"/>
    <x v="75"/>
    <n v="73.986000000000004"/>
    <x v="3109"/>
    <n v="25.152000000000001"/>
    <n v="26.521000000000001"/>
    <n v="22.312999999999999"/>
    <n v="52"/>
    <x v="1"/>
  </r>
  <r>
    <x v="7"/>
    <x v="13"/>
    <x v="29"/>
    <x v="38"/>
    <s v="COL"/>
    <x v="14"/>
    <x v="14"/>
    <x v="10"/>
    <n v="0"/>
    <x v="1"/>
    <x v="0"/>
    <x v="75"/>
    <n v="73.049000000000007"/>
    <x v="3110"/>
    <n v="24.969000000000001"/>
    <n v="26.048999999999999"/>
    <n v="22.016999999999999"/>
    <s v="19,53,65"/>
    <x v="1"/>
  </r>
  <r>
    <x v="7"/>
    <x v="13"/>
    <x v="29"/>
    <x v="36"/>
    <s v="LAW"/>
    <x v="18"/>
    <x v="3"/>
    <x v="11"/>
    <n v="0"/>
    <x v="1"/>
    <x v="0"/>
    <x v="75"/>
    <n v="73.879000000000005"/>
    <x v="3111"/>
    <n v="25.119"/>
    <n v="26.303999999999998"/>
    <n v="22.292000000000002"/>
    <s v="23,27,52"/>
    <x v="1"/>
  </r>
  <r>
    <x v="7"/>
    <x v="13"/>
    <x v="29"/>
    <x v="9"/>
    <s v="SAI"/>
    <x v="7"/>
    <x v="9"/>
    <x v="12"/>
    <n v="0"/>
    <x v="1"/>
    <x v="0"/>
    <x v="75"/>
    <n v="73.808000000000007"/>
    <x v="3112"/>
    <n v="24.956"/>
    <n v="26.463999999999999"/>
    <n v="22.265000000000001"/>
    <s v="23,27,51,65"/>
    <x v="1"/>
  </r>
  <r>
    <x v="7"/>
    <x v="13"/>
    <x v="29"/>
    <x v="6"/>
    <s v="HUL"/>
    <x v="16"/>
    <x v="18"/>
    <x v="13"/>
    <n v="0"/>
    <x v="1"/>
    <x v="0"/>
    <x v="75"/>
    <n v="74.912000000000006"/>
    <x v="3113"/>
    <n v="25.344000000000001"/>
    <n v="26.613"/>
    <n v="22.361999999999998"/>
    <s v="19,53"/>
    <x v="1"/>
  </r>
  <r>
    <x v="7"/>
    <x v="13"/>
    <x v="29"/>
    <x v="41"/>
    <s v="BOR"/>
    <x v="16"/>
    <x v="13"/>
    <x v="14"/>
    <n v="0"/>
    <x v="1"/>
    <x v="0"/>
    <x v="75"/>
    <n v="74.307000000000002"/>
    <x v="3114"/>
    <n v="25.396999999999998"/>
    <n v="26.344000000000001"/>
    <n v="22.457000000000001"/>
    <s v="22,60"/>
    <x v="1"/>
  </r>
  <r>
    <x v="7"/>
    <x v="13"/>
    <x v="29"/>
    <x v="43"/>
    <s v="ANT"/>
    <x v="1"/>
    <x v="8"/>
    <x v="15"/>
    <n v="0"/>
    <x v="1"/>
    <x v="0"/>
    <x v="75"/>
    <n v="73.48"/>
    <x v="3115"/>
    <n v="24.821000000000002"/>
    <n v="26.315999999999999"/>
    <n v="22.027999999999999"/>
    <s v="23,51,53"/>
    <x v="1"/>
  </r>
  <r>
    <x v="7"/>
    <x v="13"/>
    <x v="29"/>
    <x v="17"/>
    <s v="GAS"/>
    <x v="14"/>
    <x v="11"/>
    <x v="16"/>
    <n v="0"/>
    <x v="1"/>
    <x v="0"/>
    <x v="75"/>
    <n v="75.248000000000005"/>
    <x v="3116"/>
    <n v="25.623000000000001"/>
    <n v="26.888000000000002"/>
    <n v="22.588999999999999"/>
    <n v="23"/>
    <x v="1"/>
  </r>
  <r>
    <x v="7"/>
    <x v="13"/>
    <x v="29"/>
    <x v="21"/>
    <s v="NOR"/>
    <x v="3"/>
    <x v="2"/>
    <x v="17"/>
    <n v="0"/>
    <x v="1"/>
    <x v="21"/>
    <x v="18"/>
    <n v="72.379000000000005"/>
    <x v="3117"/>
    <n v="24.701999999999899"/>
    <n v="25.626000000000001"/>
    <n v="21.76"/>
    <s v="23,53"/>
    <x v="1"/>
  </r>
  <r>
    <x v="7"/>
    <x v="13"/>
    <x v="29"/>
    <x v="12"/>
    <s v="LEC"/>
    <x v="0"/>
    <x v="15"/>
    <x v="18"/>
    <n v="0"/>
    <x v="1"/>
    <x v="21"/>
    <x v="33"/>
    <n v="74.557000000000002"/>
    <x v="3118"/>
    <n v="25.417999999999999"/>
    <n v="26.606000000000002"/>
    <n v="22.184999999999999"/>
    <s v="22,52"/>
    <x v="1"/>
  </r>
  <r>
    <x v="7"/>
    <x v="13"/>
    <x v="29"/>
    <x v="1"/>
    <s v="HAM"/>
    <x v="0"/>
    <x v="6"/>
    <x v="19"/>
    <n v="0"/>
    <x v="1"/>
    <x v="21"/>
    <x v="69"/>
    <n v="75.683999999999997"/>
    <x v="3119"/>
    <n v="25.706"/>
    <n v="27.151"/>
    <n v="22.584"/>
    <m/>
    <x v="1"/>
  </r>
  <r>
    <x v="7"/>
    <x v="14"/>
    <x v="20"/>
    <x v="5"/>
    <s v="VER"/>
    <x v="2"/>
    <x v="1"/>
    <x v="0"/>
    <n v="25"/>
    <x v="0"/>
    <x v="0"/>
    <x v="28"/>
    <n v="81.003"/>
    <x v="3120"/>
    <n v="26.898"/>
    <n v="27.512"/>
    <n v="26.564"/>
    <n v="37"/>
    <x v="1"/>
  </r>
  <r>
    <x v="7"/>
    <x v="14"/>
    <x v="20"/>
    <x v="21"/>
    <s v="NOR"/>
    <x v="3"/>
    <x v="2"/>
    <x v="1"/>
    <n v="18"/>
    <x v="0"/>
    <x v="0"/>
    <x v="28"/>
    <n v="80.900999999999996"/>
    <x v="3121"/>
    <n v="26.81"/>
    <n v="27.251999999999999"/>
    <n v="26.71"/>
    <n v="46"/>
    <x v="1"/>
  </r>
  <r>
    <x v="7"/>
    <x v="14"/>
    <x v="20"/>
    <x v="35"/>
    <s v="PIA"/>
    <x v="3"/>
    <x v="0"/>
    <x v="2"/>
    <n v="15"/>
    <x v="0"/>
    <x v="0"/>
    <x v="28"/>
    <n v="81.245000000000005"/>
    <x v="3122"/>
    <n v="26.867000000000001"/>
    <n v="27.402000000000001"/>
    <n v="26.873999999999999"/>
    <n v="45"/>
    <x v="1"/>
  </r>
  <r>
    <x v="7"/>
    <x v="14"/>
    <x v="20"/>
    <x v="12"/>
    <s v="LEC"/>
    <x v="0"/>
    <x v="5"/>
    <x v="3"/>
    <n v="12"/>
    <x v="1"/>
    <x v="0"/>
    <x v="28"/>
    <n v="81.293999999999997"/>
    <x v="3123"/>
    <n v="26.838999999999999"/>
    <n v="27.545999999999999"/>
    <n v="26.908999999999999"/>
    <n v="33"/>
    <x v="1"/>
  </r>
  <r>
    <x v="7"/>
    <x v="14"/>
    <x v="20"/>
    <x v="24"/>
    <s v="RUS"/>
    <x v="1"/>
    <x v="16"/>
    <x v="4"/>
    <n v="10"/>
    <x v="1"/>
    <x v="0"/>
    <x v="28"/>
    <n v="81.8"/>
    <x v="3124"/>
    <n v="26.963000000000001"/>
    <n v="27.649000000000001"/>
    <n v="26.978000000000002"/>
    <n v="27"/>
    <x v="1"/>
  </r>
  <r>
    <x v="7"/>
    <x v="14"/>
    <x v="20"/>
    <x v="1"/>
    <s v="HAM"/>
    <x v="0"/>
    <x v="4"/>
    <x v="5"/>
    <n v="8"/>
    <x v="1"/>
    <x v="0"/>
    <x v="28"/>
    <n v="81.546000000000006"/>
    <x v="3125"/>
    <n v="26.794"/>
    <n v="27.585000000000001"/>
    <n v="26.951000000000001"/>
    <n v="38"/>
    <x v="1"/>
  </r>
  <r>
    <x v="7"/>
    <x v="14"/>
    <x v="20"/>
    <x v="22"/>
    <s v="ALB"/>
    <x v="7"/>
    <x v="11"/>
    <x v="6"/>
    <n v="6"/>
    <x v="1"/>
    <x v="0"/>
    <x v="28"/>
    <n v="81.367999999999995"/>
    <x v="3126"/>
    <n v="26.8"/>
    <n v="27.648"/>
    <n v="26.826999999999899"/>
    <n v="41"/>
    <x v="1"/>
  </r>
  <r>
    <x v="7"/>
    <x v="14"/>
    <x v="20"/>
    <x v="41"/>
    <s v="BOR"/>
    <x v="16"/>
    <x v="6"/>
    <x v="7"/>
    <n v="4"/>
    <x v="1"/>
    <x v="0"/>
    <x v="28"/>
    <n v="82.138999999999996"/>
    <x v="3127"/>
    <n v="26.995999999999999"/>
    <n v="27.89"/>
    <n v="27.143999999999998"/>
    <n v="20"/>
    <x v="1"/>
  </r>
  <r>
    <x v="7"/>
    <x v="14"/>
    <x v="20"/>
    <x v="43"/>
    <s v="ANT"/>
    <x v="1"/>
    <x v="15"/>
    <x v="8"/>
    <n v="2"/>
    <x v="1"/>
    <x v="0"/>
    <x v="28"/>
    <n v="81.968000000000004"/>
    <x v="3128"/>
    <n v="27.04"/>
    <n v="27.841000000000001"/>
    <n v="26.995999999999999"/>
    <n v="28"/>
    <x v="1"/>
  </r>
  <r>
    <x v="7"/>
    <x v="14"/>
    <x v="20"/>
    <x v="42"/>
    <s v="HAD"/>
    <x v="18"/>
    <x v="19"/>
    <x v="9"/>
    <n v="1"/>
    <x v="1"/>
    <x v="0"/>
    <x v="28"/>
    <n v="82.132999999999996"/>
    <x v="3129"/>
    <n v="27.123000000000001"/>
    <n v="27.853999999999999"/>
    <n v="27.071000000000002"/>
    <n v="32"/>
    <x v="1"/>
  </r>
  <r>
    <x v="7"/>
    <x v="14"/>
    <x v="20"/>
    <x v="9"/>
    <s v="SAI"/>
    <x v="7"/>
    <x v="13"/>
    <x v="10"/>
    <n v="0"/>
    <x v="1"/>
    <x v="0"/>
    <x v="28"/>
    <n v="81.739999999999995"/>
    <x v="3130"/>
    <n v="26.997"/>
    <n v="27.591000000000001"/>
    <n v="27.062000000000001"/>
    <n v="30"/>
    <x v="1"/>
  </r>
  <r>
    <x v="7"/>
    <x v="14"/>
    <x v="20"/>
    <x v="37"/>
    <s v="BEA"/>
    <x v="9"/>
    <x v="8"/>
    <x v="11"/>
    <n v="0"/>
    <x v="1"/>
    <x v="0"/>
    <x v="28"/>
    <n v="81.819999999999993"/>
    <x v="3131"/>
    <n v="27.055"/>
    <n v="27.738"/>
    <n v="26.969000000000001"/>
    <n v="18"/>
    <x v="1"/>
  </r>
  <r>
    <x v="7"/>
    <x v="14"/>
    <x v="20"/>
    <x v="29"/>
    <s v="TSU"/>
    <x v="2"/>
    <x v="9"/>
    <x v="12"/>
    <n v="0"/>
    <x v="1"/>
    <x v="0"/>
    <x v="28"/>
    <n v="82.712000000000003"/>
    <x v="3132"/>
    <n v="27.3"/>
    <n v="28.073"/>
    <n v="27.323"/>
    <n v="19"/>
    <x v="1"/>
  </r>
  <r>
    <x v="7"/>
    <x v="14"/>
    <x v="20"/>
    <x v="36"/>
    <s v="LAW"/>
    <x v="18"/>
    <x v="12"/>
    <x v="13"/>
    <n v="0"/>
    <x v="1"/>
    <x v="0"/>
    <x v="28"/>
    <n v="82.777000000000001"/>
    <x v="3133"/>
    <n v="27.14"/>
    <n v="28.234999999999999"/>
    <n v="27.329000000000001"/>
    <n v="9"/>
    <x v="1"/>
  </r>
  <r>
    <x v="7"/>
    <x v="14"/>
    <x v="20"/>
    <x v="11"/>
    <s v="OCO"/>
    <x v="9"/>
    <x v="7"/>
    <x v="14"/>
    <n v="0"/>
    <x v="1"/>
    <x v="52"/>
    <x v="33"/>
    <n v="82.891999999999996"/>
    <x v="3134"/>
    <n v="27.25"/>
    <n v="28.062000000000001"/>
    <n v="27.34"/>
    <n v="51"/>
    <x v="1"/>
  </r>
  <r>
    <x v="7"/>
    <x v="14"/>
    <x v="20"/>
    <x v="17"/>
    <s v="GAS"/>
    <x v="14"/>
    <x v="17"/>
    <x v="15"/>
    <n v="0"/>
    <x v="1"/>
    <x v="52"/>
    <x v="33"/>
    <n v="82.185000000000002"/>
    <x v="3135"/>
    <n v="27.013000000000002"/>
    <n v="27.771000000000001"/>
    <n v="27.120999999999999"/>
    <n v="49"/>
    <x v="1"/>
  </r>
  <r>
    <x v="7"/>
    <x v="14"/>
    <x v="20"/>
    <x v="38"/>
    <s v="COL"/>
    <x v="14"/>
    <x v="18"/>
    <x v="16"/>
    <n v="0"/>
    <x v="1"/>
    <x v="52"/>
    <x v="33"/>
    <n v="82.239000000000004"/>
    <x v="3136"/>
    <n v="27.204000000000001"/>
    <n v="27.925000000000001"/>
    <n v="26.959"/>
    <n v="33"/>
    <x v="1"/>
  </r>
  <r>
    <x v="7"/>
    <x v="14"/>
    <x v="20"/>
    <x v="13"/>
    <s v="STR"/>
    <x v="13"/>
    <x v="14"/>
    <x v="17"/>
    <n v="0"/>
    <x v="1"/>
    <x v="52"/>
    <x v="33"/>
    <n v="82.164000000000001"/>
    <x v="3137"/>
    <n v="27.07"/>
    <n v="27.768000000000001"/>
    <n v="27.227"/>
    <n v="49"/>
    <x v="1"/>
  </r>
  <r>
    <x v="7"/>
    <x v="14"/>
    <x v="20"/>
    <x v="4"/>
    <s v="ALO"/>
    <x v="13"/>
    <x v="3"/>
    <x v="18"/>
    <n v="0"/>
    <x v="1"/>
    <x v="21"/>
    <x v="2"/>
    <n v="83.757000000000005"/>
    <x v="3138"/>
    <n v="27.286999999999999"/>
    <n v="28.504000000000001"/>
    <n v="27.695"/>
    <s v="20,24"/>
    <x v="1"/>
  </r>
  <r>
    <x v="7"/>
    <x v="14"/>
    <x v="20"/>
    <x v="6"/>
    <s v="HUL"/>
    <x v="16"/>
    <x v="10"/>
    <x v="19"/>
    <n v="0"/>
    <x v="1"/>
    <x v="53"/>
    <x v="68"/>
    <m/>
    <x v="19"/>
    <m/>
    <m/>
    <m/>
    <m/>
    <x v="1"/>
  </r>
  <r>
    <x v="7"/>
    <x v="15"/>
    <x v="3"/>
    <x v="5"/>
    <s v="VER"/>
    <x v="2"/>
    <x v="1"/>
    <x v="0"/>
    <n v="25"/>
    <x v="0"/>
    <x v="0"/>
    <x v="11"/>
    <n v="103.38800000000001"/>
    <x v="3139"/>
    <n v="36.445999999999998"/>
    <n v="41.637999999999998"/>
    <n v="25.096"/>
    <n v="40"/>
    <x v="1"/>
  </r>
  <r>
    <x v="7"/>
    <x v="15"/>
    <x v="3"/>
    <x v="24"/>
    <s v="RUS"/>
    <x v="1"/>
    <x v="16"/>
    <x v="1"/>
    <n v="18"/>
    <x v="0"/>
    <x v="0"/>
    <x v="11"/>
    <n v="103.754"/>
    <x v="3140"/>
    <n v="36.726999999999997"/>
    <n v="41.759"/>
    <n v="24.989000000000001"/>
    <n v="39"/>
    <x v="1"/>
  </r>
  <r>
    <x v="7"/>
    <x v="15"/>
    <x v="3"/>
    <x v="9"/>
    <s v="SAI"/>
    <x v="7"/>
    <x v="2"/>
    <x v="2"/>
    <n v="15"/>
    <x v="0"/>
    <x v="0"/>
    <x v="11"/>
    <n v="103.97199999999999"/>
    <x v="3141"/>
    <n v="36.619999999999997"/>
    <n v="41.926000000000002"/>
    <n v="25.315999999999999"/>
    <n v="27"/>
    <x v="1"/>
  </r>
  <r>
    <x v="7"/>
    <x v="15"/>
    <x v="3"/>
    <x v="43"/>
    <s v="ANT"/>
    <x v="1"/>
    <x v="5"/>
    <x v="3"/>
    <n v="12"/>
    <x v="1"/>
    <x v="0"/>
    <x v="11"/>
    <n v="104.09099999999999"/>
    <x v="3142"/>
    <n v="36.621000000000002"/>
    <n v="42.176000000000002"/>
    <n v="24.946000000000002"/>
    <n v="18"/>
    <x v="1"/>
  </r>
  <r>
    <x v="7"/>
    <x v="15"/>
    <x v="3"/>
    <x v="36"/>
    <s v="LAW"/>
    <x v="18"/>
    <x v="0"/>
    <x v="4"/>
    <n v="10"/>
    <x v="1"/>
    <x v="0"/>
    <x v="11"/>
    <n v="104.53100000000001"/>
    <x v="3143"/>
    <n v="36.875"/>
    <n v="42.177"/>
    <n v="25.015999999999998"/>
    <n v="20"/>
    <x v="1"/>
  </r>
  <r>
    <x v="7"/>
    <x v="15"/>
    <x v="3"/>
    <x v="29"/>
    <s v="TSU"/>
    <x v="2"/>
    <x v="15"/>
    <x v="5"/>
    <n v="8"/>
    <x v="1"/>
    <x v="0"/>
    <x v="11"/>
    <n v="104.434"/>
    <x v="3144"/>
    <n v="36.908000000000001"/>
    <n v="42.264000000000003"/>
    <n v="24.93"/>
    <n v="38"/>
    <x v="1"/>
  </r>
  <r>
    <x v="7"/>
    <x v="15"/>
    <x v="3"/>
    <x v="21"/>
    <s v="NOR"/>
    <x v="3"/>
    <x v="6"/>
    <x v="6"/>
    <n v="6"/>
    <x v="1"/>
    <x v="0"/>
    <x v="11"/>
    <n v="104.155"/>
    <x v="3145"/>
    <n v="36.954999999999998"/>
    <n v="42.246000000000002"/>
    <n v="24.655000000000001"/>
    <n v="37"/>
    <x v="1"/>
  </r>
  <r>
    <x v="7"/>
    <x v="15"/>
    <x v="3"/>
    <x v="1"/>
    <s v="HAM"/>
    <x v="0"/>
    <x v="10"/>
    <x v="7"/>
    <n v="4"/>
    <x v="1"/>
    <x v="0"/>
    <x v="11"/>
    <n v="103.977"/>
    <x v="3146"/>
    <n v="36.802"/>
    <n v="41.872"/>
    <n v="24.747"/>
    <n v="36"/>
    <x v="1"/>
  </r>
  <r>
    <x v="7"/>
    <x v="15"/>
    <x v="3"/>
    <x v="12"/>
    <s v="LEC"/>
    <x v="0"/>
    <x v="4"/>
    <x v="8"/>
    <n v="2"/>
    <x v="1"/>
    <x v="0"/>
    <x v="11"/>
    <n v="104.274"/>
    <x v="3147"/>
    <n v="36.744"/>
    <n v="42.408999999999999"/>
    <n v="25.039000000000001"/>
    <n v="19"/>
    <x v="1"/>
  </r>
  <r>
    <x v="7"/>
    <x v="15"/>
    <x v="3"/>
    <x v="42"/>
    <s v="HAD"/>
    <x v="18"/>
    <x v="3"/>
    <x v="9"/>
    <n v="1"/>
    <x v="1"/>
    <x v="0"/>
    <x v="11"/>
    <n v="103.884"/>
    <x v="3148"/>
    <n v="36.692"/>
    <n v="41.920999999999999"/>
    <n v="25.19"/>
    <n v="29"/>
    <x v="1"/>
  </r>
  <r>
    <x v="7"/>
    <x v="15"/>
    <x v="3"/>
    <x v="41"/>
    <s v="BOR"/>
    <x v="16"/>
    <x v="13"/>
    <x v="10"/>
    <n v="0"/>
    <x v="1"/>
    <x v="0"/>
    <x v="11"/>
    <n v="104.93"/>
    <x v="3149"/>
    <n v="37.055"/>
    <n v="42.274999999999999"/>
    <n v="24.716999999999999"/>
    <n v="26"/>
    <x v="1"/>
  </r>
  <r>
    <x v="7"/>
    <x v="15"/>
    <x v="3"/>
    <x v="37"/>
    <s v="BEA"/>
    <x v="9"/>
    <x v="7"/>
    <x v="11"/>
    <n v="0"/>
    <x v="1"/>
    <x v="0"/>
    <x v="11"/>
    <n v="104.288"/>
    <x v="3150"/>
    <n v="36.875999999999998"/>
    <n v="42.136000000000003"/>
    <n v="24.738"/>
    <n v="28"/>
    <x v="1"/>
  </r>
  <r>
    <x v="7"/>
    <x v="15"/>
    <x v="3"/>
    <x v="22"/>
    <s v="ALB"/>
    <x v="7"/>
    <x v="19"/>
    <x v="12"/>
    <n v="0"/>
    <x v="1"/>
    <x v="0"/>
    <x v="11"/>
    <n v="104.152"/>
    <x v="3151"/>
    <n v="36.850999999999999"/>
    <n v="42.061999999999998"/>
    <n v="24.687999999999999"/>
    <s v="1,15"/>
    <x v="1"/>
  </r>
  <r>
    <x v="7"/>
    <x v="15"/>
    <x v="3"/>
    <x v="11"/>
    <s v="OCO"/>
    <x v="9"/>
    <x v="17"/>
    <x v="13"/>
    <n v="0"/>
    <x v="1"/>
    <x v="0"/>
    <x v="11"/>
    <n v="105.38800000000001"/>
    <x v="3152"/>
    <n v="37.255000000000003"/>
    <n v="42.615000000000002"/>
    <n v="25.042999999999999"/>
    <s v="1,2"/>
    <x v="1"/>
  </r>
  <r>
    <x v="7"/>
    <x v="15"/>
    <x v="3"/>
    <x v="4"/>
    <s v="ALO"/>
    <x v="13"/>
    <x v="8"/>
    <x v="14"/>
    <n v="0"/>
    <x v="1"/>
    <x v="0"/>
    <x v="11"/>
    <n v="105.002"/>
    <x v="3153"/>
    <n v="37.024999999999999"/>
    <n v="42.73"/>
    <n v="24.972999999999999"/>
    <n v="21"/>
    <x v="1"/>
  </r>
  <r>
    <x v="7"/>
    <x v="15"/>
    <x v="3"/>
    <x v="6"/>
    <s v="HUL"/>
    <x v="16"/>
    <x v="18"/>
    <x v="15"/>
    <n v="0"/>
    <x v="1"/>
    <x v="0"/>
    <x v="11"/>
    <n v="104.37"/>
    <x v="3154"/>
    <n v="36.853000000000002"/>
    <n v="41.972999999999999"/>
    <n v="25.001999999999999"/>
    <n v="36"/>
    <x v="1"/>
  </r>
  <r>
    <x v="7"/>
    <x v="15"/>
    <x v="3"/>
    <x v="13"/>
    <s v="STR"/>
    <x v="13"/>
    <x v="11"/>
    <x v="16"/>
    <n v="0"/>
    <x v="1"/>
    <x v="0"/>
    <x v="11"/>
    <n v="105.083"/>
    <x v="3155"/>
    <n v="37.302"/>
    <n v="42.402000000000001"/>
    <n v="25.135999999999999"/>
    <n v="37"/>
    <x v="1"/>
  </r>
  <r>
    <x v="7"/>
    <x v="15"/>
    <x v="3"/>
    <x v="17"/>
    <s v="GAS"/>
    <x v="14"/>
    <x v="12"/>
    <x v="17"/>
    <n v="0"/>
    <x v="1"/>
    <x v="52"/>
    <x v="43"/>
    <n v="105.492"/>
    <x v="3156"/>
    <n v="37.363999999999997"/>
    <n v="42.790999999999997"/>
    <n v="24.922000000000001"/>
    <n v="35"/>
    <x v="1"/>
  </r>
  <r>
    <x v="7"/>
    <x v="15"/>
    <x v="3"/>
    <x v="38"/>
    <s v="COL"/>
    <x v="14"/>
    <x v="14"/>
    <x v="18"/>
    <n v="0"/>
    <x v="1"/>
    <x v="52"/>
    <x v="43"/>
    <n v="106.05500000000001"/>
    <x v="3157"/>
    <n v="37.298999999999999"/>
    <n v="42.966999999999999"/>
    <n v="25.167999999999999"/>
    <n v="16"/>
    <x v="1"/>
  </r>
  <r>
    <x v="7"/>
    <x v="15"/>
    <x v="3"/>
    <x v="35"/>
    <s v="PIA"/>
    <x v="3"/>
    <x v="9"/>
    <x v="19"/>
    <n v="0"/>
    <x v="1"/>
    <x v="21"/>
    <x v="16"/>
    <m/>
    <x v="19"/>
    <m/>
    <m/>
    <m/>
    <m/>
    <x v="1"/>
  </r>
  <r>
    <x v="7"/>
    <x v="16"/>
    <x v="13"/>
    <x v="24"/>
    <s v="RUS"/>
    <x v="1"/>
    <x v="1"/>
    <x v="0"/>
    <n v="25"/>
    <x v="0"/>
    <x v="0"/>
    <x v="52"/>
    <n v="95.676000000000002"/>
    <x v="3158"/>
    <n v="28.398"/>
    <n v="40.311999999999998"/>
    <n v="26.85"/>
    <n v="25"/>
    <x v="0"/>
  </r>
  <r>
    <x v="7"/>
    <x v="16"/>
    <x v="13"/>
    <x v="5"/>
    <s v="VER"/>
    <x v="2"/>
    <x v="2"/>
    <x v="1"/>
    <n v="18"/>
    <x v="0"/>
    <x v="0"/>
    <x v="52"/>
    <n v="95.649000000000001"/>
    <x v="3159"/>
    <n v="28.417999999999999"/>
    <n v="40.293999999999997"/>
    <n v="26.832000000000001"/>
    <n v="19"/>
    <x v="0"/>
  </r>
  <r>
    <x v="7"/>
    <x v="16"/>
    <x v="13"/>
    <x v="21"/>
    <s v="NOR"/>
    <x v="3"/>
    <x v="16"/>
    <x v="2"/>
    <n v="15"/>
    <x v="0"/>
    <x v="0"/>
    <x v="52"/>
    <n v="95.555000000000007"/>
    <x v="3160"/>
    <n v="28.207999999999998"/>
    <n v="40.198"/>
    <n v="26.779"/>
    <n v="26"/>
    <x v="0"/>
  </r>
  <r>
    <x v="7"/>
    <x v="16"/>
    <x v="13"/>
    <x v="35"/>
    <s v="PIA"/>
    <x v="3"/>
    <x v="0"/>
    <x v="3"/>
    <n v="12"/>
    <x v="1"/>
    <x v="0"/>
    <x v="52"/>
    <n v="95.408000000000001"/>
    <x v="3161"/>
    <n v="28.295000000000002"/>
    <n v="40.103000000000002"/>
    <n v="26.637"/>
    <n v="27"/>
    <x v="0"/>
  </r>
  <r>
    <x v="7"/>
    <x v="16"/>
    <x v="13"/>
    <x v="43"/>
    <s v="ANT"/>
    <x v="1"/>
    <x v="5"/>
    <x v="4"/>
    <n v="10"/>
    <x v="1"/>
    <x v="0"/>
    <x v="52"/>
    <n v="95.302999999999997"/>
    <x v="3162"/>
    <n v="28.154"/>
    <n v="40.090000000000003"/>
    <n v="26.907"/>
    <n v="25"/>
    <x v="0"/>
  </r>
  <r>
    <x v="7"/>
    <x v="16"/>
    <x v="13"/>
    <x v="12"/>
    <s v="LEC"/>
    <x v="0"/>
    <x v="6"/>
    <x v="5"/>
    <n v="8"/>
    <x v="1"/>
    <x v="0"/>
    <x v="52"/>
    <n v="95.983000000000004"/>
    <x v="3163"/>
    <n v="28.395"/>
    <n v="40.479999999999997"/>
    <n v="26.977"/>
    <n v="21"/>
    <x v="0"/>
  </r>
  <r>
    <x v="7"/>
    <x v="16"/>
    <x v="13"/>
    <x v="4"/>
    <s v="ALO"/>
    <x v="13"/>
    <x v="4"/>
    <x v="6"/>
    <n v="6"/>
    <x v="1"/>
    <x v="0"/>
    <x v="52"/>
    <n v="95.861999999999995"/>
    <x v="3164"/>
    <n v="28.359000000000002"/>
    <n v="40.572000000000003"/>
    <n v="26.724"/>
    <n v="27"/>
    <x v="0"/>
  </r>
  <r>
    <x v="7"/>
    <x v="16"/>
    <x v="13"/>
    <x v="1"/>
    <s v="HAM"/>
    <x v="0"/>
    <x v="15"/>
    <x v="7"/>
    <n v="4"/>
    <x v="1"/>
    <x v="0"/>
    <x v="52"/>
    <n v="93.808000000000007"/>
    <x v="3165"/>
    <n v="27.992999999999999"/>
    <n v="39.392000000000003"/>
    <n v="26.422999999999998"/>
    <s v="24,46"/>
    <x v="0"/>
  </r>
  <r>
    <x v="7"/>
    <x v="16"/>
    <x v="13"/>
    <x v="37"/>
    <s v="BEA"/>
    <x v="9"/>
    <x v="9"/>
    <x v="8"/>
    <n v="2"/>
    <x v="1"/>
    <x v="0"/>
    <x v="52"/>
    <n v="96.200999999999993"/>
    <x v="3166"/>
    <n v="28.39"/>
    <n v="40.591999999999999"/>
    <n v="26.899000000000001"/>
    <n v="23"/>
    <x v="0"/>
  </r>
  <r>
    <x v="7"/>
    <x v="16"/>
    <x v="13"/>
    <x v="9"/>
    <s v="SAI"/>
    <x v="7"/>
    <x v="12"/>
    <x v="9"/>
    <n v="1"/>
    <x v="1"/>
    <x v="52"/>
    <x v="46"/>
    <n v="94.962999999999994"/>
    <x v="3167"/>
    <n v="28.076000000000001"/>
    <n v="40.073"/>
    <n v="26.588000000000001"/>
    <n v="50"/>
    <x v="0"/>
  </r>
  <r>
    <x v="7"/>
    <x v="16"/>
    <x v="13"/>
    <x v="42"/>
    <s v="HAD"/>
    <x v="18"/>
    <x v="3"/>
    <x v="10"/>
    <n v="0"/>
    <x v="1"/>
    <x v="52"/>
    <x v="46"/>
    <n v="96.938000000000002"/>
    <x v="3168"/>
    <n v="28.687000000000001"/>
    <n v="40.792999999999999"/>
    <n v="27.210999999999999"/>
    <n v="20"/>
    <x v="0"/>
  </r>
  <r>
    <x v="7"/>
    <x v="16"/>
    <x v="13"/>
    <x v="29"/>
    <s v="TSU"/>
    <x v="2"/>
    <x v="13"/>
    <x v="11"/>
    <n v="0"/>
    <x v="1"/>
    <x v="52"/>
    <x v="46"/>
    <n v="96.831000000000003"/>
    <x v="3169"/>
    <n v="28.611000000000001"/>
    <n v="40.786999999999999"/>
    <n v="27.059000000000001"/>
    <n v="13"/>
    <x v="0"/>
  </r>
  <r>
    <x v="7"/>
    <x v="16"/>
    <x v="13"/>
    <x v="13"/>
    <s v="STR"/>
    <x v="13"/>
    <x v="7"/>
    <x v="12"/>
    <n v="0"/>
    <x v="1"/>
    <x v="52"/>
    <x v="46"/>
    <n v="95.850999999999999"/>
    <x v="3170"/>
    <n v="28.341000000000001"/>
    <n v="40.442999999999998"/>
    <n v="26.927"/>
    <n v="38"/>
    <x v="0"/>
  </r>
  <r>
    <x v="7"/>
    <x v="16"/>
    <x v="13"/>
    <x v="22"/>
    <s v="ALB"/>
    <x v="7"/>
    <x v="17"/>
    <x v="13"/>
    <n v="0"/>
    <x v="1"/>
    <x v="52"/>
    <x v="46"/>
    <n v="95.647999999999996"/>
    <x v="3171"/>
    <n v="28.099"/>
    <n v="40.472999999999999"/>
    <n v="26.786000000000001"/>
    <n v="42"/>
    <x v="0"/>
  </r>
  <r>
    <x v="7"/>
    <x v="16"/>
    <x v="13"/>
    <x v="36"/>
    <s v="LAW"/>
    <x v="18"/>
    <x v="10"/>
    <x v="14"/>
    <n v="0"/>
    <x v="1"/>
    <x v="52"/>
    <x v="46"/>
    <n v="95.641000000000005"/>
    <x v="3172"/>
    <n v="28.207999999999998"/>
    <n v="40.368000000000002"/>
    <n v="26.846"/>
    <n v="48"/>
    <x v="0"/>
  </r>
  <r>
    <x v="7"/>
    <x v="16"/>
    <x v="13"/>
    <x v="38"/>
    <s v="COL"/>
    <x v="14"/>
    <x v="14"/>
    <x v="15"/>
    <n v="0"/>
    <x v="1"/>
    <x v="52"/>
    <x v="46"/>
    <n v="97.182000000000002"/>
    <x v="3173"/>
    <n v="28.643000000000001"/>
    <n v="41.128"/>
    <n v="27.257999999999999"/>
    <n v="14"/>
    <x v="0"/>
  </r>
  <r>
    <x v="7"/>
    <x v="16"/>
    <x v="13"/>
    <x v="41"/>
    <s v="BOR"/>
    <x v="16"/>
    <x v="11"/>
    <x v="16"/>
    <n v="0"/>
    <x v="1"/>
    <x v="52"/>
    <x v="46"/>
    <n v="97.126000000000005"/>
    <x v="3174"/>
    <n v="28.573"/>
    <n v="40.948"/>
    <n v="27.274999999999999"/>
    <n v="13"/>
    <x v="0"/>
  </r>
  <r>
    <x v="7"/>
    <x v="16"/>
    <x v="13"/>
    <x v="11"/>
    <s v="OCO"/>
    <x v="9"/>
    <x v="18"/>
    <x v="17"/>
    <n v="0"/>
    <x v="1"/>
    <x v="52"/>
    <x v="46"/>
    <n v="96.646000000000001"/>
    <x v="3175"/>
    <n v="28.51"/>
    <n v="40.654000000000003"/>
    <n v="27.33"/>
    <n v="30"/>
    <x v="0"/>
  </r>
  <r>
    <x v="7"/>
    <x v="16"/>
    <x v="13"/>
    <x v="17"/>
    <s v="GAS"/>
    <x v="14"/>
    <x v="19"/>
    <x v="18"/>
    <n v="0"/>
    <x v="1"/>
    <x v="52"/>
    <x v="46"/>
    <n v="94.572999999999993"/>
    <x v="3176"/>
    <n v="28.111999999999998"/>
    <n v="39.838000000000001"/>
    <n v="26.542999999999999"/>
    <s v="24,51"/>
    <x v="0"/>
  </r>
  <r>
    <x v="7"/>
    <x v="16"/>
    <x v="13"/>
    <x v="6"/>
    <s v="HUL"/>
    <x v="16"/>
    <x v="8"/>
    <x v="19"/>
    <n v="0"/>
    <x v="1"/>
    <x v="52"/>
    <x v="46"/>
    <n v="95.403999999999996"/>
    <x v="3177"/>
    <n v="28.327000000000002"/>
    <n v="40.226999999999997"/>
    <n v="26.695"/>
    <s v="25,44"/>
    <x v="0"/>
  </r>
  <r>
    <x v="7"/>
    <x v="17"/>
    <x v="16"/>
    <x v="5"/>
    <s v="VER"/>
    <x v="2"/>
    <x v="1"/>
    <x v="0"/>
    <n v="25"/>
    <x v="0"/>
    <x v="0"/>
    <x v="7"/>
    <n v="97.991"/>
    <x v="3178"/>
    <n v="26.033000000000001"/>
    <n v="39.290999999999997"/>
    <n v="32.131"/>
    <n v="33"/>
    <x v="1"/>
  </r>
  <r>
    <x v="7"/>
    <x v="17"/>
    <x v="16"/>
    <x v="21"/>
    <s v="NOR"/>
    <x v="3"/>
    <x v="2"/>
    <x v="1"/>
    <n v="18"/>
    <x v="0"/>
    <x v="0"/>
    <x v="7"/>
    <n v="97.62"/>
    <x v="3179"/>
    <n v="25.832000000000001"/>
    <n v="38.904000000000003"/>
    <n v="32.363999999999997"/>
    <n v="32"/>
    <x v="1"/>
  </r>
  <r>
    <x v="7"/>
    <x v="17"/>
    <x v="16"/>
    <x v="12"/>
    <s v="LEC"/>
    <x v="0"/>
    <x v="0"/>
    <x v="2"/>
    <n v="15"/>
    <x v="0"/>
    <x v="0"/>
    <x v="7"/>
    <n v="98.230999999999995"/>
    <x v="3180"/>
    <n v="25.922999999999998"/>
    <n v="39.347999999999999"/>
    <n v="32.685000000000002"/>
    <n v="22"/>
    <x v="1"/>
  </r>
  <r>
    <x v="7"/>
    <x v="17"/>
    <x v="16"/>
    <x v="1"/>
    <s v="HAM"/>
    <x v="0"/>
    <x v="16"/>
    <x v="3"/>
    <n v="12"/>
    <x v="1"/>
    <x v="0"/>
    <x v="7"/>
    <n v="98.361000000000004"/>
    <x v="3181"/>
    <n v="25.984999999999999"/>
    <n v="39.228000000000002"/>
    <n v="32.744"/>
    <n v="31"/>
    <x v="1"/>
  </r>
  <r>
    <x v="7"/>
    <x v="17"/>
    <x v="16"/>
    <x v="35"/>
    <s v="PIA"/>
    <x v="3"/>
    <x v="15"/>
    <x v="4"/>
    <n v="10"/>
    <x v="1"/>
    <x v="0"/>
    <x v="7"/>
    <n v="98.563999999999993"/>
    <x v="3182"/>
    <n v="26.126000000000001"/>
    <n v="39.231000000000002"/>
    <n v="32.759"/>
    <n v="30"/>
    <x v="1"/>
  </r>
  <r>
    <x v="7"/>
    <x v="17"/>
    <x v="16"/>
    <x v="24"/>
    <s v="RUS"/>
    <x v="1"/>
    <x v="5"/>
    <x v="5"/>
    <n v="8"/>
    <x v="1"/>
    <x v="0"/>
    <x v="7"/>
    <n v="98.224000000000004"/>
    <x v="3183"/>
    <n v="26.114000000000001"/>
    <n v="39.222999999999999"/>
    <n v="32.637999999999998"/>
    <n v="33"/>
    <x v="1"/>
  </r>
  <r>
    <x v="7"/>
    <x v="17"/>
    <x v="16"/>
    <x v="29"/>
    <s v="TSU"/>
    <x v="2"/>
    <x v="13"/>
    <x v="6"/>
    <n v="6"/>
    <x v="1"/>
    <x v="0"/>
    <x v="7"/>
    <n v="98.802999999999997"/>
    <x v="3184"/>
    <n v="26.335000000000001"/>
    <n v="39.491"/>
    <n v="32.83"/>
    <n v="29"/>
    <x v="1"/>
  </r>
  <r>
    <x v="7"/>
    <x v="17"/>
    <x v="16"/>
    <x v="6"/>
    <s v="HUL"/>
    <x v="16"/>
    <x v="8"/>
    <x v="7"/>
    <n v="4"/>
    <x v="1"/>
    <x v="0"/>
    <x v="7"/>
    <n v="98.372"/>
    <x v="3185"/>
    <n v="26.145"/>
    <n v="39.335000000000001"/>
    <n v="32.744"/>
    <n v="33"/>
    <x v="1"/>
  </r>
  <r>
    <x v="7"/>
    <x v="17"/>
    <x v="16"/>
    <x v="37"/>
    <s v="BEA"/>
    <x v="9"/>
    <x v="3"/>
    <x v="8"/>
    <n v="2"/>
    <x v="1"/>
    <x v="0"/>
    <x v="7"/>
    <n v="99.119"/>
    <x v="3186"/>
    <n v="26.177"/>
    <n v="39.341000000000001"/>
    <n v="32.951999999999998"/>
    <n v="30"/>
    <x v="1"/>
  </r>
  <r>
    <x v="7"/>
    <x v="17"/>
    <x v="16"/>
    <x v="4"/>
    <s v="ALO"/>
    <x v="13"/>
    <x v="4"/>
    <x v="9"/>
    <n v="1"/>
    <x v="1"/>
    <x v="0"/>
    <x v="7"/>
    <n v="98.789000000000001"/>
    <x v="3187"/>
    <n v="26.268000000000001"/>
    <n v="39.515999999999998"/>
    <n v="32.838999999999999"/>
    <n v="30"/>
    <x v="1"/>
  </r>
  <r>
    <x v="7"/>
    <x v="17"/>
    <x v="16"/>
    <x v="36"/>
    <s v="LAW"/>
    <x v="18"/>
    <x v="10"/>
    <x v="10"/>
    <n v="0"/>
    <x v="1"/>
    <x v="0"/>
    <x v="7"/>
    <n v="98.983000000000004"/>
    <x v="3188"/>
    <n v="26.16"/>
    <n v="39.584000000000003"/>
    <n v="32.981000000000002"/>
    <n v="30"/>
    <x v="1"/>
  </r>
  <r>
    <x v="7"/>
    <x v="17"/>
    <x v="16"/>
    <x v="13"/>
    <s v="STR"/>
    <x v="13"/>
    <x v="19"/>
    <x v="11"/>
    <n v="0"/>
    <x v="1"/>
    <x v="0"/>
    <x v="7"/>
    <n v="99.070999999999998"/>
    <x v="3189"/>
    <n v="26.338000000000001"/>
    <n v="39.444000000000003"/>
    <n v="32.831000000000003"/>
    <n v="28"/>
    <x v="1"/>
  </r>
  <r>
    <x v="7"/>
    <x v="17"/>
    <x v="16"/>
    <x v="43"/>
    <s v="ANT"/>
    <x v="1"/>
    <x v="6"/>
    <x v="12"/>
    <n v="0"/>
    <x v="1"/>
    <x v="0"/>
    <x v="7"/>
    <n v="97.576999999999998"/>
    <x v="3190"/>
    <n v="26.204000000000001"/>
    <n v="39.030999999999999"/>
    <n v="32.341999999999999"/>
    <n v="31"/>
    <x v="1"/>
  </r>
  <r>
    <x v="7"/>
    <x v="17"/>
    <x v="16"/>
    <x v="22"/>
    <s v="ALB"/>
    <x v="7"/>
    <x v="12"/>
    <x v="13"/>
    <n v="0"/>
    <x v="1"/>
    <x v="0"/>
    <x v="7"/>
    <n v="98.328000000000003"/>
    <x v="3191"/>
    <n v="26.13"/>
    <n v="39.25"/>
    <n v="32.637"/>
    <s v="7,36"/>
    <x v="1"/>
  </r>
  <r>
    <x v="7"/>
    <x v="17"/>
    <x v="16"/>
    <x v="11"/>
    <s v="OCO"/>
    <x v="9"/>
    <x v="18"/>
    <x v="14"/>
    <n v="0"/>
    <x v="1"/>
    <x v="0"/>
    <x v="7"/>
    <n v="99.263000000000005"/>
    <x v="3192"/>
    <n v="26.152000000000001"/>
    <n v="39.725999999999999"/>
    <n v="32.759"/>
    <n v="24"/>
    <x v="1"/>
  </r>
  <r>
    <x v="7"/>
    <x v="17"/>
    <x v="16"/>
    <x v="42"/>
    <s v="HAD"/>
    <x v="18"/>
    <x v="17"/>
    <x v="15"/>
    <n v="0"/>
    <x v="1"/>
    <x v="0"/>
    <x v="7"/>
    <n v="98.724000000000004"/>
    <x v="3193"/>
    <n v="26.113"/>
    <n v="39.552999999999997"/>
    <n v="32.768999999999998"/>
    <n v="28"/>
    <x v="1"/>
  </r>
  <r>
    <x v="7"/>
    <x v="17"/>
    <x v="16"/>
    <x v="38"/>
    <s v="COL"/>
    <x v="14"/>
    <x v="7"/>
    <x v="16"/>
    <n v="0"/>
    <x v="1"/>
    <x v="52"/>
    <x v="35"/>
    <n v="99.173000000000002"/>
    <x v="3194"/>
    <n v="26.439"/>
    <n v="39.582999999999998"/>
    <n v="32.994"/>
    <n v="32"/>
    <x v="1"/>
  </r>
  <r>
    <x v="7"/>
    <x v="17"/>
    <x v="16"/>
    <x v="41"/>
    <s v="BOR"/>
    <x v="16"/>
    <x v="14"/>
    <x v="17"/>
    <n v="0"/>
    <x v="1"/>
    <x v="52"/>
    <x v="35"/>
    <n v="98.275000000000006"/>
    <x v="3195"/>
    <n v="26.32"/>
    <n v="39.46"/>
    <n v="32.494999999999997"/>
    <s v="14,36"/>
    <x v="1"/>
  </r>
  <r>
    <x v="7"/>
    <x v="17"/>
    <x v="16"/>
    <x v="17"/>
    <s v="GAS"/>
    <x v="14"/>
    <x v="11"/>
    <x v="18"/>
    <n v="0"/>
    <x v="1"/>
    <x v="52"/>
    <x v="35"/>
    <n v="99.27"/>
    <x v="3196"/>
    <n v="26.5"/>
    <n v="39.753999999999998"/>
    <n v="32.896000000000001"/>
    <n v="27"/>
    <x v="1"/>
  </r>
  <r>
    <x v="7"/>
    <x v="17"/>
    <x v="16"/>
    <x v="9"/>
    <s v="SAI"/>
    <x v="7"/>
    <x v="9"/>
    <x v="19"/>
    <n v="0"/>
    <x v="1"/>
    <x v="21"/>
    <x v="5"/>
    <n v="100.327"/>
    <x v="3197"/>
    <n v="26.891999999999999"/>
    <n v="39.639000000000003"/>
    <n v="33.518000000000001"/>
    <m/>
    <x v="1"/>
  </r>
  <r>
    <x v="7"/>
    <x v="18"/>
    <x v="30"/>
    <x v="21"/>
    <s v="NOR"/>
    <x v="3"/>
    <x v="1"/>
    <x v="0"/>
    <n v="25"/>
    <x v="0"/>
    <x v="0"/>
    <x v="27"/>
    <n v="80.763999999999996"/>
    <x v="3198"/>
    <n v="28.233000000000001"/>
    <n v="31.428000000000001"/>
    <n v="20.872"/>
    <n v="34"/>
    <x v="1"/>
  </r>
  <r>
    <x v="7"/>
    <x v="18"/>
    <x v="30"/>
    <x v="12"/>
    <s v="LEC"/>
    <x v="0"/>
    <x v="2"/>
    <x v="1"/>
    <n v="18"/>
    <x v="0"/>
    <x v="0"/>
    <x v="27"/>
    <n v="81.587999999999994"/>
    <x v="3199"/>
    <n v="28.498000000000001"/>
    <n v="31.719000000000001"/>
    <n v="21.173999999999999"/>
    <n v="31"/>
    <x v="1"/>
  </r>
  <r>
    <x v="7"/>
    <x v="18"/>
    <x v="30"/>
    <x v="5"/>
    <s v="VER"/>
    <x v="2"/>
    <x v="16"/>
    <x v="2"/>
    <n v="15"/>
    <x v="0"/>
    <x v="0"/>
    <x v="27"/>
    <n v="81.108000000000004"/>
    <x v="3200"/>
    <n v="28.277999999999999"/>
    <n v="31.370999999999999"/>
    <n v="20.948"/>
    <n v="37"/>
    <x v="1"/>
  </r>
  <r>
    <x v="7"/>
    <x v="18"/>
    <x v="30"/>
    <x v="37"/>
    <s v="BEA"/>
    <x v="9"/>
    <x v="9"/>
    <x v="3"/>
    <n v="12"/>
    <x v="1"/>
    <x v="0"/>
    <x v="27"/>
    <n v="80.704999999999998"/>
    <x v="3201"/>
    <n v="28.486000000000001"/>
    <n v="31.225999999999999"/>
    <n v="20.777000000000001"/>
    <s v="24,48"/>
    <x v="1"/>
  </r>
  <r>
    <x v="7"/>
    <x v="18"/>
    <x v="30"/>
    <x v="35"/>
    <s v="PIA"/>
    <x v="3"/>
    <x v="6"/>
    <x v="4"/>
    <n v="10"/>
    <x v="1"/>
    <x v="0"/>
    <x v="27"/>
    <n v="80.421999999999997"/>
    <x v="3202"/>
    <n v="28.036999999999999"/>
    <n v="31.1"/>
    <n v="20.71"/>
    <s v="24,47"/>
    <x v="1"/>
  </r>
  <r>
    <x v="7"/>
    <x v="18"/>
    <x v="30"/>
    <x v="43"/>
    <s v="ANT"/>
    <x v="1"/>
    <x v="15"/>
    <x v="5"/>
    <n v="8"/>
    <x v="1"/>
    <x v="0"/>
    <x v="27"/>
    <n v="80.825999999999993"/>
    <x v="3203"/>
    <n v="28.350999999999999"/>
    <n v="31.390999999999998"/>
    <n v="20.748999999999999"/>
    <s v="22,47"/>
    <x v="1"/>
  </r>
  <r>
    <x v="7"/>
    <x v="18"/>
    <x v="30"/>
    <x v="24"/>
    <s v="RUS"/>
    <x v="1"/>
    <x v="5"/>
    <x v="6"/>
    <n v="6"/>
    <x v="1"/>
    <x v="0"/>
    <x v="27"/>
    <n v="80.052000000000007"/>
    <x v="3204"/>
    <n v="28.207999999999998"/>
    <n v="31.082000000000001"/>
    <n v="20.587"/>
    <s v="25,48"/>
    <x v="1"/>
  </r>
  <r>
    <x v="7"/>
    <x v="18"/>
    <x v="30"/>
    <x v="1"/>
    <s v="HAM"/>
    <x v="0"/>
    <x v="0"/>
    <x v="7"/>
    <n v="4"/>
    <x v="1"/>
    <x v="0"/>
    <x v="27"/>
    <n v="80.600999999999999"/>
    <x v="3205"/>
    <n v="27.934999999999999"/>
    <n v="31.375"/>
    <n v="20.902000000000001"/>
    <s v="23,47"/>
    <x v="1"/>
  </r>
  <r>
    <x v="7"/>
    <x v="18"/>
    <x v="30"/>
    <x v="11"/>
    <s v="OCO"/>
    <x v="9"/>
    <x v="8"/>
    <x v="8"/>
    <n v="2"/>
    <x v="1"/>
    <x v="0"/>
    <x v="27"/>
    <n v="81.869"/>
    <x v="3206"/>
    <n v="28.606000000000002"/>
    <n v="31.835000000000001"/>
    <n v="21.097000000000001"/>
    <n v="27"/>
    <x v="1"/>
  </r>
  <r>
    <x v="7"/>
    <x v="18"/>
    <x v="30"/>
    <x v="41"/>
    <s v="BOR"/>
    <x v="16"/>
    <x v="14"/>
    <x v="9"/>
    <n v="1"/>
    <x v="1"/>
    <x v="0"/>
    <x v="27"/>
    <n v="81.120999999999995"/>
    <x v="3207"/>
    <n v="28.44"/>
    <n v="31.28"/>
    <n v="20.949000000000002"/>
    <n v="37"/>
    <x v="1"/>
  </r>
  <r>
    <x v="7"/>
    <x v="18"/>
    <x v="30"/>
    <x v="29"/>
    <s v="TSU"/>
    <x v="2"/>
    <x v="4"/>
    <x v="10"/>
    <n v="0"/>
    <x v="1"/>
    <x v="0"/>
    <x v="27"/>
    <n v="81.486000000000004"/>
    <x v="3208"/>
    <n v="28.684000000000001"/>
    <n v="31.579000000000001"/>
    <n v="21.152000000000001"/>
    <n v="36"/>
    <x v="1"/>
  </r>
  <r>
    <x v="7"/>
    <x v="18"/>
    <x v="30"/>
    <x v="22"/>
    <s v="ALB"/>
    <x v="7"/>
    <x v="18"/>
    <x v="11"/>
    <n v="0"/>
    <x v="1"/>
    <x v="52"/>
    <x v="29"/>
    <n v="80.48"/>
    <x v="3209"/>
    <n v="28.385999999999999"/>
    <n v="31.27"/>
    <n v="20.706"/>
    <n v="41"/>
    <x v="1"/>
  </r>
  <r>
    <x v="7"/>
    <x v="18"/>
    <x v="30"/>
    <x v="42"/>
    <s v="HAD"/>
    <x v="18"/>
    <x v="3"/>
    <x v="12"/>
    <n v="0"/>
    <x v="1"/>
    <x v="52"/>
    <x v="29"/>
    <n v="81.713999999999999"/>
    <x v="3210"/>
    <n v="28.681000000000001"/>
    <n v="31.559000000000001"/>
    <n v="20.978000000000002"/>
    <n v="34"/>
    <x v="1"/>
  </r>
  <r>
    <x v="7"/>
    <x v="18"/>
    <x v="30"/>
    <x v="13"/>
    <s v="STR"/>
    <x v="13"/>
    <x v="19"/>
    <x v="13"/>
    <n v="0"/>
    <x v="1"/>
    <x v="52"/>
    <x v="29"/>
    <n v="80.593000000000004"/>
    <x v="3211"/>
    <n v="28.175000000000001"/>
    <n v="31.506"/>
    <n v="20.911999999999999"/>
    <s v="26,43"/>
    <x v="1"/>
  </r>
  <r>
    <x v="7"/>
    <x v="18"/>
    <x v="30"/>
    <x v="17"/>
    <s v="GAS"/>
    <x v="14"/>
    <x v="12"/>
    <x v="14"/>
    <n v="0"/>
    <x v="1"/>
    <x v="52"/>
    <x v="29"/>
    <n v="82.271000000000001"/>
    <x v="3212"/>
    <n v="28.98"/>
    <n v="31.882000000000001"/>
    <n v="21.274000000000001"/>
    <n v="33"/>
    <x v="1"/>
  </r>
  <r>
    <x v="7"/>
    <x v="18"/>
    <x v="30"/>
    <x v="38"/>
    <s v="COL"/>
    <x v="14"/>
    <x v="17"/>
    <x v="15"/>
    <n v="0"/>
    <x v="1"/>
    <x v="52"/>
    <x v="29"/>
    <n v="81.341999999999999"/>
    <x v="3213"/>
    <n v="28.707999999999998"/>
    <n v="31.547999999999998"/>
    <n v="21.038"/>
    <n v="48"/>
    <x v="1"/>
  </r>
  <r>
    <x v="7"/>
    <x v="18"/>
    <x v="30"/>
    <x v="9"/>
    <s v="SAI"/>
    <x v="7"/>
    <x v="10"/>
    <x v="16"/>
    <n v="0"/>
    <x v="1"/>
    <x v="21"/>
    <x v="31"/>
    <n v="80.097999999999999"/>
    <x v="3214"/>
    <n v="28.047999999999998"/>
    <n v="31.222999999999999"/>
    <n v="20.638000000000002"/>
    <s v="17,46,56"/>
    <x v="1"/>
  </r>
  <r>
    <x v="7"/>
    <x v="18"/>
    <x v="30"/>
    <x v="4"/>
    <s v="ALO"/>
    <x v="13"/>
    <x v="11"/>
    <x v="17"/>
    <n v="0"/>
    <x v="1"/>
    <x v="21"/>
    <x v="8"/>
    <n v="81.707999999999998"/>
    <x v="3215"/>
    <n v="28.699000000000002"/>
    <n v="31.652999999999999"/>
    <n v="21.085999999999999"/>
    <s v="20,34"/>
    <x v="1"/>
  </r>
  <r>
    <x v="7"/>
    <x v="18"/>
    <x v="30"/>
    <x v="6"/>
    <s v="HUL"/>
    <x v="16"/>
    <x v="13"/>
    <x v="18"/>
    <n v="0"/>
    <x v="1"/>
    <x v="21"/>
    <x v="23"/>
    <n v="83.090999999999994"/>
    <x v="3216"/>
    <n v="28.817"/>
    <n v="32.18"/>
    <n v="21.388000000000002"/>
    <n v="25"/>
    <x v="1"/>
  </r>
  <r>
    <x v="7"/>
    <x v="18"/>
    <x v="30"/>
    <x v="36"/>
    <s v="LAW"/>
    <x v="18"/>
    <x v="7"/>
    <x v="19"/>
    <n v="0"/>
    <x v="1"/>
    <x v="21"/>
    <x v="6"/>
    <n v="85.123999999999995"/>
    <x v="3217"/>
    <n v="29.989000000000001"/>
    <n v="33.155999999999999"/>
    <n v="21.978999999999999"/>
    <s v="2,5"/>
    <x v="1"/>
  </r>
  <r>
    <x v="7"/>
    <x v="19"/>
    <x v="31"/>
    <x v="21"/>
    <s v="NOR"/>
    <x v="3"/>
    <x v="1"/>
    <x v="0"/>
    <n v="25"/>
    <x v="0"/>
    <x v="0"/>
    <x v="27"/>
    <n v="73.040000000000006"/>
    <x v="3218"/>
    <n v="18.72"/>
    <n v="37.302999999999997"/>
    <n v="16.806999999999999"/>
    <s v="30,50"/>
    <x v="1"/>
  </r>
  <r>
    <x v="7"/>
    <x v="19"/>
    <x v="31"/>
    <x v="43"/>
    <s v="ANT"/>
    <x v="1"/>
    <x v="2"/>
    <x v="1"/>
    <n v="18"/>
    <x v="0"/>
    <x v="0"/>
    <x v="27"/>
    <n v="73.123000000000005"/>
    <x v="3219"/>
    <n v="18.734999999999999"/>
    <n v="37.459000000000003"/>
    <n v="16.798999999999999"/>
    <s v="21,47"/>
    <x v="1"/>
  </r>
  <r>
    <x v="7"/>
    <x v="19"/>
    <x v="31"/>
    <x v="5"/>
    <s v="VER"/>
    <x v="2"/>
    <x v="19"/>
    <x v="2"/>
    <n v="15"/>
    <x v="0"/>
    <x v="0"/>
    <x v="27"/>
    <n v="72.447000000000003"/>
    <x v="3220"/>
    <n v="18.492000000000001"/>
    <n v="37.231999999999999"/>
    <n v="16.603999999999999"/>
    <s v="7,34,54"/>
    <x v="1"/>
  </r>
  <r>
    <x v="7"/>
    <x v="19"/>
    <x v="31"/>
    <x v="24"/>
    <s v="RUS"/>
    <x v="1"/>
    <x v="15"/>
    <x v="3"/>
    <n v="12"/>
    <x v="1"/>
    <x v="0"/>
    <x v="27"/>
    <n v="73.096999999999994"/>
    <x v="3221"/>
    <n v="18.684999999999999"/>
    <n v="37.625999999999998"/>
    <n v="16.536000000000001"/>
    <s v="34,48"/>
    <x v="1"/>
  </r>
  <r>
    <x v="7"/>
    <x v="19"/>
    <x v="31"/>
    <x v="35"/>
    <s v="PIA"/>
    <x v="3"/>
    <x v="5"/>
    <x v="4"/>
    <n v="10"/>
    <x v="1"/>
    <x v="0"/>
    <x v="27"/>
    <n v="72.742000000000004"/>
    <x v="3222"/>
    <n v="18.614999999999998"/>
    <n v="37.308"/>
    <n v="16.581"/>
    <s v="38,51"/>
    <x v="1"/>
  </r>
  <r>
    <x v="7"/>
    <x v="19"/>
    <x v="31"/>
    <x v="37"/>
    <s v="BEA"/>
    <x v="9"/>
    <x v="3"/>
    <x v="5"/>
    <n v="8"/>
    <x v="1"/>
    <x v="0"/>
    <x v="27"/>
    <n v="73.483000000000004"/>
    <x v="3223"/>
    <n v="18.856000000000002"/>
    <n v="37.670999999999999"/>
    <n v="16.727"/>
    <s v="17,42"/>
    <x v="1"/>
  </r>
  <r>
    <x v="7"/>
    <x v="19"/>
    <x v="31"/>
    <x v="36"/>
    <s v="LAW"/>
    <x v="18"/>
    <x v="6"/>
    <x v="6"/>
    <n v="6"/>
    <x v="1"/>
    <x v="0"/>
    <x v="27"/>
    <n v="74.028999999999996"/>
    <x v="3224"/>
    <n v="18.937000000000001"/>
    <n v="38.076999999999998"/>
    <n v="16.814"/>
    <n v="19"/>
    <x v="1"/>
  </r>
  <r>
    <x v="7"/>
    <x v="19"/>
    <x v="31"/>
    <x v="42"/>
    <s v="HAD"/>
    <x v="18"/>
    <x v="16"/>
    <x v="7"/>
    <n v="4"/>
    <x v="1"/>
    <x v="0"/>
    <x v="27"/>
    <n v="73.694000000000003"/>
    <x v="3225"/>
    <n v="18.768000000000001"/>
    <n v="38.052"/>
    <n v="16.78"/>
    <s v="18,37"/>
    <x v="1"/>
  </r>
  <r>
    <x v="7"/>
    <x v="19"/>
    <x v="31"/>
    <x v="6"/>
    <s v="HUL"/>
    <x v="16"/>
    <x v="4"/>
    <x v="8"/>
    <n v="2"/>
    <x v="1"/>
    <x v="0"/>
    <x v="27"/>
    <n v="73.474000000000004"/>
    <x v="3226"/>
    <n v="18.8"/>
    <n v="37.770000000000003"/>
    <n v="16.759"/>
    <n v="36"/>
    <x v="1"/>
  </r>
  <r>
    <x v="7"/>
    <x v="19"/>
    <x v="31"/>
    <x v="17"/>
    <s v="GAS"/>
    <x v="14"/>
    <x v="9"/>
    <x v="9"/>
    <n v="1"/>
    <x v="1"/>
    <x v="0"/>
    <x v="27"/>
    <n v="73.736000000000004"/>
    <x v="3227"/>
    <n v="18.786000000000001"/>
    <n v="37.880000000000003"/>
    <n v="16.689"/>
    <s v="18,39"/>
    <x v="1"/>
  </r>
  <r>
    <x v="7"/>
    <x v="19"/>
    <x v="31"/>
    <x v="22"/>
    <s v="ALB"/>
    <x v="7"/>
    <x v="10"/>
    <x v="10"/>
    <n v="0"/>
    <x v="1"/>
    <x v="0"/>
    <x v="27"/>
    <n v="72.400000000000006"/>
    <x v="3228"/>
    <n v="18.385999999999999"/>
    <n v="37.082999999999998"/>
    <n v="16.61"/>
    <s v="35,55"/>
    <x v="1"/>
  </r>
  <r>
    <x v="7"/>
    <x v="19"/>
    <x v="31"/>
    <x v="11"/>
    <s v="OCO"/>
    <x v="9"/>
    <x v="17"/>
    <x v="11"/>
    <n v="0"/>
    <x v="1"/>
    <x v="0"/>
    <x v="27"/>
    <n v="73.480999999999995"/>
    <x v="3229"/>
    <n v="18.861000000000001"/>
    <n v="37.442"/>
    <n v="16.786000000000001"/>
    <s v="8,47"/>
    <x v="1"/>
  </r>
  <r>
    <x v="7"/>
    <x v="19"/>
    <x v="31"/>
    <x v="9"/>
    <s v="SAI"/>
    <x v="7"/>
    <x v="7"/>
    <x v="12"/>
    <n v="0"/>
    <x v="1"/>
    <x v="0"/>
    <x v="27"/>
    <n v="73.683000000000007"/>
    <x v="3230"/>
    <n v="18.626999999999999"/>
    <n v="38.139000000000003"/>
    <n v="16.620999999999999"/>
    <s v="17,38"/>
    <x v="1"/>
  </r>
  <r>
    <x v="7"/>
    <x v="19"/>
    <x v="31"/>
    <x v="4"/>
    <s v="ALO"/>
    <x v="13"/>
    <x v="8"/>
    <x v="13"/>
    <n v="0"/>
    <x v="1"/>
    <x v="0"/>
    <x v="27"/>
    <n v="73.311999999999998"/>
    <x v="3231"/>
    <n v="18.800999999999998"/>
    <n v="37.594999999999999"/>
    <n v="16.873000000000001"/>
    <s v="28,46"/>
    <x v="1"/>
  </r>
  <r>
    <x v="7"/>
    <x v="19"/>
    <x v="31"/>
    <x v="38"/>
    <s v="COL"/>
    <x v="14"/>
    <x v="14"/>
    <x v="14"/>
    <n v="0"/>
    <x v="1"/>
    <x v="0"/>
    <x v="27"/>
    <n v="72.816000000000003"/>
    <x v="3232"/>
    <n v="18.823"/>
    <n v="37.1"/>
    <n v="16.800999999999998"/>
    <s v="29,43"/>
    <x v="1"/>
  </r>
  <r>
    <x v="7"/>
    <x v="19"/>
    <x v="31"/>
    <x v="13"/>
    <s v="STR"/>
    <x v="13"/>
    <x v="11"/>
    <x v="15"/>
    <n v="0"/>
    <x v="1"/>
    <x v="0"/>
    <x v="27"/>
    <n v="73.093999999999994"/>
    <x v="3233"/>
    <n v="18.587"/>
    <n v="37.314"/>
    <n v="16.744"/>
    <s v="29,54"/>
    <x v="1"/>
  </r>
  <r>
    <x v="7"/>
    <x v="19"/>
    <x v="31"/>
    <x v="29"/>
    <s v="TSU"/>
    <x v="2"/>
    <x v="18"/>
    <x v="16"/>
    <n v="0"/>
    <x v="1"/>
    <x v="0"/>
    <x v="27"/>
    <n v="72.774000000000001"/>
    <x v="3234"/>
    <n v="18.623000000000001"/>
    <n v="37.295000000000002"/>
    <n v="16.792000000000002"/>
    <s v="2,24,47"/>
    <x v="1"/>
  </r>
  <r>
    <x v="7"/>
    <x v="19"/>
    <x v="31"/>
    <x v="1"/>
    <s v="HAM"/>
    <x v="0"/>
    <x v="13"/>
    <x v="17"/>
    <n v="0"/>
    <x v="1"/>
    <x v="21"/>
    <x v="49"/>
    <n v="73.843999999999994"/>
    <x v="3235"/>
    <n v="18.896000000000001"/>
    <n v="37.945"/>
    <n v="16.664999999999999"/>
    <s v="2,14,32,37"/>
    <x v="1"/>
  </r>
  <r>
    <x v="7"/>
    <x v="19"/>
    <x v="31"/>
    <x v="12"/>
    <s v="LEC"/>
    <x v="0"/>
    <x v="0"/>
    <x v="18"/>
    <n v="0"/>
    <x v="1"/>
    <x v="21"/>
    <x v="5"/>
    <m/>
    <x v="19"/>
    <m/>
    <m/>
    <m/>
    <m/>
    <x v="1"/>
  </r>
  <r>
    <x v="7"/>
    <x v="19"/>
    <x v="31"/>
    <x v="41"/>
    <s v="BOR"/>
    <x v="16"/>
    <x v="12"/>
    <x v="19"/>
    <n v="0"/>
    <x v="1"/>
    <x v="21"/>
    <x v="16"/>
    <m/>
    <x v="19"/>
    <m/>
    <m/>
    <m/>
    <m/>
    <x v="1"/>
  </r>
  <r>
    <x v="7"/>
    <x v="21"/>
    <x v="35"/>
    <x v="5"/>
    <s v="VER"/>
    <x v="2"/>
    <x v="2"/>
    <x v="0"/>
    <n v="25"/>
    <x v="0"/>
    <x v="0"/>
    <x v="43"/>
    <n v="93.364999999999995"/>
    <x v="3236"/>
    <n v="26.35"/>
    <n v="31.155999999999999"/>
    <n v="35.859000000000002"/>
    <n v="25"/>
    <x v="1"/>
  </r>
  <r>
    <x v="7"/>
    <x v="21"/>
    <x v="35"/>
    <x v="24"/>
    <s v="RUS"/>
    <x v="1"/>
    <x v="5"/>
    <x v="1"/>
    <n v="18"/>
    <x v="0"/>
    <x v="0"/>
    <x v="43"/>
    <n v="94.591999999999999"/>
    <x v="3237"/>
    <n v="26.975000000000001"/>
    <n v="31.646000000000001"/>
    <n v="35.954000000000001"/>
    <n v="17"/>
    <x v="1"/>
  </r>
  <r>
    <x v="7"/>
    <x v="21"/>
    <x v="35"/>
    <x v="43"/>
    <s v="ANT"/>
    <x v="1"/>
    <x v="18"/>
    <x v="2"/>
    <n v="15"/>
    <x v="0"/>
    <x v="0"/>
    <x v="43"/>
    <n v="93.998000000000005"/>
    <x v="3238"/>
    <n v="26.532"/>
    <n v="31.38"/>
    <n v="35.948999999999998"/>
    <n v="2"/>
    <x v="1"/>
  </r>
  <r>
    <x v="7"/>
    <x v="21"/>
    <x v="35"/>
    <x v="12"/>
    <s v="LEC"/>
    <x v="0"/>
    <x v="9"/>
    <x v="3"/>
    <n v="12"/>
    <x v="1"/>
    <x v="0"/>
    <x v="43"/>
    <n v="94.304000000000002"/>
    <x v="3239"/>
    <n v="26.797999999999998"/>
    <n v="31.337"/>
    <n v="35.96"/>
    <n v="24"/>
    <x v="1"/>
  </r>
  <r>
    <x v="7"/>
    <x v="21"/>
    <x v="35"/>
    <x v="9"/>
    <s v="SAI"/>
    <x v="7"/>
    <x v="0"/>
    <x v="4"/>
    <n v="10"/>
    <x v="1"/>
    <x v="0"/>
    <x v="43"/>
    <n v="94.495999999999995"/>
    <x v="3240"/>
    <n v="26.876999999999999"/>
    <n v="31.498000000000001"/>
    <n v="35.993000000000002"/>
    <n v="22"/>
    <x v="1"/>
  </r>
  <r>
    <x v="7"/>
    <x v="21"/>
    <x v="35"/>
    <x v="42"/>
    <s v="HAD"/>
    <x v="18"/>
    <x v="3"/>
    <x v="5"/>
    <n v="8"/>
    <x v="1"/>
    <x v="0"/>
    <x v="43"/>
    <n v="94.62"/>
    <x v="3241"/>
    <n v="26.693000000000001"/>
    <n v="31.628"/>
    <n v="36.277999999999999"/>
    <n v="20"/>
    <x v="1"/>
  </r>
  <r>
    <x v="7"/>
    <x v="21"/>
    <x v="35"/>
    <x v="6"/>
    <s v="HUL"/>
    <x v="16"/>
    <x v="8"/>
    <x v="6"/>
    <n v="6"/>
    <x v="1"/>
    <x v="0"/>
    <x v="43"/>
    <n v="94.591999999999999"/>
    <x v="3242"/>
    <n v="26.864000000000001"/>
    <n v="31.509"/>
    <n v="36.185000000000002"/>
    <n v="30"/>
    <x v="1"/>
  </r>
  <r>
    <x v="7"/>
    <x v="21"/>
    <x v="35"/>
    <x v="1"/>
    <s v="HAM"/>
    <x v="0"/>
    <x v="19"/>
    <x v="7"/>
    <n v="4"/>
    <x v="1"/>
    <x v="0"/>
    <x v="43"/>
    <n v="94.552999999999997"/>
    <x v="3243"/>
    <n v="26.937000000000001"/>
    <n v="31.367000000000001"/>
    <n v="36.061"/>
    <n v="29"/>
    <x v="1"/>
  </r>
  <r>
    <x v="7"/>
    <x v="21"/>
    <x v="35"/>
    <x v="11"/>
    <s v="OCO"/>
    <x v="9"/>
    <x v="13"/>
    <x v="8"/>
    <n v="2"/>
    <x v="1"/>
    <x v="0"/>
    <x v="43"/>
    <n v="94.557000000000002"/>
    <x v="3244"/>
    <n v="26.968"/>
    <n v="31.574000000000002"/>
    <n v="35.881"/>
    <n v="27"/>
    <x v="1"/>
  </r>
  <r>
    <x v="7"/>
    <x v="21"/>
    <x v="35"/>
    <x v="37"/>
    <s v="BEA"/>
    <x v="9"/>
    <x v="11"/>
    <x v="9"/>
    <n v="1"/>
    <x v="1"/>
    <x v="0"/>
    <x v="43"/>
    <n v="94.519000000000005"/>
    <x v="3245"/>
    <n v="26.907"/>
    <n v="31.529"/>
    <n v="36.082999999999998"/>
    <n v="17"/>
    <x v="1"/>
  </r>
  <r>
    <x v="7"/>
    <x v="21"/>
    <x v="35"/>
    <x v="4"/>
    <s v="ALO"/>
    <x v="13"/>
    <x v="6"/>
    <x v="10"/>
    <n v="0"/>
    <x v="1"/>
    <x v="0"/>
    <x v="43"/>
    <n v="95.629000000000005"/>
    <x v="3246"/>
    <n v="27.151"/>
    <n v="32.031999999999996"/>
    <n v="36.241999999999997"/>
    <n v="16"/>
    <x v="1"/>
  </r>
  <r>
    <x v="7"/>
    <x v="21"/>
    <x v="35"/>
    <x v="29"/>
    <s v="TSU"/>
    <x v="2"/>
    <x v="17"/>
    <x v="11"/>
    <n v="0"/>
    <x v="1"/>
    <x v="0"/>
    <x v="43"/>
    <n v="94.966999999999999"/>
    <x v="3247"/>
    <n v="26.974"/>
    <n v="31.736000000000001"/>
    <n v="36.042999999999999"/>
    <s v="1,27"/>
    <x v="1"/>
  </r>
  <r>
    <x v="7"/>
    <x v="21"/>
    <x v="35"/>
    <x v="17"/>
    <s v="GAS"/>
    <x v="14"/>
    <x v="4"/>
    <x v="12"/>
    <n v="0"/>
    <x v="1"/>
    <x v="0"/>
    <x v="43"/>
    <n v="95.674000000000007"/>
    <x v="3248"/>
    <n v="27.268999999999998"/>
    <n v="31.855"/>
    <n v="36.395000000000003"/>
    <n v="2"/>
    <x v="1"/>
  </r>
  <r>
    <x v="7"/>
    <x v="21"/>
    <x v="35"/>
    <x v="36"/>
    <s v="LAW"/>
    <x v="18"/>
    <x v="15"/>
    <x v="13"/>
    <n v="0"/>
    <x v="1"/>
    <x v="52"/>
    <x v="12"/>
    <n v="94.837000000000003"/>
    <x v="3249"/>
    <n v="27.096"/>
    <n v="31.52"/>
    <n v="35.972999999999999"/>
    <s v="2,28"/>
    <x v="1"/>
  </r>
  <r>
    <x v="7"/>
    <x v="21"/>
    <x v="35"/>
    <x v="38"/>
    <s v="COL"/>
    <x v="14"/>
    <x v="7"/>
    <x v="14"/>
    <n v="0"/>
    <x v="1"/>
    <x v="52"/>
    <x v="12"/>
    <n v="95.78"/>
    <x v="3250"/>
    <n v="27.263000000000002"/>
    <n v="31.780999999999999"/>
    <n v="36.402000000000001"/>
    <n v="25"/>
    <x v="1"/>
  </r>
  <r>
    <x v="7"/>
    <x v="21"/>
    <x v="35"/>
    <x v="22"/>
    <s v="ALB"/>
    <x v="7"/>
    <x v="14"/>
    <x v="15"/>
    <n v="0"/>
    <x v="1"/>
    <x v="21"/>
    <x v="64"/>
    <n v="95.183999999999997"/>
    <x v="3251"/>
    <n v="27.07"/>
    <n v="31.77"/>
    <n v="36.01"/>
    <s v="13,14,34,35"/>
    <x v="1"/>
  </r>
  <r>
    <x v="7"/>
    <x v="21"/>
    <x v="35"/>
    <x v="41"/>
    <s v="BOR"/>
    <x v="16"/>
    <x v="12"/>
    <x v="16"/>
    <n v="0"/>
    <x v="1"/>
    <x v="21"/>
    <x v="10"/>
    <m/>
    <x v="19"/>
    <m/>
    <m/>
    <m/>
    <s v="1,2"/>
    <x v="1"/>
  </r>
  <r>
    <x v="7"/>
    <x v="21"/>
    <x v="35"/>
    <x v="13"/>
    <s v="STR"/>
    <x v="13"/>
    <x v="10"/>
    <x v="17"/>
    <n v="0"/>
    <x v="1"/>
    <x v="21"/>
    <x v="16"/>
    <m/>
    <x v="19"/>
    <m/>
    <m/>
    <m/>
    <m/>
    <x v="1"/>
  </r>
  <r>
    <x v="7"/>
    <x v="21"/>
    <x v="35"/>
    <x v="21"/>
    <s v="NOR"/>
    <x v="3"/>
    <x v="1"/>
    <x v="18"/>
    <n v="0"/>
    <x v="1"/>
    <x v="26"/>
    <x v="43"/>
    <n v="93.965000000000003"/>
    <x v="3252"/>
    <n v="26.651"/>
    <n v="31.177"/>
    <n v="35.938000000000002"/>
    <n v="22"/>
    <x v="1"/>
  </r>
  <r>
    <x v="7"/>
    <x v="21"/>
    <x v="35"/>
    <x v="35"/>
    <s v="PIA"/>
    <x v="3"/>
    <x v="16"/>
    <x v="19"/>
    <n v="0"/>
    <x v="1"/>
    <x v="26"/>
    <x v="43"/>
    <n v="94.085999999999999"/>
    <x v="3253"/>
    <n v="26.763000000000002"/>
    <n v="31.477"/>
    <n v="35.756"/>
    <n v="21"/>
    <x v="1"/>
  </r>
  <r>
    <x v="7"/>
    <x v="22"/>
    <x v="32"/>
    <x v="5"/>
    <s v="VER"/>
    <x v="2"/>
    <x v="0"/>
    <x v="0"/>
    <n v="25"/>
    <x v="0"/>
    <x v="0"/>
    <x v="1"/>
    <n v="83.498000000000005"/>
    <x v="3254"/>
    <n v="30.734999999999999"/>
    <n v="28.512"/>
    <n v="23.962"/>
    <s v="7,32"/>
    <x v="1"/>
  </r>
  <r>
    <x v="7"/>
    <x v="22"/>
    <x v="32"/>
    <x v="35"/>
    <s v="PIA"/>
    <x v="3"/>
    <x v="1"/>
    <x v="1"/>
    <n v="18"/>
    <x v="0"/>
    <x v="0"/>
    <x v="1"/>
    <n v="82.995999999999995"/>
    <x v="3255"/>
    <n v="30.826000000000001"/>
    <n v="28.093"/>
    <n v="23.859000000000002"/>
    <s v="24,42"/>
    <x v="1"/>
  </r>
  <r>
    <x v="7"/>
    <x v="22"/>
    <x v="32"/>
    <x v="9"/>
    <s v="SAI"/>
    <x v="7"/>
    <x v="6"/>
    <x v="2"/>
    <n v="15"/>
    <x v="0"/>
    <x v="0"/>
    <x v="1"/>
    <n v="83.858999999999995"/>
    <x v="3256"/>
    <n v="31.166"/>
    <n v="28.390999999999998"/>
    <n v="24.146000000000001"/>
    <s v="7,32"/>
    <x v="1"/>
  </r>
  <r>
    <x v="7"/>
    <x v="22"/>
    <x v="32"/>
    <x v="21"/>
    <s v="NOR"/>
    <x v="3"/>
    <x v="2"/>
    <x v="3"/>
    <n v="12"/>
    <x v="1"/>
    <x v="0"/>
    <x v="1"/>
    <n v="83.197000000000003"/>
    <x v="3257"/>
    <n v="30.834"/>
    <n v="28.402000000000001"/>
    <n v="23.850999999999999"/>
    <s v="25,44"/>
    <x v="1"/>
  </r>
  <r>
    <x v="7"/>
    <x v="22"/>
    <x v="32"/>
    <x v="43"/>
    <s v="ANT"/>
    <x v="1"/>
    <x v="16"/>
    <x v="4"/>
    <n v="10"/>
    <x v="1"/>
    <x v="0"/>
    <x v="1"/>
    <n v="83.954999999999998"/>
    <x v="3258"/>
    <n v="30.873000000000001"/>
    <n v="28.762"/>
    <n v="24.21"/>
    <s v="7,32"/>
    <x v="1"/>
  </r>
  <r>
    <x v="7"/>
    <x v="22"/>
    <x v="32"/>
    <x v="24"/>
    <s v="RUS"/>
    <x v="1"/>
    <x v="5"/>
    <x v="5"/>
    <n v="8"/>
    <x v="1"/>
    <x v="0"/>
    <x v="1"/>
    <n v="83.197999999999993"/>
    <x v="3259"/>
    <n v="30.635999999999999"/>
    <n v="28.448"/>
    <n v="24.023"/>
    <s v="7,32"/>
    <x v="1"/>
  </r>
  <r>
    <x v="7"/>
    <x v="22"/>
    <x v="32"/>
    <x v="4"/>
    <s v="ALO"/>
    <x v="13"/>
    <x v="3"/>
    <x v="6"/>
    <n v="6"/>
    <x v="1"/>
    <x v="0"/>
    <x v="1"/>
    <n v="83.94"/>
    <x v="3260"/>
    <n v="31.186"/>
    <n v="28.506"/>
    <n v="24.152000000000001"/>
    <s v="7,32"/>
    <x v="1"/>
  </r>
  <r>
    <x v="7"/>
    <x v="22"/>
    <x v="32"/>
    <x v="12"/>
    <s v="LEC"/>
    <x v="0"/>
    <x v="4"/>
    <x v="7"/>
    <n v="4"/>
    <x v="1"/>
    <x v="0"/>
    <x v="1"/>
    <n v="84.432000000000002"/>
    <x v="3261"/>
    <n v="31.126000000000001"/>
    <n v="28.756"/>
    <n v="24.331"/>
    <s v="7,32"/>
    <x v="1"/>
  </r>
  <r>
    <x v="7"/>
    <x v="22"/>
    <x v="32"/>
    <x v="36"/>
    <s v="LAW"/>
    <x v="18"/>
    <x v="10"/>
    <x v="8"/>
    <n v="2"/>
    <x v="1"/>
    <x v="0"/>
    <x v="1"/>
    <n v="83.971000000000004"/>
    <x v="3262"/>
    <n v="31.184000000000001"/>
    <n v="28.481999999999999"/>
    <n v="24.274000000000001"/>
    <s v="7,32"/>
    <x v="1"/>
  </r>
  <r>
    <x v="7"/>
    <x v="22"/>
    <x v="32"/>
    <x v="29"/>
    <s v="TSU"/>
    <x v="2"/>
    <x v="7"/>
    <x v="9"/>
    <n v="1"/>
    <x v="1"/>
    <x v="0"/>
    <x v="1"/>
    <n v="84.138999999999996"/>
    <x v="3263"/>
    <n v="31.062999999999999"/>
    <n v="28.596"/>
    <n v="24.198"/>
    <s v="7,32"/>
    <x v="1"/>
  </r>
  <r>
    <x v="7"/>
    <x v="22"/>
    <x v="32"/>
    <x v="22"/>
    <s v="ALB"/>
    <x v="7"/>
    <x v="11"/>
    <x v="10"/>
    <n v="0"/>
    <x v="1"/>
    <x v="0"/>
    <x v="1"/>
    <n v="84.260999999999996"/>
    <x v="3264"/>
    <n v="31.236999999999998"/>
    <n v="28.731000000000002"/>
    <n v="24.222999999999999"/>
    <s v="7,32"/>
    <x v="1"/>
  </r>
  <r>
    <x v="7"/>
    <x v="22"/>
    <x v="32"/>
    <x v="1"/>
    <s v="HAM"/>
    <x v="0"/>
    <x v="18"/>
    <x v="11"/>
    <n v="0"/>
    <x v="1"/>
    <x v="0"/>
    <x v="1"/>
    <n v="84.847999999999999"/>
    <x v="3265"/>
    <n v="31.440999999999999"/>
    <n v="29.006"/>
    <n v="24.401"/>
    <s v="7,32"/>
    <x v="1"/>
  </r>
  <r>
    <x v="7"/>
    <x v="22"/>
    <x v="32"/>
    <x v="41"/>
    <s v="BOR"/>
    <x v="16"/>
    <x v="19"/>
    <x v="12"/>
    <n v="0"/>
    <x v="1"/>
    <x v="0"/>
    <x v="1"/>
    <n v="85.233000000000004"/>
    <x v="3266"/>
    <n v="31.582999999999998"/>
    <n v="28.957000000000001"/>
    <n v="24.571999999999999"/>
    <s v="7,32"/>
    <x v="1"/>
  </r>
  <r>
    <x v="7"/>
    <x v="22"/>
    <x v="32"/>
    <x v="38"/>
    <s v="COL"/>
    <x v="14"/>
    <x v="17"/>
    <x v="13"/>
    <n v="0"/>
    <x v="1"/>
    <x v="52"/>
    <x v="7"/>
    <n v="85.644000000000005"/>
    <x v="3267"/>
    <n v="31.754000000000001"/>
    <n v="28.978000000000002"/>
    <n v="24.521999999999998"/>
    <s v="7,32"/>
    <x v="1"/>
  </r>
  <r>
    <x v="7"/>
    <x v="22"/>
    <x v="32"/>
    <x v="11"/>
    <s v="OCO"/>
    <x v="9"/>
    <x v="14"/>
    <x v="14"/>
    <n v="0"/>
    <x v="1"/>
    <x v="52"/>
    <x v="7"/>
    <n v="85.055999999999997"/>
    <x v="3268"/>
    <n v="31.306999999999999"/>
    <n v="28.91"/>
    <n v="24.675999999999998"/>
    <s v="8,9,34"/>
    <x v="1"/>
  </r>
  <r>
    <x v="7"/>
    <x v="22"/>
    <x v="32"/>
    <x v="17"/>
    <s v="GAS"/>
    <x v="14"/>
    <x v="9"/>
    <x v="15"/>
    <n v="0"/>
    <x v="1"/>
    <x v="52"/>
    <x v="7"/>
    <n v="85.376000000000005"/>
    <x v="3269"/>
    <n v="31.585999999999999"/>
    <n v="29.132999999999999"/>
    <n v="24.501000000000001"/>
    <s v="7,32"/>
    <x v="1"/>
  </r>
  <r>
    <x v="7"/>
    <x v="22"/>
    <x v="32"/>
    <x v="13"/>
    <s v="STR"/>
    <x v="13"/>
    <x v="12"/>
    <x v="16"/>
    <n v="0"/>
    <x v="1"/>
    <x v="21"/>
    <x v="35"/>
    <n v="83.483999999999995"/>
    <x v="3270"/>
    <n v="31.065999999999999"/>
    <n v="28.138999999999999"/>
    <n v="24.279"/>
    <s v="7,24,49,55"/>
    <x v="1"/>
  </r>
  <r>
    <x v="7"/>
    <x v="22"/>
    <x v="32"/>
    <x v="42"/>
    <s v="HAD"/>
    <x v="18"/>
    <x v="15"/>
    <x v="17"/>
    <n v="0"/>
    <x v="1"/>
    <x v="21"/>
    <x v="35"/>
    <n v="84.316999999999993"/>
    <x v="3271"/>
    <n v="31.324999999999999"/>
    <n v="28.507000000000001"/>
    <n v="24.257999999999999"/>
    <s v="7,32,55"/>
    <x v="1"/>
  </r>
  <r>
    <x v="7"/>
    <x v="22"/>
    <x v="32"/>
    <x v="37"/>
    <s v="BEA"/>
    <x v="9"/>
    <x v="13"/>
    <x v="18"/>
    <n v="0"/>
    <x v="1"/>
    <x v="21"/>
    <x v="32"/>
    <n v="84.93"/>
    <x v="3272"/>
    <n v="31.419"/>
    <n v="28.885000000000002"/>
    <n v="24.62"/>
    <s v="7,32,40,41"/>
    <x v="1"/>
  </r>
  <r>
    <x v="7"/>
    <x v="22"/>
    <x v="32"/>
    <x v="6"/>
    <s v="HUL"/>
    <x v="16"/>
    <x v="8"/>
    <x v="19"/>
    <n v="0"/>
    <x v="1"/>
    <x v="21"/>
    <x v="56"/>
    <n v="88.138999999999996"/>
    <x v="3273"/>
    <n v="32.447000000000003"/>
    <n v="29.914000000000001"/>
    <n v="25.448"/>
    <m/>
    <x v="1"/>
  </r>
  <r>
    <x v="7"/>
    <x v="23"/>
    <x v="19"/>
    <x v="5"/>
    <s v="VER"/>
    <x v="2"/>
    <x v="1"/>
    <x v="0"/>
    <n v="25"/>
    <x v="0"/>
    <x v="0"/>
    <x v="0"/>
    <n v="87.625"/>
    <x v="3274"/>
    <n v="17.411999999999999"/>
    <n v="38.034999999999997"/>
    <n v="31.93"/>
    <n v="23"/>
    <x v="1"/>
  </r>
  <r>
    <x v="7"/>
    <x v="23"/>
    <x v="19"/>
    <x v="35"/>
    <s v="PIA"/>
    <x v="3"/>
    <x v="0"/>
    <x v="1"/>
    <n v="18"/>
    <x v="0"/>
    <x v="0"/>
    <x v="0"/>
    <n v="86.765000000000001"/>
    <x v="3275"/>
    <n v="17.286000000000001"/>
    <n v="37.82"/>
    <n v="31.433"/>
    <n v="41"/>
    <x v="1"/>
  </r>
  <r>
    <x v="7"/>
    <x v="23"/>
    <x v="19"/>
    <x v="21"/>
    <s v="NOR"/>
    <x v="3"/>
    <x v="2"/>
    <x v="2"/>
    <n v="15"/>
    <x v="0"/>
    <x v="0"/>
    <x v="0"/>
    <n v="86.817999999999998"/>
    <x v="3276"/>
    <n v="17.271999999999998"/>
    <n v="37.738999999999997"/>
    <n v="31.597000000000001"/>
    <s v="16,40"/>
    <x v="1"/>
  </r>
  <r>
    <x v="7"/>
    <x v="23"/>
    <x v="19"/>
    <x v="12"/>
    <s v="LEC"/>
    <x v="0"/>
    <x v="16"/>
    <x v="3"/>
    <n v="12"/>
    <x v="1"/>
    <x v="0"/>
    <x v="0"/>
    <n v="86.724999999999994"/>
    <x v="3277"/>
    <n v="17.466999999999999"/>
    <n v="37.607999999999997"/>
    <n v="31.591999999999999"/>
    <s v="16,39"/>
    <x v="1"/>
  </r>
  <r>
    <x v="7"/>
    <x v="23"/>
    <x v="19"/>
    <x v="24"/>
    <s v="RUS"/>
    <x v="1"/>
    <x v="5"/>
    <x v="4"/>
    <n v="10"/>
    <x v="1"/>
    <x v="0"/>
    <x v="0"/>
    <n v="88.599000000000004"/>
    <x v="3278"/>
    <n v="17.603000000000002"/>
    <n v="37.848999999999997"/>
    <n v="32.673000000000002"/>
    <n v="14"/>
    <x v="1"/>
  </r>
  <r>
    <x v="7"/>
    <x v="23"/>
    <x v="19"/>
    <x v="4"/>
    <s v="ALO"/>
    <x v="13"/>
    <x v="15"/>
    <x v="5"/>
    <n v="8"/>
    <x v="1"/>
    <x v="0"/>
    <x v="0"/>
    <n v="88.278999999999996"/>
    <x v="3279"/>
    <n v="17.524000000000001"/>
    <n v="37.816000000000003"/>
    <n v="32.249000000000002"/>
    <n v="16"/>
    <x v="1"/>
  </r>
  <r>
    <x v="7"/>
    <x v="23"/>
    <x v="19"/>
    <x v="11"/>
    <s v="OCO"/>
    <x v="9"/>
    <x v="3"/>
    <x v="6"/>
    <n v="6"/>
    <x v="1"/>
    <x v="0"/>
    <x v="0"/>
    <n v="88.655000000000001"/>
    <x v="3280"/>
    <n v="17.579999999999998"/>
    <n v="37.887"/>
    <n v="32.692"/>
    <n v="19"/>
    <x v="1"/>
  </r>
  <r>
    <x v="7"/>
    <x v="23"/>
    <x v="19"/>
    <x v="1"/>
    <s v="HAM"/>
    <x v="0"/>
    <x v="14"/>
    <x v="7"/>
    <n v="4"/>
    <x v="1"/>
    <x v="0"/>
    <x v="0"/>
    <n v="88.093999999999994"/>
    <x v="3281"/>
    <n v="17.719000000000001"/>
    <n v="37.564"/>
    <n v="32.344999999999999"/>
    <s v="8,31"/>
    <x v="1"/>
  </r>
  <r>
    <x v="7"/>
    <x v="23"/>
    <x v="19"/>
    <x v="6"/>
    <s v="HUL"/>
    <x v="16"/>
    <x v="12"/>
    <x v="8"/>
    <n v="2"/>
    <x v="1"/>
    <x v="0"/>
    <x v="0"/>
    <n v="87.05"/>
    <x v="3282"/>
    <n v="17.594000000000001"/>
    <n v="37.457000000000001"/>
    <n v="31.86"/>
    <s v="7,42"/>
    <x v="1"/>
  </r>
  <r>
    <x v="7"/>
    <x v="23"/>
    <x v="19"/>
    <x v="13"/>
    <s v="STR"/>
    <x v="13"/>
    <x v="7"/>
    <x v="9"/>
    <n v="1"/>
    <x v="1"/>
    <x v="0"/>
    <x v="0"/>
    <n v="87.626000000000005"/>
    <x v="3283"/>
    <n v="17.457000000000001"/>
    <n v="37.548999999999999"/>
    <n v="32.161999999999999"/>
    <n v="42"/>
    <x v="1"/>
  </r>
  <r>
    <x v="7"/>
    <x v="23"/>
    <x v="19"/>
    <x v="41"/>
    <s v="BOR"/>
    <x v="16"/>
    <x v="6"/>
    <x v="10"/>
    <n v="0"/>
    <x v="1"/>
    <x v="0"/>
    <x v="0"/>
    <n v="89.114000000000004"/>
    <x v="3284"/>
    <n v="17.808"/>
    <n v="37.950000000000003"/>
    <n v="32.741"/>
    <n v="15"/>
    <x v="1"/>
  </r>
  <r>
    <x v="7"/>
    <x v="23"/>
    <x v="19"/>
    <x v="37"/>
    <s v="BEA"/>
    <x v="9"/>
    <x v="8"/>
    <x v="11"/>
    <n v="0"/>
    <x v="1"/>
    <x v="0"/>
    <x v="0"/>
    <n v="88.975999999999999"/>
    <x v="3285"/>
    <n v="17.616"/>
    <n v="37.997999999999998"/>
    <n v="32.755000000000003"/>
    <n v="14"/>
    <x v="1"/>
  </r>
  <r>
    <x v="7"/>
    <x v="23"/>
    <x v="19"/>
    <x v="9"/>
    <s v="SAI"/>
    <x v="7"/>
    <x v="10"/>
    <x v="12"/>
    <n v="0"/>
    <x v="1"/>
    <x v="0"/>
    <x v="0"/>
    <n v="89.052000000000007"/>
    <x v="3286"/>
    <n v="17.728000000000002"/>
    <n v="37.76"/>
    <n v="32.847999999999999"/>
    <n v="18"/>
    <x v="1"/>
  </r>
  <r>
    <x v="7"/>
    <x v="23"/>
    <x v="19"/>
    <x v="29"/>
    <s v="TSU"/>
    <x v="2"/>
    <x v="4"/>
    <x v="13"/>
    <n v="0"/>
    <x v="1"/>
    <x v="0"/>
    <x v="0"/>
    <n v="88.557000000000002"/>
    <x v="3287"/>
    <n v="17.571000000000002"/>
    <n v="37.856000000000002"/>
    <n v="32.731000000000002"/>
    <n v="32"/>
    <x v="1"/>
  </r>
  <r>
    <x v="7"/>
    <x v="23"/>
    <x v="19"/>
    <x v="43"/>
    <s v="ANT"/>
    <x v="1"/>
    <x v="11"/>
    <x v="14"/>
    <n v="0"/>
    <x v="1"/>
    <x v="0"/>
    <x v="0"/>
    <n v="88.028999999999996"/>
    <x v="3288"/>
    <n v="17.600999999999999"/>
    <n v="37.744"/>
    <n v="32.313000000000002"/>
    <n v="32"/>
    <x v="1"/>
  </r>
  <r>
    <x v="7"/>
    <x v="23"/>
    <x v="19"/>
    <x v="22"/>
    <s v="ALB"/>
    <x v="7"/>
    <x v="18"/>
    <x v="15"/>
    <n v="0"/>
    <x v="1"/>
    <x v="0"/>
    <x v="0"/>
    <n v="88.367000000000004"/>
    <x v="3289"/>
    <n v="17.581"/>
    <n v="37.825000000000003"/>
    <n v="32.658999999999999"/>
    <s v="8,33"/>
    <x v="1"/>
  </r>
  <r>
    <x v="7"/>
    <x v="23"/>
    <x v="19"/>
    <x v="42"/>
    <s v="HAD"/>
    <x v="18"/>
    <x v="9"/>
    <x v="16"/>
    <n v="0"/>
    <x v="1"/>
    <x v="52"/>
    <x v="1"/>
    <n v="89.375"/>
    <x v="3290"/>
    <n v="17.736000000000001"/>
    <n v="38.033999999999999"/>
    <n v="32.832999999999998"/>
    <n v="14"/>
    <x v="1"/>
  </r>
  <r>
    <x v="7"/>
    <x v="23"/>
    <x v="19"/>
    <x v="36"/>
    <s v="LAW"/>
    <x v="18"/>
    <x v="13"/>
    <x v="17"/>
    <n v="0"/>
    <x v="1"/>
    <x v="52"/>
    <x v="1"/>
    <n v="88.885999999999996"/>
    <x v="3291"/>
    <n v="17.646999999999998"/>
    <n v="38.073"/>
    <n v="32.625"/>
    <n v="21"/>
    <x v="1"/>
  </r>
  <r>
    <x v="7"/>
    <x v="23"/>
    <x v="19"/>
    <x v="17"/>
    <s v="GAS"/>
    <x v="14"/>
    <x v="19"/>
    <x v="18"/>
    <n v="0"/>
    <x v="1"/>
    <x v="52"/>
    <x v="1"/>
    <n v="87.766999999999996"/>
    <x v="3292"/>
    <n v="17.666"/>
    <n v="37.997"/>
    <n v="32.088000000000001"/>
    <s v="13,40"/>
    <x v="1"/>
  </r>
  <r>
    <x v="7"/>
    <x v="23"/>
    <x v="19"/>
    <x v="38"/>
    <s v="COL"/>
    <x v="14"/>
    <x v="17"/>
    <x v="19"/>
    <n v="0"/>
    <x v="1"/>
    <x v="52"/>
    <x v="1"/>
    <n v="87.71"/>
    <x v="3293"/>
    <n v="17.669"/>
    <n v="37.972999999999999"/>
    <n v="32.04"/>
    <s v="15,40"/>
    <x v="1"/>
  </r>
  <r>
    <x v="8"/>
    <x v="0"/>
    <x v="0"/>
    <x v="24"/>
    <s v="RUS"/>
    <x v="1"/>
    <x v="1"/>
    <x v="0"/>
    <n v="25"/>
    <x v="0"/>
    <x v="0"/>
    <x v="0"/>
    <n v="82.67"/>
    <x v="3294"/>
    <n v="28.856999999999999"/>
    <n v="17.457999999999998"/>
    <n v="35.862000000000002"/>
    <n v="12"/>
    <x v="1"/>
  </r>
  <r>
    <x v="8"/>
    <x v="0"/>
    <x v="0"/>
    <x v="43"/>
    <s v="ANT"/>
    <x v="1"/>
    <x v="2"/>
    <x v="1"/>
    <n v="18"/>
    <x v="0"/>
    <x v="0"/>
    <x v="0"/>
    <n v="82.417000000000002"/>
    <x v="3295"/>
    <n v="28.856000000000002"/>
    <n v="17.460999999999999"/>
    <n v="35.704000000000001"/>
    <n v="12"/>
    <x v="1"/>
  </r>
  <r>
    <x v="8"/>
    <x v="0"/>
    <x v="0"/>
    <x v="12"/>
    <s v="LEC"/>
    <x v="0"/>
    <x v="5"/>
    <x v="2"/>
    <n v="15"/>
    <x v="0"/>
    <x v="0"/>
    <x v="0"/>
    <n v="82.578999999999994"/>
    <x v="3296"/>
    <n v="28.995000000000001"/>
    <n v="17.597999999999999"/>
    <n v="35.847999999999999"/>
    <n v="25"/>
    <x v="1"/>
  </r>
  <r>
    <x v="8"/>
    <x v="0"/>
    <x v="0"/>
    <x v="1"/>
    <s v="HAM"/>
    <x v="0"/>
    <x v="6"/>
    <x v="3"/>
    <n v="12"/>
    <x v="1"/>
    <x v="0"/>
    <x v="0"/>
    <n v="82.423000000000002"/>
    <x v="3297"/>
    <n v="28.867000000000001"/>
    <n v="17.504999999999999"/>
    <n v="35.716000000000001"/>
    <n v="28"/>
    <x v="1"/>
  </r>
  <r>
    <x v="8"/>
    <x v="0"/>
    <x v="0"/>
    <x v="21"/>
    <s v="NOR"/>
    <x v="3"/>
    <x v="15"/>
    <x v="4"/>
    <n v="10"/>
    <x v="1"/>
    <x v="0"/>
    <x v="0"/>
    <n v="82.358000000000004"/>
    <x v="3298"/>
    <n v="28.978999999999999"/>
    <n v="17.643999999999998"/>
    <n v="35.598999999999997"/>
    <s v="11,34"/>
    <x v="1"/>
  </r>
  <r>
    <x v="8"/>
    <x v="0"/>
    <x v="0"/>
    <x v="5"/>
    <s v="VER"/>
    <x v="2"/>
    <x v="17"/>
    <x v="5"/>
    <n v="8"/>
    <x v="1"/>
    <x v="0"/>
    <x v="0"/>
    <n v="82.090999999999994"/>
    <x v="3299"/>
    <n v="28.823"/>
    <n v="17.536000000000001"/>
    <n v="35.652000000000001"/>
    <s v="18,41"/>
    <x v="1"/>
  </r>
  <r>
    <x v="8"/>
    <x v="0"/>
    <x v="0"/>
    <x v="37"/>
    <s v="BEA"/>
    <x v="9"/>
    <x v="10"/>
    <x v="6"/>
    <n v="6"/>
    <x v="1"/>
    <x v="52"/>
    <x v="1"/>
    <n v="84.02"/>
    <x v="3300"/>
    <n v="29.567"/>
    <n v="17.577999999999999"/>
    <n v="36.563000000000002"/>
    <n v="18"/>
    <x v="1"/>
  </r>
  <r>
    <x v="8"/>
    <x v="0"/>
    <x v="0"/>
    <x v="44"/>
    <s v="LIN"/>
    <x v="18"/>
    <x v="9"/>
    <x v="7"/>
    <n v="4"/>
    <x v="1"/>
    <x v="52"/>
    <x v="1"/>
    <n v="84.182000000000002"/>
    <x v="3301"/>
    <n v="29.507000000000001"/>
    <n v="17.645"/>
    <n v="36.677999999999997"/>
    <n v="18"/>
    <x v="1"/>
  </r>
  <r>
    <x v="8"/>
    <x v="0"/>
    <x v="0"/>
    <x v="41"/>
    <s v="BOR"/>
    <x v="19"/>
    <x v="4"/>
    <x v="8"/>
    <n v="2"/>
    <x v="1"/>
    <x v="52"/>
    <x v="1"/>
    <n v="83.257000000000005"/>
    <x v="3302"/>
    <n v="29.395"/>
    <n v="17.721"/>
    <n v="36.061999999999998"/>
    <s v="18,33"/>
    <x v="1"/>
  </r>
  <r>
    <x v="8"/>
    <x v="0"/>
    <x v="0"/>
    <x v="17"/>
    <s v="GAS"/>
    <x v="14"/>
    <x v="11"/>
    <x v="9"/>
    <n v="1"/>
    <x v="1"/>
    <x v="52"/>
    <x v="1"/>
    <n v="84.486000000000004"/>
    <x v="3303"/>
    <n v="29.632999999999999"/>
    <n v="17.646999999999998"/>
    <n v="36.747999999999998"/>
    <n v="11"/>
    <x v="1"/>
  </r>
  <r>
    <x v="8"/>
    <x v="0"/>
    <x v="0"/>
    <x v="11"/>
    <s v="OCO"/>
    <x v="9"/>
    <x v="13"/>
    <x v="10"/>
    <n v="0"/>
    <x v="1"/>
    <x v="52"/>
    <x v="1"/>
    <n v="84.424000000000007"/>
    <x v="3304"/>
    <n v="29.827999999999999"/>
    <n v="17.388000000000002"/>
    <n v="36.353999999999999"/>
    <n v="11"/>
    <x v="1"/>
  </r>
  <r>
    <x v="8"/>
    <x v="0"/>
    <x v="0"/>
    <x v="22"/>
    <s v="ALB"/>
    <x v="7"/>
    <x v="7"/>
    <x v="11"/>
    <n v="0"/>
    <x v="1"/>
    <x v="52"/>
    <x v="1"/>
    <n v="84.375"/>
    <x v="3305"/>
    <n v="29.417999999999999"/>
    <n v="18.010999999999999"/>
    <n v="36.792000000000002"/>
    <s v="12,33"/>
    <x v="1"/>
  </r>
  <r>
    <x v="8"/>
    <x v="0"/>
    <x v="0"/>
    <x v="36"/>
    <s v="LAW"/>
    <x v="18"/>
    <x v="3"/>
    <x v="12"/>
    <n v="0"/>
    <x v="1"/>
    <x v="52"/>
    <x v="1"/>
    <n v="83.783000000000001"/>
    <x v="3306"/>
    <n v="29.404"/>
    <n v="17.678999999999998"/>
    <n v="36.439"/>
    <s v="11,33"/>
    <x v="1"/>
  </r>
  <r>
    <x v="8"/>
    <x v="0"/>
    <x v="0"/>
    <x v="38"/>
    <s v="COL"/>
    <x v="14"/>
    <x v="14"/>
    <x v="13"/>
    <n v="0"/>
    <x v="1"/>
    <x v="52"/>
    <x v="7"/>
    <n v="82.926000000000002"/>
    <x v="3307"/>
    <n v="29.042000000000002"/>
    <n v="17.38"/>
    <n v="36.351999999999997"/>
    <s v="9,46"/>
    <x v="1"/>
  </r>
  <r>
    <x v="8"/>
    <x v="0"/>
    <x v="0"/>
    <x v="9"/>
    <s v="SAI"/>
    <x v="7"/>
    <x v="22"/>
    <x v="14"/>
    <n v="0"/>
    <x v="1"/>
    <x v="52"/>
    <x v="7"/>
    <n v="83.59"/>
    <x v="3308"/>
    <n v="29.170999999999999"/>
    <n v="17.805"/>
    <n v="36.374000000000002"/>
    <s v="11,33,45"/>
    <x v="1"/>
  </r>
  <r>
    <x v="8"/>
    <x v="0"/>
    <x v="0"/>
    <x v="10"/>
    <s v="PER"/>
    <x v="20"/>
    <x v="12"/>
    <x v="15"/>
    <n v="0"/>
    <x v="1"/>
    <x v="52"/>
    <x v="35"/>
    <n v="86.07"/>
    <x v="3309"/>
    <n v="29.951999999999899"/>
    <n v="18.010999999999999"/>
    <n v="37.709000000000003"/>
    <s v="18,43"/>
    <x v="1"/>
  </r>
  <r>
    <x v="8"/>
    <x v="0"/>
    <x v="0"/>
    <x v="13"/>
    <s v="STR"/>
    <x v="13"/>
    <x v="23"/>
    <x v="16"/>
    <n v="0"/>
    <x v="1"/>
    <x v="52"/>
    <x v="13"/>
    <n v="85.41"/>
    <x v="3310"/>
    <n v="29.693999999999999"/>
    <n v="18.466999999999999"/>
    <n v="36.942999999999998"/>
    <s v="11,26,34,39"/>
    <x v="1"/>
  </r>
  <r>
    <x v="8"/>
    <x v="0"/>
    <x v="0"/>
    <x v="4"/>
    <s v="ALO"/>
    <x v="13"/>
    <x v="18"/>
    <x v="17"/>
    <n v="0"/>
    <x v="1"/>
    <x v="21"/>
    <x v="3"/>
    <n v="85.712999999999994"/>
    <x v="3311"/>
    <n v="29.879000000000001"/>
    <n v="18.262"/>
    <n v="37.069000000000003"/>
    <s v="11,13,22"/>
    <x v="1"/>
  </r>
  <r>
    <x v="8"/>
    <x v="0"/>
    <x v="0"/>
    <x v="7"/>
    <s v="BOT"/>
    <x v="20"/>
    <x v="19"/>
    <x v="18"/>
    <n v="0"/>
    <x v="1"/>
    <x v="21"/>
    <x v="59"/>
    <n v="87.364000000000004"/>
    <x v="3312"/>
    <n v="30.777999999999999"/>
    <n v="18.033000000000001"/>
    <n v="38.155999999999999"/>
    <n v="12"/>
    <x v="1"/>
  </r>
  <r>
    <x v="8"/>
    <x v="0"/>
    <x v="0"/>
    <x v="42"/>
    <s v="HAD"/>
    <x v="2"/>
    <x v="0"/>
    <x v="19"/>
    <n v="0"/>
    <x v="1"/>
    <x v="21"/>
    <x v="15"/>
    <n v="85.239000000000004"/>
    <x v="3313"/>
    <n v="29.867000000000001"/>
    <n v="18.574999999999999"/>
    <n v="36.445"/>
    <m/>
    <x v="1"/>
  </r>
  <r>
    <x v="8"/>
    <x v="0"/>
    <x v="0"/>
    <x v="35"/>
    <s v="PIA"/>
    <x v="3"/>
    <x v="16"/>
    <x v="21"/>
    <n v="0"/>
    <x v="1"/>
    <x v="53"/>
    <x v="68"/>
    <m/>
    <x v="19"/>
    <m/>
    <m/>
    <m/>
    <m/>
    <x v="1"/>
  </r>
  <r>
    <x v="8"/>
    <x v="0"/>
    <x v="0"/>
    <x v="6"/>
    <s v="HUL"/>
    <x v="19"/>
    <x v="8"/>
    <x v="22"/>
    <n v="0"/>
    <x v="1"/>
    <x v="53"/>
    <x v="68"/>
    <m/>
    <x v="19"/>
    <m/>
    <m/>
    <m/>
    <m/>
    <x v="1"/>
  </r>
  <r>
    <x v="8"/>
    <x v="1"/>
    <x v="2"/>
    <x v="43"/>
    <s v="ANT"/>
    <x v="1"/>
    <x v="1"/>
    <x v="0"/>
    <n v="25"/>
    <x v="0"/>
    <x v="0"/>
    <x v="7"/>
    <n v="95.275000000000006"/>
    <x v="3314"/>
    <n v="25.14"/>
    <n v="28.462"/>
    <n v="41.213000000000001"/>
    <n v="10"/>
    <x v="1"/>
  </r>
  <r>
    <x v="8"/>
    <x v="1"/>
    <x v="2"/>
    <x v="24"/>
    <s v="RUS"/>
    <x v="1"/>
    <x v="2"/>
    <x v="1"/>
    <n v="18"/>
    <x v="0"/>
    <x v="0"/>
    <x v="7"/>
    <n v="95.4"/>
    <x v="3315"/>
    <n v="25.125"/>
    <n v="28.641999999999999"/>
    <n v="41.305999999999997"/>
    <n v="10"/>
    <x v="1"/>
  </r>
  <r>
    <x v="8"/>
    <x v="1"/>
    <x v="2"/>
    <x v="1"/>
    <s v="HAM"/>
    <x v="0"/>
    <x v="0"/>
    <x v="2"/>
    <n v="15"/>
    <x v="0"/>
    <x v="0"/>
    <x v="7"/>
    <n v="96.091999999999999"/>
    <x v="3316"/>
    <n v="25.175999999999998"/>
    <n v="28.856000000000002"/>
    <n v="41.62"/>
    <n v="10"/>
    <x v="1"/>
  </r>
  <r>
    <x v="8"/>
    <x v="1"/>
    <x v="2"/>
    <x v="12"/>
    <s v="LEC"/>
    <x v="0"/>
    <x v="5"/>
    <x v="3"/>
    <n v="12"/>
    <x v="1"/>
    <x v="0"/>
    <x v="7"/>
    <n v="96.010999999999996"/>
    <x v="3317"/>
    <n v="25.047000000000001"/>
    <n v="28.861999999999998"/>
    <n v="41.597999999999999"/>
    <n v="10"/>
    <x v="1"/>
  </r>
  <r>
    <x v="8"/>
    <x v="1"/>
    <x v="2"/>
    <x v="37"/>
    <s v="BEA"/>
    <x v="9"/>
    <x v="4"/>
    <x v="4"/>
    <n v="10"/>
    <x v="1"/>
    <x v="0"/>
    <x v="7"/>
    <n v="96.429000000000002"/>
    <x v="3318"/>
    <n v="25.225999999999999"/>
    <n v="29.068999999999999"/>
    <n v="42.082000000000001"/>
    <n v="10"/>
    <x v="1"/>
  </r>
  <r>
    <x v="8"/>
    <x v="1"/>
    <x v="2"/>
    <x v="17"/>
    <s v="GAS"/>
    <x v="14"/>
    <x v="6"/>
    <x v="5"/>
    <n v="8"/>
    <x v="1"/>
    <x v="0"/>
    <x v="7"/>
    <n v="96.504999999999995"/>
    <x v="3319"/>
    <n v="25.321000000000002"/>
    <n v="29.218"/>
    <n v="41.868000000000002"/>
    <n v="10"/>
    <x v="1"/>
  </r>
  <r>
    <x v="8"/>
    <x v="1"/>
    <x v="2"/>
    <x v="36"/>
    <s v="LAW"/>
    <x v="18"/>
    <x v="11"/>
    <x v="6"/>
    <n v="6"/>
    <x v="1"/>
    <x v="0"/>
    <x v="7"/>
    <n v="97.096000000000004"/>
    <x v="3320"/>
    <n v="25.443999999999999"/>
    <n v="29.338999999999999"/>
    <n v="42.094999999999999"/>
    <n v="9"/>
    <x v="1"/>
  </r>
  <r>
    <x v="8"/>
    <x v="1"/>
    <x v="2"/>
    <x v="42"/>
    <s v="HAD"/>
    <x v="2"/>
    <x v="9"/>
    <x v="7"/>
    <n v="4"/>
    <x v="1"/>
    <x v="0"/>
    <x v="7"/>
    <n v="97.311000000000007"/>
    <x v="3321"/>
    <n v="25.707000000000001"/>
    <n v="29.611999999999998"/>
    <n v="41.857999999999997"/>
    <s v="1,10"/>
    <x v="1"/>
  </r>
  <r>
    <x v="8"/>
    <x v="1"/>
    <x v="2"/>
    <x v="9"/>
    <s v="SAI"/>
    <x v="7"/>
    <x v="18"/>
    <x v="8"/>
    <n v="2"/>
    <x v="1"/>
    <x v="52"/>
    <x v="35"/>
    <n v="97.980999999999995"/>
    <x v="3322"/>
    <n v="25.887"/>
    <n v="29.594999999999999"/>
    <n v="42.247999999999998"/>
    <n v="9"/>
    <x v="1"/>
  </r>
  <r>
    <x v="8"/>
    <x v="1"/>
    <x v="2"/>
    <x v="38"/>
    <s v="COL"/>
    <x v="14"/>
    <x v="10"/>
    <x v="9"/>
    <n v="1"/>
    <x v="1"/>
    <x v="52"/>
    <x v="35"/>
    <n v="96.783000000000001"/>
    <x v="3323"/>
    <n v="25.52"/>
    <n v="29.202000000000002"/>
    <n v="41.929000000000002"/>
    <n v="32"/>
    <x v="1"/>
  </r>
  <r>
    <x v="8"/>
    <x v="1"/>
    <x v="2"/>
    <x v="6"/>
    <s v="HUL"/>
    <x v="19"/>
    <x v="8"/>
    <x v="10"/>
    <n v="0"/>
    <x v="1"/>
    <x v="52"/>
    <x v="35"/>
    <n v="96.18"/>
    <x v="3324"/>
    <n v="25.048999999999999"/>
    <n v="29.074000000000002"/>
    <n v="41.652000000000001"/>
    <n v="35"/>
    <x v="1"/>
  </r>
  <r>
    <x v="8"/>
    <x v="1"/>
    <x v="2"/>
    <x v="44"/>
    <s v="LIN"/>
    <x v="18"/>
    <x v="7"/>
    <x v="11"/>
    <n v="0"/>
    <x v="1"/>
    <x v="52"/>
    <x v="35"/>
    <n v="96.099000000000004"/>
    <x v="3325"/>
    <n v="25.082000000000001"/>
    <n v="29.056999999999999"/>
    <n v="41.817"/>
    <n v="42"/>
    <x v="1"/>
  </r>
  <r>
    <x v="8"/>
    <x v="1"/>
    <x v="2"/>
    <x v="7"/>
    <s v="BOT"/>
    <x v="20"/>
    <x v="19"/>
    <x v="12"/>
    <n v="0"/>
    <x v="1"/>
    <x v="52"/>
    <x v="35"/>
    <n v="98.393000000000001"/>
    <x v="3326"/>
    <n v="25.855"/>
    <n v="29.824999999999999"/>
    <n v="42.713000000000001"/>
    <n v="10"/>
    <x v="1"/>
  </r>
  <r>
    <x v="8"/>
    <x v="1"/>
    <x v="2"/>
    <x v="11"/>
    <s v="OCO"/>
    <x v="9"/>
    <x v="13"/>
    <x v="13"/>
    <n v="0"/>
    <x v="1"/>
    <x v="52"/>
    <x v="35"/>
    <n v="95.963999999999999"/>
    <x v="3327"/>
    <n v="25.094000000000001"/>
    <n v="28.896999999999998"/>
    <n v="41.712000000000003"/>
    <s v="29,46"/>
    <x v="1"/>
  </r>
  <r>
    <x v="8"/>
    <x v="1"/>
    <x v="2"/>
    <x v="10"/>
    <s v="PER"/>
    <x v="20"/>
    <x v="22"/>
    <x v="14"/>
    <n v="0"/>
    <x v="1"/>
    <x v="52"/>
    <x v="35"/>
    <n v="98.522999999999996"/>
    <x v="3328"/>
    <n v="25.876999999999999"/>
    <n v="29.94"/>
    <n v="42.365000000000002"/>
    <n v="11"/>
    <x v="1"/>
  </r>
  <r>
    <x v="8"/>
    <x v="1"/>
    <x v="2"/>
    <x v="5"/>
    <s v="VER"/>
    <x v="2"/>
    <x v="3"/>
    <x v="15"/>
    <n v="0"/>
    <x v="1"/>
    <x v="21"/>
    <x v="55"/>
    <n v="97.046000000000006"/>
    <x v="3329"/>
    <n v="25.524999999999999"/>
    <n v="29.516999999999999"/>
    <n v="41.838999999999999"/>
    <s v="9,45"/>
    <x v="1"/>
  </r>
  <r>
    <x v="8"/>
    <x v="1"/>
    <x v="2"/>
    <x v="4"/>
    <s v="ALO"/>
    <x v="13"/>
    <x v="12"/>
    <x v="16"/>
    <n v="0"/>
    <x v="1"/>
    <x v="21"/>
    <x v="40"/>
    <n v="99.721000000000004"/>
    <x v="3330"/>
    <n v="26.131"/>
    <n v="30.533999999999999"/>
    <n v="42.973999999999997"/>
    <s v="31,32"/>
    <x v="1"/>
  </r>
  <r>
    <x v="8"/>
    <x v="1"/>
    <x v="2"/>
    <x v="13"/>
    <s v="STR"/>
    <x v="13"/>
    <x v="17"/>
    <x v="17"/>
    <n v="0"/>
    <x v="1"/>
    <x v="21"/>
    <x v="58"/>
    <n v="100.883"/>
    <x v="3331"/>
    <n v="26.536000000000001"/>
    <n v="30.832000000000001"/>
    <n v="43.305999999999997"/>
    <m/>
    <x v="1"/>
  </r>
  <r>
    <x v="8"/>
    <x v="1"/>
    <x v="2"/>
    <x v="35"/>
    <s v="PIA"/>
    <x v="3"/>
    <x v="16"/>
    <x v="18"/>
    <n v="0"/>
    <x v="1"/>
    <x v="53"/>
    <x v="68"/>
    <m/>
    <x v="19"/>
    <m/>
    <m/>
    <m/>
    <m/>
    <x v="1"/>
  </r>
  <r>
    <x v="8"/>
    <x v="1"/>
    <x v="2"/>
    <x v="21"/>
    <s v="NOR"/>
    <x v="3"/>
    <x v="15"/>
    <x v="19"/>
    <n v="0"/>
    <x v="1"/>
    <x v="53"/>
    <x v="68"/>
    <m/>
    <x v="19"/>
    <m/>
    <m/>
    <m/>
    <m/>
    <x v="1"/>
  </r>
  <r>
    <x v="8"/>
    <x v="1"/>
    <x v="2"/>
    <x v="41"/>
    <s v="BOR"/>
    <x v="19"/>
    <x v="14"/>
    <x v="21"/>
    <n v="0"/>
    <x v="1"/>
    <x v="53"/>
    <x v="68"/>
    <m/>
    <x v="19"/>
    <m/>
    <m/>
    <m/>
    <m/>
    <x v="1"/>
  </r>
  <r>
    <x v="8"/>
    <x v="1"/>
    <x v="2"/>
    <x v="22"/>
    <s v="ALB"/>
    <x v="7"/>
    <x v="23"/>
    <x v="22"/>
    <n v="0"/>
    <x v="1"/>
    <x v="53"/>
    <x v="68"/>
    <m/>
    <x v="19"/>
    <m/>
    <m/>
    <m/>
    <m/>
    <x v="1"/>
  </r>
  <r>
    <x v="8"/>
    <x v="2"/>
    <x v="15"/>
    <x v="43"/>
    <s v="ANT"/>
    <x v="1"/>
    <x v="1"/>
    <x v="0"/>
    <n v="25"/>
    <x v="0"/>
    <x v="0"/>
    <x v="28"/>
    <n v="92.432000000000002"/>
    <x v="3332"/>
    <n v="33.661999999999999"/>
    <n v="40.985999999999997"/>
    <n v="17.695"/>
    <n v="22"/>
    <x v="1"/>
  </r>
  <r>
    <x v="8"/>
    <x v="2"/>
    <x v="15"/>
    <x v="35"/>
    <s v="PIA"/>
    <x v="3"/>
    <x v="0"/>
    <x v="1"/>
    <n v="18"/>
    <x v="0"/>
    <x v="0"/>
    <x v="28"/>
    <n v="92.995999999999995"/>
    <x v="3333"/>
    <n v="33.887"/>
    <n v="41.213999999999999"/>
    <n v="17.843"/>
    <n v="18"/>
    <x v="1"/>
  </r>
  <r>
    <x v="8"/>
    <x v="2"/>
    <x v="15"/>
    <x v="12"/>
    <s v="LEC"/>
    <x v="0"/>
    <x v="5"/>
    <x v="2"/>
    <n v="15"/>
    <x v="0"/>
    <x v="0"/>
    <x v="28"/>
    <n v="92.634"/>
    <x v="3334"/>
    <n v="33.676000000000002"/>
    <n v="40.918999999999997"/>
    <n v="17.8"/>
    <n v="17"/>
    <x v="1"/>
  </r>
  <r>
    <x v="8"/>
    <x v="2"/>
    <x v="15"/>
    <x v="24"/>
    <s v="RUS"/>
    <x v="1"/>
    <x v="2"/>
    <x v="3"/>
    <n v="12"/>
    <x v="1"/>
    <x v="0"/>
    <x v="28"/>
    <n v="92.549000000000007"/>
    <x v="3335"/>
    <n v="33.743000000000002"/>
    <n v="41.039000000000001"/>
    <n v="17.577999999999999"/>
    <n v="21"/>
    <x v="1"/>
  </r>
  <r>
    <x v="8"/>
    <x v="2"/>
    <x v="15"/>
    <x v="21"/>
    <s v="NOR"/>
    <x v="3"/>
    <x v="16"/>
    <x v="4"/>
    <n v="10"/>
    <x v="1"/>
    <x v="0"/>
    <x v="28"/>
    <n v="93.207999999999998"/>
    <x v="3336"/>
    <n v="33.929000000000002"/>
    <n v="41.280999999999999"/>
    <n v="17.739000000000001"/>
    <n v="16"/>
    <x v="1"/>
  </r>
  <r>
    <x v="8"/>
    <x v="2"/>
    <x v="15"/>
    <x v="1"/>
    <s v="HAM"/>
    <x v="0"/>
    <x v="15"/>
    <x v="5"/>
    <n v="8"/>
    <x v="1"/>
    <x v="0"/>
    <x v="28"/>
    <n v="92.777000000000001"/>
    <x v="3337"/>
    <n v="33.962000000000003"/>
    <n v="41.107999999999997"/>
    <n v="17.707000000000001"/>
    <n v="22"/>
    <x v="1"/>
  </r>
  <r>
    <x v="8"/>
    <x v="2"/>
    <x v="15"/>
    <x v="17"/>
    <s v="GAS"/>
    <x v="14"/>
    <x v="6"/>
    <x v="6"/>
    <n v="6"/>
    <x v="1"/>
    <x v="0"/>
    <x v="28"/>
    <n v="93.691000000000003"/>
    <x v="3338"/>
    <n v="34.194000000000003"/>
    <n v="41.432000000000002"/>
    <n v="17.867999999999999"/>
    <n v="22"/>
    <x v="1"/>
  </r>
  <r>
    <x v="8"/>
    <x v="2"/>
    <x v="15"/>
    <x v="5"/>
    <s v="VER"/>
    <x v="2"/>
    <x v="8"/>
    <x v="7"/>
    <n v="4"/>
    <x v="1"/>
    <x v="0"/>
    <x v="28"/>
    <n v="93.552000000000007"/>
    <x v="3339"/>
    <n v="34.036999999999999"/>
    <n v="41.453000000000003"/>
    <n v="17.817"/>
    <n v="22"/>
    <x v="1"/>
  </r>
  <r>
    <x v="8"/>
    <x v="2"/>
    <x v="15"/>
    <x v="36"/>
    <s v="LAW"/>
    <x v="18"/>
    <x v="11"/>
    <x v="8"/>
    <n v="2"/>
    <x v="1"/>
    <x v="0"/>
    <x v="28"/>
    <n v="94.23"/>
    <x v="3340"/>
    <n v="34.591999999999999"/>
    <n v="41.545000000000002"/>
    <n v="17.838000000000001"/>
    <n v="22"/>
    <x v="1"/>
  </r>
  <r>
    <x v="8"/>
    <x v="2"/>
    <x v="15"/>
    <x v="11"/>
    <s v="OCO"/>
    <x v="9"/>
    <x v="10"/>
    <x v="9"/>
    <n v="1"/>
    <x v="1"/>
    <x v="0"/>
    <x v="28"/>
    <n v="94.256"/>
    <x v="3341"/>
    <n v="34.723999999999997"/>
    <n v="41.451999999999998"/>
    <n v="17.809000000000001"/>
    <n v="19"/>
    <x v="1"/>
  </r>
  <r>
    <x v="8"/>
    <x v="2"/>
    <x v="15"/>
    <x v="6"/>
    <s v="HUL"/>
    <x v="19"/>
    <x v="13"/>
    <x v="10"/>
    <n v="0"/>
    <x v="1"/>
    <x v="0"/>
    <x v="28"/>
    <n v="93.731999999999999"/>
    <x v="3342"/>
    <n v="33.840000000000003"/>
    <n v="41.508000000000003"/>
    <n v="17.678000000000001"/>
    <n v="23"/>
    <x v="1"/>
  </r>
  <r>
    <x v="8"/>
    <x v="2"/>
    <x v="15"/>
    <x v="42"/>
    <s v="HAD"/>
    <x v="2"/>
    <x v="3"/>
    <x v="11"/>
    <n v="0"/>
    <x v="1"/>
    <x v="0"/>
    <x v="28"/>
    <n v="93.837000000000003"/>
    <x v="3343"/>
    <n v="34.064"/>
    <n v="41.713000000000001"/>
    <n v="17.617000000000001"/>
    <n v="19"/>
    <x v="1"/>
  </r>
  <r>
    <x v="8"/>
    <x v="2"/>
    <x v="15"/>
    <x v="41"/>
    <s v="BOR"/>
    <x v="19"/>
    <x v="9"/>
    <x v="12"/>
    <n v="0"/>
    <x v="1"/>
    <x v="0"/>
    <x v="28"/>
    <n v="94.164000000000001"/>
    <x v="3344"/>
    <n v="34.497"/>
    <n v="41.723999999999997"/>
    <n v="17.777999999999999"/>
    <n v="22"/>
    <x v="1"/>
  </r>
  <r>
    <x v="8"/>
    <x v="2"/>
    <x v="15"/>
    <x v="44"/>
    <s v="LIN"/>
    <x v="18"/>
    <x v="4"/>
    <x v="13"/>
    <n v="0"/>
    <x v="1"/>
    <x v="0"/>
    <x v="28"/>
    <n v="94.313999999999993"/>
    <x v="3345"/>
    <n v="34.81"/>
    <n v="41.569000000000003"/>
    <n v="17.798999999999999"/>
    <n v="18"/>
    <x v="1"/>
  </r>
  <r>
    <x v="8"/>
    <x v="2"/>
    <x v="15"/>
    <x v="9"/>
    <s v="SAI"/>
    <x v="7"/>
    <x v="14"/>
    <x v="14"/>
    <n v="0"/>
    <x v="1"/>
    <x v="0"/>
    <x v="28"/>
    <n v="94.513999999999996"/>
    <x v="3346"/>
    <n v="34.85"/>
    <n v="41.652000000000001"/>
    <n v="17.904"/>
    <n v="22"/>
    <x v="1"/>
  </r>
  <r>
    <x v="8"/>
    <x v="2"/>
    <x v="15"/>
    <x v="38"/>
    <s v="COL"/>
    <x v="14"/>
    <x v="7"/>
    <x v="15"/>
    <n v="0"/>
    <x v="1"/>
    <x v="0"/>
    <x v="28"/>
    <n v="94.512"/>
    <x v="3347"/>
    <n v="34.734999999999999"/>
    <n v="41.850999999999999"/>
    <n v="17.738"/>
    <n v="17"/>
    <x v="1"/>
  </r>
  <r>
    <x v="8"/>
    <x v="2"/>
    <x v="15"/>
    <x v="10"/>
    <s v="PER"/>
    <x v="20"/>
    <x v="19"/>
    <x v="16"/>
    <n v="0"/>
    <x v="1"/>
    <x v="0"/>
    <x v="28"/>
    <n v="95.637"/>
    <x v="3348"/>
    <n v="35.067"/>
    <n v="42.094999999999999"/>
    <n v="18.216999999999999"/>
    <n v="21"/>
    <x v="1"/>
  </r>
  <r>
    <x v="8"/>
    <x v="2"/>
    <x v="15"/>
    <x v="4"/>
    <s v="ALO"/>
    <x v="13"/>
    <x v="22"/>
    <x v="17"/>
    <n v="0"/>
    <x v="1"/>
    <x v="52"/>
    <x v="33"/>
    <n v="96.221000000000004"/>
    <x v="3349"/>
    <n v="35.249000000000002"/>
    <n v="42.453000000000003"/>
    <n v="18.273"/>
    <s v="21,23"/>
    <x v="1"/>
  </r>
  <r>
    <x v="8"/>
    <x v="2"/>
    <x v="15"/>
    <x v="7"/>
    <s v="BOT"/>
    <x v="20"/>
    <x v="17"/>
    <x v="18"/>
    <n v="0"/>
    <x v="1"/>
    <x v="52"/>
    <x v="33"/>
    <n v="96.269000000000005"/>
    <x v="3350"/>
    <n v="35.552999999999997"/>
    <n v="42.27"/>
    <n v="18.175000000000001"/>
    <n v="19"/>
    <x v="1"/>
  </r>
  <r>
    <x v="8"/>
    <x v="2"/>
    <x v="15"/>
    <x v="22"/>
    <s v="ALB"/>
    <x v="7"/>
    <x v="18"/>
    <x v="19"/>
    <n v="0"/>
    <x v="1"/>
    <x v="52"/>
    <x v="11"/>
    <n v="93.427000000000007"/>
    <x v="3351"/>
    <n v="34.368000000000002"/>
    <n v="41.228000000000002"/>
    <n v="17.831"/>
    <s v="22,45,46,47,48,49"/>
    <x v="1"/>
  </r>
  <r>
    <x v="8"/>
    <x v="2"/>
    <x v="15"/>
    <x v="13"/>
    <s v="STR"/>
    <x v="13"/>
    <x v="23"/>
    <x v="21"/>
    <n v="0"/>
    <x v="1"/>
    <x v="21"/>
    <x v="57"/>
    <n v="97.216999999999999"/>
    <x v="3352"/>
    <n v="35.578000000000003"/>
    <n v="42.878999999999998"/>
    <n v="18.356999999999999"/>
    <s v="21,24,30"/>
    <x v="1"/>
  </r>
  <r>
    <x v="8"/>
    <x v="2"/>
    <x v="15"/>
    <x v="37"/>
    <s v="BEA"/>
    <x v="9"/>
    <x v="12"/>
    <x v="22"/>
    <n v="0"/>
    <x v="1"/>
    <x v="21"/>
    <x v="77"/>
    <n v="95.603999999999999"/>
    <x v="3353"/>
    <n v="35.006"/>
    <n v="42.252000000000002"/>
    <n v="18.041"/>
    <n v="16"/>
    <x v="1"/>
  </r>
  <r>
    <x v="8"/>
    <x v="3"/>
    <x v="34"/>
    <x v="43"/>
    <s v="ANT"/>
    <x v="1"/>
    <x v="1"/>
    <x v="0"/>
    <n v="25"/>
    <x v="0"/>
    <x v="0"/>
    <x v="1"/>
    <n v="91.968000000000004"/>
    <x v="3354"/>
    <n v="31.959"/>
    <n v="33.975000000000001"/>
    <n v="25.347000000000001"/>
    <n v="26"/>
    <x v="0"/>
  </r>
  <r>
    <x v="8"/>
    <x v="3"/>
    <x v="34"/>
    <x v="21"/>
    <s v="NOR"/>
    <x v="3"/>
    <x v="5"/>
    <x v="1"/>
    <n v="18"/>
    <x v="0"/>
    <x v="0"/>
    <x v="1"/>
    <n v="91.869"/>
    <x v="3355"/>
    <n v="31.893000000000001"/>
    <n v="34.432000000000002"/>
    <n v="25.175999999999998"/>
    <n v="27"/>
    <x v="0"/>
  </r>
  <r>
    <x v="8"/>
    <x v="3"/>
    <x v="34"/>
    <x v="35"/>
    <s v="PIA"/>
    <x v="3"/>
    <x v="6"/>
    <x v="2"/>
    <n v="15"/>
    <x v="0"/>
    <x v="0"/>
    <x v="1"/>
    <n v="91.948999999999998"/>
    <x v="3356"/>
    <n v="31.898"/>
    <n v="34.518999999999998"/>
    <n v="25.332999999999998"/>
    <n v="28"/>
    <x v="0"/>
  </r>
  <r>
    <x v="8"/>
    <x v="3"/>
    <x v="34"/>
    <x v="24"/>
    <s v="RUS"/>
    <x v="1"/>
    <x v="16"/>
    <x v="3"/>
    <n v="12"/>
    <x v="1"/>
    <x v="0"/>
    <x v="1"/>
    <n v="92.445999999999998"/>
    <x v="3357"/>
    <n v="32.127000000000002"/>
    <n v="34.454999999999998"/>
    <n v="25.428999999999998"/>
    <n v="20"/>
    <x v="0"/>
  </r>
  <r>
    <x v="8"/>
    <x v="3"/>
    <x v="34"/>
    <x v="5"/>
    <s v="VER"/>
    <x v="2"/>
    <x v="2"/>
    <x v="4"/>
    <n v="10"/>
    <x v="1"/>
    <x v="0"/>
    <x v="1"/>
    <n v="93.11"/>
    <x v="3358"/>
    <n v="32.274999999999999"/>
    <n v="34.738"/>
    <n v="25.46"/>
    <n v="6"/>
    <x v="0"/>
  </r>
  <r>
    <x v="8"/>
    <x v="3"/>
    <x v="34"/>
    <x v="1"/>
    <s v="HAM"/>
    <x v="0"/>
    <x v="15"/>
    <x v="5"/>
    <n v="8"/>
    <x v="1"/>
    <x v="0"/>
    <x v="1"/>
    <n v="92.676000000000002"/>
    <x v="3359"/>
    <n v="32.276000000000003"/>
    <n v="34.768999999999998"/>
    <n v="25.379000000000001"/>
    <n v="27"/>
    <x v="0"/>
  </r>
  <r>
    <x v="8"/>
    <x v="3"/>
    <x v="34"/>
    <x v="38"/>
    <s v="COL"/>
    <x v="14"/>
    <x v="3"/>
    <x v="6"/>
    <n v="6"/>
    <x v="1"/>
    <x v="0"/>
    <x v="1"/>
    <n v="93.034999999999997"/>
    <x v="3360"/>
    <n v="32.271000000000001"/>
    <n v="34.848999999999997"/>
    <n v="25.446000000000002"/>
    <n v="31"/>
    <x v="0"/>
  </r>
  <r>
    <x v="8"/>
    <x v="3"/>
    <x v="34"/>
    <x v="12"/>
    <s v="LEC"/>
    <x v="0"/>
    <x v="0"/>
    <x v="7"/>
    <n v="4"/>
    <x v="1"/>
    <x v="0"/>
    <x v="1"/>
    <n v="92.515000000000001"/>
    <x v="3361"/>
    <n v="32.061999999999998"/>
    <n v="34.271000000000001"/>
    <n v="25.356999999999999"/>
    <n v="21"/>
    <x v="0"/>
  </r>
  <r>
    <x v="8"/>
    <x v="3"/>
    <x v="34"/>
    <x v="9"/>
    <s v="SAI"/>
    <x v="7"/>
    <x v="13"/>
    <x v="8"/>
    <n v="2"/>
    <x v="1"/>
    <x v="0"/>
    <x v="1"/>
    <n v="93.025999999999996"/>
    <x v="3362"/>
    <n v="32.706000000000003"/>
    <n v="34.713000000000001"/>
    <n v="25.606999999999999"/>
    <n v="28"/>
    <x v="0"/>
  </r>
  <r>
    <x v="8"/>
    <x v="3"/>
    <x v="34"/>
    <x v="22"/>
    <s v="ALB"/>
    <x v="7"/>
    <x v="7"/>
    <x v="9"/>
    <n v="1"/>
    <x v="1"/>
    <x v="0"/>
    <x v="1"/>
    <n v="93.784000000000006"/>
    <x v="3363"/>
    <n v="33.002000000000002"/>
    <n v="34.81"/>
    <n v="25.693000000000001"/>
    <n v="27"/>
    <x v="0"/>
  </r>
  <r>
    <x v="8"/>
    <x v="3"/>
    <x v="34"/>
    <x v="37"/>
    <s v="BEA"/>
    <x v="9"/>
    <x v="10"/>
    <x v="10"/>
    <n v="0"/>
    <x v="1"/>
    <x v="52"/>
    <x v="7"/>
    <n v="93.744"/>
    <x v="3364"/>
    <n v="32.942999999999998"/>
    <n v="34.875"/>
    <n v="25.690999999999999"/>
    <n v="26"/>
    <x v="0"/>
  </r>
  <r>
    <x v="8"/>
    <x v="3"/>
    <x v="34"/>
    <x v="41"/>
    <s v="BOR"/>
    <x v="19"/>
    <x v="22"/>
    <x v="11"/>
    <n v="0"/>
    <x v="1"/>
    <x v="52"/>
    <x v="7"/>
    <n v="93.5"/>
    <x v="3365"/>
    <n v="32.445"/>
    <n v="35.061"/>
    <n v="25.677"/>
    <n v="32"/>
    <x v="0"/>
  </r>
  <r>
    <x v="8"/>
    <x v="3"/>
    <x v="34"/>
    <x v="11"/>
    <s v="OCO"/>
    <x v="9"/>
    <x v="11"/>
    <x v="12"/>
    <n v="0"/>
    <x v="1"/>
    <x v="52"/>
    <x v="7"/>
    <n v="93.712000000000003"/>
    <x v="3366"/>
    <n v="32.71"/>
    <n v="35.082999999999998"/>
    <n v="25.687999999999999"/>
    <n v="31"/>
    <x v="0"/>
  </r>
  <r>
    <x v="8"/>
    <x v="3"/>
    <x v="34"/>
    <x v="44"/>
    <s v="LIN"/>
    <x v="18"/>
    <x v="14"/>
    <x v="13"/>
    <n v="0"/>
    <x v="1"/>
    <x v="52"/>
    <x v="7"/>
    <n v="94.058000000000007"/>
    <x v="3367"/>
    <n v="32.710999999999999"/>
    <n v="35.165999999999997"/>
    <n v="25.763000000000002"/>
    <n v="28"/>
    <x v="0"/>
  </r>
  <r>
    <x v="8"/>
    <x v="3"/>
    <x v="34"/>
    <x v="4"/>
    <s v="ALO"/>
    <x v="13"/>
    <x v="18"/>
    <x v="14"/>
    <n v="0"/>
    <x v="1"/>
    <x v="52"/>
    <x v="7"/>
    <n v="93.512"/>
    <x v="3368"/>
    <n v="32.731000000000002"/>
    <n v="35.079000000000001"/>
    <n v="25.7"/>
    <n v="41"/>
    <x v="0"/>
  </r>
  <r>
    <x v="8"/>
    <x v="3"/>
    <x v="34"/>
    <x v="10"/>
    <s v="PER"/>
    <x v="20"/>
    <x v="17"/>
    <x v="15"/>
    <n v="0"/>
    <x v="1"/>
    <x v="52"/>
    <x v="7"/>
    <n v="94.894999999999996"/>
    <x v="3369"/>
    <n v="32.994999999999997"/>
    <n v="35.585000000000001"/>
    <n v="25.923999999999999"/>
    <n v="29"/>
    <x v="0"/>
  </r>
  <r>
    <x v="8"/>
    <x v="3"/>
    <x v="34"/>
    <x v="13"/>
    <s v="STR"/>
    <x v="13"/>
    <x v="12"/>
    <x v="16"/>
    <n v="0"/>
    <x v="1"/>
    <x v="52"/>
    <x v="7"/>
    <n v="94.715999999999994"/>
    <x v="3370"/>
    <n v="32.820999999999998"/>
    <n v="35.444000000000003"/>
    <n v="25.649000000000001"/>
    <s v="21,37"/>
    <x v="0"/>
  </r>
  <r>
    <x v="8"/>
    <x v="3"/>
    <x v="34"/>
    <x v="7"/>
    <s v="BOT"/>
    <x v="20"/>
    <x v="19"/>
    <x v="17"/>
    <n v="0"/>
    <x v="1"/>
    <x v="52"/>
    <x v="35"/>
    <n v="96.08"/>
    <x v="3371"/>
    <n v="33.354999999999997"/>
    <n v="35.872999999999998"/>
    <n v="25.89"/>
    <s v="6,21,30"/>
    <x v="0"/>
  </r>
  <r>
    <x v="8"/>
    <x v="3"/>
    <x v="34"/>
    <x v="6"/>
    <s v="HUL"/>
    <x v="19"/>
    <x v="4"/>
    <x v="18"/>
    <n v="0"/>
    <x v="1"/>
    <x v="21"/>
    <x v="56"/>
    <n v="94.522999999999996"/>
    <x v="3372"/>
    <n v="33.228000000000002"/>
    <n v="34.896999999999998"/>
    <n v="26.398"/>
    <s v="1,7"/>
    <x v="0"/>
  </r>
  <r>
    <x v="8"/>
    <x v="3"/>
    <x v="34"/>
    <x v="36"/>
    <s v="LAW"/>
    <x v="18"/>
    <x v="8"/>
    <x v="19"/>
    <n v="0"/>
    <x v="1"/>
    <x v="21"/>
    <x v="5"/>
    <n v="94.813999999999993"/>
    <x v="3373"/>
    <n v="33.414999999999999"/>
    <n v="35.146999999999998"/>
    <n v="26.23"/>
    <n v="6"/>
    <x v="0"/>
  </r>
  <r>
    <x v="8"/>
    <x v="3"/>
    <x v="34"/>
    <x v="17"/>
    <s v="GAS"/>
    <x v="14"/>
    <x v="9"/>
    <x v="21"/>
    <n v="0"/>
    <x v="1"/>
    <x v="21"/>
    <x v="6"/>
    <n v="94.855999999999995"/>
    <x v="3374"/>
    <n v="33.853999999999999"/>
    <n v="35.021000000000001"/>
    <n v="25.901"/>
    <m/>
    <x v="0"/>
  </r>
  <r>
    <x v="8"/>
    <x v="3"/>
    <x v="34"/>
    <x v="42"/>
    <s v="HAD"/>
    <x v="2"/>
    <x v="23"/>
    <x v="22"/>
    <n v="0"/>
    <x v="1"/>
    <x v="21"/>
    <x v="6"/>
    <n v="94.832999999999998"/>
    <x v="3375"/>
    <n v="33.537999999999997"/>
    <n v="35.375"/>
    <n v="25.774999999999999"/>
    <m/>
    <x v="0"/>
  </r>
  <r>
    <x v="8"/>
    <x v="4"/>
    <x v="6"/>
    <x v="43"/>
    <s v="ANT"/>
    <x v="1"/>
    <x v="2"/>
    <x v="0"/>
    <n v="25"/>
    <x v="0"/>
    <x v="0"/>
    <x v="31"/>
    <n v="74.209999999999994"/>
    <x v="3376"/>
    <n v="20.989000000000001"/>
    <n v="23.59"/>
    <n v="29.497"/>
    <n v="31"/>
    <x v="1"/>
  </r>
  <r>
    <x v="8"/>
    <x v="4"/>
    <x v="6"/>
    <x v="1"/>
    <s v="HAM"/>
    <x v="0"/>
    <x v="16"/>
    <x v="1"/>
    <n v="18"/>
    <x v="0"/>
    <x v="0"/>
    <x v="31"/>
    <n v="74.572999999999993"/>
    <x v="3377"/>
    <n v="21.28"/>
    <n v="23.608000000000001"/>
    <n v="29.524000000000001"/>
    <n v="31"/>
    <x v="1"/>
  </r>
  <r>
    <x v="8"/>
    <x v="4"/>
    <x v="6"/>
    <x v="5"/>
    <s v="VER"/>
    <x v="2"/>
    <x v="15"/>
    <x v="2"/>
    <n v="15"/>
    <x v="0"/>
    <x v="0"/>
    <x v="31"/>
    <n v="74.397999999999996"/>
    <x v="3378"/>
    <n v="21.100999999999999"/>
    <n v="23.724"/>
    <n v="29.437999999999999"/>
    <n v="31"/>
    <x v="1"/>
  </r>
  <r>
    <x v="8"/>
    <x v="4"/>
    <x v="6"/>
    <x v="12"/>
    <s v="LEC"/>
    <x v="0"/>
    <x v="3"/>
    <x v="3"/>
    <n v="12"/>
    <x v="1"/>
    <x v="0"/>
    <x v="31"/>
    <n v="75.296999999999997"/>
    <x v="3379"/>
    <n v="21.35"/>
    <n v="23.797000000000001"/>
    <n v="29.44"/>
    <n v="31"/>
    <x v="1"/>
  </r>
  <r>
    <x v="8"/>
    <x v="4"/>
    <x v="6"/>
    <x v="42"/>
    <s v="HAD"/>
    <x v="2"/>
    <x v="6"/>
    <x v="4"/>
    <n v="10"/>
    <x v="1"/>
    <x v="52"/>
    <x v="42"/>
    <n v="74.578000000000003"/>
    <x v="3380"/>
    <n v="21.18"/>
    <n v="23.82"/>
    <n v="29.577999999999999"/>
    <s v="31,52,62"/>
    <x v="1"/>
  </r>
  <r>
    <x v="8"/>
    <x v="4"/>
    <x v="6"/>
    <x v="38"/>
    <s v="COL"/>
    <x v="14"/>
    <x v="4"/>
    <x v="5"/>
    <n v="8"/>
    <x v="1"/>
    <x v="52"/>
    <x v="42"/>
    <n v="75.462000000000003"/>
    <x v="3381"/>
    <n v="21.489000000000001"/>
    <n v="23.97"/>
    <n v="30.003"/>
    <n v="30"/>
    <x v="1"/>
  </r>
  <r>
    <x v="8"/>
    <x v="4"/>
    <x v="6"/>
    <x v="36"/>
    <s v="LAW"/>
    <x v="18"/>
    <x v="10"/>
    <x v="6"/>
    <n v="6"/>
    <x v="1"/>
    <x v="52"/>
    <x v="42"/>
    <n v="75.603999999999999"/>
    <x v="3382"/>
    <n v="21.411000000000001"/>
    <n v="24.113"/>
    <n v="30.08"/>
    <n v="30"/>
    <x v="1"/>
  </r>
  <r>
    <x v="8"/>
    <x v="4"/>
    <x v="6"/>
    <x v="17"/>
    <s v="GAS"/>
    <x v="14"/>
    <x v="11"/>
    <x v="7"/>
    <n v="4"/>
    <x v="1"/>
    <x v="52"/>
    <x v="42"/>
    <n v="75.39"/>
    <x v="3383"/>
    <n v="21.457999999999998"/>
    <n v="24.05"/>
    <n v="29.856000000000002"/>
    <n v="30"/>
    <x v="1"/>
  </r>
  <r>
    <x v="8"/>
    <x v="4"/>
    <x v="6"/>
    <x v="9"/>
    <s v="SAI"/>
    <x v="7"/>
    <x v="7"/>
    <x v="8"/>
    <n v="2"/>
    <x v="1"/>
    <x v="52"/>
    <x v="42"/>
    <n v="75.852000000000004"/>
    <x v="3384"/>
    <n v="21.51"/>
    <n v="24.082000000000001"/>
    <n v="30.146000000000001"/>
    <s v="2,30"/>
    <x v="1"/>
  </r>
  <r>
    <x v="8"/>
    <x v="4"/>
    <x v="6"/>
    <x v="37"/>
    <s v="BEA"/>
    <x v="9"/>
    <x v="14"/>
    <x v="9"/>
    <n v="1"/>
    <x v="1"/>
    <x v="52"/>
    <x v="42"/>
    <n v="76.001999999999995"/>
    <x v="3385"/>
    <n v="21.687000000000001"/>
    <n v="24.172000000000001"/>
    <n v="30.068000000000001"/>
    <n v="30"/>
    <x v="1"/>
  </r>
  <r>
    <x v="8"/>
    <x v="4"/>
    <x v="6"/>
    <x v="35"/>
    <s v="PIA"/>
    <x v="3"/>
    <x v="5"/>
    <x v="10"/>
    <n v="0"/>
    <x v="1"/>
    <x v="52"/>
    <x v="17"/>
    <n v="75.456000000000003"/>
    <x v="3386"/>
    <n v="21.48"/>
    <n v="23.849"/>
    <n v="29.834"/>
    <s v="1,12,51"/>
    <x v="1"/>
  </r>
  <r>
    <x v="8"/>
    <x v="4"/>
    <x v="6"/>
    <x v="6"/>
    <s v="HUL"/>
    <x v="19"/>
    <x v="8"/>
    <x v="11"/>
    <n v="0"/>
    <x v="1"/>
    <x v="52"/>
    <x v="17"/>
    <n v="76.275000000000006"/>
    <x v="3387"/>
    <n v="21.619"/>
    <n v="24.145"/>
    <n v="29.866"/>
    <s v="2,20"/>
    <x v="1"/>
  </r>
  <r>
    <x v="8"/>
    <x v="4"/>
    <x v="6"/>
    <x v="41"/>
    <s v="BOR"/>
    <x v="19"/>
    <x v="13"/>
    <x v="12"/>
    <n v="0"/>
    <x v="1"/>
    <x v="52"/>
    <x v="17"/>
    <n v="76.221000000000004"/>
    <x v="3388"/>
    <n v="21.736999999999998"/>
    <n v="24.228999999999999"/>
    <n v="30.085000000000001"/>
    <s v="2,18"/>
    <x v="1"/>
  </r>
  <r>
    <x v="8"/>
    <x v="4"/>
    <x v="6"/>
    <x v="11"/>
    <s v="OCO"/>
    <x v="9"/>
    <x v="18"/>
    <x v="13"/>
    <n v="0"/>
    <x v="1"/>
    <x v="52"/>
    <x v="17"/>
    <n v="76.576999999999998"/>
    <x v="3389"/>
    <n v="21.844999999999999"/>
    <n v="24.265000000000001"/>
    <n v="30.192"/>
    <s v="16,30"/>
    <x v="1"/>
  </r>
  <r>
    <x v="8"/>
    <x v="4"/>
    <x v="6"/>
    <x v="13"/>
    <s v="STR"/>
    <x v="13"/>
    <x v="23"/>
    <x v="14"/>
    <n v="0"/>
    <x v="1"/>
    <x v="52"/>
    <x v="19"/>
    <n v="78.721000000000004"/>
    <x v="3390"/>
    <n v="22.417000000000002"/>
    <n v="25.047000000000001"/>
    <n v="30.905000000000001"/>
    <s v="14,49"/>
    <x v="1"/>
  </r>
  <r>
    <x v="8"/>
    <x v="4"/>
    <x v="6"/>
    <x v="7"/>
    <s v="BOT"/>
    <x v="20"/>
    <x v="22"/>
    <x v="15"/>
    <n v="0"/>
    <x v="1"/>
    <x v="52"/>
    <x v="19"/>
    <n v="77.724999999999994"/>
    <x v="3391"/>
    <n v="22.13"/>
    <n v="24.741"/>
    <n v="30.643999999999998"/>
    <s v="3,9,29,49"/>
    <x v="1"/>
  </r>
  <r>
    <x v="8"/>
    <x v="4"/>
    <x v="6"/>
    <x v="10"/>
    <s v="PER"/>
    <x v="20"/>
    <x v="17"/>
    <x v="16"/>
    <n v="0"/>
    <x v="1"/>
    <x v="21"/>
    <x v="14"/>
    <n v="76.915000000000006"/>
    <x v="3392"/>
    <n v="22.17"/>
    <n v="24.503"/>
    <n v="30.234000000000002"/>
    <s v="2,15,29,40"/>
    <x v="1"/>
  </r>
  <r>
    <x v="8"/>
    <x v="4"/>
    <x v="6"/>
    <x v="21"/>
    <s v="NOR"/>
    <x v="3"/>
    <x v="0"/>
    <x v="17"/>
    <n v="0"/>
    <x v="1"/>
    <x v="21"/>
    <x v="22"/>
    <n v="75.844999999999999"/>
    <x v="3393"/>
    <n v="21.619"/>
    <n v="24.105"/>
    <n v="29.969000000000001"/>
    <s v="2,15"/>
    <x v="1"/>
  </r>
  <r>
    <x v="8"/>
    <x v="4"/>
    <x v="6"/>
    <x v="24"/>
    <s v="RUS"/>
    <x v="1"/>
    <x v="1"/>
    <x v="18"/>
    <n v="0"/>
    <x v="1"/>
    <x v="21"/>
    <x v="57"/>
    <n v="75.477000000000004"/>
    <x v="3394"/>
    <n v="21.483000000000001"/>
    <n v="23.952999999999999"/>
    <n v="29.727"/>
    <m/>
    <x v="1"/>
  </r>
  <r>
    <x v="8"/>
    <x v="4"/>
    <x v="6"/>
    <x v="4"/>
    <s v="ALO"/>
    <x v="13"/>
    <x v="19"/>
    <x v="19"/>
    <n v="0"/>
    <x v="1"/>
    <x v="21"/>
    <x v="2"/>
    <n v="79.635000000000005"/>
    <x v="3395"/>
    <n v="22.698"/>
    <n v="25.222000000000001"/>
    <n v="30.957999999999998"/>
    <s v="20,24"/>
    <x v="1"/>
  </r>
  <r>
    <x v="8"/>
    <x v="4"/>
    <x v="6"/>
    <x v="22"/>
    <s v="ALB"/>
    <x v="7"/>
    <x v="12"/>
    <x v="21"/>
    <n v="0"/>
    <x v="1"/>
    <x v="21"/>
    <x v="37"/>
    <n v="77.221000000000004"/>
    <x v="3396"/>
    <n v="21.978999999999999"/>
    <n v="24.649000000000001"/>
    <n v="30.593"/>
    <m/>
    <x v="1"/>
  </r>
  <r>
    <x v="8"/>
    <x v="4"/>
    <x v="6"/>
    <x v="44"/>
    <s v="LIN"/>
    <x v="18"/>
    <x v="9"/>
    <x v="22"/>
    <n v="0"/>
    <x v="1"/>
    <x v="53"/>
    <x v="68"/>
    <m/>
    <x v="19"/>
    <m/>
    <m/>
    <m/>
    <m/>
    <x v="1"/>
  </r>
  <r>
    <x v="8"/>
    <x v="5"/>
    <x v="5"/>
    <x v="43"/>
    <s v="ANT"/>
    <x v="1"/>
    <x v="1"/>
    <x v="0"/>
    <n v="25"/>
    <x v="0"/>
    <x v="0"/>
    <x v="24"/>
    <n v="73.480999999999995"/>
    <x v="3397"/>
    <n v="19.379000000000001"/>
    <n v="34.566000000000003"/>
    <n v="19.536000000000001"/>
    <s v="37,61,66,68"/>
    <x v="1"/>
  </r>
  <r>
    <x v="8"/>
    <x v="5"/>
    <x v="5"/>
    <x v="1"/>
    <s v="HAM"/>
    <x v="0"/>
    <x v="0"/>
    <x v="1"/>
    <n v="18"/>
    <x v="0"/>
    <x v="0"/>
    <x v="24"/>
    <n v="74.643000000000001"/>
    <x v="3398"/>
    <n v="19.879000000000001"/>
    <n v="35.003999999999998"/>
    <n v="19.734999999999999"/>
    <s v="28,60,61,66,68"/>
    <x v="1"/>
  </r>
  <r>
    <x v="8"/>
    <x v="5"/>
    <x v="5"/>
    <x v="42"/>
    <s v="HAD"/>
    <x v="2"/>
    <x v="16"/>
    <x v="2"/>
    <n v="15"/>
    <x v="0"/>
    <x v="0"/>
    <x v="24"/>
    <n v="75.668999999999997"/>
    <x v="3399"/>
    <n v="19.91"/>
    <n v="35.578000000000003"/>
    <n v="20.11"/>
    <s v="32,60,66,68"/>
    <x v="1"/>
  </r>
  <r>
    <x v="8"/>
    <x v="5"/>
    <x v="5"/>
    <x v="35"/>
    <s v="PIA"/>
    <x v="3"/>
    <x v="6"/>
    <x v="3"/>
    <n v="12"/>
    <x v="1"/>
    <x v="0"/>
    <x v="24"/>
    <n v="75.816000000000003"/>
    <x v="3400"/>
    <n v="19.978999999999999"/>
    <n v="35.531999999999996"/>
    <n v="20.204999999999998"/>
    <s v="48,59,60,66,68"/>
    <x v="1"/>
  </r>
  <r>
    <x v="8"/>
    <x v="5"/>
    <x v="5"/>
    <x v="36"/>
    <s v="LAW"/>
    <x v="18"/>
    <x v="4"/>
    <x v="4"/>
    <n v="10"/>
    <x v="1"/>
    <x v="0"/>
    <x v="24"/>
    <n v="75.754000000000005"/>
    <x v="3401"/>
    <n v="20.030999999999999"/>
    <n v="35.664999999999999"/>
    <n v="20.042000000000002"/>
    <s v="44,60,66,68"/>
    <x v="1"/>
  </r>
  <r>
    <x v="8"/>
    <x v="5"/>
    <x v="5"/>
    <x v="44"/>
    <s v="LIN"/>
    <x v="18"/>
    <x v="7"/>
    <x v="5"/>
    <n v="8"/>
    <x v="1"/>
    <x v="0"/>
    <x v="24"/>
    <n v="75.908000000000001"/>
    <x v="3402"/>
    <n v="19.972999999999999"/>
    <n v="35.773000000000003"/>
    <n v="20.094000000000001"/>
    <s v="59,65,67,68"/>
    <x v="1"/>
  </r>
  <r>
    <x v="8"/>
    <x v="5"/>
    <x v="5"/>
    <x v="17"/>
    <s v="GAS"/>
    <x v="14"/>
    <x v="9"/>
    <x v="6"/>
    <n v="6"/>
    <x v="1"/>
    <x v="0"/>
    <x v="24"/>
    <n v="75.497"/>
    <x v="3403"/>
    <n v="19.791"/>
    <n v="35.426000000000002"/>
    <n v="20.138999999999999"/>
    <s v="45,60,66,68"/>
    <x v="1"/>
  </r>
  <r>
    <x v="8"/>
    <x v="5"/>
    <x v="5"/>
    <x v="22"/>
    <s v="ALB"/>
    <x v="7"/>
    <x v="8"/>
    <x v="7"/>
    <n v="4"/>
    <x v="1"/>
    <x v="0"/>
    <x v="24"/>
    <n v="76.393000000000001"/>
    <x v="3404"/>
    <n v="20.241"/>
    <n v="35.795000000000002"/>
    <n v="20.225999999999999"/>
    <s v="43,59,65,67,68"/>
    <x v="1"/>
  </r>
  <r>
    <x v="8"/>
    <x v="5"/>
    <x v="5"/>
    <x v="11"/>
    <s v="OCO"/>
    <x v="9"/>
    <x v="18"/>
    <x v="8"/>
    <n v="2"/>
    <x v="1"/>
    <x v="0"/>
    <x v="24"/>
    <n v="76.914000000000001"/>
    <x v="3405"/>
    <n v="20.303000000000001"/>
    <n v="36.15"/>
    <n v="20.274999999999999"/>
    <s v="9,59,65,67,68"/>
    <x v="1"/>
  </r>
  <r>
    <x v="8"/>
    <x v="5"/>
    <x v="5"/>
    <x v="4"/>
    <s v="ALO"/>
    <x v="13"/>
    <x v="22"/>
    <x v="9"/>
    <n v="1"/>
    <x v="1"/>
    <x v="0"/>
    <x v="24"/>
    <n v="77.12"/>
    <x v="3406"/>
    <n v="20.291"/>
    <n v="36.347999999999999"/>
    <n v="20.427"/>
    <s v="3,58,59,65,67,68"/>
    <x v="1"/>
  </r>
  <r>
    <x v="8"/>
    <x v="5"/>
    <x v="5"/>
    <x v="41"/>
    <s v="BOR"/>
    <x v="19"/>
    <x v="14"/>
    <x v="10"/>
    <n v="0"/>
    <x v="1"/>
    <x v="0"/>
    <x v="24"/>
    <n v="76.802999999999997"/>
    <x v="3407"/>
    <n v="20.126999999999999"/>
    <n v="35.981999999999999"/>
    <n v="20.507000000000001"/>
    <s v="1,43,58,59,65,67,68"/>
    <x v="1"/>
  </r>
  <r>
    <x v="8"/>
    <x v="5"/>
    <x v="5"/>
    <x v="24"/>
    <s v="RUS"/>
    <x v="1"/>
    <x v="15"/>
    <x v="11"/>
    <n v="0"/>
    <x v="1"/>
    <x v="0"/>
    <x v="24"/>
    <n v="75.772999999999996"/>
    <x v="3408"/>
    <n v="19.77"/>
    <n v="35.728999999999999"/>
    <n v="20.209"/>
    <s v="31,60,66,68,72"/>
    <x v="1"/>
  </r>
  <r>
    <x v="8"/>
    <x v="5"/>
    <x v="5"/>
    <x v="6"/>
    <s v="HUL"/>
    <x v="19"/>
    <x v="13"/>
    <x v="12"/>
    <n v="0"/>
    <x v="1"/>
    <x v="0"/>
    <x v="24"/>
    <n v="76.331999999999994"/>
    <x v="3409"/>
    <n v="20.077999999999999"/>
    <n v="35.792999999999999"/>
    <n v="20.224"/>
    <s v="12,58,59,65,67,68"/>
    <x v="1"/>
  </r>
  <r>
    <x v="8"/>
    <x v="5"/>
    <x v="5"/>
    <x v="38"/>
    <s v="COL"/>
    <x v="14"/>
    <x v="11"/>
    <x v="13"/>
    <n v="0"/>
    <x v="1"/>
    <x v="0"/>
    <x v="24"/>
    <n v="76.316000000000003"/>
    <x v="3410"/>
    <n v="19.981999999999999"/>
    <n v="35.9"/>
    <n v="20.068999999999999"/>
    <s v="35,59,65,67,68"/>
    <x v="1"/>
  </r>
  <r>
    <x v="8"/>
    <x v="5"/>
    <x v="5"/>
    <x v="10"/>
    <s v="PER"/>
    <x v="20"/>
    <x v="12"/>
    <x v="14"/>
    <n v="0"/>
    <x v="1"/>
    <x v="0"/>
    <x v="24"/>
    <n v="76.891000000000005"/>
    <x v="3411"/>
    <n v="20.343"/>
    <n v="35.918999999999997"/>
    <n v="20.454000000000001"/>
    <s v="4,9,59,65,67,68"/>
    <x v="1"/>
  </r>
  <r>
    <x v="8"/>
    <x v="5"/>
    <x v="5"/>
    <x v="9"/>
    <s v="SAI"/>
    <x v="7"/>
    <x v="10"/>
    <x v="15"/>
    <n v="0"/>
    <x v="1"/>
    <x v="21"/>
    <x v="27"/>
    <n v="78.022000000000006"/>
    <x v="3412"/>
    <n v="20.326000000000001"/>
    <n v="36.646999999999998"/>
    <n v="20.760999999999999"/>
    <s v="52,59,65,67,68"/>
    <x v="1"/>
  </r>
  <r>
    <x v="8"/>
    <x v="5"/>
    <x v="5"/>
    <x v="12"/>
    <s v="LEC"/>
    <x v="0"/>
    <x v="5"/>
    <x v="16"/>
    <n v="0"/>
    <x v="1"/>
    <x v="21"/>
    <x v="18"/>
    <n v="75.963999999999999"/>
    <x v="3413"/>
    <n v="19.934000000000001"/>
    <n v="35.826999999999998"/>
    <n v="20.137"/>
    <s v="35,60,61"/>
    <x v="1"/>
  </r>
  <r>
    <x v="8"/>
    <x v="5"/>
    <x v="5"/>
    <x v="13"/>
    <s v="STR"/>
    <x v="13"/>
    <x v="23"/>
    <x v="17"/>
    <n v="0"/>
    <x v="1"/>
    <x v="21"/>
    <x v="1"/>
    <n v="78.844999999999999"/>
    <x v="3414"/>
    <n v="20.629000000000001"/>
    <n v="36.363"/>
    <n v="20.93"/>
    <n v="4"/>
    <x v="1"/>
  </r>
  <r>
    <x v="8"/>
    <x v="5"/>
    <x v="5"/>
    <x v="21"/>
    <s v="NOR"/>
    <x v="3"/>
    <x v="3"/>
    <x v="18"/>
    <n v="0"/>
    <x v="1"/>
    <x v="21"/>
    <x v="44"/>
    <n v="77.67"/>
    <x v="3415"/>
    <n v="20.317"/>
    <n v="36.378999999999998"/>
    <n v="20.635999999999999"/>
    <n v="44"/>
    <x v="1"/>
  </r>
  <r>
    <x v="8"/>
    <x v="5"/>
    <x v="5"/>
    <x v="37"/>
    <s v="BEA"/>
    <x v="9"/>
    <x v="19"/>
    <x v="19"/>
    <n v="0"/>
    <x v="1"/>
    <x v="21"/>
    <x v="34"/>
    <n v="78.474999999999994"/>
    <x v="3416"/>
    <n v="20.669"/>
    <n v="36.585000000000001"/>
    <n v="20.864999999999998"/>
    <s v="1,28"/>
    <x v="1"/>
  </r>
  <r>
    <x v="8"/>
    <x v="5"/>
    <x v="5"/>
    <x v="7"/>
    <s v="BOT"/>
    <x v="20"/>
    <x v="17"/>
    <x v="21"/>
    <n v="0"/>
    <x v="1"/>
    <x v="21"/>
    <x v="59"/>
    <n v="80.494"/>
    <x v="3417"/>
    <n v="21.202000000000002"/>
    <n v="37.603999999999999"/>
    <n v="21.16"/>
    <s v="1,16"/>
    <x v="1"/>
  </r>
  <r>
    <x v="8"/>
    <x v="5"/>
    <x v="5"/>
    <x v="5"/>
    <s v="VER"/>
    <x v="2"/>
    <x v="2"/>
    <x v="22"/>
    <n v="0"/>
    <x v="1"/>
    <x v="21"/>
    <x v="16"/>
    <m/>
    <x v="19"/>
    <m/>
    <m/>
    <m/>
    <m/>
    <x v="1"/>
  </r>
  <r>
    <x v="8"/>
    <x v="6"/>
    <x v="36"/>
    <x v="1"/>
    <s v="HAM"/>
    <x v="0"/>
    <x v="2"/>
    <x v="0"/>
    <n v="25"/>
    <x v="0"/>
    <x v="0"/>
    <x v="17"/>
    <n v="80.122"/>
    <x v="3418"/>
    <n v="23.385000000000002"/>
    <n v="32.201000000000001"/>
    <n v="24.28"/>
    <s v="11,27,41"/>
    <x v="1"/>
  </r>
  <r>
    <x v="8"/>
    <x v="6"/>
    <x v="36"/>
    <x v="24"/>
    <s v="RUS"/>
    <x v="1"/>
    <x v="1"/>
    <x v="1"/>
    <n v="18"/>
    <x v="0"/>
    <x v="0"/>
    <x v="17"/>
    <n v="80.64"/>
    <x v="3419"/>
    <n v="23.420999999999999"/>
    <n v="32.616"/>
    <n v="24.402999999999999"/>
    <s v="12,36"/>
    <x v="1"/>
  </r>
  <r>
    <x v="8"/>
    <x v="6"/>
    <x v="36"/>
    <x v="21"/>
    <s v="NOR"/>
    <x v="3"/>
    <x v="5"/>
    <x v="2"/>
    <n v="15"/>
    <x v="0"/>
    <x v="0"/>
    <x v="17"/>
    <n v="80.231999999999999"/>
    <x v="3420"/>
    <n v="23.47"/>
    <n v="32.468000000000004"/>
    <n v="24.221"/>
    <s v="13,35"/>
    <x v="1"/>
  </r>
  <r>
    <x v="8"/>
    <x v="6"/>
    <x v="36"/>
    <x v="5"/>
    <s v="VER"/>
    <x v="2"/>
    <x v="16"/>
    <x v="3"/>
    <n v="12"/>
    <x v="1"/>
    <x v="0"/>
    <x v="17"/>
    <n v="80.23"/>
    <x v="3421"/>
    <n v="23.363"/>
    <n v="32.542000000000002"/>
    <n v="24.315999999999999"/>
    <s v="12,29,40"/>
    <x v="1"/>
  </r>
  <r>
    <x v="8"/>
    <x v="6"/>
    <x v="36"/>
    <x v="35"/>
    <s v="PIA"/>
    <x v="3"/>
    <x v="6"/>
    <x v="4"/>
    <n v="10"/>
    <x v="1"/>
    <x v="0"/>
    <x v="17"/>
    <n v="80.834999999999994"/>
    <x v="3422"/>
    <n v="23.591999999999999"/>
    <n v="32.704000000000001"/>
    <n v="24.49"/>
    <s v="14,36"/>
    <x v="1"/>
  </r>
  <r>
    <x v="8"/>
    <x v="6"/>
    <x v="36"/>
    <x v="42"/>
    <s v="HAD"/>
    <x v="2"/>
    <x v="15"/>
    <x v="5"/>
    <n v="8"/>
    <x v="1"/>
    <x v="52"/>
    <x v="18"/>
    <n v="80.150000000000006"/>
    <x v="3423"/>
    <n v="23.268999999999998"/>
    <n v="32.229999999999997"/>
    <n v="24.651"/>
    <s v="15,32,58"/>
    <x v="1"/>
  </r>
  <r>
    <x v="8"/>
    <x v="6"/>
    <x v="36"/>
    <x v="17"/>
    <s v="GAS"/>
    <x v="14"/>
    <x v="11"/>
    <x v="6"/>
    <n v="6"/>
    <x v="1"/>
    <x v="52"/>
    <x v="18"/>
    <n v="81.707999999999998"/>
    <x v="3424"/>
    <n v="23.728000000000002"/>
    <n v="33.155000000000001"/>
    <n v="24.824999999999999"/>
    <s v="14,40"/>
    <x v="1"/>
  </r>
  <r>
    <x v="8"/>
    <x v="6"/>
    <x v="36"/>
    <x v="36"/>
    <s v="LAW"/>
    <x v="18"/>
    <x v="3"/>
    <x v="7"/>
    <n v="4"/>
    <x v="1"/>
    <x v="52"/>
    <x v="18"/>
    <n v="82.691000000000003"/>
    <x v="3425"/>
    <n v="23.908000000000001"/>
    <n v="33.475000000000001"/>
    <n v="25.111999999999998"/>
    <s v="11,35"/>
    <x v="1"/>
  </r>
  <r>
    <x v="8"/>
    <x v="6"/>
    <x v="36"/>
    <x v="44"/>
    <s v="LIN"/>
    <x v="18"/>
    <x v="8"/>
    <x v="8"/>
    <n v="2"/>
    <x v="1"/>
    <x v="52"/>
    <x v="18"/>
    <n v="81.914000000000001"/>
    <x v="3426"/>
    <n v="23.617999999999999"/>
    <n v="33.250999999999998"/>
    <n v="25.045000000000002"/>
    <s v="22,37"/>
    <x v="1"/>
  </r>
  <r>
    <x v="8"/>
    <x v="6"/>
    <x v="36"/>
    <x v="38"/>
    <s v="COL"/>
    <x v="14"/>
    <x v="13"/>
    <x v="9"/>
    <n v="1"/>
    <x v="1"/>
    <x v="52"/>
    <x v="18"/>
    <n v="82.448999999999998"/>
    <x v="3427"/>
    <n v="23.847999999999999"/>
    <n v="33.622"/>
    <n v="24.847000000000001"/>
    <s v="12,34"/>
    <x v="1"/>
  </r>
  <r>
    <x v="8"/>
    <x v="6"/>
    <x v="36"/>
    <x v="41"/>
    <s v="BOR"/>
    <x v="19"/>
    <x v="10"/>
    <x v="10"/>
    <n v="0"/>
    <x v="1"/>
    <x v="52"/>
    <x v="19"/>
    <n v="81.445999999999998"/>
    <x v="3428"/>
    <n v="23.631"/>
    <n v="32.875"/>
    <n v="24.771000000000001"/>
    <s v="15,33,53"/>
    <x v="1"/>
  </r>
  <r>
    <x v="8"/>
    <x v="6"/>
    <x v="36"/>
    <x v="9"/>
    <s v="SAI"/>
    <x v="7"/>
    <x v="14"/>
    <x v="11"/>
    <n v="0"/>
    <x v="1"/>
    <x v="52"/>
    <x v="19"/>
    <n v="82.061000000000007"/>
    <x v="3429"/>
    <n v="23.733000000000001"/>
    <n v="33.427"/>
    <n v="24.783999999999999"/>
    <s v="14,30,55"/>
    <x v="1"/>
  </r>
  <r>
    <x v="8"/>
    <x v="6"/>
    <x v="36"/>
    <x v="11"/>
    <s v="OCO"/>
    <x v="9"/>
    <x v="18"/>
    <x v="12"/>
    <n v="0"/>
    <x v="1"/>
    <x v="52"/>
    <x v="19"/>
    <n v="81.643000000000001"/>
    <x v="3430"/>
    <n v="23.622"/>
    <n v="33.078000000000003"/>
    <n v="24.943000000000001"/>
    <s v="13,34,58"/>
    <x v="1"/>
  </r>
  <r>
    <x v="8"/>
    <x v="6"/>
    <x v="36"/>
    <x v="10"/>
    <s v="PER"/>
    <x v="20"/>
    <x v="19"/>
    <x v="13"/>
    <n v="0"/>
    <x v="1"/>
    <x v="52"/>
    <x v="20"/>
    <n v="82.82"/>
    <x v="3431"/>
    <n v="24.108000000000001"/>
    <n v="33.473999999999997"/>
    <n v="25.021000000000001"/>
    <s v="12,31,39"/>
    <x v="1"/>
  </r>
  <r>
    <x v="8"/>
    <x v="6"/>
    <x v="36"/>
    <x v="12"/>
    <s v="LEC"/>
    <x v="0"/>
    <x v="4"/>
    <x v="14"/>
    <n v="0"/>
    <x v="1"/>
    <x v="21"/>
    <x v="52"/>
    <n v="80.379000000000005"/>
    <x v="3432"/>
    <n v="23.407"/>
    <n v="32.526000000000003"/>
    <n v="24.367999999999999"/>
    <s v="16,39,62"/>
    <x v="1"/>
  </r>
  <r>
    <x v="8"/>
    <x v="6"/>
    <x v="36"/>
    <x v="43"/>
    <s v="ANT"/>
    <x v="1"/>
    <x v="0"/>
    <x v="15"/>
    <n v="0"/>
    <x v="1"/>
    <x v="21"/>
    <x v="52"/>
    <n v="80.703999999999994"/>
    <x v="3433"/>
    <n v="23.536000000000001"/>
    <n v="32.853000000000002"/>
    <n v="24.218"/>
    <s v="14,37"/>
    <x v="1"/>
  </r>
  <r>
    <x v="8"/>
    <x v="6"/>
    <x v="36"/>
    <x v="37"/>
    <s v="BEA"/>
    <x v="9"/>
    <x v="7"/>
    <x v="16"/>
    <n v="0"/>
    <x v="1"/>
    <x v="21"/>
    <x v="47"/>
    <n v="82.418999999999997"/>
    <x v="3434"/>
    <n v="23.934999999999999"/>
    <n v="33.338000000000001"/>
    <n v="25.026"/>
    <s v="18,39,60"/>
    <x v="1"/>
  </r>
  <r>
    <x v="8"/>
    <x v="6"/>
    <x v="36"/>
    <x v="22"/>
    <s v="ALB"/>
    <x v="7"/>
    <x v="12"/>
    <x v="17"/>
    <n v="0"/>
    <x v="1"/>
    <x v="52"/>
    <x v="35"/>
    <n v="81.744"/>
    <x v="3435"/>
    <n v="23.861000000000001"/>
    <n v="33.042999999999999"/>
    <n v="24.84"/>
    <s v="13,29,34,50"/>
    <x v="1"/>
  </r>
  <r>
    <x v="8"/>
    <x v="6"/>
    <x v="36"/>
    <x v="4"/>
    <s v="ALO"/>
    <x v="13"/>
    <x v="23"/>
    <x v="18"/>
    <n v="0"/>
    <x v="1"/>
    <x v="21"/>
    <x v="39"/>
    <n v="85.366"/>
    <x v="3436"/>
    <n v="24.744"/>
    <n v="34.5"/>
    <n v="25.956"/>
    <n v="21"/>
    <x v="1"/>
  </r>
  <r>
    <x v="8"/>
    <x v="6"/>
    <x v="36"/>
    <x v="6"/>
    <s v="HUL"/>
    <x v="19"/>
    <x v="9"/>
    <x v="19"/>
    <n v="0"/>
    <x v="1"/>
    <x v="21"/>
    <x v="53"/>
    <n v="83.447000000000003"/>
    <x v="3437"/>
    <n v="23.838999999999999"/>
    <n v="34.058"/>
    <n v="25.065000000000001"/>
    <s v="13,29"/>
    <x v="1"/>
  </r>
  <r>
    <x v="8"/>
    <x v="6"/>
    <x v="36"/>
    <x v="7"/>
    <s v="BOT"/>
    <x v="20"/>
    <x v="17"/>
    <x v="21"/>
    <n v="0"/>
    <x v="1"/>
    <x v="21"/>
    <x v="67"/>
    <n v="85.745000000000005"/>
    <x v="3438"/>
    <n v="24.567"/>
    <n v="35.015999999999998"/>
    <n v="26.006"/>
    <s v="14,15"/>
    <x v="1"/>
  </r>
  <r>
    <x v="8"/>
    <x v="6"/>
    <x v="36"/>
    <x v="13"/>
    <s v="STR"/>
    <x v="13"/>
    <x v="22"/>
    <x v="22"/>
    <n v="0"/>
    <x v="1"/>
    <x v="21"/>
    <x v="6"/>
    <n v="85.903999999999996"/>
    <x v="3439"/>
    <n v="24.632000000000001"/>
    <n v="35.081000000000003"/>
    <n v="26.029"/>
    <n v="5"/>
    <x v="1"/>
  </r>
  <r>
    <x v="8"/>
    <x v="7"/>
    <x v="8"/>
    <x v="24"/>
    <s v="RUS"/>
    <x v="1"/>
    <x v="1"/>
    <x v="0"/>
    <n v="25"/>
    <x v="0"/>
    <x v="0"/>
    <x v="27"/>
    <n v="70.683000000000007"/>
    <x v="3440"/>
    <n v="17.113"/>
    <n v="31.759"/>
    <n v="21.693999999999999"/>
    <s v="19,43"/>
    <x v="1"/>
  </r>
  <r>
    <x v="8"/>
    <x v="7"/>
    <x v="8"/>
    <x v="5"/>
    <s v="VER"/>
    <x v="2"/>
    <x v="16"/>
    <x v="1"/>
    <n v="18"/>
    <x v="0"/>
    <x v="0"/>
    <x v="27"/>
    <n v="70.483000000000004"/>
    <x v="3441"/>
    <n v="17.138999999999999"/>
    <n v="31.608000000000001"/>
    <n v="21.57"/>
    <s v="18,49"/>
    <x v="1"/>
  </r>
  <r>
    <x v="8"/>
    <x v="7"/>
    <x v="8"/>
    <x v="43"/>
    <s v="ANT"/>
    <x v="1"/>
    <x v="5"/>
    <x v="2"/>
    <n v="15"/>
    <x v="0"/>
    <x v="0"/>
    <x v="27"/>
    <n v="70.373999999999995"/>
    <x v="3442"/>
    <n v="17.009"/>
    <n v="31.568999999999999"/>
    <n v="21.574999999999999"/>
    <s v="24,51"/>
    <x v="1"/>
  </r>
  <r>
    <x v="8"/>
    <x v="7"/>
    <x v="8"/>
    <x v="35"/>
    <s v="PIA"/>
    <x v="3"/>
    <x v="6"/>
    <x v="3"/>
    <n v="12"/>
    <x v="1"/>
    <x v="0"/>
    <x v="27"/>
    <n v="70.594999999999999"/>
    <x v="3443"/>
    <n v="17.085000000000001"/>
    <n v="31.733000000000001"/>
    <n v="21.66"/>
    <s v="19,42"/>
    <x v="1"/>
  </r>
  <r>
    <x v="8"/>
    <x v="7"/>
    <x v="8"/>
    <x v="1"/>
    <s v="HAM"/>
    <x v="0"/>
    <x v="0"/>
    <x v="4"/>
    <n v="10"/>
    <x v="1"/>
    <x v="0"/>
    <x v="27"/>
    <n v="70.945999999999998"/>
    <x v="3444"/>
    <n v="17.106000000000002"/>
    <n v="31.852"/>
    <n v="21.786999999999999"/>
    <s v="12,25,42"/>
    <x v="1"/>
  </r>
  <r>
    <x v="8"/>
    <x v="7"/>
    <x v="8"/>
    <x v="42"/>
    <s v="HAD"/>
    <x v="2"/>
    <x v="3"/>
    <x v="5"/>
    <n v="8"/>
    <x v="1"/>
    <x v="0"/>
    <x v="27"/>
    <n v="70.947000000000003"/>
    <x v="3445"/>
    <n v="16.945"/>
    <n v="31.92"/>
    <n v="21.718"/>
    <s v="18,40"/>
    <x v="1"/>
  </r>
  <r>
    <x v="8"/>
    <x v="7"/>
    <x v="8"/>
    <x v="21"/>
    <s v="NOR"/>
    <x v="3"/>
    <x v="15"/>
    <x v="6"/>
    <n v="6"/>
    <x v="1"/>
    <x v="0"/>
    <x v="27"/>
    <n v="70.652000000000001"/>
    <x v="3446"/>
    <n v="17.212"/>
    <n v="31.55"/>
    <n v="21.731999999999999"/>
    <s v="21,47"/>
    <x v="1"/>
  </r>
  <r>
    <x v="8"/>
    <x v="7"/>
    <x v="8"/>
    <x v="12"/>
    <s v="LEC"/>
    <x v="0"/>
    <x v="2"/>
    <x v="7"/>
    <n v="4"/>
    <x v="1"/>
    <x v="0"/>
    <x v="27"/>
    <n v="70.605999999999995"/>
    <x v="3447"/>
    <n v="17.14"/>
    <n v="31.681000000000001"/>
    <n v="21.527999999999999"/>
    <s v="13,37,59"/>
    <x v="1"/>
  </r>
  <r>
    <x v="8"/>
    <x v="7"/>
    <x v="8"/>
    <x v="36"/>
    <s v="LAW"/>
    <x v="18"/>
    <x v="9"/>
    <x v="8"/>
    <n v="2"/>
    <x v="1"/>
    <x v="52"/>
    <x v="29"/>
    <n v="71.546999999999997"/>
    <x v="3448"/>
    <n v="17.166"/>
    <n v="32.076000000000001"/>
    <n v="21.984000000000002"/>
    <s v="19,45"/>
    <x v="1"/>
  </r>
  <r>
    <x v="8"/>
    <x v="7"/>
    <x v="8"/>
    <x v="44"/>
    <s v="LIN"/>
    <x v="18"/>
    <x v="4"/>
    <x v="9"/>
    <n v="1"/>
    <x v="1"/>
    <x v="52"/>
    <x v="29"/>
    <n v="71.587000000000003"/>
    <x v="3449"/>
    <n v="17.146000000000001"/>
    <n v="32.295000000000002"/>
    <n v="21.969000000000001"/>
    <s v="18,46"/>
    <x v="1"/>
  </r>
  <r>
    <x v="8"/>
    <x v="7"/>
    <x v="8"/>
    <x v="41"/>
    <s v="BOR"/>
    <x v="19"/>
    <x v="10"/>
    <x v="10"/>
    <n v="0"/>
    <x v="1"/>
    <x v="52"/>
    <x v="29"/>
    <n v="71.866"/>
    <x v="3450"/>
    <n v="17.460999999999999"/>
    <n v="32.170999999999999"/>
    <n v="22.149000000000001"/>
    <s v="17,44"/>
    <x v="1"/>
  </r>
  <r>
    <x v="8"/>
    <x v="7"/>
    <x v="8"/>
    <x v="6"/>
    <s v="HUL"/>
    <x v="19"/>
    <x v="11"/>
    <x v="11"/>
    <n v="0"/>
    <x v="1"/>
    <x v="52"/>
    <x v="29"/>
    <n v="71.634"/>
    <x v="3451"/>
    <n v="17.338999999999999"/>
    <n v="32.036000000000001"/>
    <n v="22.091999999999999"/>
    <s v="21,45"/>
    <x v="1"/>
  </r>
  <r>
    <x v="8"/>
    <x v="7"/>
    <x v="8"/>
    <x v="17"/>
    <s v="GAS"/>
    <x v="14"/>
    <x v="8"/>
    <x v="12"/>
    <n v="0"/>
    <x v="1"/>
    <x v="52"/>
    <x v="29"/>
    <n v="71.465999999999994"/>
    <x v="3452"/>
    <n v="17.088999999999999"/>
    <n v="32.048999999999999"/>
    <n v="22.003"/>
    <s v="13,38,51"/>
    <x v="1"/>
  </r>
  <r>
    <x v="8"/>
    <x v="7"/>
    <x v="8"/>
    <x v="37"/>
    <s v="BEA"/>
    <x v="9"/>
    <x v="13"/>
    <x v="13"/>
    <n v="0"/>
    <x v="1"/>
    <x v="52"/>
    <x v="29"/>
    <n v="72.206999999999994"/>
    <x v="3453"/>
    <n v="17.417999999999999"/>
    <n v="32.366999999999997"/>
    <n v="22.247"/>
    <s v="24,45"/>
    <x v="1"/>
  </r>
  <r>
    <x v="8"/>
    <x v="7"/>
    <x v="8"/>
    <x v="38"/>
    <s v="COL"/>
    <x v="14"/>
    <x v="14"/>
    <x v="14"/>
    <n v="0"/>
    <x v="1"/>
    <x v="52"/>
    <x v="29"/>
    <n v="71.795000000000002"/>
    <x v="3454"/>
    <n v="17.292999999999999"/>
    <n v="32.299999999999997"/>
    <n v="22.097000000000001"/>
    <s v="20,46"/>
    <x v="1"/>
  </r>
  <r>
    <x v="8"/>
    <x v="7"/>
    <x v="8"/>
    <x v="11"/>
    <s v="OCO"/>
    <x v="9"/>
    <x v="7"/>
    <x v="15"/>
    <n v="0"/>
    <x v="1"/>
    <x v="52"/>
    <x v="30"/>
    <n v="72.978999999999999"/>
    <x v="3455"/>
    <n v="17.533999999999999"/>
    <n v="32.664000000000001"/>
    <n v="22.622"/>
    <s v="18,33"/>
    <x v="1"/>
  </r>
  <r>
    <x v="8"/>
    <x v="7"/>
    <x v="8"/>
    <x v="22"/>
    <s v="ALB"/>
    <x v="7"/>
    <x v="12"/>
    <x v="16"/>
    <n v="0"/>
    <x v="1"/>
    <x v="52"/>
    <x v="30"/>
    <n v="73.137"/>
    <x v="3456"/>
    <n v="17.524000000000001"/>
    <n v="32.722000000000001"/>
    <n v="22.672000000000001"/>
    <s v="18,37"/>
    <x v="1"/>
  </r>
  <r>
    <x v="8"/>
    <x v="7"/>
    <x v="8"/>
    <x v="4"/>
    <s v="ALO"/>
    <x v="13"/>
    <x v="22"/>
    <x v="17"/>
    <n v="0"/>
    <x v="1"/>
    <x v="52"/>
    <x v="31"/>
    <n v="72.501000000000005"/>
    <x v="3457"/>
    <n v="17.427"/>
    <n v="32.695999999999998"/>
    <n v="22.378"/>
    <s v="24,49"/>
    <x v="1"/>
  </r>
  <r>
    <x v="8"/>
    <x v="7"/>
    <x v="8"/>
    <x v="13"/>
    <s v="STR"/>
    <x v="13"/>
    <x v="23"/>
    <x v="18"/>
    <n v="0"/>
    <x v="1"/>
    <x v="21"/>
    <x v="55"/>
    <n v="73.796000000000006"/>
    <x v="3458"/>
    <n v="17.673999999999999"/>
    <n v="33.012"/>
    <n v="22.879000000000001"/>
    <s v="24,45"/>
    <x v="1"/>
  </r>
  <r>
    <x v="8"/>
    <x v="7"/>
    <x v="8"/>
    <x v="9"/>
    <s v="SAI"/>
    <x v="7"/>
    <x v="18"/>
    <x v="19"/>
    <n v="0"/>
    <x v="1"/>
    <x v="21"/>
    <x v="2"/>
    <n v="73.694000000000003"/>
    <x v="3459"/>
    <n v="17.579000000000001"/>
    <n v="32.906999999999996"/>
    <n v="22.978000000000002"/>
    <n v="14"/>
    <x v="1"/>
  </r>
  <r>
    <x v="8"/>
    <x v="7"/>
    <x v="8"/>
    <x v="10"/>
    <s v="PER"/>
    <x v="20"/>
    <x v="19"/>
    <x v="21"/>
    <n v="0"/>
    <x v="1"/>
    <x v="21"/>
    <x v="9"/>
    <n v="74.447999999999993"/>
    <x v="3460"/>
    <n v="17.579000000000001"/>
    <n v="33.468000000000004"/>
    <n v="23.401"/>
    <n v="4"/>
    <x v="1"/>
  </r>
  <r>
    <x v="8"/>
    <x v="7"/>
    <x v="8"/>
    <x v="7"/>
    <s v="BOT"/>
    <x v="20"/>
    <x v="17"/>
    <x v="22"/>
    <n v="0"/>
    <x v="1"/>
    <x v="21"/>
    <x v="10"/>
    <m/>
    <x v="19"/>
    <m/>
    <m/>
    <m/>
    <n v="2"/>
    <x v="1"/>
  </r>
  <r>
    <x v="8"/>
    <x v="8"/>
    <x v="9"/>
    <x v="12"/>
    <s v="LEC"/>
    <x v="0"/>
    <x v="2"/>
    <x v="0"/>
    <n v="25"/>
    <x v="0"/>
    <x v="0"/>
    <x v="33"/>
    <n v="92.870999999999995"/>
    <x v="3461"/>
    <n v="28.981000000000002"/>
    <n v="37.637"/>
    <n v="25.268000000000001"/>
    <s v="25,48"/>
    <x v="1"/>
  </r>
  <r>
    <x v="8"/>
    <x v="8"/>
    <x v="9"/>
    <x v="24"/>
    <s v="RUS"/>
    <x v="1"/>
    <x v="5"/>
    <x v="1"/>
    <n v="18"/>
    <x v="0"/>
    <x v="0"/>
    <x v="33"/>
    <n v="92.489000000000004"/>
    <x v="3462"/>
    <n v="29.544"/>
    <n v="37.277000000000001"/>
    <n v="25.334"/>
    <s v="23,34"/>
    <x v="1"/>
  </r>
  <r>
    <x v="8"/>
    <x v="8"/>
    <x v="9"/>
    <x v="1"/>
    <s v="HAM"/>
    <x v="0"/>
    <x v="0"/>
    <x v="2"/>
    <n v="15"/>
    <x v="0"/>
    <x v="0"/>
    <x v="33"/>
    <n v="92.308999999999997"/>
    <x v="3463"/>
    <n v="28.966999999999999"/>
    <n v="37.734999999999999"/>
    <n v="25.282"/>
    <s v="23,48"/>
    <x v="1"/>
  </r>
  <r>
    <x v="8"/>
    <x v="8"/>
    <x v="9"/>
    <x v="21"/>
    <s v="NOR"/>
    <x v="3"/>
    <x v="15"/>
    <x v="3"/>
    <n v="12"/>
    <x v="1"/>
    <x v="0"/>
    <x v="33"/>
    <n v="92.625"/>
    <x v="3464"/>
    <n v="29.542000000000002"/>
    <n v="37.49"/>
    <n v="25.532"/>
    <s v="28,38,48"/>
    <x v="1"/>
  </r>
  <r>
    <x v="8"/>
    <x v="8"/>
    <x v="9"/>
    <x v="42"/>
    <s v="HAD"/>
    <x v="2"/>
    <x v="16"/>
    <x v="4"/>
    <n v="10"/>
    <x v="1"/>
    <x v="0"/>
    <x v="33"/>
    <n v="92.268000000000001"/>
    <x v="3465"/>
    <n v="29.516999999999999"/>
    <n v="37.380000000000003"/>
    <n v="25.370999999999999"/>
    <s v="19,38,47"/>
    <x v="1"/>
  </r>
  <r>
    <x v="8"/>
    <x v="8"/>
    <x v="9"/>
    <x v="36"/>
    <s v="LAW"/>
    <x v="18"/>
    <x v="4"/>
    <x v="5"/>
    <n v="8"/>
    <x v="1"/>
    <x v="0"/>
    <x v="33"/>
    <n v="93.647999999999996"/>
    <x v="3466"/>
    <n v="29.629000000000001"/>
    <n v="38.238999999999997"/>
    <n v="25.652000000000001"/>
    <s v="28,47"/>
    <x v="1"/>
  </r>
  <r>
    <x v="8"/>
    <x v="8"/>
    <x v="9"/>
    <x v="44"/>
    <s v="LIN"/>
    <x v="18"/>
    <x v="9"/>
    <x v="6"/>
    <n v="6"/>
    <x v="1"/>
    <x v="0"/>
    <x v="33"/>
    <n v="93.632000000000005"/>
    <x v="3467"/>
    <n v="29.611000000000001"/>
    <n v="38.237000000000002"/>
    <n v="25.52"/>
    <s v="27,47"/>
    <x v="1"/>
  </r>
  <r>
    <x v="8"/>
    <x v="8"/>
    <x v="9"/>
    <x v="41"/>
    <s v="BOR"/>
    <x v="19"/>
    <x v="8"/>
    <x v="7"/>
    <n v="4"/>
    <x v="1"/>
    <x v="0"/>
    <x v="33"/>
    <n v="93.65"/>
    <x v="3468"/>
    <n v="29.731000000000002"/>
    <n v="38.063000000000002"/>
    <n v="25.806999999999999"/>
    <s v="26,47"/>
    <x v="1"/>
  </r>
  <r>
    <x v="8"/>
    <x v="8"/>
    <x v="9"/>
    <x v="38"/>
    <s v="COL"/>
    <x v="14"/>
    <x v="19"/>
    <x v="8"/>
    <n v="2"/>
    <x v="1"/>
    <x v="0"/>
    <x v="33"/>
    <n v="94.281000000000006"/>
    <x v="3469"/>
    <n v="29.79"/>
    <n v="38.442"/>
    <n v="26.021999999999998"/>
    <s v="22,47"/>
    <x v="1"/>
  </r>
  <r>
    <x v="8"/>
    <x v="8"/>
    <x v="9"/>
    <x v="17"/>
    <s v="GAS"/>
    <x v="14"/>
    <x v="7"/>
    <x v="9"/>
    <n v="1"/>
    <x v="1"/>
    <x v="0"/>
    <x v="33"/>
    <n v="94.179000000000002"/>
    <x v="3470"/>
    <n v="29.798999999999999"/>
    <n v="38.200000000000003"/>
    <n v="25.849"/>
    <s v="23,48"/>
    <x v="1"/>
  </r>
  <r>
    <x v="8"/>
    <x v="8"/>
    <x v="9"/>
    <x v="35"/>
    <s v="PIA"/>
    <x v="3"/>
    <x v="3"/>
    <x v="10"/>
    <n v="0"/>
    <x v="1"/>
    <x v="0"/>
    <x v="33"/>
    <n v="92.917000000000002"/>
    <x v="3471"/>
    <n v="29.221"/>
    <n v="37.616999999999997"/>
    <n v="25.673999999999999"/>
    <s v="2,36,47"/>
    <x v="1"/>
  </r>
  <r>
    <x v="8"/>
    <x v="8"/>
    <x v="9"/>
    <x v="37"/>
    <s v="BEA"/>
    <x v="9"/>
    <x v="13"/>
    <x v="11"/>
    <n v="0"/>
    <x v="1"/>
    <x v="0"/>
    <x v="33"/>
    <n v="94.454999999999998"/>
    <x v="3472"/>
    <n v="29.872"/>
    <n v="38.448"/>
    <n v="25.646000000000001"/>
    <s v="29,47"/>
    <x v="1"/>
  </r>
  <r>
    <x v="8"/>
    <x v="8"/>
    <x v="9"/>
    <x v="11"/>
    <s v="OCO"/>
    <x v="9"/>
    <x v="18"/>
    <x v="12"/>
    <n v="0"/>
    <x v="1"/>
    <x v="0"/>
    <x v="33"/>
    <n v="94.792000000000002"/>
    <x v="3473"/>
    <n v="30.07"/>
    <n v="38.567999999999998"/>
    <n v="25.885000000000002"/>
    <s v="21,47"/>
    <x v="1"/>
  </r>
  <r>
    <x v="8"/>
    <x v="8"/>
    <x v="9"/>
    <x v="10"/>
    <s v="PER"/>
    <x v="20"/>
    <x v="17"/>
    <x v="13"/>
    <n v="0"/>
    <x v="1"/>
    <x v="0"/>
    <x v="33"/>
    <n v="95.52"/>
    <x v="3474"/>
    <n v="30.228999999999999"/>
    <n v="38.847000000000001"/>
    <n v="26.227"/>
    <s v="21,46"/>
    <x v="1"/>
  </r>
  <r>
    <x v="8"/>
    <x v="8"/>
    <x v="9"/>
    <x v="43"/>
    <s v="ANT"/>
    <x v="1"/>
    <x v="1"/>
    <x v="14"/>
    <n v="0"/>
    <x v="1"/>
    <x v="0"/>
    <x v="33"/>
    <n v="91.777000000000001"/>
    <x v="3475"/>
    <n v="29.408000000000001"/>
    <n v="37.119"/>
    <n v="25.157"/>
    <s v="35,41,43"/>
    <x v="1"/>
  </r>
  <r>
    <x v="8"/>
    <x v="8"/>
    <x v="9"/>
    <x v="7"/>
    <s v="BOT"/>
    <x v="20"/>
    <x v="12"/>
    <x v="15"/>
    <n v="0"/>
    <x v="1"/>
    <x v="0"/>
    <x v="33"/>
    <n v="95.893000000000001"/>
    <x v="3476"/>
    <n v="30.277999999999999"/>
    <n v="39.048000000000002"/>
    <n v="26.323"/>
    <s v="29,46"/>
    <x v="1"/>
  </r>
  <r>
    <x v="8"/>
    <x v="8"/>
    <x v="9"/>
    <x v="9"/>
    <s v="SAI"/>
    <x v="7"/>
    <x v="11"/>
    <x v="16"/>
    <n v="0"/>
    <x v="1"/>
    <x v="52"/>
    <x v="33"/>
    <n v="94.923000000000002"/>
    <x v="3477"/>
    <n v="29.768000000000001"/>
    <n v="38.561999999999998"/>
    <n v="26.14"/>
    <s v="20,48"/>
    <x v="1"/>
  </r>
  <r>
    <x v="8"/>
    <x v="8"/>
    <x v="9"/>
    <x v="4"/>
    <s v="ALO"/>
    <x v="13"/>
    <x v="22"/>
    <x v="17"/>
    <n v="0"/>
    <x v="1"/>
    <x v="52"/>
    <x v="11"/>
    <n v="96.694999999999993"/>
    <x v="3478"/>
    <n v="30.713999999999999"/>
    <n v="39.378999999999998"/>
    <n v="26.47"/>
    <s v="20,46"/>
    <x v="1"/>
  </r>
  <r>
    <x v="8"/>
    <x v="8"/>
    <x v="9"/>
    <x v="13"/>
    <s v="STR"/>
    <x v="13"/>
    <x v="23"/>
    <x v="18"/>
    <n v="0"/>
    <x v="1"/>
    <x v="52"/>
    <x v="11"/>
    <n v="97.231999999999999"/>
    <x v="3479"/>
    <n v="30.433"/>
    <n v="39.840000000000003"/>
    <n v="26.523"/>
    <s v="18,46"/>
    <x v="1"/>
  </r>
  <r>
    <x v="8"/>
    <x v="8"/>
    <x v="9"/>
    <x v="5"/>
    <s v="VER"/>
    <x v="2"/>
    <x v="6"/>
    <x v="19"/>
    <n v="0"/>
    <x v="1"/>
    <x v="21"/>
    <x v="38"/>
    <n v="92.100999999999999"/>
    <x v="3480"/>
    <n v="29.326000000000001"/>
    <n v="37.411999999999999"/>
    <n v="25.29"/>
    <s v="17,38"/>
    <x v="1"/>
  </r>
  <r>
    <x v="8"/>
    <x v="8"/>
    <x v="9"/>
    <x v="22"/>
    <s v="ALB"/>
    <x v="7"/>
    <x v="14"/>
    <x v="21"/>
    <n v="0"/>
    <x v="1"/>
    <x v="21"/>
    <x v="13"/>
    <n v="93.867000000000004"/>
    <x v="3481"/>
    <n v="29.658000000000001"/>
    <n v="38.295999999999999"/>
    <n v="25.913"/>
    <s v="1,14,23,35,40,43"/>
    <x v="1"/>
  </r>
  <r>
    <x v="8"/>
    <x v="8"/>
    <x v="9"/>
    <x v="6"/>
    <s v="HUL"/>
    <x v="19"/>
    <x v="10"/>
    <x v="22"/>
    <n v="0"/>
    <x v="1"/>
    <x v="21"/>
    <x v="49"/>
    <n v="93.433000000000007"/>
    <x v="3482"/>
    <n v="29.75"/>
    <n v="38.090000000000003"/>
    <n v="25.593"/>
    <s v="17,34"/>
    <x v="1"/>
  </r>
  <r>
    <x v="8"/>
    <x v="9"/>
    <x v="12"/>
    <x v="43"/>
    <s v="ANT"/>
    <x v="1"/>
    <x v="1"/>
    <x v="0"/>
    <n v="25"/>
    <x v="0"/>
    <x v="0"/>
    <x v="44"/>
    <n v="109.098"/>
    <x v="3483"/>
    <n v="30.576000000000001"/>
    <n v="48.904000000000003"/>
    <n v="28.876000000000001"/>
    <n v="18"/>
    <x v="1"/>
  </r>
  <r>
    <x v="8"/>
    <x v="9"/>
    <x v="12"/>
    <x v="12"/>
    <s v="LEC"/>
    <x v="0"/>
    <x v="5"/>
    <x v="1"/>
    <n v="18"/>
    <x v="0"/>
    <x v="0"/>
    <x v="44"/>
    <n v="109.333"/>
    <x v="3484"/>
    <n v="30.731999999999999"/>
    <n v="48.456000000000003"/>
    <n v="28.808"/>
    <n v="20"/>
    <x v="1"/>
  </r>
  <r>
    <x v="8"/>
    <x v="9"/>
    <x v="12"/>
    <x v="5"/>
    <s v="VER"/>
    <x v="2"/>
    <x v="2"/>
    <x v="2"/>
    <n v="15"/>
    <x v="0"/>
    <x v="0"/>
    <x v="44"/>
    <n v="109.61799999999999"/>
    <x v="3485"/>
    <n v="30.751999999999999"/>
    <n v="48.668999999999997"/>
    <n v="29.183"/>
    <n v="17"/>
    <x v="1"/>
  </r>
  <r>
    <x v="8"/>
    <x v="9"/>
    <x v="12"/>
    <x v="1"/>
    <s v="HAM"/>
    <x v="0"/>
    <x v="16"/>
    <x v="3"/>
    <n v="12"/>
    <x v="1"/>
    <x v="0"/>
    <x v="44"/>
    <n v="109.45399999999999"/>
    <x v="3486"/>
    <n v="30.734000000000002"/>
    <n v="48.912999999999997"/>
    <n v="29.053000000000001"/>
    <n v="20"/>
    <x v="1"/>
  </r>
  <r>
    <x v="8"/>
    <x v="9"/>
    <x v="12"/>
    <x v="35"/>
    <s v="PIA"/>
    <x v="3"/>
    <x v="15"/>
    <x v="4"/>
    <n v="10"/>
    <x v="1"/>
    <x v="0"/>
    <x v="44"/>
    <n v="109.562"/>
    <x v="3487"/>
    <n v="30.878"/>
    <n v="49.033000000000001"/>
    <n v="28.986000000000001"/>
    <n v="20"/>
    <x v="1"/>
  </r>
  <r>
    <x v="8"/>
    <x v="9"/>
    <x v="12"/>
    <x v="42"/>
    <s v="HAD"/>
    <x v="2"/>
    <x v="22"/>
    <x v="5"/>
    <n v="8"/>
    <x v="1"/>
    <x v="0"/>
    <x v="44"/>
    <n v="109.298"/>
    <x v="3488"/>
    <n v="30.661000000000001"/>
    <n v="48.859000000000002"/>
    <n v="28.875"/>
    <s v="1,2,20"/>
    <x v="1"/>
  </r>
  <r>
    <x v="8"/>
    <x v="9"/>
    <x v="12"/>
    <x v="21"/>
    <s v="NOR"/>
    <x v="3"/>
    <x v="13"/>
    <x v="6"/>
    <n v="6"/>
    <x v="1"/>
    <x v="0"/>
    <x v="44"/>
    <n v="108.89"/>
    <x v="3489"/>
    <n v="30.922000000000001"/>
    <n v="48.593000000000004"/>
    <n v="28.606000000000002"/>
    <n v="30"/>
    <x v="1"/>
  </r>
  <r>
    <x v="8"/>
    <x v="9"/>
    <x v="12"/>
    <x v="41"/>
    <s v="BOR"/>
    <x v="19"/>
    <x v="3"/>
    <x v="7"/>
    <n v="4"/>
    <x v="1"/>
    <x v="0"/>
    <x v="44"/>
    <n v="110.334"/>
    <x v="3490"/>
    <n v="31.242999999999999"/>
    <n v="48.84"/>
    <n v="29.71"/>
    <n v="20"/>
    <x v="1"/>
  </r>
  <r>
    <x v="8"/>
    <x v="9"/>
    <x v="12"/>
    <x v="44"/>
    <s v="LIN"/>
    <x v="18"/>
    <x v="6"/>
    <x v="8"/>
    <n v="2"/>
    <x v="1"/>
    <x v="0"/>
    <x v="44"/>
    <n v="110.536"/>
    <x v="3491"/>
    <n v="31.013000000000002"/>
    <n v="49.58"/>
    <n v="29.135000000000002"/>
    <n v="16"/>
    <x v="1"/>
  </r>
  <r>
    <x v="8"/>
    <x v="9"/>
    <x v="12"/>
    <x v="38"/>
    <s v="COL"/>
    <x v="14"/>
    <x v="8"/>
    <x v="9"/>
    <n v="1"/>
    <x v="1"/>
    <x v="0"/>
    <x v="44"/>
    <n v="111.16200000000001"/>
    <x v="3492"/>
    <n v="30.812999999999999"/>
    <n v="50.024999999999999"/>
    <n v="29.35"/>
    <n v="15"/>
    <x v="1"/>
  </r>
  <r>
    <x v="8"/>
    <x v="9"/>
    <x v="12"/>
    <x v="17"/>
    <s v="GAS"/>
    <x v="14"/>
    <x v="4"/>
    <x v="10"/>
    <n v="0"/>
    <x v="1"/>
    <x v="0"/>
    <x v="44"/>
    <n v="111.101"/>
    <x v="3493"/>
    <n v="30.667000000000002"/>
    <n v="50.52"/>
    <n v="29.283999999999999"/>
    <n v="14"/>
    <x v="1"/>
  </r>
  <r>
    <x v="8"/>
    <x v="9"/>
    <x v="12"/>
    <x v="36"/>
    <s v="LAW"/>
    <x v="18"/>
    <x v="9"/>
    <x v="11"/>
    <n v="0"/>
    <x v="1"/>
    <x v="0"/>
    <x v="44"/>
    <n v="111.075"/>
    <x v="3494"/>
    <n v="30.814"/>
    <n v="50.19"/>
    <n v="29.117999999999999"/>
    <n v="15"/>
    <x v="1"/>
  </r>
  <r>
    <x v="8"/>
    <x v="9"/>
    <x v="12"/>
    <x v="6"/>
    <s v="HUL"/>
    <x v="19"/>
    <x v="10"/>
    <x v="12"/>
    <n v="0"/>
    <x v="1"/>
    <x v="0"/>
    <x v="44"/>
    <n v="110.503"/>
    <x v="3495"/>
    <n v="30.96"/>
    <n v="49.606999999999999"/>
    <n v="29.268999999999998"/>
    <n v="20"/>
    <x v="1"/>
  </r>
  <r>
    <x v="8"/>
    <x v="9"/>
    <x v="12"/>
    <x v="37"/>
    <s v="BEA"/>
    <x v="9"/>
    <x v="11"/>
    <x v="13"/>
    <n v="0"/>
    <x v="1"/>
    <x v="0"/>
    <x v="44"/>
    <n v="111.10899999999999"/>
    <x v="3496"/>
    <n v="31.152000000000001"/>
    <n v="49.734999999999999"/>
    <n v="29.5"/>
    <s v="1,20"/>
    <x v="1"/>
  </r>
  <r>
    <x v="8"/>
    <x v="9"/>
    <x v="12"/>
    <x v="22"/>
    <s v="ALB"/>
    <x v="7"/>
    <x v="7"/>
    <x v="14"/>
    <n v="0"/>
    <x v="1"/>
    <x v="0"/>
    <x v="44"/>
    <n v="111.89400000000001"/>
    <x v="3497"/>
    <n v="31.12"/>
    <n v="50.558"/>
    <n v="29.64"/>
    <n v="18"/>
    <x v="1"/>
  </r>
  <r>
    <x v="8"/>
    <x v="9"/>
    <x v="12"/>
    <x v="9"/>
    <s v="SAI"/>
    <x v="7"/>
    <x v="19"/>
    <x v="15"/>
    <n v="0"/>
    <x v="1"/>
    <x v="0"/>
    <x v="44"/>
    <n v="111.363"/>
    <x v="3498"/>
    <n v="30.939"/>
    <n v="50.356999999999999"/>
    <n v="29.332999999999998"/>
    <n v="14"/>
    <x v="1"/>
  </r>
  <r>
    <x v="8"/>
    <x v="9"/>
    <x v="12"/>
    <x v="11"/>
    <s v="OCO"/>
    <x v="9"/>
    <x v="14"/>
    <x v="16"/>
    <n v="0"/>
    <x v="1"/>
    <x v="0"/>
    <x v="44"/>
    <n v="111.9"/>
    <x v="3499"/>
    <n v="31.562999999999999"/>
    <n v="50.256"/>
    <n v="29.19"/>
    <s v="1,16"/>
    <x v="1"/>
  </r>
  <r>
    <x v="8"/>
    <x v="9"/>
    <x v="12"/>
    <x v="7"/>
    <s v="BOT"/>
    <x v="20"/>
    <x v="18"/>
    <x v="17"/>
    <n v="0"/>
    <x v="1"/>
    <x v="52"/>
    <x v="13"/>
    <n v="112.011"/>
    <x v="3500"/>
    <n v="31.498999999999999"/>
    <n v="50.473999999999997"/>
    <n v="29.715"/>
    <s v="1,32"/>
    <x v="1"/>
  </r>
  <r>
    <x v="8"/>
    <x v="9"/>
    <x v="12"/>
    <x v="4"/>
    <s v="ALO"/>
    <x v="13"/>
    <x v="23"/>
    <x v="18"/>
    <n v="0"/>
    <x v="1"/>
    <x v="52"/>
    <x v="76"/>
    <n v="112.94799999999999"/>
    <x v="3501"/>
    <n v="31.855"/>
    <n v="50.473999999999997"/>
    <n v="29.856999999999999"/>
    <s v="19,31"/>
    <x v="1"/>
  </r>
  <r>
    <x v="8"/>
    <x v="9"/>
    <x v="12"/>
    <x v="13"/>
    <s v="STR"/>
    <x v="13"/>
    <x v="17"/>
    <x v="19"/>
    <n v="0"/>
    <x v="1"/>
    <x v="21"/>
    <x v="23"/>
    <n v="113.98"/>
    <x v="3502"/>
    <n v="32.298000000000002"/>
    <n v="50.884999999999998"/>
    <n v="30.423999999999999"/>
    <s v="17,25"/>
    <x v="1"/>
  </r>
  <r>
    <x v="8"/>
    <x v="9"/>
    <x v="12"/>
    <x v="10"/>
    <s v="PER"/>
    <x v="20"/>
    <x v="12"/>
    <x v="21"/>
    <n v="0"/>
    <x v="1"/>
    <x v="21"/>
    <x v="70"/>
    <n v="113.477"/>
    <x v="3503"/>
    <n v="31.917999999999999"/>
    <n v="51.237000000000002"/>
    <n v="29.998999999999999"/>
    <s v="1,12,13"/>
    <x v="1"/>
  </r>
  <r>
    <x v="8"/>
    <x v="9"/>
    <x v="12"/>
    <x v="24"/>
    <s v="RUS"/>
    <x v="1"/>
    <x v="0"/>
    <x v="22"/>
    <n v="0"/>
    <x v="1"/>
    <x v="21"/>
    <x v="16"/>
    <m/>
    <x v="19"/>
    <m/>
    <m/>
    <m/>
    <m/>
    <x v="1"/>
  </r>
  <r>
    <x v="8"/>
    <x v="10"/>
    <x v="11"/>
    <x v="21"/>
    <s v="NOR"/>
    <x v="3"/>
    <x v="1"/>
    <x v="0"/>
    <n v="25"/>
    <x v="0"/>
    <x v="0"/>
    <x v="29"/>
    <n v="82.491"/>
    <x v="3504"/>
    <n v="28.844000000000001"/>
    <n v="29.852"/>
    <n v="23.443000000000001"/>
    <s v="17,39,56"/>
    <x v="1"/>
  </r>
  <r>
    <x v="8"/>
    <x v="10"/>
    <x v="11"/>
    <x v="5"/>
    <s v="VER"/>
    <x v="2"/>
    <x v="5"/>
    <x v="1"/>
    <n v="18"/>
    <x v="0"/>
    <x v="0"/>
    <x v="29"/>
    <n v="83.433000000000007"/>
    <x v="3505"/>
    <n v="29.158999999999999"/>
    <n v="30.186"/>
    <n v="23.797000000000001"/>
    <s v="14,41"/>
    <x v="1"/>
  </r>
  <r>
    <x v="8"/>
    <x v="10"/>
    <x v="11"/>
    <x v="43"/>
    <s v="ANT"/>
    <x v="1"/>
    <x v="6"/>
    <x v="2"/>
    <n v="15"/>
    <x v="0"/>
    <x v="0"/>
    <x v="29"/>
    <n v="82.415000000000006"/>
    <x v="3506"/>
    <n v="28.715"/>
    <n v="30.018000000000001"/>
    <n v="23.478999999999999"/>
    <s v="22,53"/>
    <x v="1"/>
  </r>
  <r>
    <x v="8"/>
    <x v="10"/>
    <x v="11"/>
    <x v="12"/>
    <s v="LEC"/>
    <x v="0"/>
    <x v="2"/>
    <x v="3"/>
    <n v="12"/>
    <x v="1"/>
    <x v="0"/>
    <x v="29"/>
    <n v="82"/>
    <x v="3507"/>
    <n v="28.806999999999999"/>
    <n v="29.620999999999999"/>
    <n v="23.439"/>
    <s v="16,36,56"/>
    <x v="1"/>
  </r>
  <r>
    <x v="8"/>
    <x v="10"/>
    <x v="11"/>
    <x v="1"/>
    <s v="HAM"/>
    <x v="0"/>
    <x v="16"/>
    <x v="4"/>
    <n v="10"/>
    <x v="1"/>
    <x v="0"/>
    <x v="29"/>
    <n v="82.3"/>
    <x v="3508"/>
    <n v="28.568999999999999"/>
    <n v="30.215"/>
    <n v="23.489000000000001"/>
    <s v="13,30,56"/>
    <x v="1"/>
  </r>
  <r>
    <x v="8"/>
    <x v="10"/>
    <x v="11"/>
    <x v="42"/>
    <s v="HAD"/>
    <x v="2"/>
    <x v="3"/>
    <x v="5"/>
    <n v="8"/>
    <x v="1"/>
    <x v="0"/>
    <x v="29"/>
    <n v="83.218000000000004"/>
    <x v="3509"/>
    <n v="29.036000000000001"/>
    <n v="30.277999999999999"/>
    <n v="23.713000000000001"/>
    <s v="19,42"/>
    <x v="1"/>
  </r>
  <r>
    <x v="8"/>
    <x v="10"/>
    <x v="11"/>
    <x v="24"/>
    <s v="RUS"/>
    <x v="1"/>
    <x v="15"/>
    <x v="6"/>
    <n v="6"/>
    <x v="1"/>
    <x v="0"/>
    <x v="29"/>
    <n v="82.588999999999999"/>
    <x v="3510"/>
    <n v="28.963000000000001"/>
    <n v="30.036000000000001"/>
    <n v="23.417000000000002"/>
    <s v="27,54"/>
    <x v="1"/>
  </r>
  <r>
    <x v="8"/>
    <x v="10"/>
    <x v="11"/>
    <x v="36"/>
    <s v="LAW"/>
    <x v="18"/>
    <x v="8"/>
    <x v="7"/>
    <n v="4"/>
    <x v="1"/>
    <x v="52"/>
    <x v="30"/>
    <n v="83.9"/>
    <x v="3511"/>
    <n v="29.137"/>
    <n v="30.343"/>
    <n v="24.234000000000002"/>
    <s v="21,42"/>
    <x v="1"/>
  </r>
  <r>
    <x v="8"/>
    <x v="10"/>
    <x v="11"/>
    <x v="6"/>
    <s v="HUL"/>
    <x v="19"/>
    <x v="4"/>
    <x v="8"/>
    <n v="2"/>
    <x v="1"/>
    <x v="52"/>
    <x v="30"/>
    <n v="83.963999999999999"/>
    <x v="3512"/>
    <n v="29.18"/>
    <n v="30.812000000000001"/>
    <n v="23.959"/>
    <s v="19,39"/>
    <x v="1"/>
  </r>
  <r>
    <x v="8"/>
    <x v="10"/>
    <x v="11"/>
    <x v="44"/>
    <s v="LIN"/>
    <x v="18"/>
    <x v="9"/>
    <x v="9"/>
    <n v="1"/>
    <x v="1"/>
    <x v="52"/>
    <x v="30"/>
    <n v="85.930999999999997"/>
    <x v="3513"/>
    <n v="29.875"/>
    <n v="31.381"/>
    <n v="24.425000000000001"/>
    <n v="20"/>
    <x v="1"/>
  </r>
  <r>
    <x v="8"/>
    <x v="10"/>
    <x v="11"/>
    <x v="41"/>
    <s v="BOR"/>
    <x v="19"/>
    <x v="11"/>
    <x v="10"/>
    <n v="0"/>
    <x v="1"/>
    <x v="52"/>
    <x v="30"/>
    <n v="84.783000000000001"/>
    <x v="3514"/>
    <n v="29.448"/>
    <n v="30.946999999999999"/>
    <n v="24.173999999999999"/>
    <n v="29"/>
    <x v="1"/>
  </r>
  <r>
    <x v="8"/>
    <x v="10"/>
    <x v="11"/>
    <x v="17"/>
    <s v="GAS"/>
    <x v="14"/>
    <x v="10"/>
    <x v="11"/>
    <n v="0"/>
    <x v="1"/>
    <x v="52"/>
    <x v="30"/>
    <n v="82.870999999999995"/>
    <x v="3515"/>
    <n v="28.687000000000001"/>
    <n v="30.422000000000001"/>
    <n v="23.762"/>
    <s v="16,39,55"/>
    <x v="1"/>
  </r>
  <r>
    <x v="8"/>
    <x v="10"/>
    <x v="11"/>
    <x v="13"/>
    <s v="STR"/>
    <x v="13"/>
    <x v="17"/>
    <x v="12"/>
    <n v="0"/>
    <x v="1"/>
    <x v="52"/>
    <x v="30"/>
    <n v="84.718000000000004"/>
    <x v="3516"/>
    <n v="29.581"/>
    <n v="30.858000000000001"/>
    <n v="24.056999999999999"/>
    <s v="8,37"/>
    <x v="1"/>
  </r>
  <r>
    <x v="8"/>
    <x v="10"/>
    <x v="11"/>
    <x v="4"/>
    <s v="ALO"/>
    <x v="13"/>
    <x v="14"/>
    <x v="13"/>
    <n v="0"/>
    <x v="1"/>
    <x v="52"/>
    <x v="30"/>
    <n v="83.679000000000002"/>
    <x v="3517"/>
    <n v="29.218"/>
    <n v="30.437000000000001"/>
    <n v="23.808"/>
    <s v="34,55"/>
    <x v="1"/>
  </r>
  <r>
    <x v="8"/>
    <x v="10"/>
    <x v="11"/>
    <x v="38"/>
    <s v="COL"/>
    <x v="14"/>
    <x v="13"/>
    <x v="14"/>
    <n v="0"/>
    <x v="1"/>
    <x v="52"/>
    <x v="31"/>
    <n v="84.623999999999995"/>
    <x v="3518"/>
    <n v="29.256"/>
    <n v="30.91"/>
    <n v="24.372"/>
    <s v="15,37"/>
    <x v="1"/>
  </r>
  <r>
    <x v="8"/>
    <x v="10"/>
    <x v="11"/>
    <x v="11"/>
    <s v="OCO"/>
    <x v="9"/>
    <x v="7"/>
    <x v="15"/>
    <n v="0"/>
    <x v="1"/>
    <x v="52"/>
    <x v="31"/>
    <n v="85.888999999999996"/>
    <x v="3519"/>
    <n v="29.724"/>
    <n v="31.504000000000001"/>
    <n v="24.45"/>
    <s v="17,35"/>
    <x v="1"/>
  </r>
  <r>
    <x v="8"/>
    <x v="10"/>
    <x v="11"/>
    <x v="22"/>
    <s v="ALB"/>
    <x v="7"/>
    <x v="19"/>
    <x v="16"/>
    <n v="0"/>
    <x v="1"/>
    <x v="52"/>
    <x v="31"/>
    <n v="85.403000000000006"/>
    <x v="3520"/>
    <n v="29.399000000000001"/>
    <n v="31.552"/>
    <n v="24.111999999999998"/>
    <s v="26,54"/>
    <x v="1"/>
  </r>
  <r>
    <x v="8"/>
    <x v="10"/>
    <x v="11"/>
    <x v="9"/>
    <s v="SAI"/>
    <x v="7"/>
    <x v="12"/>
    <x v="17"/>
    <n v="0"/>
    <x v="1"/>
    <x v="52"/>
    <x v="31"/>
    <n v="84.864000000000004"/>
    <x v="3521"/>
    <n v="29.488"/>
    <n v="31.073"/>
    <n v="24.143999999999998"/>
    <s v="18,43,54"/>
    <x v="1"/>
  </r>
  <r>
    <x v="8"/>
    <x v="10"/>
    <x v="11"/>
    <x v="37"/>
    <s v="BEA"/>
    <x v="9"/>
    <x v="18"/>
    <x v="18"/>
    <n v="0"/>
    <x v="1"/>
    <x v="52"/>
    <x v="31"/>
    <n v="85.884"/>
    <x v="3522"/>
    <n v="29.78"/>
    <n v="31.495999999999999"/>
    <n v="24.527999999999999"/>
    <s v="22,42"/>
    <x v="1"/>
  </r>
  <r>
    <x v="8"/>
    <x v="10"/>
    <x v="11"/>
    <x v="35"/>
    <s v="PIA"/>
    <x v="3"/>
    <x v="0"/>
    <x v="19"/>
    <n v="0"/>
    <x v="1"/>
    <x v="21"/>
    <x v="7"/>
    <n v="83.896000000000001"/>
    <x v="3523"/>
    <n v="29.353000000000002"/>
    <n v="30.687000000000001"/>
    <n v="23.802"/>
    <s v="16,33"/>
    <x v="1"/>
  </r>
  <r>
    <x v="8"/>
    <x v="10"/>
    <x v="11"/>
    <x v="10"/>
    <s v="PER"/>
    <x v="20"/>
    <x v="23"/>
    <x v="21"/>
    <n v="0"/>
    <x v="1"/>
    <x v="21"/>
    <x v="66"/>
    <n v="86.341999999999999"/>
    <x v="3524"/>
    <n v="29.802"/>
    <n v="32.012"/>
    <n v="24.527999999999999"/>
    <s v="21,46,48"/>
    <x v="1"/>
  </r>
  <r>
    <x v="8"/>
    <x v="10"/>
    <x v="11"/>
    <x v="7"/>
    <s v="BOT"/>
    <x v="20"/>
    <x v="22"/>
    <x v="22"/>
    <n v="0"/>
    <x v="1"/>
    <x v="21"/>
    <x v="4"/>
    <n v="87.959000000000003"/>
    <x v="3525"/>
    <n v="30.228000000000002"/>
    <n v="32.521000000000001"/>
    <n v="25.085999999999999"/>
    <n v="14"/>
    <x v="1"/>
  </r>
  <r>
    <x v="8"/>
    <x v="11"/>
    <x v="29"/>
    <x v="21"/>
    <s v="NOR"/>
    <x v="3"/>
    <x v="1"/>
    <x v="0"/>
    <n v="25"/>
    <x v="0"/>
    <x v="0"/>
    <x v="75"/>
    <n v="74.320999999999998"/>
    <x v="3526"/>
    <n v="25.266999999999999"/>
    <n v="26.475999999999999"/>
    <n v="22.454000000000001"/>
    <s v="2,21,47"/>
    <x v="0"/>
  </r>
  <r>
    <x v="8"/>
    <x v="11"/>
    <x v="29"/>
    <x v="43"/>
    <s v="ANT"/>
    <x v="1"/>
    <x v="0"/>
    <x v="1"/>
    <n v="18"/>
    <x v="0"/>
    <x v="0"/>
    <x v="75"/>
    <n v="74.570999999999998"/>
    <x v="3527"/>
    <n v="25.361999999999998"/>
    <n v="26.64"/>
    <n v="22.370999999999999"/>
    <s v="2,21,40,56"/>
    <x v="0"/>
  </r>
  <r>
    <x v="8"/>
    <x v="11"/>
    <x v="29"/>
    <x v="24"/>
    <s v="RUS"/>
    <x v="1"/>
    <x v="2"/>
    <x v="2"/>
    <n v="15"/>
    <x v="0"/>
    <x v="0"/>
    <x v="75"/>
    <n v="75.393000000000001"/>
    <x v="3528"/>
    <n v="25.492000000000001"/>
    <n v="27.152000000000001"/>
    <n v="22.56"/>
    <s v="2,17,40"/>
    <x v="0"/>
  </r>
  <r>
    <x v="8"/>
    <x v="11"/>
    <x v="29"/>
    <x v="1"/>
    <s v="HAM"/>
    <x v="0"/>
    <x v="16"/>
    <x v="3"/>
    <n v="12"/>
    <x v="1"/>
    <x v="0"/>
    <x v="75"/>
    <n v="74.566000000000003"/>
    <x v="3529"/>
    <n v="25.41"/>
    <n v="26.61"/>
    <n v="22.501000000000001"/>
    <s v="2,25,55"/>
    <x v="0"/>
  </r>
  <r>
    <x v="8"/>
    <x v="11"/>
    <x v="29"/>
    <x v="12"/>
    <s v="LEC"/>
    <x v="0"/>
    <x v="15"/>
    <x v="4"/>
    <n v="10"/>
    <x v="1"/>
    <x v="0"/>
    <x v="75"/>
    <n v="74.23"/>
    <x v="3530"/>
    <n v="25.332999999999998"/>
    <n v="26.439"/>
    <n v="22.29"/>
    <s v="2,21,43,55"/>
    <x v="0"/>
  </r>
  <r>
    <x v="8"/>
    <x v="11"/>
    <x v="29"/>
    <x v="35"/>
    <s v="PIA"/>
    <x v="3"/>
    <x v="5"/>
    <x v="5"/>
    <n v="8"/>
    <x v="1"/>
    <x v="0"/>
    <x v="75"/>
    <n v="74.302999999999997"/>
    <x v="3531"/>
    <n v="25.23"/>
    <n v="26.634"/>
    <n v="22.414999999999999"/>
    <s v="2,18,44,55"/>
    <x v="0"/>
  </r>
  <r>
    <x v="8"/>
    <x v="11"/>
    <x v="29"/>
    <x v="36"/>
    <s v="LAW"/>
    <x v="2"/>
    <x v="3"/>
    <x v="6"/>
    <n v="6"/>
    <x v="1"/>
    <x v="0"/>
    <x v="75"/>
    <n v="75.435000000000002"/>
    <x v="3532"/>
    <n v="25.648"/>
    <n v="27.096"/>
    <n v="22.664000000000001"/>
    <s v="2,21,47"/>
    <x v="0"/>
  </r>
  <r>
    <x v="8"/>
    <x v="11"/>
    <x v="29"/>
    <x v="6"/>
    <s v="HUL"/>
    <x v="19"/>
    <x v="13"/>
    <x v="7"/>
    <n v="4"/>
    <x v="1"/>
    <x v="52"/>
    <x v="27"/>
    <n v="76.048000000000002"/>
    <x v="3533"/>
    <n v="25.92"/>
    <n v="27.236000000000001"/>
    <n v="22.715"/>
    <s v="2,19,48"/>
    <x v="0"/>
  </r>
  <r>
    <x v="8"/>
    <x v="11"/>
    <x v="29"/>
    <x v="4"/>
    <s v="ALO"/>
    <x v="13"/>
    <x v="12"/>
    <x v="8"/>
    <n v="2"/>
    <x v="1"/>
    <x v="52"/>
    <x v="27"/>
    <n v="76.945999999999998"/>
    <x v="3534"/>
    <n v="26.068999999999999"/>
    <n v="27.727"/>
    <n v="23.128"/>
    <s v="2,34"/>
    <x v="0"/>
  </r>
  <r>
    <x v="8"/>
    <x v="11"/>
    <x v="29"/>
    <x v="17"/>
    <s v="GAS"/>
    <x v="14"/>
    <x v="8"/>
    <x v="9"/>
    <n v="1"/>
    <x v="1"/>
    <x v="52"/>
    <x v="27"/>
    <n v="76.22"/>
    <x v="3535"/>
    <n v="25.818000000000001"/>
    <n v="27.352"/>
    <n v="22.826000000000001"/>
    <s v="2,18,46"/>
    <x v="0"/>
  </r>
  <r>
    <x v="8"/>
    <x v="11"/>
    <x v="29"/>
    <x v="29"/>
    <s v="TSU"/>
    <x v="18"/>
    <x v="10"/>
    <x v="10"/>
    <n v="0"/>
    <x v="1"/>
    <x v="52"/>
    <x v="27"/>
    <n v="76.638999999999996"/>
    <x v="3536"/>
    <n v="25.896999999999998"/>
    <n v="27.651"/>
    <n v="22.923999999999999"/>
    <s v="2,18,44"/>
    <x v="0"/>
  </r>
  <r>
    <x v="8"/>
    <x v="11"/>
    <x v="29"/>
    <x v="44"/>
    <s v="LIN"/>
    <x v="18"/>
    <x v="4"/>
    <x v="11"/>
    <n v="0"/>
    <x v="1"/>
    <x v="52"/>
    <x v="27"/>
    <n v="76.653000000000006"/>
    <x v="3537"/>
    <n v="25.968"/>
    <n v="27.634"/>
    <n v="23.042000000000002"/>
    <s v="2,5,36"/>
    <x v="0"/>
  </r>
  <r>
    <x v="8"/>
    <x v="11"/>
    <x v="29"/>
    <x v="41"/>
    <s v="BOR"/>
    <x v="19"/>
    <x v="9"/>
    <x v="12"/>
    <n v="0"/>
    <x v="1"/>
    <x v="52"/>
    <x v="27"/>
    <n v="75.515000000000001"/>
    <x v="3538"/>
    <n v="25.74"/>
    <n v="26.923999999999999"/>
    <n v="22.742000000000001"/>
    <s v="2,11,34,53"/>
    <x v="0"/>
  </r>
  <r>
    <x v="8"/>
    <x v="11"/>
    <x v="29"/>
    <x v="38"/>
    <s v="COL"/>
    <x v="14"/>
    <x v="11"/>
    <x v="13"/>
    <n v="0"/>
    <x v="1"/>
    <x v="52"/>
    <x v="29"/>
    <n v="75.578000000000003"/>
    <x v="3539"/>
    <n v="25.626000000000001"/>
    <n v="27.111999999999998"/>
    <n v="22.794"/>
    <s v="2,8,21,45"/>
    <x v="0"/>
  </r>
  <r>
    <x v="8"/>
    <x v="11"/>
    <x v="29"/>
    <x v="10"/>
    <s v="PER"/>
    <x v="20"/>
    <x v="23"/>
    <x v="14"/>
    <n v="0"/>
    <x v="1"/>
    <x v="52"/>
    <x v="29"/>
    <n v="77.149000000000001"/>
    <x v="3540"/>
    <n v="26.245000000000001"/>
    <n v="27.672999999999998"/>
    <n v="23.11"/>
    <s v="2,29,52"/>
    <x v="0"/>
  </r>
  <r>
    <x v="8"/>
    <x v="11"/>
    <x v="29"/>
    <x v="9"/>
    <s v="SAI"/>
    <x v="7"/>
    <x v="18"/>
    <x v="15"/>
    <n v="0"/>
    <x v="1"/>
    <x v="52"/>
    <x v="29"/>
    <n v="77.328000000000003"/>
    <x v="3541"/>
    <n v="26.268000000000001"/>
    <n v="27.829000000000001"/>
    <n v="23.202999999999999"/>
    <s v="2,30,65"/>
    <x v="0"/>
  </r>
  <r>
    <x v="8"/>
    <x v="11"/>
    <x v="29"/>
    <x v="22"/>
    <s v="ALB"/>
    <x v="7"/>
    <x v="14"/>
    <x v="16"/>
    <n v="0"/>
    <x v="1"/>
    <x v="21"/>
    <x v="17"/>
    <n v="77.147000000000006"/>
    <x v="3542"/>
    <n v="25.995000000000001"/>
    <n v="27.773"/>
    <n v="22.959"/>
    <s v="2,26,49,66"/>
    <x v="0"/>
  </r>
  <r>
    <x v="8"/>
    <x v="11"/>
    <x v="29"/>
    <x v="7"/>
    <s v="BOT"/>
    <x v="20"/>
    <x v="22"/>
    <x v="17"/>
    <n v="0"/>
    <x v="1"/>
    <x v="21"/>
    <x v="46"/>
    <n v="77.822000000000003"/>
    <x v="3543"/>
    <n v="26.408000000000001"/>
    <n v="28.010999999999999"/>
    <n v="23.26"/>
    <s v="2,28,51,61"/>
    <x v="0"/>
  </r>
  <r>
    <x v="8"/>
    <x v="11"/>
    <x v="29"/>
    <x v="11"/>
    <s v="OCO"/>
    <x v="9"/>
    <x v="7"/>
    <x v="18"/>
    <n v="0"/>
    <x v="1"/>
    <x v="21"/>
    <x v="28"/>
    <n v="77.587999999999994"/>
    <x v="3544"/>
    <n v="26.210999999999999"/>
    <n v="28.004000000000001"/>
    <n v="23.149000000000001"/>
    <s v="2,16,36"/>
    <x v="0"/>
  </r>
  <r>
    <x v="8"/>
    <x v="11"/>
    <x v="29"/>
    <x v="13"/>
    <s v="STR"/>
    <x v="13"/>
    <x v="19"/>
    <x v="19"/>
    <n v="0"/>
    <x v="1"/>
    <x v="21"/>
    <x v="55"/>
    <n v="77.882999999999996"/>
    <x v="3545"/>
    <n v="26.475000000000001"/>
    <n v="27.768999999999998"/>
    <n v="23.259"/>
    <s v="2,15,35,45"/>
    <x v="0"/>
  </r>
  <r>
    <x v="8"/>
    <x v="11"/>
    <x v="29"/>
    <x v="37"/>
    <s v="BEA"/>
    <x v="9"/>
    <x v="17"/>
    <x v="21"/>
    <n v="0"/>
    <x v="1"/>
    <x v="21"/>
    <x v="10"/>
    <m/>
    <x v="19"/>
    <m/>
    <m/>
    <m/>
    <n v="2"/>
    <x v="0"/>
  </r>
  <r>
    <x v="8"/>
    <x v="11"/>
    <x v="29"/>
    <x v="5"/>
    <s v="VER"/>
    <x v="2"/>
    <x v="6"/>
    <x v="22"/>
    <n v="0"/>
    <x v="1"/>
    <x v="21"/>
    <x v="16"/>
    <m/>
    <x v="19"/>
    <m/>
    <m/>
    <m/>
    <m/>
    <x v="0"/>
  </r>
  <r>
    <x v="8"/>
    <x v="12"/>
    <x v="20"/>
    <x v="43"/>
    <s v="ANT"/>
    <x v="1"/>
    <x v="19"/>
    <x v="0"/>
    <n v="25"/>
    <x v="0"/>
    <x v="0"/>
    <x v="28"/>
    <n v="83.504000000000005"/>
    <x v="3546"/>
    <n v="27.225000000000001"/>
    <n v="28.686"/>
    <n v="27.484000000000002"/>
    <s v="3,28"/>
    <x v="1"/>
  </r>
  <r>
    <x v="8"/>
    <x v="12"/>
    <x v="20"/>
    <x v="24"/>
    <s v="RUS"/>
    <x v="1"/>
    <x v="2"/>
    <x v="1"/>
    <n v="18"/>
    <x v="0"/>
    <x v="0"/>
    <x v="28"/>
    <n v="84.39"/>
    <x v="3547"/>
    <n v="27.603000000000002"/>
    <n v="28.966999999999999"/>
    <n v="27.82"/>
    <n v="3"/>
    <x v="1"/>
  </r>
  <r>
    <x v="8"/>
    <x v="12"/>
    <x v="20"/>
    <x v="5"/>
    <s v="VER"/>
    <x v="2"/>
    <x v="16"/>
    <x v="2"/>
    <n v="15"/>
    <x v="0"/>
    <x v="0"/>
    <x v="28"/>
    <n v="84.242000000000004"/>
    <x v="3548"/>
    <n v="27.425000000000001"/>
    <n v="28.852"/>
    <n v="27.574999999999999"/>
    <s v="3,28"/>
    <x v="1"/>
  </r>
  <r>
    <x v="8"/>
    <x v="12"/>
    <x v="20"/>
    <x v="21"/>
    <s v="NOR"/>
    <x v="3"/>
    <x v="3"/>
    <x v="3"/>
    <n v="12"/>
    <x v="1"/>
    <x v="0"/>
    <x v="28"/>
    <n v="84.864000000000004"/>
    <x v="3549"/>
    <n v="27.536000000000001"/>
    <n v="28.984000000000002"/>
    <n v="27.925000000000001"/>
    <n v="3"/>
    <x v="1"/>
  </r>
  <r>
    <x v="8"/>
    <x v="12"/>
    <x v="20"/>
    <x v="35"/>
    <s v="PIA"/>
    <x v="3"/>
    <x v="15"/>
    <x v="4"/>
    <n v="10"/>
    <x v="1"/>
    <x v="0"/>
    <x v="28"/>
    <n v="85.125"/>
    <x v="3550"/>
    <n v="27.751000000000001"/>
    <n v="29.132000000000001"/>
    <n v="27.98"/>
    <n v="3"/>
    <x v="1"/>
  </r>
  <r>
    <x v="8"/>
    <x v="12"/>
    <x v="20"/>
    <x v="1"/>
    <s v="HAM"/>
    <x v="0"/>
    <x v="5"/>
    <x v="5"/>
    <n v="8"/>
    <x v="1"/>
    <x v="0"/>
    <x v="28"/>
    <n v="85.3"/>
    <x v="3551"/>
    <n v="27.484999999999999"/>
    <n v="29.253"/>
    <n v="27.927"/>
    <n v="3"/>
    <x v="1"/>
  </r>
  <r>
    <x v="8"/>
    <x v="12"/>
    <x v="20"/>
    <x v="17"/>
    <s v="GAS"/>
    <x v="14"/>
    <x v="1"/>
    <x v="6"/>
    <n v="6"/>
    <x v="1"/>
    <x v="0"/>
    <x v="28"/>
    <n v="84.927000000000007"/>
    <x v="3552"/>
    <n v="27.57"/>
    <n v="29.151"/>
    <n v="27.89"/>
    <n v="3"/>
    <x v="1"/>
  </r>
  <r>
    <x v="8"/>
    <x v="12"/>
    <x v="20"/>
    <x v="44"/>
    <s v="LIN"/>
    <x v="18"/>
    <x v="9"/>
    <x v="7"/>
    <n v="4"/>
    <x v="1"/>
    <x v="0"/>
    <x v="28"/>
    <n v="86.028000000000006"/>
    <x v="3553"/>
    <n v="28.32"/>
    <n v="29.347000000000001"/>
    <n v="28.155000000000001"/>
    <n v="3"/>
    <x v="1"/>
  </r>
  <r>
    <x v="8"/>
    <x v="12"/>
    <x v="20"/>
    <x v="38"/>
    <s v="COL"/>
    <x v="14"/>
    <x v="6"/>
    <x v="8"/>
    <n v="2"/>
    <x v="1"/>
    <x v="0"/>
    <x v="28"/>
    <n v="84.933000000000007"/>
    <x v="3554"/>
    <n v="27.507000000000001"/>
    <n v="29.21"/>
    <n v="27.972999999999999"/>
    <n v="3"/>
    <x v="1"/>
  </r>
  <r>
    <x v="8"/>
    <x v="12"/>
    <x v="20"/>
    <x v="29"/>
    <s v="TSU"/>
    <x v="18"/>
    <x v="7"/>
    <x v="9"/>
    <n v="1"/>
    <x v="1"/>
    <x v="0"/>
    <x v="28"/>
    <n v="86.32"/>
    <x v="3555"/>
    <n v="28.187000000000001"/>
    <n v="29.603999999999999"/>
    <n v="28.297999999999998"/>
    <n v="3"/>
    <x v="1"/>
  </r>
  <r>
    <x v="8"/>
    <x v="12"/>
    <x v="20"/>
    <x v="41"/>
    <s v="BOR"/>
    <x v="19"/>
    <x v="4"/>
    <x v="10"/>
    <n v="0"/>
    <x v="1"/>
    <x v="0"/>
    <x v="28"/>
    <n v="86.188000000000002"/>
    <x v="3556"/>
    <n v="28.056999999999999"/>
    <n v="29.405000000000001"/>
    <n v="28.282"/>
    <n v="3"/>
    <x v="1"/>
  </r>
  <r>
    <x v="8"/>
    <x v="12"/>
    <x v="20"/>
    <x v="6"/>
    <s v="HUL"/>
    <x v="19"/>
    <x v="10"/>
    <x v="11"/>
    <n v="0"/>
    <x v="1"/>
    <x v="0"/>
    <x v="28"/>
    <n v="84.364000000000004"/>
    <x v="3557"/>
    <n v="27.768999999999998"/>
    <n v="28.585000000000001"/>
    <n v="27.754999999999999"/>
    <s v="3,27"/>
    <x v="1"/>
  </r>
  <r>
    <x v="8"/>
    <x v="12"/>
    <x v="20"/>
    <x v="9"/>
    <s v="SAI"/>
    <x v="7"/>
    <x v="13"/>
    <x v="12"/>
    <n v="0"/>
    <x v="1"/>
    <x v="0"/>
    <x v="28"/>
    <n v="85.683000000000007"/>
    <x v="3558"/>
    <n v="27.771999999999998"/>
    <n v="29.43"/>
    <n v="28.334"/>
    <s v="3,27"/>
    <x v="1"/>
  </r>
  <r>
    <x v="8"/>
    <x v="12"/>
    <x v="20"/>
    <x v="36"/>
    <s v="LAW"/>
    <x v="2"/>
    <x v="23"/>
    <x v="13"/>
    <n v="0"/>
    <x v="1"/>
    <x v="0"/>
    <x v="28"/>
    <n v="85.578000000000003"/>
    <x v="3559"/>
    <n v="27.922999999999998"/>
    <n v="29.202999999999999"/>
    <n v="28.117999999999999"/>
    <s v="3,12"/>
    <x v="1"/>
  </r>
  <r>
    <x v="8"/>
    <x v="12"/>
    <x v="20"/>
    <x v="37"/>
    <s v="BEA"/>
    <x v="9"/>
    <x v="8"/>
    <x v="14"/>
    <n v="0"/>
    <x v="1"/>
    <x v="0"/>
    <x v="28"/>
    <n v="86.355999999999995"/>
    <x v="3560"/>
    <n v="28.030999999999999"/>
    <n v="29.565000000000001"/>
    <n v="28.341000000000001"/>
    <n v="3"/>
    <x v="1"/>
  </r>
  <r>
    <x v="8"/>
    <x v="12"/>
    <x v="20"/>
    <x v="11"/>
    <s v="OCO"/>
    <x v="9"/>
    <x v="11"/>
    <x v="15"/>
    <n v="0"/>
    <x v="1"/>
    <x v="52"/>
    <x v="33"/>
    <n v="85.710999999999999"/>
    <x v="3561"/>
    <n v="28.062999999999999"/>
    <n v="29.007999999999999"/>
    <n v="28.085999999999999"/>
    <s v="3,27"/>
    <x v="1"/>
  </r>
  <r>
    <x v="8"/>
    <x v="12"/>
    <x v="20"/>
    <x v="22"/>
    <s v="ALB"/>
    <x v="7"/>
    <x v="17"/>
    <x v="16"/>
    <n v="0"/>
    <x v="1"/>
    <x v="52"/>
    <x v="33"/>
    <n v="85.340999999999994"/>
    <x v="3562"/>
    <n v="27.574999999999999"/>
    <n v="29.302"/>
    <n v="28.119"/>
    <s v="3,46"/>
    <x v="1"/>
  </r>
  <r>
    <x v="8"/>
    <x v="12"/>
    <x v="20"/>
    <x v="10"/>
    <s v="PER"/>
    <x v="20"/>
    <x v="18"/>
    <x v="17"/>
    <n v="0"/>
    <x v="1"/>
    <x v="52"/>
    <x v="33"/>
    <n v="86.914000000000001"/>
    <x v="3563"/>
    <n v="28.411999999999999"/>
    <n v="29.66"/>
    <n v="28.445"/>
    <s v="3,27"/>
    <x v="1"/>
  </r>
  <r>
    <x v="8"/>
    <x v="12"/>
    <x v="20"/>
    <x v="7"/>
    <s v="BOT"/>
    <x v="20"/>
    <x v="14"/>
    <x v="18"/>
    <n v="0"/>
    <x v="1"/>
    <x v="52"/>
    <x v="11"/>
    <n v="87.325000000000003"/>
    <x v="3564"/>
    <n v="28.556000000000001"/>
    <n v="29.707000000000001"/>
    <n v="28.466000000000001"/>
    <s v="3,27"/>
    <x v="1"/>
  </r>
  <r>
    <x v="8"/>
    <x v="12"/>
    <x v="20"/>
    <x v="13"/>
    <s v="STR"/>
    <x v="13"/>
    <x v="12"/>
    <x v="19"/>
    <n v="0"/>
    <x v="1"/>
    <x v="21"/>
    <x v="63"/>
    <n v="88.415000000000006"/>
    <x v="3565"/>
    <n v="28.686"/>
    <n v="30.175000000000001"/>
    <n v="28.978000000000002"/>
    <n v="3"/>
    <x v="1"/>
  </r>
  <r>
    <x v="8"/>
    <x v="12"/>
    <x v="20"/>
    <x v="4"/>
    <s v="ALO"/>
    <x v="13"/>
    <x v="22"/>
    <x v="21"/>
    <n v="0"/>
    <x v="1"/>
    <x v="21"/>
    <x v="69"/>
    <n v="87.960999999999999"/>
    <x v="3566"/>
    <n v="28.67"/>
    <n v="30.114000000000001"/>
    <n v="28.576000000000001"/>
    <s v="3,23"/>
    <x v="1"/>
  </r>
  <r>
    <x v="8"/>
    <x v="12"/>
    <x v="20"/>
    <x v="12"/>
    <s v="LEC"/>
    <x v="0"/>
    <x v="0"/>
    <x v="22"/>
    <n v="0"/>
    <x v="1"/>
    <x v="21"/>
    <x v="10"/>
    <m/>
    <x v="19"/>
    <m/>
    <m/>
    <m/>
    <n v="2"/>
    <x v="1"/>
  </r>
  <r>
    <x v="8"/>
    <x v="20"/>
    <x v="4"/>
    <x v="43"/>
    <s v="ANT"/>
    <x v="1"/>
    <x v="2"/>
    <x v="0"/>
    <n v="25"/>
    <x v="0"/>
    <x v="0"/>
    <x v="1"/>
    <n v="96.03"/>
    <x v="3567"/>
    <n v="29.137"/>
    <n v="34.661000000000001"/>
    <n v="32.158000000000001"/>
    <n v="14"/>
    <x v="1"/>
  </r>
  <r>
    <x v="8"/>
    <x v="20"/>
    <x v="4"/>
    <x v="5"/>
    <s v="VER"/>
    <x v="2"/>
    <x v="0"/>
    <x v="1"/>
    <n v="18"/>
    <x v="0"/>
    <x v="0"/>
    <x v="1"/>
    <n v="96.76"/>
    <x v="3568"/>
    <n v="29.254000000000001"/>
    <n v="34.494999999999997"/>
    <n v="32.473999999999997"/>
    <n v="14"/>
    <x v="1"/>
  </r>
  <r>
    <x v="8"/>
    <x v="20"/>
    <x v="4"/>
    <x v="21"/>
    <s v="NOR"/>
    <x v="3"/>
    <x v="1"/>
    <x v="2"/>
    <n v="15"/>
    <x v="0"/>
    <x v="0"/>
    <x v="1"/>
    <n v="96.68"/>
    <x v="3569"/>
    <n v="29.268000000000001"/>
    <n v="34.658000000000001"/>
    <n v="32.418999999999997"/>
    <n v="15"/>
    <x v="1"/>
  </r>
  <r>
    <x v="8"/>
    <x v="20"/>
    <x v="4"/>
    <x v="12"/>
    <s v="LEC"/>
    <x v="0"/>
    <x v="16"/>
    <x v="3"/>
    <n v="12"/>
    <x v="1"/>
    <x v="0"/>
    <x v="1"/>
    <n v="96.063000000000002"/>
    <x v="3570"/>
    <n v="29.465"/>
    <n v="34.427999999999997"/>
    <n v="32.17"/>
    <n v="48"/>
    <x v="1"/>
  </r>
  <r>
    <x v="8"/>
    <x v="20"/>
    <x v="4"/>
    <x v="24"/>
    <s v="RUS"/>
    <x v="1"/>
    <x v="15"/>
    <x v="4"/>
    <n v="10"/>
    <x v="1"/>
    <x v="0"/>
    <x v="1"/>
    <n v="95.587000000000003"/>
    <x v="3571"/>
    <n v="29.099"/>
    <n v="34.497"/>
    <n v="31.873000000000001"/>
    <s v="14,28"/>
    <x v="1"/>
  </r>
  <r>
    <x v="8"/>
    <x v="20"/>
    <x v="4"/>
    <x v="36"/>
    <s v="LAW"/>
    <x v="2"/>
    <x v="3"/>
    <x v="5"/>
    <n v="8"/>
    <x v="1"/>
    <x v="0"/>
    <x v="1"/>
    <n v="96.846000000000004"/>
    <x v="3572"/>
    <n v="29.666"/>
    <n v="34.674999999999997"/>
    <n v="32.296999999999997"/>
    <n v="44"/>
    <x v="1"/>
  </r>
  <r>
    <x v="8"/>
    <x v="20"/>
    <x v="4"/>
    <x v="38"/>
    <s v="COL"/>
    <x v="14"/>
    <x v="9"/>
    <x v="6"/>
    <n v="6"/>
    <x v="1"/>
    <x v="0"/>
    <x v="1"/>
    <n v="97.320999999999998"/>
    <x v="3573"/>
    <n v="29.565999999999999"/>
    <n v="34.825000000000003"/>
    <n v="32.659999999999997"/>
    <n v="14"/>
    <x v="1"/>
  </r>
  <r>
    <x v="8"/>
    <x v="20"/>
    <x v="4"/>
    <x v="35"/>
    <s v="PIA"/>
    <x v="3"/>
    <x v="6"/>
    <x v="7"/>
    <n v="4"/>
    <x v="1"/>
    <x v="0"/>
    <x v="1"/>
    <n v="97.225999999999999"/>
    <x v="3574"/>
    <n v="29.757000000000001"/>
    <n v="34.723999999999997"/>
    <n v="32.613"/>
    <n v="42"/>
    <x v="1"/>
  </r>
  <r>
    <x v="8"/>
    <x v="20"/>
    <x v="4"/>
    <x v="44"/>
    <s v="LIN"/>
    <x v="18"/>
    <x v="4"/>
    <x v="8"/>
    <n v="2"/>
    <x v="1"/>
    <x v="52"/>
    <x v="7"/>
    <n v="98.210999999999999"/>
    <x v="3575"/>
    <n v="29.84"/>
    <n v="35.133000000000003"/>
    <n v="32.920999999999999"/>
    <n v="14"/>
    <x v="1"/>
  </r>
  <r>
    <x v="8"/>
    <x v="20"/>
    <x v="4"/>
    <x v="6"/>
    <s v="HUL"/>
    <x v="19"/>
    <x v="8"/>
    <x v="9"/>
    <n v="1"/>
    <x v="1"/>
    <x v="52"/>
    <x v="7"/>
    <n v="98.114000000000004"/>
    <x v="3576"/>
    <n v="29.687999999999999"/>
    <n v="35.402000000000001"/>
    <n v="32.801000000000002"/>
    <n v="14"/>
    <x v="1"/>
  </r>
  <r>
    <x v="8"/>
    <x v="20"/>
    <x v="4"/>
    <x v="11"/>
    <s v="OCO"/>
    <x v="9"/>
    <x v="13"/>
    <x v="10"/>
    <n v="0"/>
    <x v="1"/>
    <x v="52"/>
    <x v="7"/>
    <n v="98.119"/>
    <x v="3577"/>
    <n v="29.780999999999999"/>
    <n v="35.213000000000001"/>
    <n v="32.902999999999999"/>
    <n v="14"/>
    <x v="1"/>
  </r>
  <r>
    <x v="8"/>
    <x v="20"/>
    <x v="4"/>
    <x v="17"/>
    <s v="GAS"/>
    <x v="14"/>
    <x v="11"/>
    <x v="11"/>
    <n v="0"/>
    <x v="1"/>
    <x v="52"/>
    <x v="7"/>
    <n v="98.141000000000005"/>
    <x v="3578"/>
    <n v="29.795999999999999"/>
    <n v="35.091000000000001"/>
    <n v="33.088999999999999"/>
    <n v="55"/>
    <x v="1"/>
  </r>
  <r>
    <x v="8"/>
    <x v="20"/>
    <x v="4"/>
    <x v="41"/>
    <s v="BOR"/>
    <x v="19"/>
    <x v="10"/>
    <x v="12"/>
    <n v="0"/>
    <x v="1"/>
    <x v="52"/>
    <x v="7"/>
    <n v="97.837000000000003"/>
    <x v="3579"/>
    <n v="29.776"/>
    <n v="35.402000000000001"/>
    <n v="32.567999999999998"/>
    <n v="47"/>
    <x v="1"/>
  </r>
  <r>
    <x v="8"/>
    <x v="20"/>
    <x v="4"/>
    <x v="29"/>
    <s v="TSU"/>
    <x v="18"/>
    <x v="7"/>
    <x v="13"/>
    <n v="0"/>
    <x v="1"/>
    <x v="52"/>
    <x v="7"/>
    <n v="98.396000000000001"/>
    <x v="3580"/>
    <n v="29.94"/>
    <n v="35.47"/>
    <n v="32.939"/>
    <n v="36"/>
    <x v="1"/>
  </r>
  <r>
    <x v="8"/>
    <x v="20"/>
    <x v="4"/>
    <x v="22"/>
    <s v="ALB"/>
    <x v="7"/>
    <x v="14"/>
    <x v="14"/>
    <n v="0"/>
    <x v="1"/>
    <x v="52"/>
    <x v="7"/>
    <n v="99.397000000000006"/>
    <x v="3581"/>
    <n v="29.863"/>
    <n v="35.941000000000003"/>
    <n v="33.466000000000001"/>
    <n v="14"/>
    <x v="1"/>
  </r>
  <r>
    <x v="8"/>
    <x v="20"/>
    <x v="4"/>
    <x v="37"/>
    <s v="BEA"/>
    <x v="9"/>
    <x v="23"/>
    <x v="15"/>
    <n v="0"/>
    <x v="1"/>
    <x v="52"/>
    <x v="7"/>
    <n v="97.308000000000007"/>
    <x v="3582"/>
    <n v="29.594000000000001"/>
    <n v="35.045000000000002"/>
    <n v="32.524000000000001"/>
    <s v="33,43"/>
    <x v="1"/>
  </r>
  <r>
    <x v="8"/>
    <x v="20"/>
    <x v="4"/>
    <x v="4"/>
    <s v="ALO"/>
    <x v="13"/>
    <x v="18"/>
    <x v="16"/>
    <n v="0"/>
    <x v="1"/>
    <x v="52"/>
    <x v="35"/>
    <n v="99.003"/>
    <x v="3583"/>
    <n v="30.138999999999999"/>
    <n v="35.534999999999997"/>
    <n v="32.795000000000002"/>
    <s v="14,37"/>
    <x v="1"/>
  </r>
  <r>
    <x v="8"/>
    <x v="20"/>
    <x v="4"/>
    <x v="7"/>
    <s v="BOT"/>
    <x v="20"/>
    <x v="19"/>
    <x v="17"/>
    <n v="0"/>
    <x v="1"/>
    <x v="52"/>
    <x v="36"/>
    <n v="99.13"/>
    <x v="3584"/>
    <n v="30.16"/>
    <n v="35.777000000000001"/>
    <n v="33.192999999999998"/>
    <s v="29,43"/>
    <x v="1"/>
  </r>
  <r>
    <x v="8"/>
    <x v="20"/>
    <x v="4"/>
    <x v="9"/>
    <s v="SAI"/>
    <x v="7"/>
    <x v="17"/>
    <x v="18"/>
    <n v="0"/>
    <x v="1"/>
    <x v="21"/>
    <x v="13"/>
    <n v="100.19499999999999"/>
    <x v="3585"/>
    <n v="30.309000000000001"/>
    <n v="36.296999999999997"/>
    <n v="33.457000000000001"/>
    <s v="23,31,43"/>
    <x v="1"/>
  </r>
  <r>
    <x v="8"/>
    <x v="20"/>
    <x v="4"/>
    <x v="10"/>
    <s v="PER"/>
    <x v="20"/>
    <x v="12"/>
    <x v="19"/>
    <n v="0"/>
    <x v="1"/>
    <x v="21"/>
    <x v="50"/>
    <n v="101.116"/>
    <x v="3586"/>
    <n v="30.655000000000001"/>
    <n v="36.469000000000001"/>
    <n v="33.784999999999997"/>
    <s v="14,31"/>
    <x v="1"/>
  </r>
  <r>
    <x v="8"/>
    <x v="20"/>
    <x v="4"/>
    <x v="13"/>
    <s v="STR"/>
    <x v="13"/>
    <x v="22"/>
    <x v="21"/>
    <n v="0"/>
    <x v="1"/>
    <x v="21"/>
    <x v="70"/>
    <n v="103.462"/>
    <x v="3587"/>
    <n v="31.376999999999999"/>
    <n v="37.316000000000003"/>
    <n v="34.317999999999998"/>
    <m/>
    <x v="1"/>
  </r>
  <r>
    <x v="8"/>
    <x v="20"/>
    <x v="4"/>
    <x v="1"/>
    <s v="HAM"/>
    <x v="0"/>
    <x v="5"/>
    <x v="22"/>
    <n v="0"/>
    <x v="1"/>
    <x v="21"/>
    <x v="5"/>
    <n v="99.838999999999999"/>
    <x v="3588"/>
    <n v="30.042999999999999"/>
    <n v="36.404000000000003"/>
    <n v="33.392000000000003"/>
    <n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EEE0DB-8E48-4CD6-A5A6-1F4103D435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197" firstHeaderRow="1" firstDataRow="1" firstDataCol="1"/>
  <pivotFields count="19">
    <pivotField axis="axisRow" showAll="0">
      <items count="10">
        <item x="0"/>
        <item x="1"/>
        <item x="2"/>
        <item x="3"/>
        <item x="4"/>
        <item x="5"/>
        <item x="6"/>
        <item x="7"/>
        <item x="8"/>
        <item t="default"/>
      </items>
    </pivotField>
    <pivotField axis="axisRow" showAll="0">
      <items count="25">
        <item x="0"/>
        <item x="1"/>
        <item x="2"/>
        <item x="3"/>
        <item x="4"/>
        <item x="5"/>
        <item x="6"/>
        <item x="7"/>
        <item x="8"/>
        <item x="9"/>
        <item x="10"/>
        <item x="11"/>
        <item x="12"/>
        <item x="20"/>
        <item x="13"/>
        <item x="14"/>
        <item x="15"/>
        <item x="16"/>
        <item x="17"/>
        <item x="18"/>
        <item x="19"/>
        <item x="21"/>
        <item x="22"/>
        <item x="23"/>
        <item t="default"/>
      </items>
    </pivotField>
    <pivotField dataField="1"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2">
    <field x="0"/>
    <field x="1"/>
  </rowFields>
  <rowItems count="196">
    <i>
      <x/>
    </i>
    <i r="1">
      <x/>
    </i>
    <i r="1">
      <x v="1"/>
    </i>
    <i r="1">
      <x v="2"/>
    </i>
    <i r="1">
      <x v="3"/>
    </i>
    <i r="1">
      <x v="4"/>
    </i>
    <i r="1">
      <x v="5"/>
    </i>
    <i r="1">
      <x v="6"/>
    </i>
    <i r="1">
      <x v="7"/>
    </i>
    <i r="1">
      <x v="8"/>
    </i>
    <i r="1">
      <x v="9"/>
    </i>
    <i r="1">
      <x v="10"/>
    </i>
    <i r="1">
      <x v="11"/>
    </i>
    <i r="1">
      <x v="12"/>
    </i>
    <i r="1">
      <x v="14"/>
    </i>
    <i r="1">
      <x v="15"/>
    </i>
    <i r="1">
      <x v="16"/>
    </i>
    <i r="1">
      <x v="17"/>
    </i>
    <i r="1">
      <x v="18"/>
    </i>
    <i r="1">
      <x v="19"/>
    </i>
    <i r="1">
      <x v="20"/>
    </i>
    <i>
      <x v="1"/>
    </i>
    <i r="1">
      <x/>
    </i>
    <i r="1">
      <x v="1"/>
    </i>
    <i r="1">
      <x v="2"/>
    </i>
    <i r="1">
      <x v="3"/>
    </i>
    <i r="1">
      <x v="4"/>
    </i>
    <i r="1">
      <x v="5"/>
    </i>
    <i r="1">
      <x v="6"/>
    </i>
    <i r="1">
      <x v="7"/>
    </i>
    <i r="1">
      <x v="8"/>
    </i>
    <i r="1">
      <x v="9"/>
    </i>
    <i r="1">
      <x v="10"/>
    </i>
    <i r="1">
      <x v="11"/>
    </i>
    <i r="1">
      <x v="12"/>
    </i>
    <i r="1">
      <x v="13"/>
    </i>
    <i r="1">
      <x v="14"/>
    </i>
    <i r="1">
      <x v="15"/>
    </i>
    <i r="1">
      <x v="16"/>
    </i>
    <i r="1">
      <x v="17"/>
    </i>
    <i r="1">
      <x v="18"/>
    </i>
    <i r="1">
      <x v="19"/>
    </i>
    <i r="1">
      <x v="20"/>
    </i>
    <i>
      <x v="2"/>
    </i>
    <i r="1">
      <x/>
    </i>
    <i r="1">
      <x v="1"/>
    </i>
    <i r="1">
      <x v="2"/>
    </i>
    <i r="1">
      <x v="3"/>
    </i>
    <i r="1">
      <x v="4"/>
    </i>
    <i r="1">
      <x v="5"/>
    </i>
    <i r="1">
      <x v="6"/>
    </i>
    <i r="1">
      <x v="7"/>
    </i>
    <i r="1">
      <x v="8"/>
    </i>
    <i r="1">
      <x v="9"/>
    </i>
    <i r="1">
      <x v="10"/>
    </i>
    <i r="1">
      <x v="11"/>
    </i>
    <i r="1">
      <x v="12"/>
    </i>
    <i r="1">
      <x v="13"/>
    </i>
    <i r="1">
      <x v="14"/>
    </i>
    <i r="1">
      <x v="15"/>
    </i>
    <i r="1">
      <x v="16"/>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6"/>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7"/>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8"/>
    </i>
    <i r="1">
      <x/>
    </i>
    <i r="1">
      <x v="1"/>
    </i>
    <i r="1">
      <x v="2"/>
    </i>
    <i r="1">
      <x v="3"/>
    </i>
    <i r="1">
      <x v="4"/>
    </i>
    <i r="1">
      <x v="5"/>
    </i>
    <i r="1">
      <x v="6"/>
    </i>
    <i r="1">
      <x v="7"/>
    </i>
    <i r="1">
      <x v="8"/>
    </i>
    <i r="1">
      <x v="9"/>
    </i>
    <i r="1">
      <x v="10"/>
    </i>
    <i r="1">
      <x v="11"/>
    </i>
    <i r="1">
      <x v="12"/>
    </i>
    <i r="1">
      <x v="13"/>
    </i>
    <i t="grand">
      <x/>
    </i>
  </rowItems>
  <colItems count="1">
    <i/>
  </colItems>
  <dataFields count="1">
    <dataField name="Count of Rac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47CDEF-6EAF-47C4-8636-024EDEA2B8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J2" firstHeaderRow="1" firstDataRow="1" firstDataCol="0"/>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Items count="1">
    <i/>
  </rowItems>
  <colItems count="1">
    <i/>
  </colItems>
  <dataFields count="1">
    <dataField name="Sum of RacePoint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DC871-6D4E-4C5A-85DC-28D85CA14172}"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J7:M18" firstHeaderRow="1" firstDataRow="2" firstDataCol="1"/>
  <pivotFields count="19">
    <pivotField axis="axisRow"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items count="3">
        <item x="1"/>
        <item x="0"/>
        <item t="default"/>
      </items>
    </pivotField>
    <pivotField showAll="0">
      <items count="55">
        <item x="1"/>
        <item x="11"/>
        <item x="12"/>
        <item x="35"/>
        <item x="50"/>
        <item x="9"/>
        <item x="25"/>
        <item x="5"/>
        <item x="10"/>
        <item x="8"/>
        <item x="42"/>
        <item x="28"/>
        <item x="36"/>
        <item x="53"/>
        <item x="51"/>
        <item x="26"/>
        <item x="40"/>
        <item x="7"/>
        <item x="34"/>
        <item x="3"/>
        <item x="16"/>
        <item x="0"/>
        <item x="45"/>
        <item x="44"/>
        <item x="17"/>
        <item x="48"/>
        <item x="13"/>
        <item x="18"/>
        <item x="38"/>
        <item x="52"/>
        <item x="24"/>
        <item x="14"/>
        <item x="29"/>
        <item x="27"/>
        <item x="22"/>
        <item x="20"/>
        <item x="6"/>
        <item x="37"/>
        <item x="41"/>
        <item x="21"/>
        <item x="31"/>
        <item x="4"/>
        <item x="23"/>
        <item x="30"/>
        <item x="15"/>
        <item x="19"/>
        <item x="49"/>
        <item x="47"/>
        <item x="46"/>
        <item x="32"/>
        <item x="43"/>
        <item x="2"/>
        <item x="39"/>
        <item x="33"/>
        <item t="default"/>
      </items>
    </pivotField>
    <pivotField showAll="0">
      <items count="79">
        <item x="16"/>
        <item x="10"/>
        <item x="71"/>
        <item x="9"/>
        <item x="6"/>
        <item x="5"/>
        <item x="56"/>
        <item x="45"/>
        <item x="51"/>
        <item x="58"/>
        <item x="15"/>
        <item x="37"/>
        <item x="70"/>
        <item x="4"/>
        <item x="67"/>
        <item x="59"/>
        <item x="61"/>
        <item x="41"/>
        <item x="62"/>
        <item x="54"/>
        <item x="77"/>
        <item x="3"/>
        <item x="69"/>
        <item x="2"/>
        <item x="23"/>
        <item x="65"/>
        <item x="63"/>
        <item x="34"/>
        <item x="53"/>
        <item x="57"/>
        <item x="50"/>
        <item x="40"/>
        <item x="60"/>
        <item x="8"/>
        <item x="64"/>
        <item x="74"/>
        <item x="49"/>
        <item x="39"/>
        <item x="22"/>
        <item x="14"/>
        <item x="32"/>
        <item x="76"/>
        <item x="13"/>
        <item x="44"/>
        <item x="55"/>
        <item x="21"/>
        <item x="38"/>
        <item x="66"/>
        <item x="12"/>
        <item x="43"/>
        <item x="11"/>
        <item x="33"/>
        <item x="28"/>
        <item x="36"/>
        <item x="35"/>
        <item x="7"/>
        <item x="1"/>
        <item x="0"/>
        <item x="48"/>
        <item x="47"/>
        <item x="46"/>
        <item x="52"/>
        <item x="20"/>
        <item x="19"/>
        <item x="18"/>
        <item x="17"/>
        <item x="42"/>
        <item x="31"/>
        <item x="30"/>
        <item x="29"/>
        <item x="27"/>
        <item x="75"/>
        <item x="73"/>
        <item x="26"/>
        <item x="25"/>
        <item x="24"/>
        <item x="72"/>
        <item x="68"/>
        <item t="default"/>
      </items>
    </pivotField>
    <pivotField showAll="0"/>
    <pivotField dataField="1" showAll="0">
      <items count="3590">
        <item x="1085"/>
        <item x="1084"/>
        <item x="1077"/>
        <item x="1080"/>
        <item x="1083"/>
        <item x="1081"/>
        <item x="1078"/>
        <item x="1079"/>
        <item x="1087"/>
        <item x="1082"/>
        <item x="1086"/>
        <item x="1088"/>
        <item x="1089"/>
        <item x="1090"/>
        <item x="1092"/>
        <item x="1091"/>
        <item x="1094"/>
        <item x="1093"/>
        <item x="813"/>
        <item x="814"/>
        <item x="815"/>
        <item x="151"/>
        <item x="149"/>
        <item x="150"/>
        <item x="164"/>
        <item x="1270"/>
        <item x="816"/>
        <item x="540"/>
        <item x="166"/>
        <item x="537"/>
        <item x="538"/>
        <item x="817"/>
        <item x="818"/>
        <item x="819"/>
        <item x="820"/>
        <item x="821"/>
        <item x="541"/>
        <item x="1251"/>
        <item x="539"/>
        <item x="1272"/>
        <item x="2103"/>
        <item x="1271"/>
        <item x="1252"/>
        <item x="1273"/>
        <item x="167"/>
        <item x="812"/>
        <item x="1254"/>
        <item x="822"/>
        <item x="1278"/>
        <item x="153"/>
        <item x="3026"/>
        <item x="825"/>
        <item x="823"/>
        <item x="3027"/>
        <item x="827"/>
        <item x="824"/>
        <item x="152"/>
        <item x="1275"/>
        <item x="826"/>
        <item x="155"/>
        <item x="2105"/>
        <item x="1253"/>
        <item x="2104"/>
        <item x="1274"/>
        <item x="2108"/>
        <item x="542"/>
        <item x="1276"/>
        <item x="3028"/>
        <item x="1711"/>
        <item x="1277"/>
        <item x="154"/>
        <item x="1712"/>
        <item x="543"/>
        <item x="160"/>
        <item x="1281"/>
        <item x="157"/>
        <item x="1286"/>
        <item x="156"/>
        <item x="158"/>
        <item x="2566"/>
        <item x="830"/>
        <item x="1257"/>
        <item x="3029"/>
        <item x="828"/>
        <item x="544"/>
        <item x="2106"/>
        <item x="2107"/>
        <item x="1282"/>
        <item x="1279"/>
        <item x="2111"/>
        <item x="548"/>
        <item x="546"/>
        <item x="545"/>
        <item x="1255"/>
        <item x="2581"/>
        <item x="547"/>
        <item x="829"/>
        <item x="2110"/>
        <item x="549"/>
        <item x="159"/>
        <item x="1256"/>
        <item x="1280"/>
        <item x="1728"/>
        <item x="551"/>
        <item x="550"/>
        <item x="2562"/>
        <item x="161"/>
        <item x="2563"/>
        <item x="2109"/>
        <item x="552"/>
        <item x="2112"/>
        <item x="1283"/>
        <item x="2564"/>
        <item x="2572"/>
        <item x="162"/>
        <item x="1713"/>
        <item x="3030"/>
        <item x="806"/>
        <item x="163"/>
        <item x="1285"/>
        <item x="1714"/>
        <item x="3033"/>
        <item x="2565"/>
        <item x="2113"/>
        <item x="1284"/>
        <item x="1259"/>
        <item x="1260"/>
        <item x="553"/>
        <item x="1261"/>
        <item x="797"/>
        <item x="3034"/>
        <item x="3035"/>
        <item x="2116"/>
        <item x="1262"/>
        <item x="1263"/>
        <item x="555"/>
        <item x="1264"/>
        <item x="807"/>
        <item x="165"/>
        <item x="802"/>
        <item x="1265"/>
        <item x="3031"/>
        <item x="2114"/>
        <item x="811"/>
        <item x="2115"/>
        <item x="2118"/>
        <item x="3032"/>
        <item x="1715"/>
        <item x="2117"/>
        <item x="2568"/>
        <item x="3036"/>
        <item x="2119"/>
        <item x="554"/>
        <item x="1717"/>
        <item x="3041"/>
        <item x="1716"/>
        <item x="2567"/>
        <item x="3039"/>
        <item x="794"/>
        <item x="2121"/>
        <item x="795"/>
        <item x="1287"/>
        <item x="1720"/>
        <item x="3038"/>
        <item x="3042"/>
        <item x="168"/>
        <item x="3040"/>
        <item x="1718"/>
        <item x="2569"/>
        <item x="1721"/>
        <item x="2570"/>
        <item x="2571"/>
        <item x="1724"/>
        <item x="1719"/>
        <item x="2573"/>
        <item x="3037"/>
        <item x="804"/>
        <item x="1267"/>
        <item x="1725"/>
        <item x="1722"/>
        <item x="809"/>
        <item x="810"/>
        <item x="1269"/>
        <item x="1723"/>
        <item x="2579"/>
        <item x="2576"/>
        <item x="2122"/>
        <item x="2575"/>
        <item x="2574"/>
        <item x="1288"/>
        <item x="1727"/>
        <item x="1726"/>
        <item x="2577"/>
        <item x="805"/>
        <item x="2120"/>
        <item x="3441"/>
        <item x="1266"/>
        <item x="3440"/>
        <item x="3442"/>
        <item x="1258"/>
        <item x="2578"/>
        <item x="3444"/>
        <item x="3447"/>
        <item x="803"/>
        <item x="3443"/>
        <item x="2580"/>
        <item x="793"/>
        <item x="556"/>
        <item x="3446"/>
        <item x="3445"/>
        <item x="796"/>
        <item x="1729"/>
        <item x="799"/>
        <item x="1268"/>
        <item x="798"/>
        <item x="753"/>
        <item x="759"/>
        <item x="3448"/>
        <item x="800"/>
        <item x="1730"/>
        <item x="801"/>
        <item x="3449"/>
        <item x="3452"/>
        <item x="769"/>
        <item x="3450"/>
        <item x="339"/>
        <item x="341"/>
        <item x="338"/>
        <item x="340"/>
        <item x="342"/>
        <item x="3451"/>
        <item x="343"/>
        <item x="772"/>
        <item x="766"/>
        <item x="1439"/>
        <item x="770"/>
        <item x="3454"/>
        <item x="1440"/>
        <item x="344"/>
        <item x="1442"/>
        <item x="3453"/>
        <item x="808"/>
        <item x="345"/>
        <item x="346"/>
        <item x="1441"/>
        <item x="3218"/>
        <item x="3220"/>
        <item x="754"/>
        <item x="758"/>
        <item x="3455"/>
        <item x="3222"/>
        <item x="3456"/>
        <item x="3219"/>
        <item x="756"/>
        <item x="347"/>
        <item x="1323"/>
        <item x="3221"/>
        <item x="757"/>
        <item x="1443"/>
        <item x="1322"/>
        <item x="1444"/>
        <item x="3100"/>
        <item x="761"/>
        <item x="3459"/>
        <item x="3223"/>
        <item x="755"/>
        <item x="3117"/>
        <item x="762"/>
        <item x="352"/>
        <item x="760"/>
        <item x="349"/>
        <item x="3233"/>
        <item x="3234"/>
        <item x="771"/>
        <item x="3460"/>
        <item x="767"/>
        <item x="765"/>
        <item x="3229"/>
        <item x="1445"/>
        <item x="3225"/>
        <item x="3232"/>
        <item x="3231"/>
        <item x="3230"/>
        <item x="763"/>
        <item x="3227"/>
        <item x="3228"/>
        <item x="3457"/>
        <item x="354"/>
        <item x="1324"/>
        <item x="3101"/>
        <item x="348"/>
        <item x="113"/>
        <item x="351"/>
        <item x="350"/>
        <item x="3102"/>
        <item x="115"/>
        <item x="2641"/>
        <item x="114"/>
        <item x="1449"/>
        <item x="3226"/>
        <item x="1450"/>
        <item x="3224"/>
        <item x="356"/>
        <item x="3458"/>
        <item x="116"/>
        <item x="117"/>
        <item x="1448"/>
        <item x="355"/>
        <item x="118"/>
        <item x="3006"/>
        <item x="1457"/>
        <item x="2648"/>
        <item x="2647"/>
        <item x="3007"/>
        <item x="1447"/>
        <item x="353"/>
        <item x="3235"/>
        <item x="3103"/>
        <item x="2642"/>
        <item x="3008"/>
        <item x="2643"/>
        <item x="1446"/>
        <item x="2644"/>
        <item x="3009"/>
        <item x="3023"/>
        <item x="2645"/>
        <item x="3115"/>
        <item x="2969"/>
        <item x="3118"/>
        <item x="2967"/>
        <item x="2968"/>
        <item x="1906"/>
        <item x="1789"/>
        <item x="2646"/>
        <item x="1908"/>
        <item x="1192"/>
        <item x="3104"/>
        <item x="1193"/>
        <item x="1907"/>
        <item x="2970"/>
        <item x="3010"/>
        <item x="1452"/>
        <item x="3376"/>
        <item x="1790"/>
        <item x="1329"/>
        <item x="1909"/>
        <item x="3112"/>
        <item x="764"/>
        <item x="1325"/>
        <item x="1453"/>
        <item x="1195"/>
        <item x="1326"/>
        <item x="3111"/>
        <item x="1194"/>
        <item x="1911"/>
        <item x="498"/>
        <item x="497"/>
        <item x="1454"/>
        <item x="1792"/>
        <item x="499"/>
        <item x="3377"/>
        <item x="3378"/>
        <item x="1791"/>
        <item x="3107"/>
        <item x="1912"/>
        <item x="2320"/>
        <item x="2326"/>
        <item x="3106"/>
        <item x="3011"/>
        <item x="2314"/>
        <item x="2971"/>
        <item x="1451"/>
        <item x="2315"/>
        <item x="2327"/>
        <item x="2323"/>
        <item x="2322"/>
        <item x="1793"/>
        <item x="3119"/>
        <item x="1910"/>
        <item x="2649"/>
        <item x="1327"/>
        <item x="1328"/>
        <item x="2317"/>
        <item x="1196"/>
        <item x="3108"/>
        <item x="1197"/>
        <item x="1198"/>
        <item x="3380"/>
        <item x="1331"/>
        <item x="3397"/>
        <item x="2650"/>
        <item x="1458"/>
        <item x="1330"/>
        <item x="1796"/>
        <item x="3105"/>
        <item x="1456"/>
        <item x="500"/>
        <item x="3110"/>
        <item x="2654"/>
        <item x="2652"/>
        <item x="357"/>
        <item x="3379"/>
        <item x="768"/>
        <item x="2651"/>
        <item x="2316"/>
        <item x="3394"/>
        <item x="2653"/>
        <item x="2319"/>
        <item x="1210"/>
        <item x="2318"/>
        <item x="3012"/>
        <item x="3113"/>
        <item x="1332"/>
        <item x="2083"/>
        <item x="3109"/>
        <item x="119"/>
        <item x="126"/>
        <item x="1798"/>
        <item x="120"/>
        <item x="1794"/>
        <item x="1795"/>
        <item x="121"/>
        <item x="3116"/>
        <item x="1334"/>
        <item x="1199"/>
        <item x="3114"/>
        <item x="1913"/>
        <item x="2084"/>
        <item x="2324"/>
        <item x="501"/>
        <item x="2325"/>
        <item x="1914"/>
        <item x="2657"/>
        <item x="2085"/>
        <item x="122"/>
        <item x="1335"/>
        <item x="2655"/>
        <item x="3013"/>
        <item x="124"/>
        <item x="123"/>
        <item x="1916"/>
        <item x="1797"/>
        <item x="2321"/>
        <item x="3398"/>
        <item x="3022"/>
        <item x="1338"/>
        <item x="125"/>
        <item x="1919"/>
        <item x="1455"/>
        <item x="2659"/>
        <item x="1333"/>
        <item x="3413"/>
        <item x="3014"/>
        <item x="1799"/>
        <item x="2087"/>
        <item x="2086"/>
        <item x="2658"/>
        <item x="2656"/>
        <item x="3015"/>
        <item x="503"/>
        <item x="502"/>
        <item x="1915"/>
        <item x="2180"/>
        <item x="130"/>
        <item x="2329"/>
        <item x="1801"/>
        <item x="1917"/>
        <item x="1918"/>
        <item x="1203"/>
        <item x="1202"/>
        <item x="3016"/>
        <item x="1201"/>
        <item x="1204"/>
        <item x="3530"/>
        <item x="1200"/>
        <item x="2088"/>
        <item x="3386"/>
        <item x="3393"/>
        <item x="1674"/>
        <item x="1802"/>
        <item x="1923"/>
        <item x="3527"/>
        <item x="3384"/>
        <item x="504"/>
        <item x="3381"/>
        <item x="3017"/>
        <item x="1675"/>
        <item x="3018"/>
        <item x="3526"/>
        <item x="1340"/>
        <item x="3020"/>
        <item x="3019"/>
        <item x="1800"/>
        <item x="3021"/>
        <item x="2328"/>
        <item x="2330"/>
        <item x="2660"/>
        <item x="1803"/>
        <item x="1805"/>
        <item x="2181"/>
        <item x="1804"/>
        <item x="1922"/>
        <item x="3529"/>
        <item x="3532"/>
        <item x="2973"/>
        <item x="3531"/>
        <item x="2974"/>
        <item x="505"/>
        <item x="1205"/>
        <item x="481"/>
        <item x="2972"/>
        <item x="1337"/>
        <item x="506"/>
        <item x="1206"/>
        <item x="3528"/>
        <item x="3382"/>
        <item x="507"/>
        <item x="3383"/>
        <item x="3025"/>
        <item x="1207"/>
        <item x="1336"/>
        <item x="1920"/>
        <item x="2094"/>
        <item x="2985"/>
        <item x="3388"/>
        <item x="128"/>
        <item x="477"/>
        <item x="2091"/>
        <item x="480"/>
        <item x="1676"/>
        <item x="2090"/>
        <item x="479"/>
        <item x="1921"/>
        <item x="478"/>
        <item x="508"/>
        <item x="511"/>
        <item x="2096"/>
        <item x="3385"/>
        <item x="3387"/>
        <item x="2093"/>
        <item x="1808"/>
        <item x="2095"/>
        <item x="3024"/>
        <item x="1677"/>
        <item x="2975"/>
        <item x="2092"/>
        <item x="1807"/>
        <item x="127"/>
        <item x="188"/>
        <item x="2976"/>
        <item x="510"/>
        <item x="129"/>
        <item x="2089"/>
        <item x="2977"/>
        <item x="509"/>
        <item x="2184"/>
        <item x="2980"/>
        <item x="2183"/>
        <item x="2101"/>
        <item x="2099"/>
        <item x="1339"/>
        <item x="3533"/>
        <item x="3408"/>
        <item x="2189"/>
        <item x="2978"/>
        <item x="3399"/>
        <item x="2098"/>
        <item x="2182"/>
        <item x="189"/>
        <item x="2197"/>
        <item x="191"/>
        <item x="3400"/>
        <item x="2097"/>
        <item x="1806"/>
        <item x="3535"/>
        <item x="3536"/>
        <item x="2979"/>
        <item x="3538"/>
        <item x="2512"/>
        <item x="1019"/>
        <item x="1341"/>
        <item x="2511"/>
        <item x="1678"/>
        <item x="3403"/>
        <item x="93"/>
        <item x="2506"/>
        <item x="483"/>
        <item x="482"/>
        <item x="486"/>
        <item x="94"/>
        <item x="484"/>
        <item x="3537"/>
        <item x="2186"/>
        <item x="1682"/>
        <item x="2981"/>
        <item x="1679"/>
        <item x="3534"/>
        <item x="2508"/>
        <item x="2507"/>
        <item x="2509"/>
        <item x="515"/>
        <item x="2185"/>
        <item x="101"/>
        <item x="98"/>
        <item x="95"/>
        <item x="97"/>
        <item x="2510"/>
        <item x="99"/>
        <item x="96"/>
        <item x="100"/>
        <item x="2982"/>
        <item x="190"/>
        <item x="3539"/>
        <item x="487"/>
        <item x="485"/>
        <item x="3401"/>
        <item x="3389"/>
        <item x="3415"/>
        <item x="2986"/>
        <item x="2983"/>
        <item x="2196"/>
        <item x="1680"/>
        <item x="3392"/>
        <item x="1681"/>
        <item x="1035"/>
        <item x="512"/>
        <item x="1020"/>
        <item x="2984"/>
        <item x="1685"/>
        <item x="513"/>
        <item x="3544"/>
        <item x="109"/>
        <item x="490"/>
        <item x="1687"/>
        <item x="205"/>
        <item x="489"/>
        <item x="2195"/>
        <item x="112"/>
        <item x="106"/>
        <item x="1209"/>
        <item x="1208"/>
        <item x="1683"/>
        <item x="1684"/>
        <item x="488"/>
        <item x="103"/>
        <item x="111"/>
        <item x="110"/>
        <item x="104"/>
        <item x="1688"/>
        <item x="105"/>
        <item x="2063"/>
        <item x="102"/>
        <item x="2100"/>
        <item x="108"/>
        <item x="107"/>
        <item x="1686"/>
        <item x="2194"/>
        <item x="492"/>
        <item x="3545"/>
        <item x="3541"/>
        <item x="1691"/>
        <item x="514"/>
        <item x="493"/>
        <item x="491"/>
        <item x="3542"/>
        <item x="2102"/>
        <item x="2192"/>
        <item x="2190"/>
        <item x="1690"/>
        <item x="1692"/>
        <item x="1024"/>
        <item x="2064"/>
        <item x="3404"/>
        <item x="1022"/>
        <item x="2542"/>
        <item x="1021"/>
        <item x="2543"/>
        <item x="1033"/>
        <item x="199"/>
        <item x="3409"/>
        <item x="2065"/>
        <item x="1025"/>
        <item x="2996"/>
        <item x="3412"/>
        <item x="1023"/>
        <item x="1026"/>
        <item x="2066"/>
        <item x="2062"/>
        <item x="3405"/>
        <item x="3402"/>
        <item x="2987"/>
        <item x="1693"/>
        <item x="516"/>
        <item x="3396"/>
        <item x="193"/>
        <item x="3406"/>
        <item x="2988"/>
        <item x="1031"/>
        <item x="3414"/>
        <item x="495"/>
        <item x="3410"/>
        <item x="2544"/>
        <item x="192"/>
        <item x="2545"/>
        <item x="2067"/>
        <item x="494"/>
        <item x="2187"/>
        <item x="2546"/>
        <item x="3407"/>
        <item x="195"/>
        <item x="1030"/>
        <item x="1689"/>
        <item x="2519"/>
        <item x="3411"/>
        <item x="2513"/>
        <item x="2548"/>
        <item x="2547"/>
        <item x="1034"/>
        <item x="1027"/>
        <item x="3543"/>
        <item x="2188"/>
        <item x="2549"/>
        <item x="202"/>
        <item x="2068"/>
        <item x="1028"/>
        <item x="2073"/>
        <item x="2069"/>
        <item x="194"/>
        <item x="196"/>
        <item x="2072"/>
        <item x="2071"/>
        <item x="2989"/>
        <item x="2074"/>
        <item x="198"/>
        <item x="2514"/>
        <item x="2198"/>
        <item x="2077"/>
        <item x="2070"/>
        <item x="1029"/>
        <item x="3391"/>
        <item x="2079"/>
        <item x="2515"/>
        <item x="1032"/>
        <item x="2947"/>
        <item x="2990"/>
        <item x="2518"/>
        <item x="1036"/>
        <item x="2076"/>
        <item x="2075"/>
        <item x="2550"/>
        <item x="2520"/>
        <item x="3416"/>
        <item x="2992"/>
        <item x="204"/>
        <item x="197"/>
        <item x="2080"/>
        <item x="2948"/>
        <item x="2949"/>
        <item x="2516"/>
        <item x="2552"/>
        <item x="2517"/>
        <item x="2551"/>
        <item x="2191"/>
        <item x="716"/>
        <item x="2078"/>
        <item x="3395"/>
        <item x="1421"/>
        <item x="3540"/>
        <item x="76"/>
        <item x="1037"/>
        <item x="717"/>
        <item x="715"/>
        <item x="596"/>
        <item x="3390"/>
        <item x="713"/>
        <item x="1038"/>
        <item x="2487"/>
        <item x="2952"/>
        <item x="2486"/>
        <item x="2554"/>
        <item x="1422"/>
        <item x="714"/>
        <item x="2553"/>
        <item x="318"/>
        <item x="2521"/>
        <item x="200"/>
        <item x="1423"/>
        <item x="79"/>
        <item x="2488"/>
        <item x="2081"/>
        <item x="2193"/>
        <item x="831"/>
        <item x="833"/>
        <item x="2082"/>
        <item x="597"/>
        <item x="2993"/>
        <item x="3081"/>
        <item x="77"/>
        <item x="2555"/>
        <item x="999"/>
        <item x="2489"/>
        <item x="3004"/>
        <item x="2740"/>
        <item x="2492"/>
        <item x="2741"/>
        <item x="78"/>
        <item x="201"/>
        <item x="206"/>
        <item x="319"/>
        <item x="2999"/>
        <item x="2953"/>
        <item x="2490"/>
        <item x="203"/>
        <item x="2950"/>
        <item x="2991"/>
        <item x="2742"/>
        <item x="2951"/>
        <item x="3080"/>
        <item x="2560"/>
        <item x="2954"/>
        <item x="2556"/>
        <item x="3082"/>
        <item x="718"/>
        <item x="80"/>
        <item x="2491"/>
        <item x="2558"/>
        <item x="832"/>
        <item x="2994"/>
        <item x="3000"/>
        <item x="2409"/>
        <item x="2995"/>
        <item x="1000"/>
        <item x="2410"/>
        <item x="2997"/>
        <item x="2955"/>
        <item x="2411"/>
        <item x="2557"/>
        <item x="2559"/>
        <item x="334"/>
        <item x="3417"/>
        <item x="1424"/>
        <item x="457"/>
        <item x="3003"/>
        <item x="1001"/>
        <item x="3083"/>
        <item x="2963"/>
        <item x="3418"/>
        <item x="2493"/>
        <item x="2745"/>
        <item x="834"/>
        <item x="2743"/>
        <item x="2959"/>
        <item x="2960"/>
        <item x="3002"/>
        <item x="2998"/>
        <item x="458"/>
        <item x="2744"/>
        <item x="2412"/>
        <item x="719"/>
        <item x="720"/>
        <item x="320"/>
        <item x="1425"/>
        <item x="2964"/>
        <item x="459"/>
        <item x="598"/>
        <item x="2957"/>
        <item x="723"/>
        <item x="1426"/>
        <item x="2956"/>
        <item x="2965"/>
        <item x="322"/>
        <item x="460"/>
        <item x="721"/>
        <item x="2747"/>
        <item x="2746"/>
        <item x="2413"/>
        <item x="599"/>
        <item x="1984"/>
        <item x="2961"/>
        <item x="2958"/>
        <item x="1427"/>
        <item x="3198"/>
        <item x="2962"/>
        <item x="1153"/>
        <item x="2561"/>
        <item x="2494"/>
        <item x="3088"/>
        <item x="725"/>
        <item x="1428"/>
        <item x="2505"/>
        <item x="1002"/>
        <item x="321"/>
        <item x="3001"/>
        <item x="1154"/>
        <item x="3005"/>
        <item x="3084"/>
        <item x="1429"/>
        <item x="1309"/>
        <item x="1155"/>
        <item x="948"/>
        <item x="1430"/>
        <item x="1172"/>
        <item x="1005"/>
        <item x="209"/>
        <item x="3421"/>
        <item x="461"/>
        <item x="603"/>
        <item x="1986"/>
        <item x="835"/>
        <item x="3433"/>
        <item x="1995"/>
        <item x="3085"/>
        <item x="3420"/>
        <item x="3419"/>
        <item x="3086"/>
        <item x="3087"/>
        <item x="2504"/>
        <item x="3202"/>
        <item x="3205"/>
        <item x="3201"/>
        <item x="2748"/>
        <item x="722"/>
        <item x="949"/>
        <item x="81"/>
        <item x="2425"/>
        <item x="836"/>
        <item x="1173"/>
        <item x="3203"/>
        <item x="207"/>
        <item x="726"/>
        <item x="724"/>
        <item x="3092"/>
        <item x="2416"/>
        <item x="2501"/>
        <item x="1996"/>
        <item x="837"/>
        <item x="1987"/>
        <item x="3200"/>
        <item x="2495"/>
        <item x="3199"/>
        <item x="2966"/>
        <item x="1988"/>
        <item x="3204"/>
        <item x="2497"/>
        <item x="1010"/>
        <item x="3089"/>
        <item x="838"/>
        <item x="1011"/>
        <item x="2414"/>
        <item x="3432"/>
        <item x="2749"/>
        <item x="3120"/>
        <item x="3091"/>
        <item x="2496"/>
        <item x="3097"/>
        <item x="2498"/>
        <item x="208"/>
        <item x="1003"/>
        <item x="1435"/>
        <item x="2756"/>
        <item x="3090"/>
        <item x="1556"/>
        <item x="2415"/>
        <item x="600"/>
        <item x="3214"/>
        <item x="462"/>
        <item x="601"/>
        <item x="92"/>
        <item x="2751"/>
        <item x="2750"/>
        <item x="1156"/>
        <item x="1004"/>
        <item x="1008"/>
        <item x="3094"/>
        <item x="839"/>
        <item x="3093"/>
        <item x="602"/>
        <item x="210"/>
        <item x="604"/>
        <item x="889"/>
        <item x="1006"/>
        <item x="731"/>
        <item x="1989"/>
        <item x="1432"/>
        <item x="1007"/>
        <item x="1434"/>
        <item x="1174"/>
        <item x="2295"/>
        <item x="2755"/>
        <item x="1308"/>
        <item x="3422"/>
        <item x="3096"/>
        <item x="1990"/>
        <item x="1886"/>
        <item x="1321"/>
        <item x="2500"/>
        <item x="1009"/>
        <item x="1431"/>
        <item x="1997"/>
        <item x="2752"/>
        <item x="2499"/>
        <item x="2422"/>
        <item x="2043"/>
        <item x="2044"/>
        <item x="2502"/>
        <item x="496"/>
        <item x="3211"/>
        <item x="2417"/>
        <item x="1310"/>
        <item x="1311"/>
        <item x="3121"/>
        <item x="1157"/>
        <item x="2418"/>
        <item x="2420"/>
        <item x="950"/>
        <item x="2753"/>
        <item x="2424"/>
        <item x="1433"/>
        <item x="841"/>
        <item x="1887"/>
        <item x="1888"/>
        <item x="847"/>
        <item x="1134"/>
        <item x="1158"/>
        <item x="845"/>
        <item x="951"/>
        <item x="2419"/>
        <item x="2423"/>
        <item x="1889"/>
        <item x="2503"/>
        <item x="842"/>
        <item x="3122"/>
        <item x="844"/>
        <item x="3208"/>
        <item x="1985"/>
        <item x="843"/>
        <item x="82"/>
        <item x="891"/>
        <item x="3123"/>
        <item x="1159"/>
        <item x="3206"/>
        <item x="1160"/>
        <item x="466"/>
        <item x="3095"/>
        <item x="890"/>
        <item x="840"/>
        <item x="1991"/>
        <item x="3098"/>
        <item x="848"/>
        <item x="3207"/>
        <item x="1012"/>
        <item x="83"/>
        <item x="727"/>
        <item x="3124"/>
        <item x="605"/>
        <item x="2421"/>
        <item x="2296"/>
        <item x="465"/>
        <item x="2754"/>
        <item x="1175"/>
        <item x="732"/>
        <item x="463"/>
        <item x="3209"/>
        <item x="211"/>
        <item x="1312"/>
        <item x="3125"/>
        <item x="3423"/>
        <item x="1161"/>
        <item x="3210"/>
        <item x="84"/>
        <item x="2297"/>
        <item x="467"/>
        <item x="1162"/>
        <item x="3295"/>
        <item x="212"/>
        <item x="609"/>
        <item x="2426"/>
        <item x="952"/>
        <item x="1176"/>
        <item x="1018"/>
        <item x="1557"/>
        <item x="608"/>
        <item x="606"/>
        <item x="1135"/>
        <item x="607"/>
        <item x="1017"/>
        <item x="2601"/>
        <item x="2000"/>
        <item x="1163"/>
        <item x="1575"/>
        <item x="1015"/>
        <item x="2602"/>
        <item x="1013"/>
        <item x="3294"/>
        <item x="3099"/>
        <item x="1164"/>
        <item x="1014"/>
        <item x="953"/>
        <item x="2143"/>
        <item x="1992"/>
        <item x="3297"/>
        <item x="2298"/>
        <item x="2045"/>
        <item x="610"/>
        <item x="2050"/>
        <item x="3126"/>
        <item x="2047"/>
        <item x="213"/>
        <item x="1177"/>
        <item x="464"/>
        <item x="2046"/>
        <item x="3215"/>
        <item x="1890"/>
        <item x="846"/>
        <item x="1756"/>
        <item x="1316"/>
        <item x="2757"/>
        <item x="1437"/>
        <item x="3296"/>
        <item x="3128"/>
        <item x="2048"/>
        <item x="1993"/>
        <item x="1178"/>
        <item x="2662"/>
        <item x="2603"/>
        <item x="3127"/>
        <item x="1317"/>
        <item x="468"/>
        <item x="1166"/>
        <item x="1559"/>
        <item x="1165"/>
        <item x="1558"/>
        <item x="2604"/>
        <item x="1576"/>
        <item x="960"/>
        <item x="2427"/>
        <item x="2663"/>
        <item x="1751"/>
        <item x="2606"/>
        <item x="1580"/>
        <item x="3129"/>
        <item x="1891"/>
        <item x="730"/>
        <item x="2049"/>
        <item x="85"/>
        <item x="1016"/>
        <item x="2051"/>
        <item x="1573"/>
        <item x="86"/>
        <item x="87"/>
        <item x="1752"/>
        <item x="3130"/>
        <item x="2301"/>
        <item x="2605"/>
        <item x="1436"/>
        <item x="1755"/>
        <item x="954"/>
        <item x="728"/>
        <item x="3213"/>
        <item x="3131"/>
        <item x="1137"/>
        <item x="955"/>
        <item x="2002"/>
        <item x="3212"/>
        <item x="1994"/>
        <item x="1315"/>
        <item x="1167"/>
        <item x="469"/>
        <item x="471"/>
        <item x="729"/>
        <item x="1313"/>
        <item x="1314"/>
        <item x="2607"/>
        <item x="2058"/>
        <item x="3299"/>
        <item x="1754"/>
        <item x="1753"/>
        <item x="3298"/>
        <item x="2665"/>
        <item x="1320"/>
        <item x="88"/>
        <item x="1999"/>
        <item x="2608"/>
        <item x="470"/>
        <item x="2145"/>
        <item x="2146"/>
        <item x="214"/>
        <item x="2661"/>
        <item x="2144"/>
        <item x="3137"/>
        <item x="3134"/>
        <item x="3133"/>
        <item x="2667"/>
        <item x="2052"/>
        <item x="3132"/>
        <item x="91"/>
        <item x="323"/>
        <item x="615"/>
        <item x="2758"/>
        <item x="612"/>
        <item x="1179"/>
        <item x="2666"/>
        <item x="2761"/>
        <item x="218"/>
        <item x="336"/>
        <item x="1998"/>
        <item x="3135"/>
        <item x="216"/>
        <item x="3136"/>
        <item x="634"/>
        <item x="1560"/>
        <item x="324"/>
        <item x="3424"/>
        <item x="1181"/>
        <item x="1561"/>
        <item x="956"/>
        <item x="1892"/>
        <item x="1136"/>
        <item x="635"/>
        <item x="475"/>
        <item x="327"/>
        <item x="2664"/>
        <item x="476"/>
        <item x="892"/>
        <item x="1579"/>
        <item x="217"/>
        <item x="1318"/>
        <item x="3425"/>
        <item x="894"/>
        <item x="215"/>
        <item x="2763"/>
        <item x="611"/>
        <item x="2149"/>
        <item x="2299"/>
        <item x="2148"/>
        <item x="957"/>
        <item x="219"/>
        <item x="2759"/>
        <item x="224"/>
        <item x="3427"/>
        <item x="90"/>
        <item x="958"/>
        <item x="1138"/>
        <item x="325"/>
        <item x="1896"/>
        <item x="1893"/>
        <item x="2147"/>
        <item x="329"/>
        <item x="1319"/>
        <item x="1577"/>
        <item x="1562"/>
        <item x="2610"/>
        <item x="636"/>
        <item x="934"/>
        <item x="331"/>
        <item x="2150"/>
        <item x="3216"/>
        <item x="1894"/>
        <item x="89"/>
        <item x="3504"/>
        <item x="1895"/>
        <item x="1904"/>
        <item x="613"/>
        <item x="2151"/>
        <item x="1897"/>
        <item x="1578"/>
        <item x="3426"/>
        <item x="900"/>
        <item x="1182"/>
        <item x="2059"/>
        <item x="1900"/>
        <item x="3428"/>
        <item x="326"/>
        <item x="328"/>
        <item x="220"/>
        <item x="2668"/>
        <item x="1184"/>
        <item x="897"/>
        <item x="898"/>
        <item x="2611"/>
        <item x="3138"/>
        <item x="896"/>
        <item x="893"/>
        <item x="1905"/>
        <item x="1168"/>
        <item x="2760"/>
        <item x="2300"/>
        <item x="3429"/>
        <item x="1563"/>
        <item x="337"/>
        <item x="2053"/>
        <item x="1898"/>
        <item x="3437"/>
        <item x="2762"/>
        <item x="472"/>
        <item x="1581"/>
        <item x="1180"/>
        <item x="2796"/>
        <item x="1634"/>
        <item x="1438"/>
        <item x="1899"/>
        <item x="2609"/>
        <item x="2302"/>
        <item x="330"/>
        <item x="333"/>
        <item x="1637"/>
        <item x="3508"/>
        <item x="2522"/>
        <item x="2054"/>
        <item x="1757"/>
        <item x="614"/>
        <item x="902"/>
        <item x="3507"/>
        <item x="2523"/>
        <item x="641"/>
        <item x="2671"/>
        <item x="2152"/>
        <item x="1186"/>
        <item x="2764"/>
        <item x="1183"/>
        <item x="1188"/>
        <item x="646"/>
        <item x="1564"/>
        <item x="895"/>
        <item x="849"/>
        <item x="335"/>
        <item x="1636"/>
        <item x="899"/>
        <item x="2612"/>
        <item x="1144"/>
        <item x="2805"/>
        <item x="3505"/>
        <item x="3302"/>
        <item x="2001"/>
        <item x="1582"/>
        <item x="904"/>
        <item x="2055"/>
        <item x="1760"/>
        <item x="3506"/>
        <item x="1565"/>
        <item x="1583"/>
        <item x="1639"/>
        <item x="332"/>
        <item x="3255"/>
        <item x="2303"/>
        <item x="1169"/>
        <item x="1187"/>
        <item x="1572"/>
        <item x="2524"/>
        <item x="1761"/>
        <item x="1139"/>
        <item x="1901"/>
        <item x="2526"/>
        <item x="3434"/>
        <item x="1566"/>
        <item x="2765"/>
        <item x="1902"/>
        <item x="2617"/>
        <item x="2670"/>
        <item x="1569"/>
        <item x="2154"/>
        <item x="1568"/>
        <item x="2313"/>
        <item x="901"/>
        <item x="2613"/>
        <item x="2153"/>
        <item x="3300"/>
        <item x="1170"/>
        <item x="3435"/>
        <item x="3523"/>
        <item x="639"/>
        <item x="2155"/>
        <item x="2798"/>
        <item x="2056"/>
        <item x="2618"/>
        <item x="3430"/>
        <item x="2614"/>
        <item x="2677"/>
        <item x="2797"/>
        <item x="2305"/>
        <item x="2310"/>
        <item x="2311"/>
        <item x="1763"/>
        <item x="905"/>
        <item x="906"/>
        <item x="2525"/>
        <item x="1570"/>
        <item x="959"/>
        <item x="1762"/>
        <item x="3217"/>
        <item x="2766"/>
        <item x="2775"/>
        <item x="3301"/>
        <item x="903"/>
        <item x="2616"/>
        <item x="1185"/>
        <item x="2304"/>
        <item x="2306"/>
        <item x="2669"/>
        <item x="2615"/>
        <item x="637"/>
        <item x="1189"/>
        <item x="1567"/>
        <item x="1765"/>
        <item x="2309"/>
        <item x="638"/>
        <item x="2057"/>
        <item x="1635"/>
        <item x="1584"/>
        <item x="2673"/>
        <item x="3257"/>
        <item x="2157"/>
        <item x="1764"/>
        <item x="2679"/>
        <item x="1587"/>
        <item x="1758"/>
        <item x="2160"/>
        <item x="1588"/>
        <item x="2799"/>
        <item x="1571"/>
        <item x="907"/>
        <item x="2158"/>
        <item x="2308"/>
        <item x="221"/>
        <item x="3254"/>
        <item x="1759"/>
        <item x="2675"/>
        <item x="3510"/>
        <item x="1585"/>
        <item x="1140"/>
        <item x="2307"/>
        <item x="2156"/>
        <item x="1586"/>
        <item x="1589"/>
        <item x="1766"/>
        <item x="3509"/>
        <item x="2672"/>
        <item x="1767"/>
        <item x="2619"/>
        <item x="1809"/>
        <item x="1768"/>
        <item x="2801"/>
        <item x="1141"/>
        <item x="1810"/>
        <item x="1770"/>
        <item x="1171"/>
        <item x="223"/>
        <item x="1591"/>
        <item x="222"/>
        <item x="3303"/>
        <item x="3306"/>
        <item x="3304"/>
        <item x="1590"/>
        <item x="640"/>
        <item x="2768"/>
        <item x="3313"/>
        <item x="1903"/>
        <item x="1638"/>
        <item x="2767"/>
        <item x="2620"/>
        <item x="3548"/>
        <item x="1592"/>
        <item x="3305"/>
        <item x="645"/>
        <item x="1146"/>
        <item x="643"/>
        <item x="3547"/>
        <item x="3431"/>
        <item x="473"/>
        <item x="642"/>
        <item x="3256"/>
        <item x="3307"/>
        <item x="2674"/>
        <item x="2159"/>
        <item x="1145"/>
        <item x="2774"/>
        <item x="1148"/>
        <item x="3258"/>
        <item x="2527"/>
        <item x="2312"/>
        <item x="644"/>
        <item x="2769"/>
        <item x="1644"/>
        <item x="2771"/>
        <item x="2060"/>
        <item x="1142"/>
        <item x="2061"/>
        <item x="1769"/>
        <item x="1647"/>
        <item x="2800"/>
        <item x="3549"/>
        <item x="1641"/>
        <item x="1190"/>
        <item x="1643"/>
        <item x="2676"/>
        <item x="943"/>
        <item x="3550"/>
        <item x="3308"/>
        <item x="2807"/>
        <item x="1147"/>
        <item x="929"/>
        <item x="1811"/>
        <item x="474"/>
        <item x="651"/>
        <item x="1191"/>
        <item x="653"/>
        <item x="3551"/>
        <item x="1143"/>
        <item x="2770"/>
        <item x="2533"/>
        <item x="1812"/>
        <item x="2678"/>
        <item x="2200"/>
        <item x="1342"/>
        <item x="577"/>
        <item x="2802"/>
        <item x="946"/>
        <item x="3439"/>
        <item x="933"/>
        <item x="3552"/>
        <item x="3259"/>
        <item x="1640"/>
        <item x="3511"/>
        <item x="931"/>
        <item x="2201"/>
        <item x="2803"/>
        <item x="2812"/>
        <item x="652"/>
        <item x="932"/>
        <item x="3512"/>
        <item x="648"/>
        <item x="1343"/>
        <item x="1648"/>
        <item x="937"/>
        <item x="2804"/>
        <item x="3515"/>
        <item x="2772"/>
        <item x="3260"/>
        <item x="1814"/>
        <item x="2202"/>
        <item x="2203"/>
        <item x="3271"/>
        <item x="2532"/>
        <item x="935"/>
        <item x="3546"/>
        <item x="2528"/>
        <item x="3261"/>
        <item x="1346"/>
        <item x="2529"/>
        <item x="928"/>
        <item x="1344"/>
        <item x="3262"/>
        <item x="2530"/>
        <item x="3554"/>
        <item x="1345"/>
        <item x="1149"/>
        <item x="936"/>
        <item x="930"/>
        <item x="2204"/>
        <item x="647"/>
        <item x="3263"/>
        <item x="3553"/>
        <item x="1645"/>
        <item x="1574"/>
        <item x="1359"/>
        <item x="3436"/>
        <item x="945"/>
        <item x="3264"/>
        <item x="2531"/>
        <item x="1650"/>
        <item x="1813"/>
        <item x="3516"/>
        <item x="1642"/>
        <item x="1358"/>
        <item x="1646"/>
        <item x="649"/>
        <item x="3270"/>
        <item x="1815"/>
        <item x="942"/>
        <item x="2211"/>
        <item x="1347"/>
        <item x="2205"/>
        <item x="939"/>
        <item x="3517"/>
        <item x="3265"/>
        <item x="3514"/>
        <item x="3513"/>
        <item x="3269"/>
        <item x="941"/>
        <item x="2210"/>
        <item x="2208"/>
        <item x="1348"/>
        <item x="908"/>
        <item x="2206"/>
        <item x="3266"/>
        <item x="1354"/>
        <item x="2534"/>
        <item x="2207"/>
        <item x="850"/>
        <item x="2535"/>
        <item x="1349"/>
        <item x="2214"/>
        <item x="3268"/>
        <item x="2773"/>
        <item x="2213"/>
        <item x="3267"/>
        <item x="3518"/>
        <item x="3561"/>
        <item x="1350"/>
        <item x="1352"/>
        <item x="1351"/>
        <item x="3310"/>
        <item x="1353"/>
        <item x="2258"/>
        <item x="3438"/>
        <item x="2257"/>
        <item x="3560"/>
        <item x="1459"/>
        <item x="3519"/>
        <item x="1460"/>
        <item x="938"/>
        <item x="3272"/>
        <item x="2806"/>
        <item x="3311"/>
        <item x="2259"/>
        <item x="2209"/>
        <item x="2216"/>
        <item x="1818"/>
        <item x="1817"/>
        <item x="940"/>
        <item x="1825"/>
        <item x="650"/>
        <item x="1816"/>
        <item x="1649"/>
        <item x="1819"/>
        <item x="2810"/>
        <item x="2808"/>
        <item x="2217"/>
        <item x="1822"/>
        <item x="1820"/>
        <item x="2809"/>
        <item x="2212"/>
        <item x="3559"/>
        <item x="1355"/>
        <item x="1614"/>
        <item x="1821"/>
        <item x="2811"/>
        <item x="1615"/>
        <item x="2215"/>
        <item x="3521"/>
        <item x="1823"/>
        <item x="1827"/>
        <item x="585"/>
        <item x="947"/>
        <item x="2218"/>
        <item x="580"/>
        <item x="3558"/>
        <item x="578"/>
        <item x="3557"/>
        <item x="3309"/>
        <item x="1"/>
        <item x="1618"/>
        <item x="1499"/>
        <item x="3555"/>
        <item x="2260"/>
        <item x="377"/>
        <item x="2261"/>
        <item x="0"/>
        <item x="2"/>
        <item x="3522"/>
        <item x="1824"/>
        <item x="1826"/>
        <item x="3520"/>
        <item x="1500"/>
        <item x="582"/>
        <item x="591"/>
        <item x="1616"/>
        <item x="1633"/>
        <item x="1617"/>
        <item x="2262"/>
        <item x="588"/>
        <item x="2536"/>
        <item x="1828"/>
        <item x="3556"/>
        <item x="378"/>
        <item x="2680"/>
        <item x="944"/>
        <item x="379"/>
        <item x="2263"/>
        <item x="1356"/>
        <item x="1513"/>
        <item x="3562"/>
        <item x="2268"/>
        <item x="579"/>
        <item x="1150"/>
        <item x="3273"/>
        <item x="1462"/>
        <item x="2266"/>
        <item x="589"/>
        <item x="3"/>
        <item x="584"/>
        <item x="3276"/>
        <item x="2814"/>
        <item x="1620"/>
        <item x="2815"/>
        <item x="3277"/>
        <item x="2269"/>
        <item x="2265"/>
        <item x="1619"/>
        <item x="1621"/>
        <item x="3274"/>
        <item x="3312"/>
        <item x="1622"/>
        <item x="2272"/>
        <item x="581"/>
        <item x="1357"/>
        <item x="2538"/>
        <item x="1461"/>
        <item x="2537"/>
        <item x="3275"/>
        <item x="1623"/>
        <item x="381"/>
        <item x="2264"/>
        <item x="380"/>
        <item x="3524"/>
        <item x="583"/>
        <item x="1467"/>
        <item x="2816"/>
        <item x="2817"/>
        <item x="2267"/>
        <item x="5"/>
        <item x="1469"/>
        <item x="1360"/>
        <item x="4"/>
        <item x="1466"/>
        <item x="2271"/>
        <item x="3525"/>
        <item x="2819"/>
        <item x="2823"/>
        <item x="590"/>
        <item x="6"/>
        <item x="2818"/>
        <item x="1464"/>
        <item x="1478"/>
        <item x="1465"/>
        <item x="1463"/>
        <item x="2539"/>
        <item x="1501"/>
        <item x="2350"/>
        <item x="1626"/>
        <item x="7"/>
        <item x="1505"/>
        <item x="8"/>
        <item x="1468"/>
        <item x="1471"/>
        <item x="1625"/>
        <item x="1504"/>
        <item x="382"/>
        <item x="1502"/>
        <item x="2270"/>
        <item x="9"/>
        <item x="3563"/>
        <item x="1628"/>
        <item x="1472"/>
        <item x="384"/>
        <item x="386"/>
        <item x="2822"/>
        <item x="387"/>
        <item x="3281"/>
        <item x="2353"/>
        <item x="3278"/>
        <item x="1624"/>
        <item x="385"/>
        <item x="383"/>
        <item x="2351"/>
        <item x="1651"/>
        <item x="10"/>
        <item x="3282"/>
        <item x="2352"/>
        <item x="2354"/>
        <item x="1508"/>
        <item x="2826"/>
        <item x="1503"/>
        <item x="3289"/>
        <item x="3292"/>
        <item x="2274"/>
        <item x="1627"/>
        <item x="2820"/>
        <item x="1507"/>
        <item x="3279"/>
        <item x="3280"/>
        <item x="2355"/>
        <item x="2827"/>
        <item x="2821"/>
        <item x="2833"/>
        <item x="2356"/>
        <item x="2273"/>
        <item x="1510"/>
        <item x="3283"/>
        <item x="1470"/>
        <item x="1473"/>
        <item x="3293"/>
        <item x="3285"/>
        <item x="2829"/>
        <item x="11"/>
        <item x="557"/>
        <item x="1630"/>
        <item x="1506"/>
        <item x="2358"/>
        <item x="2830"/>
        <item x="3564"/>
        <item x="3287"/>
        <item x="3288"/>
        <item x="3286"/>
        <item x="558"/>
        <item x="1509"/>
        <item x="586"/>
        <item x="3291"/>
        <item x="3284"/>
        <item x="1475"/>
        <item x="587"/>
        <item x="2360"/>
        <item x="1926"/>
        <item x="1632"/>
        <item x="1629"/>
        <item x="2824"/>
        <item x="15"/>
        <item x="2825"/>
        <item x="2359"/>
        <item x="389"/>
        <item x="3290"/>
        <item x="1511"/>
        <item x="2831"/>
        <item x="388"/>
        <item x="861"/>
        <item x="390"/>
        <item x="2841"/>
        <item x="16"/>
        <item x="1474"/>
        <item x="2362"/>
        <item x="2357"/>
        <item x="2834"/>
        <item x="852"/>
        <item x="2828"/>
        <item x="2363"/>
        <item x="1924"/>
        <item x="1927"/>
        <item x="12"/>
        <item x="394"/>
        <item x="14"/>
        <item x="1477"/>
        <item x="1928"/>
        <item x="391"/>
        <item x="2832"/>
        <item x="13"/>
        <item x="1631"/>
        <item x="1925"/>
        <item x="395"/>
        <item x="2367"/>
        <item x="2365"/>
        <item x="1515"/>
        <item x="2364"/>
        <item x="2366"/>
        <item x="559"/>
        <item x="979"/>
        <item x="2361"/>
        <item x="851"/>
        <item x="1941"/>
        <item x="858"/>
        <item x="3566"/>
        <item x="1512"/>
        <item x="560"/>
        <item x="561"/>
        <item x="2369"/>
        <item x="1514"/>
        <item x="1930"/>
        <item x="1929"/>
        <item x="572"/>
        <item x="980"/>
        <item x="2835"/>
        <item x="2928"/>
        <item x="869"/>
        <item x="1517"/>
        <item x="2929"/>
        <item x="1931"/>
        <item x="2368"/>
        <item x="2540"/>
        <item x="593"/>
        <item x="392"/>
        <item x="3565"/>
        <item x="853"/>
        <item x="1934"/>
        <item x="870"/>
        <item x="563"/>
        <item x="854"/>
        <item x="396"/>
        <item x="863"/>
        <item x="567"/>
        <item x="1476"/>
        <item x="855"/>
        <item x="871"/>
        <item x="562"/>
        <item x="1932"/>
        <item x="1289"/>
        <item x="856"/>
        <item x="1933"/>
        <item x="2840"/>
        <item x="1935"/>
        <item x="866"/>
        <item x="2836"/>
        <item x="1516"/>
        <item x="2023"/>
        <item x="2931"/>
        <item x="569"/>
        <item x="1936"/>
        <item x="857"/>
        <item x="873"/>
        <item x="2930"/>
        <item x="573"/>
        <item x="2932"/>
        <item x="2837"/>
        <item x="565"/>
        <item x="592"/>
        <item x="875"/>
        <item x="2024"/>
        <item x="859"/>
        <item x="566"/>
        <item x="872"/>
        <item x="564"/>
        <item x="2933"/>
        <item x="2936"/>
        <item x="568"/>
        <item x="2934"/>
        <item x="17"/>
        <item x="874"/>
        <item x="1943"/>
        <item x="2935"/>
        <item x="997"/>
        <item x="1290"/>
        <item x="2123"/>
        <item x="860"/>
        <item x="2842"/>
        <item x="1939"/>
        <item x="2466"/>
        <item x="1291"/>
        <item x="2937"/>
        <item x="981"/>
        <item x="2843"/>
        <item x="2938"/>
        <item x="393"/>
        <item x="1937"/>
        <item x="1151"/>
        <item x="1152"/>
        <item x="2467"/>
        <item x="2813"/>
        <item x="2468"/>
        <item x="864"/>
        <item x="877"/>
        <item x="2025"/>
        <item x="1938"/>
        <item x="18"/>
        <item x="982"/>
        <item x="862"/>
        <item x="2939"/>
        <item x="2470"/>
        <item x="2838"/>
        <item x="2026"/>
        <item x="2124"/>
        <item x="881"/>
        <item x="865"/>
        <item x="878"/>
        <item x="1942"/>
        <item x="879"/>
        <item x="2844"/>
        <item x="880"/>
        <item x="2126"/>
        <item x="2469"/>
        <item x="2871"/>
        <item x="2870"/>
        <item x="2478"/>
        <item x="2027"/>
        <item x="1292"/>
        <item x="2872"/>
        <item x="2849"/>
        <item x="983"/>
        <item x="2199"/>
        <item x="2941"/>
        <item x="2839"/>
        <item x="2127"/>
        <item x="2125"/>
        <item x="2940"/>
        <item x="1479"/>
        <item x="2028"/>
        <item x="1694"/>
        <item x="882"/>
        <item x="2029"/>
        <item x="876"/>
        <item x="2848"/>
        <item x="3354"/>
        <item x="2875"/>
        <item x="3355"/>
        <item x="1940"/>
        <item x="2131"/>
        <item x="985"/>
        <item x="2873"/>
        <item x="2128"/>
        <item x="2471"/>
        <item x="2030"/>
        <item x="2874"/>
        <item x="1293"/>
        <item x="2031"/>
        <item x="2132"/>
        <item x="867"/>
        <item x="2034"/>
        <item x="2033"/>
        <item x="2032"/>
        <item x="1480"/>
        <item x="169"/>
        <item x="2390"/>
        <item x="2876"/>
        <item x="2943"/>
        <item x="984"/>
        <item x="2129"/>
        <item x="2035"/>
        <item x="2036"/>
        <item x="2037"/>
        <item x="2942"/>
        <item x="171"/>
        <item x="2541"/>
        <item x="2847"/>
        <item x="2877"/>
        <item x="2472"/>
        <item x="2038"/>
        <item x="594"/>
        <item x="2130"/>
        <item x="886"/>
        <item x="2878"/>
        <item x="2473"/>
        <item x="887"/>
        <item x="2391"/>
        <item x="2039"/>
        <item x="170"/>
        <item x="2040"/>
        <item x="172"/>
        <item x="1594"/>
        <item x="2911"/>
        <item x="884"/>
        <item x="3356"/>
        <item x="570"/>
        <item x="2910"/>
        <item x="2476"/>
        <item x="2846"/>
        <item x="2482"/>
        <item x="986"/>
        <item x="989"/>
        <item x="2136"/>
        <item x="988"/>
        <item x="173"/>
        <item x="2135"/>
        <item x="2477"/>
        <item x="2133"/>
        <item x="2475"/>
        <item x="991"/>
        <item x="1595"/>
        <item x="2880"/>
        <item x="2474"/>
        <item x="2392"/>
        <item x="2042"/>
        <item x="2138"/>
        <item x="2879"/>
        <item x="2484"/>
        <item x="2882"/>
        <item x="1304"/>
        <item x="2140"/>
        <item x="885"/>
        <item x="2912"/>
        <item x="2913"/>
        <item x="2881"/>
        <item x="2483"/>
        <item x="574"/>
        <item x="1964"/>
        <item x="987"/>
        <item x="2481"/>
        <item x="990"/>
        <item x="993"/>
        <item x="2137"/>
        <item x="994"/>
        <item x="2134"/>
        <item x="3357"/>
        <item x="2946"/>
        <item x="571"/>
        <item x="693"/>
        <item x="2139"/>
        <item x="3361"/>
        <item x="992"/>
        <item x="2479"/>
        <item x="2397"/>
        <item x="1539"/>
        <item x="883"/>
        <item x="694"/>
        <item x="695"/>
        <item x="868"/>
        <item x="1482"/>
        <item x="1538"/>
        <item x="1294"/>
        <item x="2393"/>
        <item x="2480"/>
        <item x="2845"/>
        <item x="995"/>
        <item x="1541"/>
        <item x="2398"/>
        <item x="2041"/>
        <item x="1596"/>
        <item x="3359"/>
        <item x="2883"/>
        <item x="2394"/>
        <item x="3461"/>
        <item x="1540"/>
        <item x="3358"/>
        <item x="1381"/>
        <item x="2884"/>
        <item x="2914"/>
        <item x="2888"/>
        <item x="2582"/>
        <item x="1965"/>
        <item x="2889"/>
        <item x="3332"/>
        <item x="2885"/>
        <item x="1696"/>
        <item x="2395"/>
        <item x="2887"/>
        <item x="1060"/>
        <item x="2915"/>
        <item x="2886"/>
        <item x="1307"/>
        <item x="3360"/>
        <item x="3475"/>
        <item x="2585"/>
        <item x="1700"/>
        <item x="888"/>
        <item x="2583"/>
        <item x="1059"/>
        <item x="1597"/>
        <item x="1697"/>
        <item x="183"/>
        <item x="3462"/>
        <item x="2916"/>
        <item x="996"/>
        <item x="1299"/>
        <item x="2396"/>
        <item x="1966"/>
        <item x="2584"/>
        <item x="2485"/>
        <item x="1483"/>
        <item x="3463"/>
        <item x="3480"/>
        <item x="1298"/>
        <item x="1382"/>
        <item x="2944"/>
        <item x="3333"/>
        <item x="3335"/>
        <item x="3334"/>
        <item x="1695"/>
        <item x="1296"/>
        <item x="1967"/>
        <item x="2142"/>
        <item x="2945"/>
        <item x="1297"/>
        <item x="2141"/>
        <item x="3464"/>
        <item x="281"/>
        <item x="3336"/>
        <item x="1302"/>
        <item x="1383"/>
        <item x="1384"/>
        <item x="1388"/>
        <item x="2600"/>
        <item x="1386"/>
        <item x="3362"/>
        <item x="2399"/>
        <item x="1300"/>
        <item x="1295"/>
        <item x="1599"/>
        <item x="1385"/>
        <item x="2917"/>
        <item x="283"/>
        <item x="3337"/>
        <item x="3465"/>
        <item x="1969"/>
        <item x="1600"/>
        <item x="1387"/>
        <item x="1495"/>
        <item x="2918"/>
        <item x="2586"/>
        <item x="1301"/>
        <item x="696"/>
        <item x="3363"/>
        <item x="1542"/>
        <item x="2921"/>
        <item x="1698"/>
        <item x="1968"/>
        <item x="282"/>
        <item x="1598"/>
        <item x="2919"/>
        <item x="1970"/>
        <item x="3372"/>
        <item x="1488"/>
        <item x="1699"/>
        <item x="698"/>
        <item x="284"/>
        <item x="2920"/>
        <item x="3364"/>
        <item x="2922"/>
        <item x="3365"/>
        <item x="3338"/>
        <item x="3471"/>
        <item x="1076"/>
        <item x="2589"/>
        <item x="3339"/>
        <item x="517"/>
        <item x="1702"/>
        <item x="1389"/>
        <item x="1485"/>
        <item x="1481"/>
        <item x="1061"/>
        <item x="2590"/>
        <item x="1303"/>
        <item x="3366"/>
        <item x="178"/>
        <item x="2401"/>
        <item x="1604"/>
        <item x="1701"/>
        <item x="2407"/>
        <item x="2587"/>
        <item x="174"/>
        <item x="176"/>
        <item x="2400"/>
        <item x="175"/>
        <item x="1971"/>
        <item x="1115"/>
        <item x="2588"/>
        <item x="1608"/>
        <item x="1972"/>
        <item x="1117"/>
        <item x="2593"/>
        <item x="1116"/>
        <item x="697"/>
        <item x="595"/>
        <item x="177"/>
        <item x="1062"/>
        <item x="3374"/>
        <item x="1398"/>
        <item x="1704"/>
        <item x="575"/>
        <item x="3466"/>
        <item x="518"/>
        <item x="3467"/>
        <item x="181"/>
        <item x="519"/>
        <item x="3236"/>
        <item x="1602"/>
        <item x="2591"/>
        <item x="1601"/>
        <item x="22"/>
        <item x="1546"/>
        <item x="2406"/>
        <item x="1492"/>
        <item x="998"/>
        <item x="1063"/>
        <item x="2404"/>
        <item x="1609"/>
        <item x="3468"/>
        <item x="1973"/>
        <item x="1486"/>
        <item x="2925"/>
        <item x="21"/>
        <item x="1305"/>
        <item x="1612"/>
        <item x="2402"/>
        <item x="2592"/>
        <item x="2924"/>
        <item x="3375"/>
        <item x="2403"/>
        <item x="20"/>
        <item x="1547"/>
        <item x="1605"/>
        <item x="1703"/>
        <item x="1611"/>
        <item x="1603"/>
        <item x="1606"/>
        <item x="285"/>
        <item x="521"/>
        <item x="179"/>
        <item x="520"/>
        <item x="3341"/>
        <item x="185"/>
        <item x="37"/>
        <item x="1065"/>
        <item x="1610"/>
        <item x="1543"/>
        <item x="1974"/>
        <item x="1976"/>
        <item x="1975"/>
        <item x="1706"/>
        <item x="1066"/>
        <item x="1391"/>
        <item x="3470"/>
        <item x="187"/>
        <item x="2926"/>
        <item x="1484"/>
        <item x="3252"/>
        <item x="3342"/>
        <item x="3340"/>
        <item x="3367"/>
        <item x="1489"/>
        <item x="2405"/>
        <item x="184"/>
        <item x="3469"/>
        <item x="1397"/>
        <item x="1392"/>
        <item x="2370"/>
        <item x="1978"/>
        <item x="1544"/>
        <item x="1393"/>
        <item x="3253"/>
        <item x="3239"/>
        <item x="1306"/>
        <item x="186"/>
        <item x="2923"/>
        <item x="700"/>
        <item x="3343"/>
        <item x="3373"/>
        <item x="3238"/>
        <item x="1396"/>
        <item x="3237"/>
        <item x="2594"/>
        <item x="3345"/>
        <item x="1980"/>
        <item x="1545"/>
        <item x="711"/>
        <item x="1394"/>
        <item x="1395"/>
        <item x="1119"/>
        <item x="1067"/>
        <item x="1983"/>
        <item x="1708"/>
        <item x="2408"/>
        <item x="1487"/>
        <item x="3240"/>
        <item x="3344"/>
        <item x="2595"/>
        <item x="286"/>
        <item x="1118"/>
        <item x="3347"/>
        <item x="703"/>
        <item x="1977"/>
        <item x="1553"/>
        <item x="1705"/>
        <item x="1390"/>
        <item x="23"/>
        <item x="1548"/>
        <item x="1490"/>
        <item x="1652"/>
        <item x="3370"/>
        <item x="1552"/>
        <item x="2927"/>
        <item x="1064"/>
        <item x="3346"/>
        <item x="2428"/>
        <item x="3482"/>
        <item x="3241"/>
        <item x="2371"/>
        <item x="287"/>
        <item x="1979"/>
        <item x="702"/>
        <item x="1068"/>
        <item x="3242"/>
        <item x="131"/>
        <item x="2372"/>
        <item x="704"/>
        <item x="1554"/>
        <item x="24"/>
        <item x="2596"/>
        <item x="1120"/>
        <item x="712"/>
        <item x="699"/>
        <item x="288"/>
        <item x="132"/>
        <item x="3368"/>
        <item x="701"/>
        <item x="1122"/>
        <item x="3244"/>
        <item x="180"/>
        <item x="1121"/>
        <item x="3243"/>
        <item x="289"/>
        <item x="1549"/>
        <item x="1069"/>
        <item x="1493"/>
        <item x="3369"/>
        <item x="1607"/>
        <item x="2429"/>
        <item x="3351"/>
        <item x="3473"/>
        <item x="2373"/>
        <item x="3477"/>
        <item x="3247"/>
        <item x="1131"/>
        <item x="1491"/>
        <item x="1707"/>
        <item x="1123"/>
        <item x="2430"/>
        <item x="1981"/>
        <item x="1613"/>
        <item x="2375"/>
        <item x="3472"/>
        <item x="2374"/>
        <item x="2597"/>
        <item x="397"/>
        <item x="3314"/>
        <item x="2376"/>
        <item x="401"/>
        <item x="3245"/>
        <item x="2377"/>
        <item x="182"/>
        <item x="3249"/>
        <item x="3315"/>
        <item x="3251"/>
        <item x="2432"/>
        <item x="26"/>
        <item x="32"/>
        <item x="1551"/>
        <item x="133"/>
        <item x="1124"/>
        <item x="290"/>
        <item x="25"/>
        <item x="1125"/>
        <item x="706"/>
        <item x="3158"/>
        <item x="707"/>
        <item x="522"/>
        <item x="27"/>
        <item x="3161"/>
        <item x="3353"/>
        <item x="1126"/>
        <item x="3159"/>
        <item x="3481"/>
        <item x="3160"/>
        <item x="36"/>
        <item x="1070"/>
        <item x="134"/>
        <item x="2598"/>
        <item x="398"/>
        <item x="1071"/>
        <item x="705"/>
        <item x="527"/>
        <item x="524"/>
        <item x="297"/>
        <item x="1982"/>
        <item x="1073"/>
        <item x="2385"/>
        <item x="525"/>
        <item x="523"/>
        <item x="400"/>
        <item x="291"/>
        <item x="528"/>
        <item x="2435"/>
        <item x="2433"/>
        <item x="2850"/>
        <item x="2431"/>
        <item x="3246"/>
        <item x="526"/>
        <item x="2434"/>
        <item x="38"/>
        <item x="2378"/>
        <item x="29"/>
        <item x="3248"/>
        <item x="2868"/>
        <item x="3474"/>
        <item x="399"/>
        <item x="30"/>
        <item x="529"/>
        <item x="2436"/>
        <item x="3348"/>
        <item x="35"/>
        <item x="1072"/>
        <item x="1128"/>
        <item x="2701"/>
        <item x="3316"/>
        <item x="1127"/>
        <item x="2851"/>
        <item x="3317"/>
        <item x="2379"/>
        <item x="135"/>
        <item x="1494"/>
        <item x="3162"/>
        <item x="2852"/>
        <item x="28"/>
        <item x="1497"/>
        <item x="530"/>
        <item x="2890"/>
        <item x="31"/>
        <item x="532"/>
        <item x="2853"/>
        <item x="2237"/>
        <item x="1550"/>
        <item x="3250"/>
        <item x="531"/>
        <item x="1074"/>
        <item x="2387"/>
        <item x="1498"/>
        <item x="294"/>
        <item x="2867"/>
        <item x="3163"/>
        <item x="296"/>
        <item x="295"/>
        <item x="2702"/>
        <item x="33"/>
        <item x="1399"/>
        <item x="40"/>
        <item x="1709"/>
        <item x="293"/>
        <item x="2380"/>
        <item x="2382"/>
        <item x="708"/>
        <item x="2381"/>
        <item x="1944"/>
        <item x="417"/>
        <item x="42"/>
        <item x="2383"/>
        <item x="34"/>
        <item x="413"/>
        <item x="2384"/>
        <item x="2238"/>
        <item x="39"/>
        <item x="2599"/>
        <item x="2389"/>
        <item x="2892"/>
        <item x="1518"/>
        <item x="2777"/>
        <item x="3476"/>
        <item x="2776"/>
        <item x="137"/>
        <item x="418"/>
        <item x="3165"/>
        <item x="402"/>
        <item x="404"/>
        <item x="710"/>
        <item x="403"/>
        <item x="419"/>
        <item x="292"/>
        <item x="2331"/>
        <item x="2893"/>
        <item x="1710"/>
        <item x="415"/>
        <item x="1945"/>
        <item x="2778"/>
        <item x="3164"/>
        <item x="2703"/>
        <item x="2439"/>
        <item x="2388"/>
        <item x="298"/>
        <item x="136"/>
        <item x="3319"/>
        <item x="1129"/>
        <item x="2854"/>
        <item x="533"/>
        <item x="3371"/>
        <item x="299"/>
        <item x="2779"/>
        <item x="1400"/>
        <item x="2780"/>
        <item x="1133"/>
        <item x="536"/>
        <item x="2856"/>
        <item x="2332"/>
        <item x="408"/>
        <item x="2865"/>
        <item x="2386"/>
        <item x="2855"/>
        <item x="2861"/>
        <item x="41"/>
        <item x="1075"/>
        <item x="1536"/>
        <item x="3318"/>
        <item x="3349"/>
        <item x="1130"/>
        <item x="2860"/>
        <item x="420"/>
        <item x="43"/>
        <item x="138"/>
        <item x="405"/>
        <item x="2437"/>
        <item x="2438"/>
        <item x="2857"/>
        <item x="2333"/>
        <item x="421"/>
        <item x="406"/>
        <item x="676"/>
        <item x="1519"/>
        <item x="1496"/>
        <item x="2894"/>
        <item x="139"/>
        <item x="3569"/>
        <item x="1231"/>
        <item x="2781"/>
        <item x="2705"/>
        <item x="407"/>
        <item x="674"/>
        <item x="2869"/>
        <item x="2704"/>
        <item x="2891"/>
        <item x="2895"/>
        <item x="140"/>
        <item x="3166"/>
        <item x="3329"/>
        <item x="2896"/>
        <item x="2340"/>
        <item x="1535"/>
        <item x="2239"/>
        <item x="3350"/>
        <item x="2863"/>
        <item x="2858"/>
        <item x="1946"/>
        <item x="3177"/>
        <item x="2859"/>
        <item x="2240"/>
        <item x="2241"/>
        <item x="414"/>
        <item x="44"/>
        <item x="2862"/>
        <item x="3321"/>
        <item x="2338"/>
        <item x="3567"/>
        <item x="3323"/>
        <item x="3167"/>
        <item x="3320"/>
        <item x="1520"/>
        <item x="1731"/>
        <item x="3352"/>
        <item x="2897"/>
        <item x="1555"/>
        <item x="2242"/>
        <item x="3324"/>
        <item x="1952"/>
        <item x="141"/>
        <item x="1947"/>
        <item x="3571"/>
        <item x="2782"/>
        <item x="1948"/>
        <item x="3169"/>
        <item x="1962"/>
        <item x="2900"/>
        <item x="675"/>
        <item x="3171"/>
        <item x="261"/>
        <item x="3568"/>
        <item x="2337"/>
        <item x="1950"/>
        <item x="1949"/>
        <item x="1132"/>
        <item x="3168"/>
        <item x="410"/>
        <item x="2334"/>
        <item x="3176"/>
        <item x="1960"/>
        <item x="1232"/>
        <item x="2706"/>
        <item x="262"/>
        <item x="3327"/>
        <item x="3170"/>
        <item x="2785"/>
        <item x="46"/>
        <item x="3570"/>
        <item x="1233"/>
        <item x="416"/>
        <item x="3172"/>
        <item x="3478"/>
        <item x="263"/>
        <item x="2707"/>
        <item x="409"/>
        <item x="709"/>
        <item x="2783"/>
        <item x="2898"/>
        <item x="535"/>
        <item x="2903"/>
        <item x="2335"/>
        <item x="2708"/>
        <item x="422"/>
        <item x="2709"/>
        <item x="1521"/>
        <item x="2711"/>
        <item x="1954"/>
        <item x="1735"/>
        <item x="2901"/>
        <item x="2784"/>
        <item x="2790"/>
        <item x="2712"/>
        <item x="1732"/>
        <item x="1234"/>
        <item x="142"/>
        <item x="3479"/>
        <item x="264"/>
        <item x="2899"/>
        <item x="45"/>
        <item x="2710"/>
        <item x="3325"/>
        <item x="1953"/>
        <item x="2336"/>
        <item x="1951"/>
        <item x="54"/>
        <item x="2786"/>
        <item x="2444"/>
        <item x="47"/>
        <item x="3174"/>
        <item x="2788"/>
        <item x="2244"/>
        <item x="2246"/>
        <item x="1733"/>
        <item x="2902"/>
        <item x="1734"/>
        <item x="265"/>
        <item x="2909"/>
        <item x="2250"/>
        <item x="2341"/>
        <item x="1749"/>
        <item x="48"/>
        <item x="49"/>
        <item x="2789"/>
        <item x="3173"/>
        <item x="3175"/>
        <item x="2905"/>
        <item x="1958"/>
        <item x="2243"/>
        <item x="2339"/>
        <item x="2864"/>
        <item x="1955"/>
        <item x="691"/>
        <item x="3322"/>
        <item x="2721"/>
        <item x="2904"/>
        <item x="2718"/>
        <item x="1522"/>
        <item x="576"/>
        <item x="1956"/>
        <item x="2342"/>
        <item x="2722"/>
        <item x="2787"/>
        <item x="53"/>
        <item x="50"/>
        <item x="677"/>
        <item x="2908"/>
        <item x="2792"/>
        <item x="534"/>
        <item x="144"/>
        <item x="2719"/>
        <item x="2724"/>
        <item x="3178"/>
        <item x="143"/>
        <item x="2245"/>
        <item x="2791"/>
        <item x="2713"/>
        <item x="2906"/>
        <item x="1959"/>
        <item x="1653"/>
        <item x="2343"/>
        <item x="2720"/>
        <item x="2247"/>
        <item x="2441"/>
        <item x="1524"/>
        <item x="2714"/>
        <item x="2249"/>
        <item x="3179"/>
        <item x="2723"/>
        <item x="2440"/>
        <item x="2346"/>
        <item x="1961"/>
        <item x="961"/>
        <item x="2248"/>
        <item x="2907"/>
        <item x="2725"/>
        <item x="51"/>
        <item x="2221"/>
        <item x="2251"/>
        <item x="52"/>
        <item x="1523"/>
        <item x="2234"/>
        <item x="3044"/>
        <item x="2717"/>
        <item x="1525"/>
        <item x="2866"/>
        <item x="2794"/>
        <item x="1957"/>
        <item x="2715"/>
        <item x="3180"/>
        <item x="148"/>
        <item x="2716"/>
        <item x="2349"/>
        <item x="2793"/>
        <item x="962"/>
        <item x="1235"/>
        <item x="1527"/>
        <item x="1736"/>
        <item x="1537"/>
        <item x="411"/>
        <item x="3572"/>
        <item x="1526"/>
        <item x="146"/>
        <item x="2344"/>
        <item x="55"/>
        <item x="3043"/>
        <item x="963"/>
        <item x="2219"/>
        <item x="266"/>
        <item x="302"/>
        <item x="3574"/>
        <item x="2442"/>
        <item x="2223"/>
        <item x="430"/>
        <item x="2220"/>
        <item x="2345"/>
        <item x="3181"/>
        <item x="1593"/>
        <item x="301"/>
        <item x="3182"/>
        <item x="427"/>
        <item x="300"/>
        <item x="1236"/>
        <item x="2795"/>
        <item x="2446"/>
        <item x="1237"/>
        <item x="1238"/>
        <item x="1737"/>
        <item x="147"/>
        <item x="3183"/>
        <item x="1239"/>
        <item x="2443"/>
        <item x="423"/>
        <item x="424"/>
        <item x="303"/>
        <item x="145"/>
        <item x="428"/>
        <item x="3573"/>
        <item x="434"/>
        <item x="2726"/>
        <item x="1738"/>
        <item x="2254"/>
        <item x="733"/>
        <item x="429"/>
        <item x="425"/>
        <item x="435"/>
        <item x="964"/>
        <item x="431"/>
        <item x="735"/>
        <item x="1240"/>
        <item x="3326"/>
        <item x="2222"/>
        <item x="2348"/>
        <item x="3578"/>
        <item x="1744"/>
        <item x="3184"/>
        <item x="2727"/>
        <item x="679"/>
        <item x="1739"/>
        <item x="1740"/>
        <item x="2728"/>
        <item x="426"/>
        <item x="2731"/>
        <item x="1741"/>
        <item x="1528"/>
        <item x="56"/>
        <item x="412"/>
        <item x="3575"/>
        <item x="678"/>
        <item x="3185"/>
        <item x="3576"/>
        <item x="3579"/>
        <item x="267"/>
        <item x="1246"/>
        <item x="680"/>
        <item x="965"/>
        <item x="1748"/>
        <item x="3577"/>
        <item x="2232"/>
        <item x="304"/>
        <item x="3046"/>
        <item x="3191"/>
        <item x="1241"/>
        <item x="734"/>
        <item x="1742"/>
        <item x="2729"/>
        <item x="1743"/>
        <item x="3045"/>
        <item x="2730"/>
        <item x="2226"/>
        <item x="1529"/>
        <item x="1242"/>
        <item x="1243"/>
        <item x="3328"/>
        <item x="1745"/>
        <item x="683"/>
        <item x="3187"/>
        <item x="2255"/>
        <item x="3186"/>
        <item x="1402"/>
        <item x="2448"/>
        <item x="1401"/>
        <item x="681"/>
        <item x="1244"/>
        <item x="3188"/>
        <item x="2253"/>
        <item x="3189"/>
        <item x="2252"/>
        <item x="2224"/>
        <item x="682"/>
        <item x="2732"/>
        <item x="3190"/>
        <item x="1531"/>
        <item x="268"/>
        <item x="1245"/>
        <item x="1530"/>
        <item x="2233"/>
        <item x="2225"/>
        <item x="736"/>
        <item x="269"/>
        <item x="3192"/>
        <item x="737"/>
        <item x="966"/>
        <item x="1247"/>
        <item x="3195"/>
        <item x="1248"/>
        <item x="684"/>
        <item x="2447"/>
        <item x="270"/>
        <item x="1746"/>
        <item x="2228"/>
        <item x="1747"/>
        <item x="436"/>
        <item x="3330"/>
        <item x="3197"/>
        <item x="968"/>
        <item x="2452"/>
        <item x="967"/>
        <item x="3580"/>
        <item x="1532"/>
        <item x="3193"/>
        <item x="3051"/>
        <item x="271"/>
        <item x="969"/>
        <item x="685"/>
        <item x="2229"/>
        <item x="3582"/>
        <item x="2236"/>
        <item x="2347"/>
        <item x="3049"/>
        <item x="3052"/>
        <item x="2734"/>
        <item x="686"/>
        <item x="1533"/>
        <item x="2733"/>
        <item x="1534"/>
        <item x="3048"/>
        <item x="273"/>
        <item x="3047"/>
        <item x="2227"/>
        <item x="57"/>
        <item x="2449"/>
        <item x="3194"/>
        <item x="2738"/>
        <item x="272"/>
        <item x="1403"/>
        <item x="3196"/>
        <item x="2230"/>
        <item x="687"/>
        <item x="1963"/>
        <item x="1249"/>
        <item x="2235"/>
        <item x="2735"/>
        <item x="3056"/>
        <item x="1867"/>
        <item x="2451"/>
        <item x="2736"/>
        <item x="2450"/>
        <item x="970"/>
        <item x="305"/>
        <item x="1750"/>
        <item x="2739"/>
        <item x="2231"/>
        <item x="1404"/>
        <item x="3331"/>
        <item x="315"/>
        <item x="1361"/>
        <item x="306"/>
        <item x="2275"/>
        <item x="3053"/>
        <item x="739"/>
        <item x="2293"/>
        <item x="2460"/>
        <item x="688"/>
        <item x="1250"/>
        <item x="432"/>
        <item x="316"/>
        <item x="3054"/>
        <item x="3050"/>
        <item x="1367"/>
        <item x="2737"/>
        <item x="317"/>
        <item x="307"/>
        <item x="3581"/>
        <item x="2458"/>
        <item x="1868"/>
        <item x="275"/>
        <item x="274"/>
        <item x="2276"/>
        <item x="2453"/>
        <item x="2278"/>
        <item x="1095"/>
        <item x="3583"/>
        <item x="971"/>
        <item x="2277"/>
        <item x="974"/>
        <item x="1870"/>
        <item x="972"/>
        <item x="973"/>
        <item x="1405"/>
        <item x="744"/>
        <item x="2279"/>
        <item x="2459"/>
        <item x="738"/>
        <item x="1408"/>
        <item x="1406"/>
        <item x="741"/>
        <item x="1379"/>
        <item x="1407"/>
        <item x="2455"/>
        <item x="975"/>
        <item x="1869"/>
        <item x="3055"/>
        <item x="2454"/>
        <item x="433"/>
        <item x="2456"/>
        <item x="977"/>
        <item x="743"/>
        <item x="310"/>
        <item x="1871"/>
        <item x="1096"/>
        <item x="309"/>
        <item x="308"/>
        <item x="2281"/>
        <item x="1097"/>
        <item x="740"/>
        <item x="2457"/>
        <item x="1362"/>
        <item x="276"/>
        <item x="1364"/>
        <item x="2280"/>
        <item x="773"/>
        <item x="1098"/>
        <item x="2294"/>
        <item x="1363"/>
        <item x="1369"/>
        <item x="278"/>
        <item x="745"/>
        <item x="742"/>
        <item x="1366"/>
        <item x="748"/>
        <item x="2282"/>
        <item x="1372"/>
        <item x="311"/>
        <item x="277"/>
        <item x="774"/>
        <item x="976"/>
        <item x="1375"/>
        <item x="746"/>
        <item x="978"/>
        <item x="2290"/>
        <item x="690"/>
        <item x="775"/>
        <item x="2461"/>
        <item x="2465"/>
        <item x="1373"/>
        <item x="692"/>
        <item x="3057"/>
        <item x="2462"/>
        <item x="1365"/>
        <item x="312"/>
        <item x="313"/>
        <item x="1377"/>
        <item x="1371"/>
        <item x="1409"/>
        <item x="752"/>
        <item x="1418"/>
        <item x="2283"/>
        <item x="1410"/>
        <item x="1374"/>
        <item x="2284"/>
        <item x="750"/>
        <item x="777"/>
        <item x="2285"/>
        <item x="776"/>
        <item x="3585"/>
        <item x="2463"/>
        <item x="1874"/>
        <item x="1368"/>
        <item x="2464"/>
        <item x="1411"/>
        <item x="1101"/>
        <item x="2286"/>
        <item x="1872"/>
        <item x="1413"/>
        <item x="1099"/>
        <item x="314"/>
        <item x="2287"/>
        <item x="747"/>
        <item x="2291"/>
        <item x="1380"/>
        <item x="1412"/>
        <item x="1100"/>
        <item x="2288"/>
        <item x="1370"/>
        <item x="2289"/>
        <item x="1880"/>
        <item x="1414"/>
        <item x="778"/>
        <item x="3586"/>
        <item x="359"/>
        <item x="1876"/>
        <item x="1376"/>
        <item x="1873"/>
        <item x="1877"/>
        <item x="360"/>
        <item x="1419"/>
        <item x="358"/>
        <item x="1102"/>
        <item x="1415"/>
        <item x="749"/>
        <item x="361"/>
        <item x="1881"/>
        <item x="689"/>
        <item x="3584"/>
        <item x="1107"/>
        <item x="1878"/>
        <item x="1882"/>
        <item x="1879"/>
        <item x="1104"/>
        <item x="3588"/>
        <item x="2445"/>
        <item x="1875"/>
        <item x="1103"/>
        <item x="1039"/>
        <item x="1884"/>
        <item x="362"/>
        <item x="1105"/>
        <item x="1416"/>
        <item x="1042"/>
        <item x="1108"/>
        <item x="1885"/>
        <item x="1420"/>
        <item x="1106"/>
        <item x="783"/>
        <item x="782"/>
        <item x="1044"/>
        <item x="1041"/>
        <item x="3587"/>
        <item x="1043"/>
        <item x="1110"/>
        <item x="780"/>
        <item x="779"/>
        <item x="781"/>
        <item x="1883"/>
        <item x="784"/>
        <item x="1045"/>
        <item x="1111"/>
        <item x="785"/>
        <item x="1046"/>
        <item x="1109"/>
        <item x="363"/>
        <item x="1040"/>
        <item x="1114"/>
        <item x="790"/>
        <item x="279"/>
        <item x="786"/>
        <item x="1049"/>
        <item x="788"/>
        <item x="3139"/>
        <item x="1112"/>
        <item x="365"/>
        <item x="1417"/>
        <item x="751"/>
        <item x="1378"/>
        <item x="787"/>
        <item x="1047"/>
        <item x="1113"/>
        <item x="242"/>
        <item x="364"/>
        <item x="792"/>
        <item x="3140"/>
        <item x="1048"/>
        <item x="3141"/>
        <item x="3142"/>
        <item x="243"/>
        <item x="2003"/>
        <item x="2004"/>
        <item x="789"/>
        <item x="3143"/>
        <item x="3144"/>
        <item x="3145"/>
        <item x="280"/>
        <item x="3147"/>
        <item x="1051"/>
        <item x="3146"/>
        <item x="3148"/>
        <item x="1050"/>
        <item x="368"/>
        <item x="367"/>
        <item x="374"/>
        <item x="1228"/>
        <item x="244"/>
        <item x="366"/>
        <item x="2005"/>
        <item x="2006"/>
        <item x="247"/>
        <item x="1211"/>
        <item x="373"/>
        <item x="791"/>
        <item x="246"/>
        <item x="245"/>
        <item x="1052"/>
        <item x="438"/>
        <item x="3151"/>
        <item x="1055"/>
        <item x="437"/>
        <item x="1053"/>
        <item x="371"/>
        <item x="1225"/>
        <item x="3149"/>
        <item x="3150"/>
        <item x="370"/>
        <item x="439"/>
        <item x="3153"/>
        <item x="440"/>
        <item x="2008"/>
        <item x="2007"/>
        <item x="372"/>
        <item x="3154"/>
        <item x="369"/>
        <item x="3059"/>
        <item x="2009"/>
        <item x="2010"/>
        <item x="1212"/>
        <item x="58"/>
        <item x="1213"/>
        <item x="3155"/>
        <item x="248"/>
        <item x="71"/>
        <item x="3152"/>
        <item x="61"/>
        <item x="1217"/>
        <item x="1214"/>
        <item x="3157"/>
        <item x="441"/>
        <item x="1849"/>
        <item x="2016"/>
        <item x="375"/>
        <item x="1218"/>
        <item x="654"/>
        <item x="3156"/>
        <item x="2011"/>
        <item x="1229"/>
        <item x="2292"/>
        <item x="655"/>
        <item x="249"/>
        <item x="2012"/>
        <item x="656"/>
        <item x="1054"/>
        <item x="1654"/>
        <item x="2013"/>
        <item x="2017"/>
        <item x="2014"/>
        <item x="257"/>
        <item x="2015"/>
        <item x="250"/>
        <item x="442"/>
        <item x="657"/>
        <item x="225"/>
        <item x="453"/>
        <item x="74"/>
        <item x="2681"/>
        <item x="443"/>
        <item x="2698"/>
        <item x="444"/>
        <item x="2019"/>
        <item x="2621"/>
        <item x="73"/>
        <item x="1655"/>
        <item x="2697"/>
        <item x="2682"/>
        <item x="251"/>
        <item x="2622"/>
        <item x="2018"/>
        <item x="658"/>
        <item x="226"/>
        <item x="2020"/>
        <item x="659"/>
        <item x="2624"/>
        <item x="2683"/>
        <item x="445"/>
        <item x="1222"/>
        <item x="253"/>
        <item x="1855"/>
        <item x="660"/>
        <item x="2684"/>
        <item x="2623"/>
        <item x="252"/>
        <item x="1215"/>
        <item x="2625"/>
        <item x="617"/>
        <item x="1850"/>
        <item x="1227"/>
        <item x="2685"/>
        <item x="616"/>
        <item x="1672"/>
        <item x="662"/>
        <item x="1851"/>
        <item x="256"/>
        <item x="254"/>
        <item x="2640"/>
        <item x="255"/>
        <item x="62"/>
        <item x="661"/>
        <item x="2626"/>
        <item x="59"/>
        <item x="259"/>
        <item x="619"/>
        <item x="2627"/>
        <item x="446"/>
        <item x="1219"/>
        <item x="227"/>
        <item x="618"/>
        <item x="258"/>
        <item x="2021"/>
        <item x="448"/>
        <item x="447"/>
        <item x="1221"/>
        <item x="1656"/>
        <item x="60"/>
        <item x="1854"/>
        <item x="1226"/>
        <item x="2686"/>
        <item x="2687"/>
        <item x="1853"/>
        <item x="663"/>
        <item x="1856"/>
        <item x="2689"/>
        <item x="666"/>
        <item x="1852"/>
        <item x="2691"/>
        <item x="1216"/>
        <item x="63"/>
        <item x="909"/>
        <item x="1220"/>
        <item x="668"/>
        <item x="671"/>
        <item x="2690"/>
        <item x="65"/>
        <item x="72"/>
        <item x="2688"/>
        <item x="1223"/>
        <item x="456"/>
        <item x="2630"/>
        <item x="672"/>
        <item x="3058"/>
        <item x="1673"/>
        <item x="910"/>
        <item x="2629"/>
        <item x="673"/>
        <item x="449"/>
        <item x="670"/>
        <item x="1860"/>
        <item x="1861"/>
        <item x="667"/>
        <item x="3060"/>
        <item x="1657"/>
        <item x="2022"/>
        <item x="450"/>
        <item x="228"/>
        <item x="2633"/>
        <item x="911"/>
        <item x="2632"/>
        <item x="665"/>
        <item x="664"/>
        <item x="3061"/>
        <item x="1866"/>
        <item x="1056"/>
        <item x="2699"/>
        <item x="2628"/>
        <item x="1666"/>
        <item x="1864"/>
        <item x="229"/>
        <item x="2692"/>
        <item x="1660"/>
        <item x="2635"/>
        <item x="1658"/>
        <item x="3062"/>
        <item x="912"/>
        <item x="1662"/>
        <item x="3063"/>
        <item x="64"/>
        <item x="1858"/>
        <item x="2631"/>
        <item x="1857"/>
        <item x="2637"/>
        <item x="230"/>
        <item x="1659"/>
        <item x="1665"/>
        <item x="2634"/>
        <item x="1661"/>
        <item x="2693"/>
        <item x="2638"/>
        <item x="3066"/>
        <item x="626"/>
        <item x="2694"/>
        <item x="231"/>
        <item x="232"/>
        <item x="2636"/>
        <item x="916"/>
        <item x="3064"/>
        <item x="1224"/>
        <item x="2696"/>
        <item x="1859"/>
        <item x="3065"/>
        <item x="913"/>
        <item x="3483"/>
        <item x="918"/>
        <item x="669"/>
        <item x="1663"/>
        <item x="620"/>
        <item x="1863"/>
        <item x="914"/>
        <item x="376"/>
        <item x="621"/>
        <item x="1664"/>
        <item x="455"/>
        <item x="1667"/>
        <item x="260"/>
        <item x="623"/>
        <item x="233"/>
        <item x="3484"/>
        <item x="3067"/>
        <item x="915"/>
        <item x="3485"/>
        <item x="2695"/>
        <item x="1671"/>
        <item x="3071"/>
        <item x="66"/>
        <item x="622"/>
        <item x="3486"/>
        <item x="625"/>
        <item x="3068"/>
        <item x="3489"/>
        <item x="1670"/>
        <item x="1862"/>
        <item x="917"/>
        <item x="454"/>
        <item x="451"/>
        <item x="234"/>
        <item x="633"/>
        <item x="3488"/>
        <item x="1669"/>
        <item x="67"/>
        <item x="3076"/>
        <item x="69"/>
        <item x="3069"/>
        <item x="452"/>
        <item x="922"/>
        <item x="1230"/>
        <item x="240"/>
        <item x="3487"/>
        <item x="3077"/>
        <item x="235"/>
        <item x="3075"/>
        <item x="3070"/>
        <item x="68"/>
        <item x="70"/>
        <item x="1865"/>
        <item x="236"/>
        <item x="624"/>
        <item x="237"/>
        <item x="924"/>
        <item x="3073"/>
        <item x="919"/>
        <item x="3072"/>
        <item x="920"/>
        <item x="3078"/>
        <item x="925"/>
        <item x="921"/>
        <item x="627"/>
        <item x="3074"/>
        <item x="1668"/>
        <item x="238"/>
        <item x="3491"/>
        <item x="923"/>
        <item x="628"/>
        <item x="3490"/>
        <item x="239"/>
        <item x="2161"/>
        <item x="630"/>
        <item x="75"/>
        <item x="631"/>
        <item x="2700"/>
        <item x="629"/>
        <item x="3079"/>
        <item x="3493"/>
        <item x="3492"/>
        <item x="3494"/>
        <item x="2162"/>
        <item x="632"/>
        <item x="3495"/>
        <item x="2639"/>
        <item x="2164"/>
        <item x="3496"/>
        <item x="3498"/>
        <item x="1771"/>
        <item x="2163"/>
        <item x="1057"/>
        <item x="926"/>
        <item x="3499"/>
        <item x="2165"/>
        <item x="927"/>
        <item x="3497"/>
        <item x="1772"/>
        <item x="1773"/>
        <item x="2167"/>
        <item x="1774"/>
        <item x="2168"/>
        <item x="2166"/>
        <item x="2174"/>
        <item x="2170"/>
        <item x="2172"/>
        <item x="2169"/>
        <item x="2176"/>
        <item x="2177"/>
        <item x="2171"/>
        <item x="2173"/>
        <item x="2175"/>
        <item x="1776"/>
        <item x="2178"/>
        <item x="1775"/>
        <item x="1777"/>
        <item x="1778"/>
        <item x="3500"/>
        <item x="3503"/>
        <item x="1779"/>
        <item x="1783"/>
        <item x="1780"/>
        <item x="1781"/>
        <item x="241"/>
        <item x="1782"/>
        <item x="1784"/>
        <item x="1829"/>
        <item x="1785"/>
        <item x="1786"/>
        <item x="1787"/>
        <item x="1830"/>
        <item x="1788"/>
        <item x="1831"/>
        <item x="3502"/>
        <item x="2179"/>
        <item x="3501"/>
        <item x="1835"/>
        <item x="1832"/>
        <item x="1837"/>
        <item x="1836"/>
        <item x="1058"/>
        <item x="1838"/>
        <item x="1834"/>
        <item x="1833"/>
        <item x="1840"/>
        <item x="1839"/>
        <item x="1841"/>
        <item x="1842"/>
        <item x="1846"/>
        <item x="1843"/>
        <item x="2256"/>
        <item x="1844"/>
        <item x="1845"/>
        <item x="1848"/>
        <item x="1847"/>
        <item x="19"/>
        <item t="default"/>
      </items>
    </pivotField>
    <pivotField showAll="0"/>
    <pivotField showAll="0"/>
    <pivotField showAll="0"/>
    <pivotField showAll="0"/>
    <pivotField axis="axisCol" showAll="0">
      <items count="3">
        <item x="1"/>
        <item x="0"/>
        <item t="default"/>
      </items>
    </pivotField>
  </pivotFields>
  <rowFields count="1">
    <field x="0"/>
  </rowFields>
  <rowItems count="10">
    <i>
      <x/>
    </i>
    <i>
      <x v="1"/>
    </i>
    <i>
      <x v="2"/>
    </i>
    <i>
      <x v="3"/>
    </i>
    <i>
      <x v="4"/>
    </i>
    <i>
      <x v="5"/>
    </i>
    <i>
      <x v="6"/>
    </i>
    <i>
      <x v="7"/>
    </i>
    <i>
      <x v="8"/>
    </i>
    <i t="grand">
      <x/>
    </i>
  </rowItems>
  <colFields count="1">
    <field x="18"/>
  </colFields>
  <colItems count="3">
    <i>
      <x/>
    </i>
    <i>
      <x v="1"/>
    </i>
    <i t="grand">
      <x/>
    </i>
  </colItems>
  <dataFields count="1">
    <dataField name="Sum of AverageLapTime" fld="13" baseField="0" baseItem="0"/>
  </dataFields>
  <chartFormats count="8">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2" format="2" series="1">
      <pivotArea type="data" outline="0" fieldPosition="0">
        <references count="2">
          <reference field="4294967294" count="1" selected="0">
            <x v="0"/>
          </reference>
          <reference field="18" count="1" selected="0">
            <x v="0"/>
          </reference>
        </references>
      </pivotArea>
    </chartFormat>
    <chartFormat chart="2" format="3" series="1">
      <pivotArea type="data" outline="0" fieldPosition="0">
        <references count="2">
          <reference field="4294967294" count="1" selected="0">
            <x v="0"/>
          </reference>
          <reference field="18" count="1" selected="0">
            <x v="1"/>
          </reference>
        </references>
      </pivotArea>
    </chartFormat>
    <chartFormat chart="3" format="4" series="1">
      <pivotArea type="data" outline="0" fieldPosition="0">
        <references count="2">
          <reference field="4294967294" count="1" selected="0">
            <x v="0"/>
          </reference>
          <reference field="18" count="1" selected="0">
            <x v="0"/>
          </reference>
        </references>
      </pivotArea>
    </chartFormat>
    <chartFormat chart="3" format="5"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292DB7-CAC0-47D5-A4D3-9CC1C133A8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Items count="1">
    <i/>
  </rowItems>
  <colItems count="1">
    <i/>
  </colItems>
  <dataFields count="1">
    <dataField name="Average of FinishPositio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F6816C-9C6A-42B0-A9CE-F64C0A93B0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7" firstHeaderRow="1" firstDataRow="1" firstDataCol="1" rowPageCount="2" colPageCount="1"/>
  <pivotFields count="19">
    <pivotField axis="axisPage"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axis="axisPage" showAll="0">
      <items count="22">
        <item x="15"/>
        <item x="11"/>
        <item x="12"/>
        <item x="14"/>
        <item x="13"/>
        <item x="19"/>
        <item x="20"/>
        <item x="0"/>
        <item x="5"/>
        <item x="9"/>
        <item x="16"/>
        <item x="3"/>
        <item x="1"/>
        <item x="18"/>
        <item x="10"/>
        <item x="17"/>
        <item x="2"/>
        <item x="4"/>
        <item x="6"/>
        <item x="8"/>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8"/>
  </rowFields>
  <rowItems count="3">
    <i>
      <x/>
    </i>
    <i>
      <x v="1"/>
    </i>
    <i t="grand">
      <x/>
    </i>
  </rowItems>
  <colItems count="1">
    <i/>
  </colItems>
  <pageFields count="2">
    <pageField fld="5" hier="-1"/>
    <pageField fld="0" hier="-1"/>
  </pageFields>
  <dataFields count="1">
    <dataField name="Average of FinishPosition" fld="7" subtotal="average"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CD1B7-A279-4153-8721-590AA9C626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23" firstHeaderRow="1" firstDataRow="1" firstDataCol="1"/>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axis="axisRow" dataField="1"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Team"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1C5CA8-44E9-4A83-98CB-31C7351E78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55" firstHeaderRow="1" firstDataRow="1" firstDataCol="1"/>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dataField="1"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Driv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A63AE-C0BE-4FE9-A4A2-52B404DAAABF}"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2" firstHeaderRow="0" firstDataRow="0" firstDataCol="0"/>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sortType="descending">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autoSortScope>
        <pivotArea dataOnly="0" outline="0" fieldPosition="0">
          <references count="1">
            <reference field="4294967294" count="1" selected="0">
              <x v="0"/>
            </reference>
          </references>
        </pivotArea>
      </autoSortScope>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46">
    <i>
      <x v="27"/>
    </i>
    <i>
      <x v="23"/>
    </i>
    <i>
      <x v="6"/>
    </i>
    <i>
      <x v="22"/>
    </i>
    <i>
      <x v="5"/>
    </i>
    <i>
      <x v="13"/>
    </i>
    <i>
      <x v="41"/>
    </i>
    <i>
      <x v="43"/>
    </i>
    <i>
      <x v="34"/>
    </i>
    <i>
      <x v="39"/>
    </i>
    <i>
      <x v="10"/>
    </i>
    <i>
      <x v="7"/>
    </i>
    <i>
      <x v="35"/>
    </i>
    <i>
      <x v="19"/>
    </i>
    <i>
      <x v="9"/>
    </i>
    <i>
      <x/>
    </i>
    <i>
      <x v="20"/>
    </i>
    <i>
      <x v="21"/>
    </i>
    <i>
      <x v="30"/>
    </i>
    <i>
      <x v="15"/>
    </i>
    <i>
      <x v="18"/>
    </i>
    <i>
      <x v="44"/>
    </i>
    <i>
      <x v="24"/>
    </i>
    <i>
      <x v="8"/>
    </i>
    <i>
      <x v="33"/>
    </i>
    <i>
      <x v="38"/>
    </i>
    <i>
      <x v="11"/>
    </i>
    <i>
      <x v="3"/>
    </i>
    <i>
      <x v="12"/>
    </i>
    <i>
      <x v="2"/>
    </i>
    <i>
      <x v="14"/>
    </i>
    <i>
      <x v="1"/>
    </i>
    <i>
      <x v="28"/>
    </i>
    <i>
      <x v="42"/>
    </i>
    <i>
      <x v="29"/>
    </i>
    <i>
      <x v="26"/>
    </i>
    <i>
      <x v="4"/>
    </i>
    <i>
      <x v="32"/>
    </i>
    <i>
      <x v="37"/>
    </i>
    <i>
      <x v="25"/>
    </i>
    <i>
      <x v="36"/>
    </i>
    <i>
      <x v="31"/>
    </i>
    <i>
      <x v="40"/>
    </i>
    <i>
      <x v="16"/>
    </i>
    <i>
      <x v="17"/>
    </i>
    <i t="grand">
      <x/>
    </i>
  </rowItems>
  <colItems count="1">
    <i/>
  </colItems>
  <dataFields count="1">
    <dataField name="Sum of RacePoint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49450A-3D60-413C-8419-054761357E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29" firstHeaderRow="1" firstDataRow="1" firstDataCol="1" rowPageCount="2" colPageCount="1"/>
  <pivotFields count="19">
    <pivotField axis="axisPage"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axis="axisPage" showAll="0">
      <items count="22">
        <item x="15"/>
        <item x="11"/>
        <item x="12"/>
        <item x="14"/>
        <item x="13"/>
        <item x="19"/>
        <item x="20"/>
        <item x="0"/>
        <item x="5"/>
        <item x="9"/>
        <item x="16"/>
        <item x="3"/>
        <item x="1"/>
        <item x="18"/>
        <item x="10"/>
        <item x="17"/>
        <item x="2"/>
        <item x="4"/>
        <item x="6"/>
        <item x="8"/>
        <item x="7"/>
        <item t="default"/>
      </items>
    </pivotField>
    <pivotField axis="axisRow" showAll="0">
      <items count="25">
        <item x="20"/>
        <item x="1"/>
        <item x="2"/>
        <item x="0"/>
        <item x="5"/>
        <item x="16"/>
        <item x="15"/>
        <item x="6"/>
        <item x="3"/>
        <item x="9"/>
        <item x="4"/>
        <item x="8"/>
        <item x="10"/>
        <item x="13"/>
        <item x="11"/>
        <item x="7"/>
        <item x="14"/>
        <item x="18"/>
        <item x="12"/>
        <item x="19"/>
        <item x="17"/>
        <item x="22"/>
        <item x="23"/>
        <item x="2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2">
    <pageField fld="0" hier="-1"/>
    <pageField fld="5" hier="-1"/>
  </pageFields>
  <dataFields count="1">
    <dataField name="Average of FinishPositio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23A362-BC9A-49D1-9393-1E0F304613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49" firstHeaderRow="0" firstDataRow="1" firstDataCol="1" rowPageCount="1" colPageCount="1"/>
  <pivotFields count="19">
    <pivotField axis="axisPage"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sortType="ascending">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autoSortScope>
        <pivotArea dataOnly="0" outline="0" fieldPosition="0">
          <references count="1">
            <reference field="4294967294" count="1" selected="0">
              <x v="0"/>
            </reference>
          </references>
        </pivotArea>
      </autoSortScope>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1"/>
        <item x="0"/>
        <item t="default"/>
      </items>
    </pivotField>
  </pivotFields>
  <rowFields count="1">
    <field x="3"/>
  </rowFields>
  <rowItems count="46">
    <i>
      <x v="36"/>
    </i>
    <i>
      <x v="16"/>
    </i>
    <i>
      <x v="40"/>
    </i>
    <i>
      <x v="20"/>
    </i>
    <i>
      <x v="8"/>
    </i>
    <i>
      <x v="11"/>
    </i>
    <i>
      <x v="42"/>
    </i>
    <i>
      <x v="39"/>
    </i>
    <i>
      <x v="23"/>
    </i>
    <i>
      <x v="26"/>
    </i>
    <i>
      <x v="2"/>
    </i>
    <i>
      <x v="5"/>
    </i>
    <i>
      <x v="4"/>
    </i>
    <i>
      <x v="27"/>
    </i>
    <i>
      <x v="38"/>
    </i>
    <i>
      <x v="22"/>
    </i>
    <i>
      <x v="34"/>
    </i>
    <i>
      <x v="37"/>
    </i>
    <i>
      <x v="7"/>
    </i>
    <i>
      <x v="43"/>
    </i>
    <i>
      <x v="13"/>
    </i>
    <i>
      <x v="35"/>
    </i>
    <i>
      <x v="15"/>
    </i>
    <i>
      <x v="6"/>
    </i>
    <i>
      <x v="41"/>
    </i>
    <i>
      <x v="19"/>
    </i>
    <i>
      <x v="21"/>
    </i>
    <i>
      <x/>
    </i>
    <i>
      <x v="28"/>
    </i>
    <i>
      <x v="10"/>
    </i>
    <i>
      <x v="44"/>
    </i>
    <i>
      <x v="9"/>
    </i>
    <i>
      <x v="24"/>
    </i>
    <i>
      <x v="18"/>
    </i>
    <i>
      <x v="29"/>
    </i>
    <i>
      <x v="30"/>
    </i>
    <i>
      <x v="31"/>
    </i>
    <i>
      <x v="12"/>
    </i>
    <i>
      <x v="33"/>
    </i>
    <i>
      <x v="14"/>
    </i>
    <i>
      <x v="32"/>
    </i>
    <i>
      <x v="3"/>
    </i>
    <i>
      <x v="25"/>
    </i>
    <i>
      <x v="17"/>
    </i>
    <i>
      <x v="1"/>
    </i>
    <i t="grand">
      <x/>
    </i>
  </rowItems>
  <colFields count="1">
    <field x="-2"/>
  </colFields>
  <colItems count="3">
    <i>
      <x/>
    </i>
    <i i="1">
      <x v="1"/>
    </i>
    <i i="2">
      <x v="2"/>
    </i>
  </colItems>
  <pageFields count="1">
    <pageField fld="0" hier="-1"/>
  </pageFields>
  <dataFields count="3">
    <dataField name="Average of FastestS1" fld="14" subtotal="average" baseField="0" baseItem="0"/>
    <dataField name="Average of FastestS2" fld="15" subtotal="average" baseField="0" baseItem="0"/>
    <dataField name="Average of FastestS3" fld="16" subtotal="average" baseField="0" baseItem="0"/>
  </dataFields>
  <chartFormats count="3">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61FACD-91F5-4FC4-B951-E741733E57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B50" firstHeaderRow="1" firstDataRow="1" firstDataCol="1" rowPageCount="2" colPageCount="1"/>
  <pivotFields count="19">
    <pivotField showAll="0">
      <items count="10">
        <item x="0"/>
        <item x="1"/>
        <item x="2"/>
        <item x="3"/>
        <item x="4"/>
        <item x="5"/>
        <item x="6"/>
        <item x="7"/>
        <item x="8"/>
        <item t="default"/>
      </items>
    </pivotField>
    <pivotField showAll="0"/>
    <pivotField axis="axisPage"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sortType="ascending">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autoSortScope>
        <pivotArea dataOnly="0" outline="0" fieldPosition="0">
          <references count="1">
            <reference field="4294967294" count="1" selected="0">
              <x v="0"/>
            </reference>
          </references>
        </pivotArea>
      </autoSortScope>
    </pivotField>
    <pivotField showAll="0"/>
    <pivotField axis="axisPage"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3"/>
  </rowFields>
  <rowItems count="46">
    <i>
      <x v="16"/>
    </i>
    <i>
      <x v="36"/>
    </i>
    <i>
      <x v="34"/>
    </i>
    <i>
      <x v="32"/>
    </i>
    <i>
      <x v="19"/>
    </i>
    <i>
      <x v="23"/>
    </i>
    <i>
      <x v="12"/>
    </i>
    <i>
      <x v="27"/>
    </i>
    <i>
      <x v="15"/>
    </i>
    <i>
      <x v="11"/>
    </i>
    <i>
      <x v="22"/>
    </i>
    <i>
      <x v="24"/>
    </i>
    <i>
      <x v="5"/>
    </i>
    <i>
      <x v="31"/>
    </i>
    <i>
      <x v="13"/>
    </i>
    <i>
      <x v="3"/>
    </i>
    <i>
      <x v="6"/>
    </i>
    <i>
      <x v="39"/>
    </i>
    <i>
      <x v="2"/>
    </i>
    <i>
      <x v="41"/>
    </i>
    <i>
      <x v="8"/>
    </i>
    <i>
      <x v="9"/>
    </i>
    <i>
      <x v="20"/>
    </i>
    <i>
      <x v="33"/>
    </i>
    <i>
      <x v="10"/>
    </i>
    <i>
      <x v="43"/>
    </i>
    <i>
      <x v="44"/>
    </i>
    <i>
      <x v="35"/>
    </i>
    <i>
      <x/>
    </i>
    <i>
      <x v="21"/>
    </i>
    <i>
      <x v="7"/>
    </i>
    <i>
      <x v="29"/>
    </i>
    <i>
      <x v="30"/>
    </i>
    <i>
      <x v="25"/>
    </i>
    <i>
      <x v="38"/>
    </i>
    <i>
      <x v="28"/>
    </i>
    <i>
      <x v="1"/>
    </i>
    <i>
      <x v="18"/>
    </i>
    <i>
      <x v="14"/>
    </i>
    <i>
      <x v="40"/>
    </i>
    <i>
      <x v="42"/>
    </i>
    <i>
      <x v="26"/>
    </i>
    <i>
      <x v="37"/>
    </i>
    <i>
      <x v="4"/>
    </i>
    <i>
      <x v="17"/>
    </i>
    <i t="grand">
      <x/>
    </i>
  </rowItems>
  <colItems count="1">
    <i/>
  </colItems>
  <pageFields count="2">
    <pageField fld="2" hier="-1"/>
    <pageField fld="5" hier="-1"/>
  </pageFields>
  <dataFields count="1">
    <dataField name="Average of AverageLapTime" fld="13"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E43EA5-B488-4D8E-A680-188B05B09D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50" firstHeaderRow="1" firstDataRow="1" firstDataCol="1" rowPageCount="2" colPageCount="1"/>
  <pivotFields count="19">
    <pivotField axis="axisPage"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sortType="descending">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autoSortScope>
        <pivotArea dataOnly="0" outline="0" fieldPosition="0">
          <references count="1">
            <reference field="4294967294" count="1" selected="0">
              <x v="0"/>
            </reference>
          </references>
        </pivotArea>
      </autoSortScope>
    </pivotField>
    <pivotField showAll="0"/>
    <pivotField axis="axisPage"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46">
    <i>
      <x v="27"/>
    </i>
    <i>
      <x v="23"/>
    </i>
    <i>
      <x v="6"/>
    </i>
    <i>
      <x v="22"/>
    </i>
    <i>
      <x v="5"/>
    </i>
    <i>
      <x v="13"/>
    </i>
    <i>
      <x v="41"/>
    </i>
    <i>
      <x v="43"/>
    </i>
    <i>
      <x v="34"/>
    </i>
    <i>
      <x v="39"/>
    </i>
    <i>
      <x v="10"/>
    </i>
    <i>
      <x v="7"/>
    </i>
    <i>
      <x v="35"/>
    </i>
    <i>
      <x v="19"/>
    </i>
    <i>
      <x v="9"/>
    </i>
    <i>
      <x/>
    </i>
    <i>
      <x v="20"/>
    </i>
    <i>
      <x v="21"/>
    </i>
    <i>
      <x v="30"/>
    </i>
    <i>
      <x v="15"/>
    </i>
    <i>
      <x v="18"/>
    </i>
    <i>
      <x v="44"/>
    </i>
    <i>
      <x v="24"/>
    </i>
    <i>
      <x v="8"/>
    </i>
    <i>
      <x v="33"/>
    </i>
    <i>
      <x v="38"/>
    </i>
    <i>
      <x v="11"/>
    </i>
    <i>
      <x v="3"/>
    </i>
    <i>
      <x v="12"/>
    </i>
    <i>
      <x v="2"/>
    </i>
    <i>
      <x v="14"/>
    </i>
    <i>
      <x v="1"/>
    </i>
    <i>
      <x v="28"/>
    </i>
    <i>
      <x v="42"/>
    </i>
    <i>
      <x v="29"/>
    </i>
    <i>
      <x v="26"/>
    </i>
    <i>
      <x v="4"/>
    </i>
    <i>
      <x v="32"/>
    </i>
    <i>
      <x v="37"/>
    </i>
    <i>
      <x v="25"/>
    </i>
    <i>
      <x v="36"/>
    </i>
    <i>
      <x v="31"/>
    </i>
    <i>
      <x v="40"/>
    </i>
    <i>
      <x v="16"/>
    </i>
    <i>
      <x v="17"/>
    </i>
    <i t="grand">
      <x/>
    </i>
  </rowItems>
  <colItems count="1">
    <i/>
  </colItems>
  <pageFields count="2">
    <pageField fld="0" hier="-1"/>
    <pageField fld="5" hier="-1"/>
  </pageFields>
  <dataFields count="1">
    <dataField name="Sum of RacePoints" fld="8"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CDE11F-E6F9-4FC2-9DB0-ED987926BE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5:AA52" firstHeaderRow="1" firstDataRow="2" firstDataCol="1"/>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sortType="descending">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autoSortScope>
        <pivotArea dataOnly="0" outline="0" fieldPosition="0">
          <references count="1">
            <reference field="4294967294" count="1" selected="0">
              <x v="0"/>
            </reference>
          </references>
        </pivotArea>
      </autoSortScope>
    </pivotField>
    <pivotField showAll="0"/>
    <pivotField axis="axisCol"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46">
    <i>
      <x v="27"/>
    </i>
    <i>
      <x v="23"/>
    </i>
    <i>
      <x v="6"/>
    </i>
    <i>
      <x v="22"/>
    </i>
    <i>
      <x v="5"/>
    </i>
    <i>
      <x v="13"/>
    </i>
    <i>
      <x v="41"/>
    </i>
    <i>
      <x v="43"/>
    </i>
    <i>
      <x v="34"/>
    </i>
    <i>
      <x v="39"/>
    </i>
    <i>
      <x v="10"/>
    </i>
    <i>
      <x v="7"/>
    </i>
    <i>
      <x v="35"/>
    </i>
    <i>
      <x v="19"/>
    </i>
    <i>
      <x v="9"/>
    </i>
    <i>
      <x/>
    </i>
    <i>
      <x v="20"/>
    </i>
    <i>
      <x v="21"/>
    </i>
    <i>
      <x v="30"/>
    </i>
    <i>
      <x v="15"/>
    </i>
    <i>
      <x v="18"/>
    </i>
    <i>
      <x v="44"/>
    </i>
    <i>
      <x v="24"/>
    </i>
    <i>
      <x v="8"/>
    </i>
    <i>
      <x v="33"/>
    </i>
    <i>
      <x v="38"/>
    </i>
    <i>
      <x v="11"/>
    </i>
    <i>
      <x v="3"/>
    </i>
    <i>
      <x v="12"/>
    </i>
    <i>
      <x v="2"/>
    </i>
    <i>
      <x v="14"/>
    </i>
    <i>
      <x v="1"/>
    </i>
    <i>
      <x v="28"/>
    </i>
    <i>
      <x v="42"/>
    </i>
    <i>
      <x v="29"/>
    </i>
    <i>
      <x v="26"/>
    </i>
    <i>
      <x v="4"/>
    </i>
    <i>
      <x v="32"/>
    </i>
    <i>
      <x v="37"/>
    </i>
    <i>
      <x v="25"/>
    </i>
    <i>
      <x v="36"/>
    </i>
    <i>
      <x v="31"/>
    </i>
    <i>
      <x v="40"/>
    </i>
    <i>
      <x v="16"/>
    </i>
    <i>
      <x v="17"/>
    </i>
    <i t="grand">
      <x/>
    </i>
  </rowItems>
  <colFields count="1">
    <field x="5"/>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RacePoints" fld="8" baseField="0" baseItem="0"/>
  </dataFields>
  <chartFormats count="5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5" count="1" selected="0">
            <x v="3"/>
          </reference>
        </references>
      </pivotArea>
    </chartFormat>
    <chartFormat chart="7" format="2" series="1">
      <pivotArea type="data" outline="0" fieldPosition="0">
        <references count="2">
          <reference field="4294967294" count="1" selected="0">
            <x v="0"/>
          </reference>
          <reference field="5" count="1" selected="0">
            <x v="4"/>
          </reference>
        </references>
      </pivotArea>
    </chartFormat>
    <chartFormat chart="7" format="3" series="1">
      <pivotArea type="data" outline="0" fieldPosition="0">
        <references count="2">
          <reference field="4294967294" count="1" selected="0">
            <x v="0"/>
          </reference>
          <reference field="5" count="1" selected="0">
            <x v="7"/>
          </reference>
        </references>
      </pivotArea>
    </chartFormat>
    <chartFormat chart="7" format="4" series="1">
      <pivotArea type="data" outline="0" fieldPosition="0">
        <references count="2">
          <reference field="4294967294" count="1" selected="0">
            <x v="0"/>
          </reference>
          <reference field="5" count="1" selected="0">
            <x v="9"/>
          </reference>
        </references>
      </pivotArea>
    </chartFormat>
    <chartFormat chart="7" format="5" series="1">
      <pivotArea type="data" outline="0" fieldPosition="0">
        <references count="2">
          <reference field="4294967294" count="1" selected="0">
            <x v="0"/>
          </reference>
          <reference field="5" count="1" selected="0">
            <x v="11"/>
          </reference>
        </references>
      </pivotArea>
    </chartFormat>
    <chartFormat chart="7" format="6" series="1">
      <pivotArea type="data" outline="0" fieldPosition="0">
        <references count="2">
          <reference field="4294967294" count="1" selected="0">
            <x v="0"/>
          </reference>
          <reference field="5" count="1" selected="0">
            <x v="12"/>
          </reference>
        </references>
      </pivotArea>
    </chartFormat>
    <chartFormat chart="7" format="7" series="1">
      <pivotArea type="data" outline="0" fieldPosition="0">
        <references count="2">
          <reference field="4294967294" count="1" selected="0">
            <x v="0"/>
          </reference>
          <reference field="5" count="1" selected="0">
            <x v="14"/>
          </reference>
        </references>
      </pivotArea>
    </chartFormat>
    <chartFormat chart="7" format="8" series="1">
      <pivotArea type="data" outline="0" fieldPosition="0">
        <references count="2">
          <reference field="4294967294" count="1" selected="0">
            <x v="0"/>
          </reference>
          <reference field="5" count="1" selected="0">
            <x v="16"/>
          </reference>
        </references>
      </pivotArea>
    </chartFormat>
    <chartFormat chart="7" format="9" series="1">
      <pivotArea type="data" outline="0" fieldPosition="0">
        <references count="2">
          <reference field="4294967294" count="1" selected="0">
            <x v="0"/>
          </reference>
          <reference field="5" count="1" selected="0">
            <x v="17"/>
          </reference>
        </references>
      </pivotArea>
    </chartFormat>
    <chartFormat chart="4" format="3" series="1">
      <pivotArea type="data" outline="0" fieldPosition="0">
        <references count="2">
          <reference field="4294967294" count="1" selected="0">
            <x v="0"/>
          </reference>
          <reference field="5" count="1" selected="0">
            <x v="3"/>
          </reference>
        </references>
      </pivotArea>
    </chartFormat>
    <chartFormat chart="4" format="4" series="1">
      <pivotArea type="data" outline="0" fieldPosition="0">
        <references count="2">
          <reference field="4294967294" count="1" selected="0">
            <x v="0"/>
          </reference>
          <reference field="5" count="1" selected="0">
            <x v="4"/>
          </reference>
        </references>
      </pivotArea>
    </chartFormat>
    <chartFormat chart="4" format="5" series="1">
      <pivotArea type="data" outline="0" fieldPosition="0">
        <references count="2">
          <reference field="4294967294" count="1" selected="0">
            <x v="0"/>
          </reference>
          <reference field="5" count="1" selected="0">
            <x v="7"/>
          </reference>
        </references>
      </pivotArea>
    </chartFormat>
    <chartFormat chart="4" format="6" series="1">
      <pivotArea type="data" outline="0" fieldPosition="0">
        <references count="2">
          <reference field="4294967294" count="1" selected="0">
            <x v="0"/>
          </reference>
          <reference field="5" count="1" selected="0">
            <x v="9"/>
          </reference>
        </references>
      </pivotArea>
    </chartFormat>
    <chartFormat chart="4" format="7" series="1">
      <pivotArea type="data" outline="0" fieldPosition="0">
        <references count="2">
          <reference field="4294967294" count="1" selected="0">
            <x v="0"/>
          </reference>
          <reference field="5" count="1" selected="0">
            <x v="11"/>
          </reference>
        </references>
      </pivotArea>
    </chartFormat>
    <chartFormat chart="4" format="8" series="1">
      <pivotArea type="data" outline="0" fieldPosition="0">
        <references count="2">
          <reference field="4294967294" count="1" selected="0">
            <x v="0"/>
          </reference>
          <reference field="5" count="1" selected="0">
            <x v="12"/>
          </reference>
        </references>
      </pivotArea>
    </chartFormat>
    <chartFormat chart="4" format="9" series="1">
      <pivotArea type="data" outline="0" fieldPosition="0">
        <references count="2">
          <reference field="4294967294" count="1" selected="0">
            <x v="0"/>
          </reference>
          <reference field="5" count="1" selected="0">
            <x v="14"/>
          </reference>
        </references>
      </pivotArea>
    </chartFormat>
    <chartFormat chart="4" format="10" series="1">
      <pivotArea type="data" outline="0" fieldPosition="0">
        <references count="2">
          <reference field="4294967294" count="1" selected="0">
            <x v="0"/>
          </reference>
          <reference field="5" count="1" selected="0">
            <x v="16"/>
          </reference>
        </references>
      </pivotArea>
    </chartFormat>
    <chartFormat chart="4" format="11" series="1">
      <pivotArea type="data" outline="0" fieldPosition="0">
        <references count="2">
          <reference field="4294967294" count="1" selected="0">
            <x v="0"/>
          </reference>
          <reference field="5" count="1" selected="0">
            <x v="17"/>
          </reference>
        </references>
      </pivotArea>
    </chartFormat>
    <chartFormat chart="0" format="1"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4"/>
          </reference>
        </references>
      </pivotArea>
    </chartFormat>
    <chartFormat chart="0" format="3" series="1">
      <pivotArea type="data" outline="0" fieldPosition="0">
        <references count="2">
          <reference field="4294967294" count="1" selected="0">
            <x v="0"/>
          </reference>
          <reference field="5" count="1" selected="0">
            <x v="7"/>
          </reference>
        </references>
      </pivotArea>
    </chartFormat>
    <chartFormat chart="0" format="4" series="1">
      <pivotArea type="data" outline="0" fieldPosition="0">
        <references count="2">
          <reference field="4294967294" count="1" selected="0">
            <x v="0"/>
          </reference>
          <reference field="5" count="1" selected="0">
            <x v="9"/>
          </reference>
        </references>
      </pivotArea>
    </chartFormat>
    <chartFormat chart="0" format="5" series="1">
      <pivotArea type="data" outline="0" fieldPosition="0">
        <references count="2">
          <reference field="4294967294" count="1" selected="0">
            <x v="0"/>
          </reference>
          <reference field="5" count="1" selected="0">
            <x v="11"/>
          </reference>
        </references>
      </pivotArea>
    </chartFormat>
    <chartFormat chart="0" format="6" series="1">
      <pivotArea type="data" outline="0" fieldPosition="0">
        <references count="2">
          <reference field="4294967294" count="1" selected="0">
            <x v="0"/>
          </reference>
          <reference field="5" count="1" selected="0">
            <x v="12"/>
          </reference>
        </references>
      </pivotArea>
    </chartFormat>
    <chartFormat chart="0" format="7" series="1">
      <pivotArea type="data" outline="0" fieldPosition="0">
        <references count="2">
          <reference field="4294967294" count="1" selected="0">
            <x v="0"/>
          </reference>
          <reference field="5" count="1" selected="0">
            <x v="14"/>
          </reference>
        </references>
      </pivotArea>
    </chartFormat>
    <chartFormat chart="0" format="8" series="1">
      <pivotArea type="data" outline="0" fieldPosition="0">
        <references count="2">
          <reference field="4294967294" count="1" selected="0">
            <x v="0"/>
          </reference>
          <reference field="5" count="1" selected="0">
            <x v="16"/>
          </reference>
        </references>
      </pivotArea>
    </chartFormat>
    <chartFormat chart="0" format="9" series="1">
      <pivotArea type="data" outline="0" fieldPosition="0">
        <references count="2">
          <reference field="4294967294" count="1" selected="0">
            <x v="0"/>
          </reference>
          <reference field="5" count="1" selected="0">
            <x v="17"/>
          </reference>
        </references>
      </pivotArea>
    </chartFormat>
    <chartFormat chart="9" format="0" series="1">
      <pivotArea type="data" outline="0" fieldPosition="0">
        <references count="2">
          <reference field="4294967294" count="1" selected="0">
            <x v="0"/>
          </reference>
          <reference field="5" count="1" selected="0">
            <x v="2"/>
          </reference>
        </references>
      </pivotArea>
    </chartFormat>
    <chartFormat chart="9" format="1" series="1">
      <pivotArea type="data" outline="0" fieldPosition="0">
        <references count="2">
          <reference field="4294967294" count="1" selected="0">
            <x v="0"/>
          </reference>
          <reference field="5" count="1" selected="0">
            <x v="3"/>
          </reference>
        </references>
      </pivotArea>
    </chartFormat>
    <chartFormat chart="9" format="2" series="1">
      <pivotArea type="data" outline="0" fieldPosition="0">
        <references count="2">
          <reference field="4294967294" count="1" selected="0">
            <x v="0"/>
          </reference>
          <reference field="5" count="1" selected="0">
            <x v="4"/>
          </reference>
        </references>
      </pivotArea>
    </chartFormat>
    <chartFormat chart="9" format="3" series="1">
      <pivotArea type="data" outline="0" fieldPosition="0">
        <references count="2">
          <reference field="4294967294" count="1" selected="0">
            <x v="0"/>
          </reference>
          <reference field="5" count="1" selected="0">
            <x v="7"/>
          </reference>
        </references>
      </pivotArea>
    </chartFormat>
    <chartFormat chart="9" format="4" series="1">
      <pivotArea type="data" outline="0" fieldPosition="0">
        <references count="2">
          <reference field="4294967294" count="1" selected="0">
            <x v="0"/>
          </reference>
          <reference field="5" count="1" selected="0">
            <x v="9"/>
          </reference>
        </references>
      </pivotArea>
    </chartFormat>
    <chartFormat chart="9" format="5" series="1">
      <pivotArea type="data" outline="0" fieldPosition="0">
        <references count="2">
          <reference field="4294967294" count="1" selected="0">
            <x v="0"/>
          </reference>
          <reference field="5" count="1" selected="0">
            <x v="11"/>
          </reference>
        </references>
      </pivotArea>
    </chartFormat>
    <chartFormat chart="9" format="6" series="1">
      <pivotArea type="data" outline="0" fieldPosition="0">
        <references count="2">
          <reference field="4294967294" count="1" selected="0">
            <x v="0"/>
          </reference>
          <reference field="5" count="1" selected="0">
            <x v="12"/>
          </reference>
        </references>
      </pivotArea>
    </chartFormat>
    <chartFormat chart="9" format="7" series="1">
      <pivotArea type="data" outline="0" fieldPosition="0">
        <references count="2">
          <reference field="4294967294" count="1" selected="0">
            <x v="0"/>
          </reference>
          <reference field="5" count="1" selected="0">
            <x v="14"/>
          </reference>
        </references>
      </pivotArea>
    </chartFormat>
    <chartFormat chart="9" format="8" series="1">
      <pivotArea type="data" outline="0" fieldPosition="0">
        <references count="2">
          <reference field="4294967294" count="1" selected="0">
            <x v="0"/>
          </reference>
          <reference field="5" count="1" selected="0">
            <x v="16"/>
          </reference>
        </references>
      </pivotArea>
    </chartFormat>
    <chartFormat chart="9" format="9" series="1">
      <pivotArea type="data" outline="0" fieldPosition="0">
        <references count="2">
          <reference field="4294967294" count="1" selected="0">
            <x v="0"/>
          </reference>
          <reference field="5" count="1" selected="0">
            <x v="17"/>
          </reference>
        </references>
      </pivotArea>
    </chartFormat>
    <chartFormat chart="9" format="10" series="1">
      <pivotArea type="data" outline="0" fieldPosition="0">
        <references count="2">
          <reference field="4294967294" count="1" selected="0">
            <x v="0"/>
          </reference>
          <reference field="5" count="1" selected="0">
            <x v="5"/>
          </reference>
        </references>
      </pivotArea>
    </chartFormat>
    <chartFormat chart="9" format="11" series="1">
      <pivotArea type="data" outline="0" fieldPosition="0">
        <references count="2">
          <reference field="4294967294" count="1" selected="0">
            <x v="0"/>
          </reference>
          <reference field="5" count="1" selected="0">
            <x v="13"/>
          </reference>
        </references>
      </pivotArea>
    </chartFormat>
    <chartFormat chart="9" format="12" series="1">
      <pivotArea type="data" outline="0" fieldPosition="0">
        <references count="2">
          <reference field="4294967294" count="1" selected="0">
            <x v="0"/>
          </reference>
          <reference field="5" count="1" selected="0">
            <x v="20"/>
          </reference>
        </references>
      </pivotArea>
    </chartFormat>
    <chartFormat chart="9" format="13" series="1">
      <pivotArea type="data" outline="0" fieldPosition="0">
        <references count="2">
          <reference field="4294967294" count="1" selected="0">
            <x v="0"/>
          </reference>
          <reference field="5" count="1" selected="0">
            <x v="10"/>
          </reference>
        </references>
      </pivotArea>
    </chartFormat>
    <chartFormat chart="9" format="14" series="1">
      <pivotArea type="data" outline="0" fieldPosition="0">
        <references count="2">
          <reference field="4294967294" count="1" selected="0">
            <x v="0"/>
          </reference>
          <reference field="5" count="1" selected="0">
            <x v="6"/>
          </reference>
        </references>
      </pivotArea>
    </chartFormat>
    <chartFormat chart="9" format="15" series="1">
      <pivotArea type="data" outline="0" fieldPosition="0">
        <references count="2">
          <reference field="4294967294" count="1" selected="0">
            <x v="0"/>
          </reference>
          <reference field="5" count="1" selected="0">
            <x v="8"/>
          </reference>
        </references>
      </pivotArea>
    </chartFormat>
    <chartFormat chart="9" format="16" series="1">
      <pivotArea type="data" outline="0" fieldPosition="0">
        <references count="2">
          <reference field="4294967294" count="1" selected="0">
            <x v="0"/>
          </reference>
          <reference field="5" count="1" selected="0">
            <x v="15"/>
          </reference>
        </references>
      </pivotArea>
    </chartFormat>
    <chartFormat chart="9" format="17" series="1">
      <pivotArea type="data" outline="0" fieldPosition="0">
        <references count="2">
          <reference field="4294967294" count="1" selected="0">
            <x v="0"/>
          </reference>
          <reference field="5" count="1" selected="0">
            <x v="18"/>
          </reference>
        </references>
      </pivotArea>
    </chartFormat>
    <chartFormat chart="9" format="18" series="1">
      <pivotArea type="data" outline="0" fieldPosition="0">
        <references count="2">
          <reference field="4294967294" count="1" selected="0">
            <x v="0"/>
          </reference>
          <reference field="5" count="1" selected="0">
            <x v="19"/>
          </reference>
        </references>
      </pivotArea>
    </chartFormat>
    <chartFormat chart="9" format="19" series="1">
      <pivotArea type="data" outline="0" fieldPosition="0">
        <references count="2">
          <reference field="4294967294" count="1" selected="0">
            <x v="0"/>
          </reference>
          <reference field="5" count="1" selected="0">
            <x v="0"/>
          </reference>
        </references>
      </pivotArea>
    </chartFormat>
    <chartFormat chart="9" format="20"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56C492-7F40-48E1-912B-D2F2149928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4:N50" firstHeaderRow="1" firstDataRow="1" firstDataCol="1"/>
  <pivotFields count="19">
    <pivotField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axis="axisRow"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showAll="0">
      <items count="22">
        <item x="15"/>
        <item x="11"/>
        <item x="12"/>
        <item x="14"/>
        <item x="13"/>
        <item x="19"/>
        <item x="20"/>
        <item x="0"/>
        <item x="5"/>
        <item x="9"/>
        <item x="16"/>
        <item x="3"/>
        <item x="1"/>
        <item x="18"/>
        <item x="10"/>
        <item x="17"/>
        <item x="2"/>
        <item x="4"/>
        <item x="6"/>
        <item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acePoints" fld="8" baseField="0" baseItem="0"/>
  </dataFields>
  <chartFormats count="140">
    <chartFormat chart="0" format="0" series="1">
      <pivotArea type="data" outline="0" fieldPosition="0">
        <references count="1">
          <reference field="4294967294" count="1" selected="0">
            <x v="0"/>
          </reference>
        </references>
      </pivotArea>
    </chartFormat>
    <chartFormat chart="3" format="47" series="1">
      <pivotArea type="data" outline="0" fieldPosition="0">
        <references count="1">
          <reference field="4294967294" count="1" selected="0">
            <x v="0"/>
          </reference>
        </references>
      </pivotArea>
    </chartFormat>
    <chartFormat chart="3" format="48">
      <pivotArea type="data" outline="0" fieldPosition="0">
        <references count="2">
          <reference field="4294967294" count="1" selected="0">
            <x v="0"/>
          </reference>
          <reference field="3" count="1" selected="0">
            <x v="0"/>
          </reference>
        </references>
      </pivotArea>
    </chartFormat>
    <chartFormat chart="3" format="49">
      <pivotArea type="data" outline="0" fieldPosition="0">
        <references count="2">
          <reference field="4294967294" count="1" selected="0">
            <x v="0"/>
          </reference>
          <reference field="3" count="1" selected="0">
            <x v="1"/>
          </reference>
        </references>
      </pivotArea>
    </chartFormat>
    <chartFormat chart="3" format="50">
      <pivotArea type="data" outline="0" fieldPosition="0">
        <references count="2">
          <reference field="4294967294" count="1" selected="0">
            <x v="0"/>
          </reference>
          <reference field="3" count="1" selected="0">
            <x v="2"/>
          </reference>
        </references>
      </pivotArea>
    </chartFormat>
    <chartFormat chart="3" format="51">
      <pivotArea type="data" outline="0" fieldPosition="0">
        <references count="2">
          <reference field="4294967294" count="1" selected="0">
            <x v="0"/>
          </reference>
          <reference field="3" count="1" selected="0">
            <x v="3"/>
          </reference>
        </references>
      </pivotArea>
    </chartFormat>
    <chartFormat chart="3" format="52">
      <pivotArea type="data" outline="0" fieldPosition="0">
        <references count="2">
          <reference field="4294967294" count="1" selected="0">
            <x v="0"/>
          </reference>
          <reference field="3" count="1" selected="0">
            <x v="4"/>
          </reference>
        </references>
      </pivotArea>
    </chartFormat>
    <chartFormat chart="3" format="53">
      <pivotArea type="data" outline="0" fieldPosition="0">
        <references count="2">
          <reference field="4294967294" count="1" selected="0">
            <x v="0"/>
          </reference>
          <reference field="3" count="1" selected="0">
            <x v="5"/>
          </reference>
        </references>
      </pivotArea>
    </chartFormat>
    <chartFormat chart="3" format="54">
      <pivotArea type="data" outline="0" fieldPosition="0">
        <references count="2">
          <reference field="4294967294" count="1" selected="0">
            <x v="0"/>
          </reference>
          <reference field="3" count="1" selected="0">
            <x v="6"/>
          </reference>
        </references>
      </pivotArea>
    </chartFormat>
    <chartFormat chart="3" format="55">
      <pivotArea type="data" outline="0" fieldPosition="0">
        <references count="2">
          <reference field="4294967294" count="1" selected="0">
            <x v="0"/>
          </reference>
          <reference field="3" count="1" selected="0">
            <x v="7"/>
          </reference>
        </references>
      </pivotArea>
    </chartFormat>
    <chartFormat chart="3" format="56">
      <pivotArea type="data" outline="0" fieldPosition="0">
        <references count="2">
          <reference field="4294967294" count="1" selected="0">
            <x v="0"/>
          </reference>
          <reference field="3" count="1" selected="0">
            <x v="8"/>
          </reference>
        </references>
      </pivotArea>
    </chartFormat>
    <chartFormat chart="3" format="57">
      <pivotArea type="data" outline="0" fieldPosition="0">
        <references count="2">
          <reference field="4294967294" count="1" selected="0">
            <x v="0"/>
          </reference>
          <reference field="3" count="1" selected="0">
            <x v="9"/>
          </reference>
        </references>
      </pivotArea>
    </chartFormat>
    <chartFormat chart="3" format="58">
      <pivotArea type="data" outline="0" fieldPosition="0">
        <references count="2">
          <reference field="4294967294" count="1" selected="0">
            <x v="0"/>
          </reference>
          <reference field="3" count="1" selected="0">
            <x v="10"/>
          </reference>
        </references>
      </pivotArea>
    </chartFormat>
    <chartFormat chart="3" format="59">
      <pivotArea type="data" outline="0" fieldPosition="0">
        <references count="2">
          <reference field="4294967294" count="1" selected="0">
            <x v="0"/>
          </reference>
          <reference field="3" count="1" selected="0">
            <x v="11"/>
          </reference>
        </references>
      </pivotArea>
    </chartFormat>
    <chartFormat chart="3" format="60">
      <pivotArea type="data" outline="0" fieldPosition="0">
        <references count="2">
          <reference field="4294967294" count="1" selected="0">
            <x v="0"/>
          </reference>
          <reference field="3" count="1" selected="0">
            <x v="12"/>
          </reference>
        </references>
      </pivotArea>
    </chartFormat>
    <chartFormat chart="3" format="61">
      <pivotArea type="data" outline="0" fieldPosition="0">
        <references count="2">
          <reference field="4294967294" count="1" selected="0">
            <x v="0"/>
          </reference>
          <reference field="3" count="1" selected="0">
            <x v="13"/>
          </reference>
        </references>
      </pivotArea>
    </chartFormat>
    <chartFormat chart="3" format="62">
      <pivotArea type="data" outline="0" fieldPosition="0">
        <references count="2">
          <reference field="4294967294" count="1" selected="0">
            <x v="0"/>
          </reference>
          <reference field="3" count="1" selected="0">
            <x v="14"/>
          </reference>
        </references>
      </pivotArea>
    </chartFormat>
    <chartFormat chart="3" format="63">
      <pivotArea type="data" outline="0" fieldPosition="0">
        <references count="2">
          <reference field="4294967294" count="1" selected="0">
            <x v="0"/>
          </reference>
          <reference field="3" count="1" selected="0">
            <x v="15"/>
          </reference>
        </references>
      </pivotArea>
    </chartFormat>
    <chartFormat chart="3" format="64">
      <pivotArea type="data" outline="0" fieldPosition="0">
        <references count="2">
          <reference field="4294967294" count="1" selected="0">
            <x v="0"/>
          </reference>
          <reference field="3" count="1" selected="0">
            <x v="16"/>
          </reference>
        </references>
      </pivotArea>
    </chartFormat>
    <chartFormat chart="3" format="65">
      <pivotArea type="data" outline="0" fieldPosition="0">
        <references count="2">
          <reference field="4294967294" count="1" selected="0">
            <x v="0"/>
          </reference>
          <reference field="3" count="1" selected="0">
            <x v="17"/>
          </reference>
        </references>
      </pivotArea>
    </chartFormat>
    <chartFormat chart="3" format="66">
      <pivotArea type="data" outline="0" fieldPosition="0">
        <references count="2">
          <reference field="4294967294" count="1" selected="0">
            <x v="0"/>
          </reference>
          <reference field="3" count="1" selected="0">
            <x v="18"/>
          </reference>
        </references>
      </pivotArea>
    </chartFormat>
    <chartFormat chart="3" format="67">
      <pivotArea type="data" outline="0" fieldPosition="0">
        <references count="2">
          <reference field="4294967294" count="1" selected="0">
            <x v="0"/>
          </reference>
          <reference field="3" count="1" selected="0">
            <x v="19"/>
          </reference>
        </references>
      </pivotArea>
    </chartFormat>
    <chartFormat chart="3" format="68">
      <pivotArea type="data" outline="0" fieldPosition="0">
        <references count="2">
          <reference field="4294967294" count="1" selected="0">
            <x v="0"/>
          </reference>
          <reference field="3" count="1" selected="0">
            <x v="20"/>
          </reference>
        </references>
      </pivotArea>
    </chartFormat>
    <chartFormat chart="3" format="69">
      <pivotArea type="data" outline="0" fieldPosition="0">
        <references count="2">
          <reference field="4294967294" count="1" selected="0">
            <x v="0"/>
          </reference>
          <reference field="3" count="1" selected="0">
            <x v="21"/>
          </reference>
        </references>
      </pivotArea>
    </chartFormat>
    <chartFormat chart="3" format="70">
      <pivotArea type="data" outline="0" fieldPosition="0">
        <references count="2">
          <reference field="4294967294" count="1" selected="0">
            <x v="0"/>
          </reference>
          <reference field="3" count="1" selected="0">
            <x v="22"/>
          </reference>
        </references>
      </pivotArea>
    </chartFormat>
    <chartFormat chart="3" format="71">
      <pivotArea type="data" outline="0" fieldPosition="0">
        <references count="2">
          <reference field="4294967294" count="1" selected="0">
            <x v="0"/>
          </reference>
          <reference field="3" count="1" selected="0">
            <x v="23"/>
          </reference>
        </references>
      </pivotArea>
    </chartFormat>
    <chartFormat chart="3" format="72">
      <pivotArea type="data" outline="0" fieldPosition="0">
        <references count="2">
          <reference field="4294967294" count="1" selected="0">
            <x v="0"/>
          </reference>
          <reference field="3" count="1" selected="0">
            <x v="24"/>
          </reference>
        </references>
      </pivotArea>
    </chartFormat>
    <chartFormat chart="3" format="73">
      <pivotArea type="data" outline="0" fieldPosition="0">
        <references count="2">
          <reference field="4294967294" count="1" selected="0">
            <x v="0"/>
          </reference>
          <reference field="3" count="1" selected="0">
            <x v="25"/>
          </reference>
        </references>
      </pivotArea>
    </chartFormat>
    <chartFormat chart="3" format="74">
      <pivotArea type="data" outline="0" fieldPosition="0">
        <references count="2">
          <reference field="4294967294" count="1" selected="0">
            <x v="0"/>
          </reference>
          <reference field="3" count="1" selected="0">
            <x v="26"/>
          </reference>
        </references>
      </pivotArea>
    </chartFormat>
    <chartFormat chart="3" format="75">
      <pivotArea type="data" outline="0" fieldPosition="0">
        <references count="2">
          <reference field="4294967294" count="1" selected="0">
            <x v="0"/>
          </reference>
          <reference field="3" count="1" selected="0">
            <x v="27"/>
          </reference>
        </references>
      </pivotArea>
    </chartFormat>
    <chartFormat chart="3" format="76">
      <pivotArea type="data" outline="0" fieldPosition="0">
        <references count="2">
          <reference field="4294967294" count="1" selected="0">
            <x v="0"/>
          </reference>
          <reference field="3" count="1" selected="0">
            <x v="28"/>
          </reference>
        </references>
      </pivotArea>
    </chartFormat>
    <chartFormat chart="3" format="77">
      <pivotArea type="data" outline="0" fieldPosition="0">
        <references count="2">
          <reference field="4294967294" count="1" selected="0">
            <x v="0"/>
          </reference>
          <reference field="3" count="1" selected="0">
            <x v="29"/>
          </reference>
        </references>
      </pivotArea>
    </chartFormat>
    <chartFormat chart="3" format="78">
      <pivotArea type="data" outline="0" fieldPosition="0">
        <references count="2">
          <reference field="4294967294" count="1" selected="0">
            <x v="0"/>
          </reference>
          <reference field="3" count="1" selected="0">
            <x v="30"/>
          </reference>
        </references>
      </pivotArea>
    </chartFormat>
    <chartFormat chart="3" format="79">
      <pivotArea type="data" outline="0" fieldPosition="0">
        <references count="2">
          <reference field="4294967294" count="1" selected="0">
            <x v="0"/>
          </reference>
          <reference field="3" count="1" selected="0">
            <x v="31"/>
          </reference>
        </references>
      </pivotArea>
    </chartFormat>
    <chartFormat chart="3" format="80">
      <pivotArea type="data" outline="0" fieldPosition="0">
        <references count="2">
          <reference field="4294967294" count="1" selected="0">
            <x v="0"/>
          </reference>
          <reference field="3" count="1" selected="0">
            <x v="32"/>
          </reference>
        </references>
      </pivotArea>
    </chartFormat>
    <chartFormat chart="3" format="81">
      <pivotArea type="data" outline="0" fieldPosition="0">
        <references count="2">
          <reference field="4294967294" count="1" selected="0">
            <x v="0"/>
          </reference>
          <reference field="3" count="1" selected="0">
            <x v="33"/>
          </reference>
        </references>
      </pivotArea>
    </chartFormat>
    <chartFormat chart="3" format="82">
      <pivotArea type="data" outline="0" fieldPosition="0">
        <references count="2">
          <reference field="4294967294" count="1" selected="0">
            <x v="0"/>
          </reference>
          <reference field="3" count="1" selected="0">
            <x v="34"/>
          </reference>
        </references>
      </pivotArea>
    </chartFormat>
    <chartFormat chart="3" format="83">
      <pivotArea type="data" outline="0" fieldPosition="0">
        <references count="2">
          <reference field="4294967294" count="1" selected="0">
            <x v="0"/>
          </reference>
          <reference field="3" count="1" selected="0">
            <x v="35"/>
          </reference>
        </references>
      </pivotArea>
    </chartFormat>
    <chartFormat chart="3" format="84">
      <pivotArea type="data" outline="0" fieldPosition="0">
        <references count="2">
          <reference field="4294967294" count="1" selected="0">
            <x v="0"/>
          </reference>
          <reference field="3" count="1" selected="0">
            <x v="36"/>
          </reference>
        </references>
      </pivotArea>
    </chartFormat>
    <chartFormat chart="3" format="85">
      <pivotArea type="data" outline="0" fieldPosition="0">
        <references count="2">
          <reference field="4294967294" count="1" selected="0">
            <x v="0"/>
          </reference>
          <reference field="3" count="1" selected="0">
            <x v="37"/>
          </reference>
        </references>
      </pivotArea>
    </chartFormat>
    <chartFormat chart="3" format="86">
      <pivotArea type="data" outline="0" fieldPosition="0">
        <references count="2">
          <reference field="4294967294" count="1" selected="0">
            <x v="0"/>
          </reference>
          <reference field="3" count="1" selected="0">
            <x v="38"/>
          </reference>
        </references>
      </pivotArea>
    </chartFormat>
    <chartFormat chart="3" format="87">
      <pivotArea type="data" outline="0" fieldPosition="0">
        <references count="2">
          <reference field="4294967294" count="1" selected="0">
            <x v="0"/>
          </reference>
          <reference field="3" count="1" selected="0">
            <x v="39"/>
          </reference>
        </references>
      </pivotArea>
    </chartFormat>
    <chartFormat chart="3" format="88">
      <pivotArea type="data" outline="0" fieldPosition="0">
        <references count="2">
          <reference field="4294967294" count="1" selected="0">
            <x v="0"/>
          </reference>
          <reference field="3" count="1" selected="0">
            <x v="40"/>
          </reference>
        </references>
      </pivotArea>
    </chartFormat>
    <chartFormat chart="3" format="89">
      <pivotArea type="data" outline="0" fieldPosition="0">
        <references count="2">
          <reference field="4294967294" count="1" selected="0">
            <x v="0"/>
          </reference>
          <reference field="3" count="1" selected="0">
            <x v="41"/>
          </reference>
        </references>
      </pivotArea>
    </chartFormat>
    <chartFormat chart="3" format="90">
      <pivotArea type="data" outline="0" fieldPosition="0">
        <references count="2">
          <reference field="4294967294" count="1" selected="0">
            <x v="0"/>
          </reference>
          <reference field="3" count="1" selected="0">
            <x v="42"/>
          </reference>
        </references>
      </pivotArea>
    </chartFormat>
    <chartFormat chart="3" format="91">
      <pivotArea type="data" outline="0" fieldPosition="0">
        <references count="2">
          <reference field="4294967294" count="1" selected="0">
            <x v="0"/>
          </reference>
          <reference field="3" count="1" selected="0">
            <x v="43"/>
          </reference>
        </references>
      </pivotArea>
    </chartFormat>
    <chartFormat chart="3" format="92">
      <pivotArea type="data" outline="0" fieldPosition="0">
        <references count="2">
          <reference field="4294967294" count="1" selected="0">
            <x v="0"/>
          </reference>
          <reference field="3" count="1" selected="0">
            <x v="44"/>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2" format="3">
      <pivotArea type="data" outline="0" fieldPosition="0">
        <references count="2">
          <reference field="4294967294" count="1" selected="0">
            <x v="0"/>
          </reference>
          <reference field="3" count="1" selected="0">
            <x v="1"/>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3"/>
          </reference>
        </references>
      </pivotArea>
    </chartFormat>
    <chartFormat chart="12" format="6">
      <pivotArea type="data" outline="0" fieldPosition="0">
        <references count="2">
          <reference field="4294967294" count="1" selected="0">
            <x v="0"/>
          </reference>
          <reference field="3" count="1" selected="0">
            <x v="4"/>
          </reference>
        </references>
      </pivotArea>
    </chartFormat>
    <chartFormat chart="12" format="7">
      <pivotArea type="data" outline="0" fieldPosition="0">
        <references count="2">
          <reference field="4294967294" count="1" selected="0">
            <x v="0"/>
          </reference>
          <reference field="3" count="1" selected="0">
            <x v="5"/>
          </reference>
        </references>
      </pivotArea>
    </chartFormat>
    <chartFormat chart="12" format="8">
      <pivotArea type="data" outline="0" fieldPosition="0">
        <references count="2">
          <reference field="4294967294" count="1" selected="0">
            <x v="0"/>
          </reference>
          <reference field="3" count="1" selected="0">
            <x v="6"/>
          </reference>
        </references>
      </pivotArea>
    </chartFormat>
    <chartFormat chart="12" format="9">
      <pivotArea type="data" outline="0" fieldPosition="0">
        <references count="2">
          <reference field="4294967294" count="1" selected="0">
            <x v="0"/>
          </reference>
          <reference field="3" count="1" selected="0">
            <x v="7"/>
          </reference>
        </references>
      </pivotArea>
    </chartFormat>
    <chartFormat chart="12" format="10">
      <pivotArea type="data" outline="0" fieldPosition="0">
        <references count="2">
          <reference field="4294967294" count="1" selected="0">
            <x v="0"/>
          </reference>
          <reference field="3" count="1" selected="0">
            <x v="8"/>
          </reference>
        </references>
      </pivotArea>
    </chartFormat>
    <chartFormat chart="12" format="11">
      <pivotArea type="data" outline="0" fieldPosition="0">
        <references count="2">
          <reference field="4294967294" count="1" selected="0">
            <x v="0"/>
          </reference>
          <reference field="3" count="1" selected="0">
            <x v="9"/>
          </reference>
        </references>
      </pivotArea>
    </chartFormat>
    <chartFormat chart="12" format="12">
      <pivotArea type="data" outline="0" fieldPosition="0">
        <references count="2">
          <reference field="4294967294" count="1" selected="0">
            <x v="0"/>
          </reference>
          <reference field="3" count="1" selected="0">
            <x v="10"/>
          </reference>
        </references>
      </pivotArea>
    </chartFormat>
    <chartFormat chart="12" format="13">
      <pivotArea type="data" outline="0" fieldPosition="0">
        <references count="2">
          <reference field="4294967294" count="1" selected="0">
            <x v="0"/>
          </reference>
          <reference field="3" count="1" selected="0">
            <x v="11"/>
          </reference>
        </references>
      </pivotArea>
    </chartFormat>
    <chartFormat chart="12" format="14">
      <pivotArea type="data" outline="0" fieldPosition="0">
        <references count="2">
          <reference field="4294967294" count="1" selected="0">
            <x v="0"/>
          </reference>
          <reference field="3" count="1" selected="0">
            <x v="12"/>
          </reference>
        </references>
      </pivotArea>
    </chartFormat>
    <chartFormat chart="12" format="15">
      <pivotArea type="data" outline="0" fieldPosition="0">
        <references count="2">
          <reference field="4294967294" count="1" selected="0">
            <x v="0"/>
          </reference>
          <reference field="3" count="1" selected="0">
            <x v="13"/>
          </reference>
        </references>
      </pivotArea>
    </chartFormat>
    <chartFormat chart="12" format="16">
      <pivotArea type="data" outline="0" fieldPosition="0">
        <references count="2">
          <reference field="4294967294" count="1" selected="0">
            <x v="0"/>
          </reference>
          <reference field="3" count="1" selected="0">
            <x v="14"/>
          </reference>
        </references>
      </pivotArea>
    </chartFormat>
    <chartFormat chart="12" format="17">
      <pivotArea type="data" outline="0" fieldPosition="0">
        <references count="2">
          <reference field="4294967294" count="1" selected="0">
            <x v="0"/>
          </reference>
          <reference field="3" count="1" selected="0">
            <x v="15"/>
          </reference>
        </references>
      </pivotArea>
    </chartFormat>
    <chartFormat chart="12" format="18">
      <pivotArea type="data" outline="0" fieldPosition="0">
        <references count="2">
          <reference field="4294967294" count="1" selected="0">
            <x v="0"/>
          </reference>
          <reference field="3" count="1" selected="0">
            <x v="16"/>
          </reference>
        </references>
      </pivotArea>
    </chartFormat>
    <chartFormat chart="12" format="19">
      <pivotArea type="data" outline="0" fieldPosition="0">
        <references count="2">
          <reference field="4294967294" count="1" selected="0">
            <x v="0"/>
          </reference>
          <reference field="3" count="1" selected="0">
            <x v="17"/>
          </reference>
        </references>
      </pivotArea>
    </chartFormat>
    <chartFormat chart="12" format="20">
      <pivotArea type="data" outline="0" fieldPosition="0">
        <references count="2">
          <reference field="4294967294" count="1" selected="0">
            <x v="0"/>
          </reference>
          <reference field="3" count="1" selected="0">
            <x v="18"/>
          </reference>
        </references>
      </pivotArea>
    </chartFormat>
    <chartFormat chart="12" format="21">
      <pivotArea type="data" outline="0" fieldPosition="0">
        <references count="2">
          <reference field="4294967294" count="1" selected="0">
            <x v="0"/>
          </reference>
          <reference field="3" count="1" selected="0">
            <x v="19"/>
          </reference>
        </references>
      </pivotArea>
    </chartFormat>
    <chartFormat chart="12" format="22">
      <pivotArea type="data" outline="0" fieldPosition="0">
        <references count="2">
          <reference field="4294967294" count="1" selected="0">
            <x v="0"/>
          </reference>
          <reference field="3" count="1" selected="0">
            <x v="20"/>
          </reference>
        </references>
      </pivotArea>
    </chartFormat>
    <chartFormat chart="12" format="23">
      <pivotArea type="data" outline="0" fieldPosition="0">
        <references count="2">
          <reference field="4294967294" count="1" selected="0">
            <x v="0"/>
          </reference>
          <reference field="3" count="1" selected="0">
            <x v="21"/>
          </reference>
        </references>
      </pivotArea>
    </chartFormat>
    <chartFormat chart="12" format="24">
      <pivotArea type="data" outline="0" fieldPosition="0">
        <references count="2">
          <reference field="4294967294" count="1" selected="0">
            <x v="0"/>
          </reference>
          <reference field="3" count="1" selected="0">
            <x v="22"/>
          </reference>
        </references>
      </pivotArea>
    </chartFormat>
    <chartFormat chart="12" format="25">
      <pivotArea type="data" outline="0" fieldPosition="0">
        <references count="2">
          <reference field="4294967294" count="1" selected="0">
            <x v="0"/>
          </reference>
          <reference field="3" count="1" selected="0">
            <x v="23"/>
          </reference>
        </references>
      </pivotArea>
    </chartFormat>
    <chartFormat chart="12" format="26">
      <pivotArea type="data" outline="0" fieldPosition="0">
        <references count="2">
          <reference field="4294967294" count="1" selected="0">
            <x v="0"/>
          </reference>
          <reference field="3" count="1" selected="0">
            <x v="24"/>
          </reference>
        </references>
      </pivotArea>
    </chartFormat>
    <chartFormat chart="12" format="27">
      <pivotArea type="data" outline="0" fieldPosition="0">
        <references count="2">
          <reference field="4294967294" count="1" selected="0">
            <x v="0"/>
          </reference>
          <reference field="3" count="1" selected="0">
            <x v="25"/>
          </reference>
        </references>
      </pivotArea>
    </chartFormat>
    <chartFormat chart="12" format="28">
      <pivotArea type="data" outline="0" fieldPosition="0">
        <references count="2">
          <reference field="4294967294" count="1" selected="0">
            <x v="0"/>
          </reference>
          <reference field="3" count="1" selected="0">
            <x v="26"/>
          </reference>
        </references>
      </pivotArea>
    </chartFormat>
    <chartFormat chart="12" format="29">
      <pivotArea type="data" outline="0" fieldPosition="0">
        <references count="2">
          <reference field="4294967294" count="1" selected="0">
            <x v="0"/>
          </reference>
          <reference field="3" count="1" selected="0">
            <x v="27"/>
          </reference>
        </references>
      </pivotArea>
    </chartFormat>
    <chartFormat chart="12" format="30">
      <pivotArea type="data" outline="0" fieldPosition="0">
        <references count="2">
          <reference field="4294967294" count="1" selected="0">
            <x v="0"/>
          </reference>
          <reference field="3" count="1" selected="0">
            <x v="28"/>
          </reference>
        </references>
      </pivotArea>
    </chartFormat>
    <chartFormat chart="12" format="31">
      <pivotArea type="data" outline="0" fieldPosition="0">
        <references count="2">
          <reference field="4294967294" count="1" selected="0">
            <x v="0"/>
          </reference>
          <reference field="3" count="1" selected="0">
            <x v="29"/>
          </reference>
        </references>
      </pivotArea>
    </chartFormat>
    <chartFormat chart="12" format="32">
      <pivotArea type="data" outline="0" fieldPosition="0">
        <references count="2">
          <reference field="4294967294" count="1" selected="0">
            <x v="0"/>
          </reference>
          <reference field="3" count="1" selected="0">
            <x v="30"/>
          </reference>
        </references>
      </pivotArea>
    </chartFormat>
    <chartFormat chart="12" format="33">
      <pivotArea type="data" outline="0" fieldPosition="0">
        <references count="2">
          <reference field="4294967294" count="1" selected="0">
            <x v="0"/>
          </reference>
          <reference field="3" count="1" selected="0">
            <x v="31"/>
          </reference>
        </references>
      </pivotArea>
    </chartFormat>
    <chartFormat chart="12" format="34">
      <pivotArea type="data" outline="0" fieldPosition="0">
        <references count="2">
          <reference field="4294967294" count="1" selected="0">
            <x v="0"/>
          </reference>
          <reference field="3" count="1" selected="0">
            <x v="32"/>
          </reference>
        </references>
      </pivotArea>
    </chartFormat>
    <chartFormat chart="12" format="35">
      <pivotArea type="data" outline="0" fieldPosition="0">
        <references count="2">
          <reference field="4294967294" count="1" selected="0">
            <x v="0"/>
          </reference>
          <reference field="3" count="1" selected="0">
            <x v="33"/>
          </reference>
        </references>
      </pivotArea>
    </chartFormat>
    <chartFormat chart="12" format="36">
      <pivotArea type="data" outline="0" fieldPosition="0">
        <references count="2">
          <reference field="4294967294" count="1" selected="0">
            <x v="0"/>
          </reference>
          <reference field="3" count="1" selected="0">
            <x v="34"/>
          </reference>
        </references>
      </pivotArea>
    </chartFormat>
    <chartFormat chart="12" format="37">
      <pivotArea type="data" outline="0" fieldPosition="0">
        <references count="2">
          <reference field="4294967294" count="1" selected="0">
            <x v="0"/>
          </reference>
          <reference field="3" count="1" selected="0">
            <x v="35"/>
          </reference>
        </references>
      </pivotArea>
    </chartFormat>
    <chartFormat chart="12" format="38">
      <pivotArea type="data" outline="0" fieldPosition="0">
        <references count="2">
          <reference field="4294967294" count="1" selected="0">
            <x v="0"/>
          </reference>
          <reference field="3" count="1" selected="0">
            <x v="36"/>
          </reference>
        </references>
      </pivotArea>
    </chartFormat>
    <chartFormat chart="12" format="39">
      <pivotArea type="data" outline="0" fieldPosition="0">
        <references count="2">
          <reference field="4294967294" count="1" selected="0">
            <x v="0"/>
          </reference>
          <reference field="3" count="1" selected="0">
            <x v="37"/>
          </reference>
        </references>
      </pivotArea>
    </chartFormat>
    <chartFormat chart="12" format="40">
      <pivotArea type="data" outline="0" fieldPosition="0">
        <references count="2">
          <reference field="4294967294" count="1" selected="0">
            <x v="0"/>
          </reference>
          <reference field="3" count="1" selected="0">
            <x v="38"/>
          </reference>
        </references>
      </pivotArea>
    </chartFormat>
    <chartFormat chart="12" format="41">
      <pivotArea type="data" outline="0" fieldPosition="0">
        <references count="2">
          <reference field="4294967294" count="1" selected="0">
            <x v="0"/>
          </reference>
          <reference field="3" count="1" selected="0">
            <x v="39"/>
          </reference>
        </references>
      </pivotArea>
    </chartFormat>
    <chartFormat chart="12" format="42">
      <pivotArea type="data" outline="0" fieldPosition="0">
        <references count="2">
          <reference field="4294967294" count="1" selected="0">
            <x v="0"/>
          </reference>
          <reference field="3" count="1" selected="0">
            <x v="40"/>
          </reference>
        </references>
      </pivotArea>
    </chartFormat>
    <chartFormat chart="12" format="43">
      <pivotArea type="data" outline="0" fieldPosition="0">
        <references count="2">
          <reference field="4294967294" count="1" selected="0">
            <x v="0"/>
          </reference>
          <reference field="3" count="1" selected="0">
            <x v="41"/>
          </reference>
        </references>
      </pivotArea>
    </chartFormat>
    <chartFormat chart="12" format="44">
      <pivotArea type="data" outline="0" fieldPosition="0">
        <references count="2">
          <reference field="4294967294" count="1" selected="0">
            <x v="0"/>
          </reference>
          <reference field="3" count="1" selected="0">
            <x v="42"/>
          </reference>
        </references>
      </pivotArea>
    </chartFormat>
    <chartFormat chart="12" format="45">
      <pivotArea type="data" outline="0" fieldPosition="0">
        <references count="2">
          <reference field="4294967294" count="1" selected="0">
            <x v="0"/>
          </reference>
          <reference field="3" count="1" selected="0">
            <x v="43"/>
          </reference>
        </references>
      </pivotArea>
    </chartFormat>
    <chartFormat chart="12" format="46">
      <pivotArea type="data" outline="0" fieldPosition="0">
        <references count="2">
          <reference field="4294967294" count="1" selected="0">
            <x v="0"/>
          </reference>
          <reference field="3" count="1" selected="0">
            <x v="44"/>
          </reference>
        </references>
      </pivotArea>
    </chartFormat>
    <chartFormat chart="13" format="47" series="1">
      <pivotArea type="data" outline="0" fieldPosition="0">
        <references count="1">
          <reference field="4294967294" count="1" selected="0">
            <x v="0"/>
          </reference>
        </references>
      </pivotArea>
    </chartFormat>
    <chartFormat chart="13" format="48">
      <pivotArea type="data" outline="0" fieldPosition="0">
        <references count="2">
          <reference field="4294967294" count="1" selected="0">
            <x v="0"/>
          </reference>
          <reference field="3" count="1" selected="0">
            <x v="0"/>
          </reference>
        </references>
      </pivotArea>
    </chartFormat>
    <chartFormat chart="13" format="49">
      <pivotArea type="data" outline="0" fieldPosition="0">
        <references count="2">
          <reference field="4294967294" count="1" selected="0">
            <x v="0"/>
          </reference>
          <reference field="3" count="1" selected="0">
            <x v="1"/>
          </reference>
        </references>
      </pivotArea>
    </chartFormat>
    <chartFormat chart="13" format="50">
      <pivotArea type="data" outline="0" fieldPosition="0">
        <references count="2">
          <reference field="4294967294" count="1" selected="0">
            <x v="0"/>
          </reference>
          <reference field="3" count="1" selected="0">
            <x v="2"/>
          </reference>
        </references>
      </pivotArea>
    </chartFormat>
    <chartFormat chart="13" format="51">
      <pivotArea type="data" outline="0" fieldPosition="0">
        <references count="2">
          <reference field="4294967294" count="1" selected="0">
            <x v="0"/>
          </reference>
          <reference field="3" count="1" selected="0">
            <x v="3"/>
          </reference>
        </references>
      </pivotArea>
    </chartFormat>
    <chartFormat chart="13" format="52">
      <pivotArea type="data" outline="0" fieldPosition="0">
        <references count="2">
          <reference field="4294967294" count="1" selected="0">
            <x v="0"/>
          </reference>
          <reference field="3" count="1" selected="0">
            <x v="4"/>
          </reference>
        </references>
      </pivotArea>
    </chartFormat>
    <chartFormat chart="13" format="53">
      <pivotArea type="data" outline="0" fieldPosition="0">
        <references count="2">
          <reference field="4294967294" count="1" selected="0">
            <x v="0"/>
          </reference>
          <reference field="3" count="1" selected="0">
            <x v="5"/>
          </reference>
        </references>
      </pivotArea>
    </chartFormat>
    <chartFormat chart="13" format="54">
      <pivotArea type="data" outline="0" fieldPosition="0">
        <references count="2">
          <reference field="4294967294" count="1" selected="0">
            <x v="0"/>
          </reference>
          <reference field="3" count="1" selected="0">
            <x v="6"/>
          </reference>
        </references>
      </pivotArea>
    </chartFormat>
    <chartFormat chart="13" format="55">
      <pivotArea type="data" outline="0" fieldPosition="0">
        <references count="2">
          <reference field="4294967294" count="1" selected="0">
            <x v="0"/>
          </reference>
          <reference field="3" count="1" selected="0">
            <x v="7"/>
          </reference>
        </references>
      </pivotArea>
    </chartFormat>
    <chartFormat chart="13" format="56">
      <pivotArea type="data" outline="0" fieldPosition="0">
        <references count="2">
          <reference field="4294967294" count="1" selected="0">
            <x v="0"/>
          </reference>
          <reference field="3" count="1" selected="0">
            <x v="8"/>
          </reference>
        </references>
      </pivotArea>
    </chartFormat>
    <chartFormat chart="13" format="57">
      <pivotArea type="data" outline="0" fieldPosition="0">
        <references count="2">
          <reference field="4294967294" count="1" selected="0">
            <x v="0"/>
          </reference>
          <reference field="3" count="1" selected="0">
            <x v="9"/>
          </reference>
        </references>
      </pivotArea>
    </chartFormat>
    <chartFormat chart="13" format="58">
      <pivotArea type="data" outline="0" fieldPosition="0">
        <references count="2">
          <reference field="4294967294" count="1" selected="0">
            <x v="0"/>
          </reference>
          <reference field="3" count="1" selected="0">
            <x v="10"/>
          </reference>
        </references>
      </pivotArea>
    </chartFormat>
    <chartFormat chart="13" format="59">
      <pivotArea type="data" outline="0" fieldPosition="0">
        <references count="2">
          <reference field="4294967294" count="1" selected="0">
            <x v="0"/>
          </reference>
          <reference field="3" count="1" selected="0">
            <x v="11"/>
          </reference>
        </references>
      </pivotArea>
    </chartFormat>
    <chartFormat chart="13" format="60">
      <pivotArea type="data" outline="0" fieldPosition="0">
        <references count="2">
          <reference field="4294967294" count="1" selected="0">
            <x v="0"/>
          </reference>
          <reference field="3" count="1" selected="0">
            <x v="12"/>
          </reference>
        </references>
      </pivotArea>
    </chartFormat>
    <chartFormat chart="13" format="61">
      <pivotArea type="data" outline="0" fieldPosition="0">
        <references count="2">
          <reference field="4294967294" count="1" selected="0">
            <x v="0"/>
          </reference>
          <reference field="3" count="1" selected="0">
            <x v="13"/>
          </reference>
        </references>
      </pivotArea>
    </chartFormat>
    <chartFormat chart="13" format="62">
      <pivotArea type="data" outline="0" fieldPosition="0">
        <references count="2">
          <reference field="4294967294" count="1" selected="0">
            <x v="0"/>
          </reference>
          <reference field="3" count="1" selected="0">
            <x v="14"/>
          </reference>
        </references>
      </pivotArea>
    </chartFormat>
    <chartFormat chart="13" format="63">
      <pivotArea type="data" outline="0" fieldPosition="0">
        <references count="2">
          <reference field="4294967294" count="1" selected="0">
            <x v="0"/>
          </reference>
          <reference field="3" count="1" selected="0">
            <x v="15"/>
          </reference>
        </references>
      </pivotArea>
    </chartFormat>
    <chartFormat chart="13" format="64">
      <pivotArea type="data" outline="0" fieldPosition="0">
        <references count="2">
          <reference field="4294967294" count="1" selected="0">
            <x v="0"/>
          </reference>
          <reference field="3" count="1" selected="0">
            <x v="16"/>
          </reference>
        </references>
      </pivotArea>
    </chartFormat>
    <chartFormat chart="13" format="65">
      <pivotArea type="data" outline="0" fieldPosition="0">
        <references count="2">
          <reference field="4294967294" count="1" selected="0">
            <x v="0"/>
          </reference>
          <reference field="3" count="1" selected="0">
            <x v="17"/>
          </reference>
        </references>
      </pivotArea>
    </chartFormat>
    <chartFormat chart="13" format="66">
      <pivotArea type="data" outline="0" fieldPosition="0">
        <references count="2">
          <reference field="4294967294" count="1" selected="0">
            <x v="0"/>
          </reference>
          <reference field="3" count="1" selected="0">
            <x v="18"/>
          </reference>
        </references>
      </pivotArea>
    </chartFormat>
    <chartFormat chart="13" format="67">
      <pivotArea type="data" outline="0" fieldPosition="0">
        <references count="2">
          <reference field="4294967294" count="1" selected="0">
            <x v="0"/>
          </reference>
          <reference field="3" count="1" selected="0">
            <x v="19"/>
          </reference>
        </references>
      </pivotArea>
    </chartFormat>
    <chartFormat chart="13" format="68">
      <pivotArea type="data" outline="0" fieldPosition="0">
        <references count="2">
          <reference field="4294967294" count="1" selected="0">
            <x v="0"/>
          </reference>
          <reference field="3" count="1" selected="0">
            <x v="20"/>
          </reference>
        </references>
      </pivotArea>
    </chartFormat>
    <chartFormat chart="13" format="69">
      <pivotArea type="data" outline="0" fieldPosition="0">
        <references count="2">
          <reference field="4294967294" count="1" selected="0">
            <x v="0"/>
          </reference>
          <reference field="3" count="1" selected="0">
            <x v="21"/>
          </reference>
        </references>
      </pivotArea>
    </chartFormat>
    <chartFormat chart="13" format="70">
      <pivotArea type="data" outline="0" fieldPosition="0">
        <references count="2">
          <reference field="4294967294" count="1" selected="0">
            <x v="0"/>
          </reference>
          <reference field="3" count="1" selected="0">
            <x v="22"/>
          </reference>
        </references>
      </pivotArea>
    </chartFormat>
    <chartFormat chart="13" format="71">
      <pivotArea type="data" outline="0" fieldPosition="0">
        <references count="2">
          <reference field="4294967294" count="1" selected="0">
            <x v="0"/>
          </reference>
          <reference field="3" count="1" selected="0">
            <x v="23"/>
          </reference>
        </references>
      </pivotArea>
    </chartFormat>
    <chartFormat chart="13" format="72">
      <pivotArea type="data" outline="0" fieldPosition="0">
        <references count="2">
          <reference field="4294967294" count="1" selected="0">
            <x v="0"/>
          </reference>
          <reference field="3" count="1" selected="0">
            <x v="24"/>
          </reference>
        </references>
      </pivotArea>
    </chartFormat>
    <chartFormat chart="13" format="73">
      <pivotArea type="data" outline="0" fieldPosition="0">
        <references count="2">
          <reference field="4294967294" count="1" selected="0">
            <x v="0"/>
          </reference>
          <reference field="3" count="1" selected="0">
            <x v="25"/>
          </reference>
        </references>
      </pivotArea>
    </chartFormat>
    <chartFormat chart="13" format="74">
      <pivotArea type="data" outline="0" fieldPosition="0">
        <references count="2">
          <reference field="4294967294" count="1" selected="0">
            <x v="0"/>
          </reference>
          <reference field="3" count="1" selected="0">
            <x v="26"/>
          </reference>
        </references>
      </pivotArea>
    </chartFormat>
    <chartFormat chart="13" format="75">
      <pivotArea type="data" outline="0" fieldPosition="0">
        <references count="2">
          <reference field="4294967294" count="1" selected="0">
            <x v="0"/>
          </reference>
          <reference field="3" count="1" selected="0">
            <x v="27"/>
          </reference>
        </references>
      </pivotArea>
    </chartFormat>
    <chartFormat chart="13" format="76">
      <pivotArea type="data" outline="0" fieldPosition="0">
        <references count="2">
          <reference field="4294967294" count="1" selected="0">
            <x v="0"/>
          </reference>
          <reference field="3" count="1" selected="0">
            <x v="28"/>
          </reference>
        </references>
      </pivotArea>
    </chartFormat>
    <chartFormat chart="13" format="77">
      <pivotArea type="data" outline="0" fieldPosition="0">
        <references count="2">
          <reference field="4294967294" count="1" selected="0">
            <x v="0"/>
          </reference>
          <reference field="3" count="1" selected="0">
            <x v="29"/>
          </reference>
        </references>
      </pivotArea>
    </chartFormat>
    <chartFormat chart="13" format="78">
      <pivotArea type="data" outline="0" fieldPosition="0">
        <references count="2">
          <reference field="4294967294" count="1" selected="0">
            <x v="0"/>
          </reference>
          <reference field="3" count="1" selected="0">
            <x v="30"/>
          </reference>
        </references>
      </pivotArea>
    </chartFormat>
    <chartFormat chart="13" format="79">
      <pivotArea type="data" outline="0" fieldPosition="0">
        <references count="2">
          <reference field="4294967294" count="1" selected="0">
            <x v="0"/>
          </reference>
          <reference field="3" count="1" selected="0">
            <x v="31"/>
          </reference>
        </references>
      </pivotArea>
    </chartFormat>
    <chartFormat chart="13" format="80">
      <pivotArea type="data" outline="0" fieldPosition="0">
        <references count="2">
          <reference field="4294967294" count="1" selected="0">
            <x v="0"/>
          </reference>
          <reference field="3" count="1" selected="0">
            <x v="32"/>
          </reference>
        </references>
      </pivotArea>
    </chartFormat>
    <chartFormat chart="13" format="81">
      <pivotArea type="data" outline="0" fieldPosition="0">
        <references count="2">
          <reference field="4294967294" count="1" selected="0">
            <x v="0"/>
          </reference>
          <reference field="3" count="1" selected="0">
            <x v="33"/>
          </reference>
        </references>
      </pivotArea>
    </chartFormat>
    <chartFormat chart="13" format="82">
      <pivotArea type="data" outline="0" fieldPosition="0">
        <references count="2">
          <reference field="4294967294" count="1" selected="0">
            <x v="0"/>
          </reference>
          <reference field="3" count="1" selected="0">
            <x v="34"/>
          </reference>
        </references>
      </pivotArea>
    </chartFormat>
    <chartFormat chart="13" format="83">
      <pivotArea type="data" outline="0" fieldPosition="0">
        <references count="2">
          <reference field="4294967294" count="1" selected="0">
            <x v="0"/>
          </reference>
          <reference field="3" count="1" selected="0">
            <x v="35"/>
          </reference>
        </references>
      </pivotArea>
    </chartFormat>
    <chartFormat chart="13" format="84">
      <pivotArea type="data" outline="0" fieldPosition="0">
        <references count="2">
          <reference field="4294967294" count="1" selected="0">
            <x v="0"/>
          </reference>
          <reference field="3" count="1" selected="0">
            <x v="36"/>
          </reference>
        </references>
      </pivotArea>
    </chartFormat>
    <chartFormat chart="13" format="85">
      <pivotArea type="data" outline="0" fieldPosition="0">
        <references count="2">
          <reference field="4294967294" count="1" selected="0">
            <x v="0"/>
          </reference>
          <reference field="3" count="1" selected="0">
            <x v="37"/>
          </reference>
        </references>
      </pivotArea>
    </chartFormat>
    <chartFormat chart="13" format="86">
      <pivotArea type="data" outline="0" fieldPosition="0">
        <references count="2">
          <reference field="4294967294" count="1" selected="0">
            <x v="0"/>
          </reference>
          <reference field="3" count="1" selected="0">
            <x v="38"/>
          </reference>
        </references>
      </pivotArea>
    </chartFormat>
    <chartFormat chart="13" format="87">
      <pivotArea type="data" outline="0" fieldPosition="0">
        <references count="2">
          <reference field="4294967294" count="1" selected="0">
            <x v="0"/>
          </reference>
          <reference field="3" count="1" selected="0">
            <x v="39"/>
          </reference>
        </references>
      </pivotArea>
    </chartFormat>
    <chartFormat chart="13" format="88">
      <pivotArea type="data" outline="0" fieldPosition="0">
        <references count="2">
          <reference field="4294967294" count="1" selected="0">
            <x v="0"/>
          </reference>
          <reference field="3" count="1" selected="0">
            <x v="40"/>
          </reference>
        </references>
      </pivotArea>
    </chartFormat>
    <chartFormat chart="13" format="89">
      <pivotArea type="data" outline="0" fieldPosition="0">
        <references count="2">
          <reference field="4294967294" count="1" selected="0">
            <x v="0"/>
          </reference>
          <reference field="3" count="1" selected="0">
            <x v="41"/>
          </reference>
        </references>
      </pivotArea>
    </chartFormat>
    <chartFormat chart="13" format="90">
      <pivotArea type="data" outline="0" fieldPosition="0">
        <references count="2">
          <reference field="4294967294" count="1" selected="0">
            <x v="0"/>
          </reference>
          <reference field="3" count="1" selected="0">
            <x v="42"/>
          </reference>
        </references>
      </pivotArea>
    </chartFormat>
    <chartFormat chart="13" format="91">
      <pivotArea type="data" outline="0" fieldPosition="0">
        <references count="2">
          <reference field="4294967294" count="1" selected="0">
            <x v="0"/>
          </reference>
          <reference field="3" count="1" selected="0">
            <x v="43"/>
          </reference>
        </references>
      </pivotArea>
    </chartFormat>
    <chartFormat chart="13" format="92">
      <pivotArea type="data" outline="0" fieldPosition="0">
        <references count="2">
          <reference field="4294967294" count="1" selected="0">
            <x v="0"/>
          </reference>
          <reference field="3" count="1" selected="0">
            <x v="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79356C-CAC9-48FE-AB5B-770664F6D7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K26" firstHeaderRow="1" firstDataRow="2" firstDataCol="1"/>
  <pivotFields count="19">
    <pivotField axis="axisCol" showAll="0">
      <items count="10">
        <item x="0"/>
        <item x="1"/>
        <item x="2"/>
        <item x="3"/>
        <item x="4"/>
        <item x="5"/>
        <item x="6"/>
        <item x="7"/>
        <item x="8"/>
        <item t="default"/>
      </items>
    </pivotField>
    <pivotField showAll="0"/>
    <pivotField showAll="0">
      <items count="38">
        <item x="22"/>
        <item x="19"/>
        <item x="0"/>
        <item x="8"/>
        <item x="3"/>
        <item x="1"/>
        <item x="36"/>
        <item x="12"/>
        <item x="18"/>
        <item x="9"/>
        <item x="6"/>
        <item x="2"/>
        <item x="29"/>
        <item x="24"/>
        <item x="26"/>
        <item x="7"/>
        <item x="10"/>
        <item x="11"/>
        <item x="20"/>
        <item x="15"/>
        <item x="35"/>
        <item x="17"/>
        <item x="30"/>
        <item x="34"/>
        <item x="5"/>
        <item x="25"/>
        <item x="32"/>
        <item x="14"/>
        <item x="31"/>
        <item x="28"/>
        <item x="33"/>
        <item x="13"/>
        <item x="4"/>
        <item x="21"/>
        <item x="27"/>
        <item x="23"/>
        <item x="16"/>
        <item t="default"/>
      </items>
    </pivotField>
    <pivotField showAll="0">
      <items count="46">
        <item x="22"/>
        <item x="40"/>
        <item x="23"/>
        <item x="44"/>
        <item x="14"/>
        <item x="9"/>
        <item x="12"/>
        <item x="3"/>
        <item x="20"/>
        <item x="11"/>
        <item x="4"/>
        <item x="38"/>
        <item x="41"/>
        <item x="24"/>
        <item x="32"/>
        <item x="42"/>
        <item x="27"/>
        <item x="39"/>
        <item x="16"/>
        <item x="43"/>
        <item x="2"/>
        <item x="13"/>
        <item x="21"/>
        <item x="1"/>
        <item x="36"/>
        <item x="34"/>
        <item x="18"/>
        <item x="5"/>
        <item x="30"/>
        <item x="26"/>
        <item x="6"/>
        <item x="31"/>
        <item x="33"/>
        <item x="37"/>
        <item x="35"/>
        <item x="17"/>
        <item x="28"/>
        <item x="25"/>
        <item x="15"/>
        <item x="0"/>
        <item x="19"/>
        <item x="10"/>
        <item x="8"/>
        <item x="7"/>
        <item x="29"/>
        <item t="default"/>
      </items>
    </pivotField>
    <pivotField showAll="0"/>
    <pivotField axis="axisRow" showAll="0" sortType="ascending">
      <items count="22">
        <item x="15"/>
        <item x="11"/>
        <item x="12"/>
        <item x="14"/>
        <item x="13"/>
        <item x="19"/>
        <item x="20"/>
        <item x="0"/>
        <item x="5"/>
        <item x="9"/>
        <item x="16"/>
        <item x="3"/>
        <item x="1"/>
        <item x="18"/>
        <item x="10"/>
        <item x="17"/>
        <item x="2"/>
        <item x="4"/>
        <item x="6"/>
        <item x="8"/>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5"/>
  </rowFields>
  <rowItems count="22">
    <i>
      <x v="6"/>
    </i>
    <i>
      <x v="5"/>
    </i>
    <i>
      <x v="15"/>
    </i>
    <i>
      <x v="18"/>
    </i>
    <i>
      <x v="8"/>
    </i>
    <i>
      <x/>
    </i>
    <i>
      <x v="10"/>
    </i>
    <i>
      <x v="1"/>
    </i>
    <i>
      <x v="19"/>
    </i>
    <i>
      <x v="13"/>
    </i>
    <i>
      <x v="20"/>
    </i>
    <i>
      <x v="2"/>
    </i>
    <i>
      <x v="9"/>
    </i>
    <i>
      <x v="14"/>
    </i>
    <i>
      <x v="17"/>
    </i>
    <i>
      <x v="4"/>
    </i>
    <i>
      <x v="3"/>
    </i>
    <i>
      <x v="11"/>
    </i>
    <i>
      <x v="7"/>
    </i>
    <i>
      <x v="16"/>
    </i>
    <i>
      <x v="12"/>
    </i>
    <i t="grand">
      <x/>
    </i>
  </rowItems>
  <colFields count="1">
    <field x="0"/>
  </colFields>
  <colItems count="10">
    <i>
      <x/>
    </i>
    <i>
      <x v="1"/>
    </i>
    <i>
      <x v="2"/>
    </i>
    <i>
      <x v="3"/>
    </i>
    <i>
      <x v="4"/>
    </i>
    <i>
      <x v="5"/>
    </i>
    <i>
      <x v="6"/>
    </i>
    <i>
      <x v="7"/>
    </i>
    <i>
      <x v="8"/>
    </i>
    <i t="grand">
      <x/>
    </i>
  </colItems>
  <dataFields count="1">
    <dataField name="Sum of RacePoints" fld="8" baseField="0" baseItem="0"/>
  </dataFields>
  <chartFormats count="3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4" format="9"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2"/>
          </reference>
        </references>
      </pivotArea>
    </chartFormat>
    <chartFormat chart="4" format="12" series="1">
      <pivotArea type="data" outline="0" fieldPosition="0">
        <references count="2">
          <reference field="4294967294" count="1" selected="0">
            <x v="0"/>
          </reference>
          <reference field="0" count="1" selected="0">
            <x v="3"/>
          </reference>
        </references>
      </pivotArea>
    </chartFormat>
    <chartFormat chart="4" format="13" series="1">
      <pivotArea type="data" outline="0" fieldPosition="0">
        <references count="2">
          <reference field="4294967294" count="1" selected="0">
            <x v="0"/>
          </reference>
          <reference field="0" count="1" selected="0">
            <x v="4"/>
          </reference>
        </references>
      </pivotArea>
    </chartFormat>
    <chartFormat chart="4" format="14" series="1">
      <pivotArea type="data" outline="0" fieldPosition="0">
        <references count="2">
          <reference field="4294967294" count="1" selected="0">
            <x v="0"/>
          </reference>
          <reference field="0" count="1" selected="0">
            <x v="5"/>
          </reference>
        </references>
      </pivotArea>
    </chartFormat>
    <chartFormat chart="4" format="15" series="1">
      <pivotArea type="data" outline="0" fieldPosition="0">
        <references count="2">
          <reference field="4294967294" count="1" selected="0">
            <x v="0"/>
          </reference>
          <reference field="0" count="1" selected="0">
            <x v="6"/>
          </reference>
        </references>
      </pivotArea>
    </chartFormat>
    <chartFormat chart="4" format="16" series="1">
      <pivotArea type="data" outline="0" fieldPosition="0">
        <references count="2">
          <reference field="4294967294" count="1" selected="0">
            <x v="0"/>
          </reference>
          <reference field="0" count="1" selected="0">
            <x v="7"/>
          </reference>
        </references>
      </pivotArea>
    </chartFormat>
    <chartFormat chart="4" format="17"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1">
          <reference field="4294967294" count="1" selected="0">
            <x v="0"/>
          </reference>
        </references>
      </pivotArea>
    </chartFormat>
    <chartFormat chart="7" format="30" series="1">
      <pivotArea type="data" outline="0" fieldPosition="0">
        <references count="2">
          <reference field="4294967294" count="1" selected="0">
            <x v="0"/>
          </reference>
          <reference field="0" count="1" selected="0">
            <x v="0"/>
          </reference>
        </references>
      </pivotArea>
    </chartFormat>
    <chartFormat chart="7" format="31" series="1">
      <pivotArea type="data" outline="0" fieldPosition="0">
        <references count="2">
          <reference field="4294967294" count="1" selected="0">
            <x v="0"/>
          </reference>
          <reference field="0" count="1" selected="0">
            <x v="1"/>
          </reference>
        </references>
      </pivotArea>
    </chartFormat>
    <chartFormat chart="7" format="32" series="1">
      <pivotArea type="data" outline="0" fieldPosition="0">
        <references count="2">
          <reference field="4294967294" count="1" selected="0">
            <x v="0"/>
          </reference>
          <reference field="0" count="1" selected="0">
            <x v="2"/>
          </reference>
        </references>
      </pivotArea>
    </chartFormat>
    <chartFormat chart="7" format="33" series="1">
      <pivotArea type="data" outline="0" fieldPosition="0">
        <references count="2">
          <reference field="4294967294" count="1" selected="0">
            <x v="0"/>
          </reference>
          <reference field="0" count="1" selected="0">
            <x v="3"/>
          </reference>
        </references>
      </pivotArea>
    </chartFormat>
    <chartFormat chart="7" format="34" series="1">
      <pivotArea type="data" outline="0" fieldPosition="0">
        <references count="2">
          <reference field="4294967294" count="1" selected="0">
            <x v="0"/>
          </reference>
          <reference field="0" count="1" selected="0">
            <x v="4"/>
          </reference>
        </references>
      </pivotArea>
    </chartFormat>
    <chartFormat chart="7" format="35" series="1">
      <pivotArea type="data" outline="0" fieldPosition="0">
        <references count="2">
          <reference field="4294967294" count="1" selected="0">
            <x v="0"/>
          </reference>
          <reference field="0" count="1" selected="0">
            <x v="5"/>
          </reference>
        </references>
      </pivotArea>
    </chartFormat>
    <chartFormat chart="7" format="36" series="1">
      <pivotArea type="data" outline="0" fieldPosition="0">
        <references count="2">
          <reference field="4294967294" count="1" selected="0">
            <x v="0"/>
          </reference>
          <reference field="0" count="1" selected="0">
            <x v="6"/>
          </reference>
        </references>
      </pivotArea>
    </chartFormat>
    <chartFormat chart="7" format="37" series="1">
      <pivotArea type="data" outline="0" fieldPosition="0">
        <references count="2">
          <reference field="4294967294" count="1" selected="0">
            <x v="0"/>
          </reference>
          <reference field="0" count="1" selected="0">
            <x v="7"/>
          </reference>
        </references>
      </pivotArea>
    </chartFormat>
    <chartFormat chart="7" format="38"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BBE66C4-F530-48A1-B0DE-646C291AE1C6}" sourceName="Season">
  <pivotTables>
    <pivotTable tabId="6" name="PivotTable14"/>
    <pivotTable tabId="5" name="PivotTable4"/>
    <pivotTable tabId="3" name="PivotTable2"/>
    <pivotTable tabId="2" name="PivotTable1"/>
    <pivotTable tabId="7" name="PivotTable6"/>
    <pivotTable tabId="10" name="PivotTable3"/>
    <pivotTable tabId="6" name="PivotTable10"/>
    <pivotTable tabId="6" name="PivotTable11"/>
    <pivotTable tabId="6" name="PivotTable12"/>
    <pivotTable tabId="6" name="PivotTable13"/>
    <pivotTable tabId="6" name="PivotTable5"/>
    <pivotTable tabId="6" name="PivotTable8"/>
    <pivotTable tabId="6" name="PivotTable9"/>
    <pivotTable tabId="3" name="PivotTable1"/>
    <pivotTable tabId="2" name="PivotTable2"/>
  </pivotTables>
  <data>
    <tabular pivotCacheId="1934135136" sortOrder="descending">
      <items count="9">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D6578CD2-CE66-4893-94A0-3889CFBE4125}" sourceName="Race">
  <pivotTables>
    <pivotTable tabId="6" name="PivotTable14"/>
    <pivotTable tabId="5" name="PivotTable4"/>
    <pivotTable tabId="3" name="PivotTable2"/>
    <pivotTable tabId="2" name="PivotTable1"/>
    <pivotTable tabId="7" name="PivotTable6"/>
    <pivotTable tabId="10" name="PivotTable3"/>
    <pivotTable tabId="6" name="PivotTable10"/>
    <pivotTable tabId="6" name="PivotTable11"/>
    <pivotTable tabId="6" name="PivotTable12"/>
    <pivotTable tabId="6" name="PivotTable13"/>
    <pivotTable tabId="6" name="PivotTable5"/>
    <pivotTable tabId="6" name="PivotTable8"/>
    <pivotTable tabId="6" name="PivotTable9"/>
    <pivotTable tabId="3" name="PivotTable1"/>
    <pivotTable tabId="2" name="PivotTable2"/>
  </pivotTables>
  <data>
    <tabular pivotCacheId="1934135136">
      <items count="37">
        <i x="22" s="1"/>
        <i x="19" s="1"/>
        <i x="0" s="1"/>
        <i x="8" s="1"/>
        <i x="3" s="1"/>
        <i x="1" s="1"/>
        <i x="36" s="1"/>
        <i x="12" s="1"/>
        <i x="18" s="1"/>
        <i x="9" s="1"/>
        <i x="6" s="1"/>
        <i x="2" s="1"/>
        <i x="29" s="1"/>
        <i x="24" s="1"/>
        <i x="26" s="1"/>
        <i x="7" s="1"/>
        <i x="10" s="1"/>
        <i x="11" s="1"/>
        <i x="20" s="1"/>
        <i x="15" s="1"/>
        <i x="35" s="1"/>
        <i x="17" s="1"/>
        <i x="30" s="1"/>
        <i x="34" s="1"/>
        <i x="5" s="1"/>
        <i x="25" s="1"/>
        <i x="32" s="1"/>
        <i x="14" s="1"/>
        <i x="31" s="1"/>
        <i x="28" s="1"/>
        <i x="33" s="1"/>
        <i x="13" s="1"/>
        <i x="4" s="1"/>
        <i x="21" s="1"/>
        <i x="27" s="1"/>
        <i x="23"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 xr10:uid="{4DCA1FCF-1892-4C71-9C37-8B105D84DDA2}" sourceName="Driver">
  <pivotTables>
    <pivotTable tabId="6" name="PivotTable14"/>
    <pivotTable tabId="5" name="PivotTable4"/>
    <pivotTable tabId="3" name="PivotTable2"/>
    <pivotTable tabId="2" name="PivotTable1"/>
    <pivotTable tabId="7" name="PivotTable6"/>
    <pivotTable tabId="10" name="PivotTable3"/>
    <pivotTable tabId="6" name="PivotTable10"/>
    <pivotTable tabId="6" name="PivotTable11"/>
    <pivotTable tabId="6" name="PivotTable12"/>
    <pivotTable tabId="6" name="PivotTable13"/>
    <pivotTable tabId="6" name="PivotTable5"/>
    <pivotTable tabId="6" name="PivotTable8"/>
    <pivotTable tabId="6" name="PivotTable9"/>
    <pivotTable tabId="3" name="PivotTable1"/>
    <pivotTable tabId="2" name="PivotTable2"/>
  </pivotTables>
  <data>
    <tabular pivotCacheId="1934135136">
      <items count="45">
        <i x="22" s="1"/>
        <i x="40" s="1"/>
        <i x="23" s="1"/>
        <i x="44" s="1"/>
        <i x="14" s="1"/>
        <i x="9" s="1"/>
        <i x="12" s="1"/>
        <i x="3" s="1"/>
        <i x="20" s="1"/>
        <i x="11" s="1"/>
        <i x="4" s="1"/>
        <i x="38" s="1"/>
        <i x="41" s="1"/>
        <i x="24" s="1"/>
        <i x="32" s="1"/>
        <i x="42" s="1"/>
        <i x="27" s="1"/>
        <i x="39" s="1"/>
        <i x="16" s="1"/>
        <i x="43" s="1"/>
        <i x="2" s="1"/>
        <i x="13" s="1"/>
        <i x="21" s="1"/>
        <i x="1" s="1"/>
        <i x="36" s="1"/>
        <i x="34" s="1"/>
        <i x="18" s="1"/>
        <i x="5" s="1"/>
        <i x="30" s="1"/>
        <i x="26" s="1"/>
        <i x="6" s="1"/>
        <i x="31" s="1"/>
        <i x="33" s="1"/>
        <i x="37" s="1"/>
        <i x="35" s="1"/>
        <i x="17" s="1"/>
        <i x="28" s="1"/>
        <i x="25" s="1"/>
        <i x="15" s="1"/>
        <i x="0" s="1"/>
        <i x="19" s="1"/>
        <i x="10" s="1"/>
        <i x="8" s="1"/>
        <i x="7" s="1"/>
        <i x="2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B15665F-BF01-4D99-95C7-2D709B9C14F8}" sourceName="Team">
  <pivotTables>
    <pivotTable tabId="6" name="PivotTable14"/>
    <pivotTable tabId="5" name="PivotTable4"/>
    <pivotTable tabId="3" name="PivotTable2"/>
    <pivotTable tabId="2" name="PivotTable1"/>
    <pivotTable tabId="7" name="PivotTable6"/>
    <pivotTable tabId="10" name="PivotTable3"/>
    <pivotTable tabId="6" name="PivotTable10"/>
    <pivotTable tabId="6" name="PivotTable11"/>
    <pivotTable tabId="6" name="PivotTable12"/>
    <pivotTable tabId="6" name="PivotTable13"/>
    <pivotTable tabId="6" name="PivotTable5"/>
    <pivotTable tabId="6" name="PivotTable8"/>
    <pivotTable tabId="6" name="PivotTable9"/>
    <pivotTable tabId="3" name="PivotTable1"/>
    <pivotTable tabId="2" name="PivotTable2"/>
  </pivotTables>
  <data>
    <tabular pivotCacheId="1934135136">
      <items count="21">
        <i x="15" s="1"/>
        <i x="11" s="1"/>
        <i x="12" s="1"/>
        <i x="14" s="1"/>
        <i x="13" s="1"/>
        <i x="19" s="1"/>
        <i x="20" s="1"/>
        <i x="0" s="1"/>
        <i x="5" s="1"/>
        <i x="9" s="1"/>
        <i x="16" s="1"/>
        <i x="3" s="1"/>
        <i x="1" s="1"/>
        <i x="18" s="1"/>
        <i x="10" s="1"/>
        <i x="17" s="1"/>
        <i x="2" s="1"/>
        <i x="4"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78260DA7-E219-49A9-880E-701B457A3926}" sourceName="Weather">
  <pivotTables>
    <pivotTable tabId="6" name="PivotTable14"/>
    <pivotTable tabId="5" name="PivotTable4"/>
    <pivotTable tabId="3" name="PivotTable2"/>
    <pivotTable tabId="2" name="PivotTable1"/>
    <pivotTable tabId="7" name="PivotTable6"/>
    <pivotTable tabId="10" name="PivotTable3"/>
    <pivotTable tabId="6" name="PivotTable10"/>
    <pivotTable tabId="6" name="PivotTable11"/>
    <pivotTable tabId="6" name="PivotTable12"/>
    <pivotTable tabId="6" name="PivotTable13"/>
    <pivotTable tabId="6" name="PivotTable5"/>
    <pivotTable tabId="6" name="PivotTable8"/>
    <pivotTable tabId="6" name="PivotTable9"/>
    <pivotTable tabId="3" name="PivotTable1"/>
    <pivotTable tabId="2" name="PivotTable2"/>
  </pivotTables>
  <data>
    <tabular pivotCacheId="19341351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51CA393-B99D-443D-9312-228FEC0853E8}" cache="Slicer_Season" caption="Season" style="SlicerStyleDark2" rowHeight="247650"/>
  <slicer name="Race 1" xr10:uid="{EC42A047-0AEF-47A4-96C4-D03A7A7C54B4}" cache="Slicer_Race" caption="Race" style="SlicerStyleDark2" rowHeight="247650"/>
  <slicer name="Driver 1" xr10:uid="{D332CD9E-A84B-41C7-8933-E894C57506E3}" cache="Slicer_Driver" caption="Driver" style="SlicerStyleDark2" rowHeight="247650"/>
  <slicer name="Team 1" xr10:uid="{371BFDF7-38BE-4203-B92F-7D40F8B05D84}" cache="Slicer_Team" caption="Team" startItem="12" style="SlicerStyleDark2" rowHeight="247650"/>
  <slicer name="Weather 1" xr10:uid="{062EFBEE-A1FF-40EE-AE83-CA274FC9F313}" cache="Slicer_Weather" caption="Weather"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2366CA-7B48-4FE3-9DA7-2066AD97C072}" name="Table1" displayName="Table1" ref="A1:U3748" totalsRowCount="1">
  <autoFilter ref="A1:U3747" xr:uid="{572366CA-7B48-4FE3-9DA7-2066AD97C072}"/>
  <tableColumns count="21">
    <tableColumn id="1" xr3:uid="{437F231B-0E88-454B-A479-A1C7825958FD}" name="Season"/>
    <tableColumn id="2" xr3:uid="{38577393-0878-4872-9E9C-9FD4277A01A1}" name="Round"/>
    <tableColumn id="3" xr3:uid="{91B88C9A-1BBF-4D33-AA2C-84A57ED0BA1A}" name="Race"/>
    <tableColumn id="4" xr3:uid="{94F040F5-7212-47BF-A9CC-E96E2FC4820B}" name="Driver"/>
    <tableColumn id="5" xr3:uid="{CF78A01B-F543-4EE2-8A25-E8FBDCB42A91}" name="Abbreviation"/>
    <tableColumn id="6" xr3:uid="{60FAF063-69F1-4E76-80EB-253743C24894}" name="Team"/>
    <tableColumn id="7" xr3:uid="{AE8BEC93-BF15-4CBE-88DB-ED7C8F535550}" name="StartPosition"/>
    <tableColumn id="8" xr3:uid="{936AEA0B-9AA5-4A59-BE2B-7CCB54886C36}" name="FinishPosition"/>
    <tableColumn id="9" xr3:uid="{14590408-CB0F-4FC9-81AF-30A9A500604F}" name="RacePoints"/>
    <tableColumn id="10" xr3:uid="{BCAD4A30-0D46-458B-B785-A0E85A0699EB}" name="Podium"/>
    <tableColumn id="11" xr3:uid="{A6D0BCD8-7BD7-43E5-BBA9-4434A43BECA6}" name="Status"/>
    <tableColumn id="12" xr3:uid="{306421A0-5AD5-4458-A42C-D07062FAEDE0}" name="TotalLaps"/>
    <tableColumn id="13" xr3:uid="{B543C410-17AC-4F82-80D5-E62FA35F6982}" name="FastestLap" totalsRowFunction="custom">
      <totalsRowFormula>COUNTIF(M3726:M3747,"&gt;80")</totalsRowFormula>
    </tableColumn>
    <tableColumn id="14" xr3:uid="{4CD4420F-B56D-45FD-A1E6-D6C987DC300A}" name="AverageLapTime"/>
    <tableColumn id="15" xr3:uid="{84DEA0BC-29F5-4976-84E5-BECC3C61BA93}" name="FastestS1"/>
    <tableColumn id="16" xr3:uid="{F6AFF7D0-29F0-4D4A-AB5F-56925C0CA0EC}" name="FastestS2"/>
    <tableColumn id="17" xr3:uid="{C4C827FA-14F5-46A0-9B13-D4882E671B2B}" name="FastestS3"/>
    <tableColumn id="18" xr3:uid="{92D05F9E-9BE9-4D16-954E-D7303900447C}" name="PitStopLaps"/>
    <tableColumn id="19" xr3:uid="{2D061BA1-5C98-40DE-8F22-4A895BC0F925}" name="Weather"/>
    <tableColumn id="20" xr3:uid="{6436BAA4-38B3-4300-9231-57D0907A1046}" name="NoPitStops" dataDxfId="3" totalsRowDxfId="2">
      <calculatedColumnFormula>IF(TRIM(Table1[[#This Row],[PitStopLaps]])="",0,
LEN(Table1[[#This Row],[PitStopLaps]])-LEN(SUBSTITUTE(Table1[[#This Row],[PitStopLaps]],",",""))+1)</calculatedColumnFormula>
    </tableColumn>
    <tableColumn id="21" xr3:uid="{BE11279E-7A20-4EFF-BF38-34EE71461420}" name="Grid position" dataDxfId="1" totalsRowDxfId="0">
      <calculatedColumnFormula>Table1[[#This Row],[StartPosition]]-Table1[[#This Row],[FinishPosition]]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955D-1317-44BE-A3C1-D066754B4A96}">
  <dimension ref="A1:U3748"/>
  <sheetViews>
    <sheetView topLeftCell="A2" workbookViewId="0">
      <selection activeCell="U1" sqref="A1:U3747"/>
    </sheetView>
  </sheetViews>
  <sheetFormatPr defaultRowHeight="14.4" x14ac:dyDescent="0.3"/>
  <cols>
    <col min="5" max="5" width="13.5546875" customWidth="1"/>
    <col min="7" max="7" width="13.77734375" customWidth="1"/>
    <col min="8" max="8" width="14.6640625" customWidth="1"/>
    <col min="9" max="9" width="12.21875" customWidth="1"/>
    <col min="10" max="10" width="9.33203125" customWidth="1"/>
    <col min="12" max="12" width="10.88671875" customWidth="1"/>
    <col min="13" max="13" width="12" customWidth="1"/>
    <col min="14" max="14" width="16.5546875" customWidth="1"/>
    <col min="15" max="17" width="11.109375" customWidth="1"/>
    <col min="18" max="18" width="13" customWidth="1"/>
    <col min="19" max="19" width="9.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3" t="s">
        <v>1555</v>
      </c>
      <c r="U1" t="s">
        <v>1559</v>
      </c>
    </row>
    <row r="2" spans="1:21" x14ac:dyDescent="0.3">
      <c r="A2">
        <v>2018</v>
      </c>
      <c r="B2">
        <v>1</v>
      </c>
      <c r="C2" t="s">
        <v>19</v>
      </c>
      <c r="D2" t="s">
        <v>20</v>
      </c>
      <c r="E2" t="s">
        <v>21</v>
      </c>
      <c r="F2" t="s">
        <v>22</v>
      </c>
      <c r="G2">
        <v>3</v>
      </c>
      <c r="H2">
        <v>1</v>
      </c>
      <c r="I2">
        <v>25</v>
      </c>
      <c r="J2" t="s">
        <v>23</v>
      </c>
      <c r="K2" t="s">
        <v>24</v>
      </c>
      <c r="L2">
        <v>58</v>
      </c>
      <c r="M2">
        <v>86.468999999999994</v>
      </c>
      <c r="N2">
        <v>87.894914</v>
      </c>
      <c r="O2">
        <v>28.890999999999998</v>
      </c>
      <c r="P2">
        <v>23.198</v>
      </c>
      <c r="Q2">
        <v>34.334000000000003</v>
      </c>
      <c r="R2">
        <v>26</v>
      </c>
      <c r="S2" t="s">
        <v>25</v>
      </c>
      <c r="T2">
        <f>IF(TRIM(Table1[[#This Row],[PitStopLaps]])="",0,
LEN(Table1[[#This Row],[PitStopLaps]])-LEN(SUBSTITUTE(Table1[[#This Row],[PitStopLaps]],",",""))+1)</f>
        <v>1</v>
      </c>
      <c r="U2">
        <f>Table1[[#This Row],[StartPosition]]-Table1[[#This Row],[FinishPosition]]</f>
        <v>2</v>
      </c>
    </row>
    <row r="3" spans="1:21" x14ac:dyDescent="0.3">
      <c r="A3">
        <v>2018</v>
      </c>
      <c r="B3">
        <v>1</v>
      </c>
      <c r="C3" t="s">
        <v>19</v>
      </c>
      <c r="D3" t="s">
        <v>26</v>
      </c>
      <c r="E3" t="s">
        <v>27</v>
      </c>
      <c r="F3" t="s">
        <v>28</v>
      </c>
      <c r="G3">
        <v>1</v>
      </c>
      <c r="H3">
        <v>2</v>
      </c>
      <c r="I3">
        <v>18</v>
      </c>
      <c r="J3" t="s">
        <v>23</v>
      </c>
      <c r="K3" t="s">
        <v>24</v>
      </c>
      <c r="L3">
        <v>58</v>
      </c>
      <c r="M3">
        <v>86.444000000000003</v>
      </c>
      <c r="N3">
        <v>87.817532999999997</v>
      </c>
      <c r="O3">
        <v>28.76</v>
      </c>
      <c r="P3">
        <v>23.091999999999999</v>
      </c>
      <c r="Q3">
        <v>34.247</v>
      </c>
      <c r="R3">
        <v>19</v>
      </c>
      <c r="S3" t="s">
        <v>25</v>
      </c>
      <c r="T3">
        <f>IF(TRIM(Table1[[#This Row],[PitStopLaps]])="",0,
LEN(Table1[[#This Row],[PitStopLaps]])-LEN(SUBSTITUTE(Table1[[#This Row],[PitStopLaps]],",",""))+1)</f>
        <v>1</v>
      </c>
      <c r="U3">
        <f>Table1[[#This Row],[StartPosition]]-Table1[[#This Row],[FinishPosition]]</f>
        <v>-1</v>
      </c>
    </row>
    <row r="4" spans="1:21" x14ac:dyDescent="0.3">
      <c r="A4">
        <v>2018</v>
      </c>
      <c r="B4">
        <v>1</v>
      </c>
      <c r="C4" t="s">
        <v>19</v>
      </c>
      <c r="D4" t="s">
        <v>29</v>
      </c>
      <c r="E4" t="s">
        <v>30</v>
      </c>
      <c r="F4" t="s">
        <v>22</v>
      </c>
      <c r="G4">
        <v>2</v>
      </c>
      <c r="H4">
        <v>3</v>
      </c>
      <c r="I4">
        <v>15</v>
      </c>
      <c r="J4" t="s">
        <v>23</v>
      </c>
      <c r="K4" t="s">
        <v>24</v>
      </c>
      <c r="L4">
        <v>58</v>
      </c>
      <c r="M4">
        <v>86.373000000000005</v>
      </c>
      <c r="N4">
        <v>87.897510999999994</v>
      </c>
      <c r="O4">
        <v>28.698</v>
      </c>
      <c r="P4">
        <v>23.100999999999999</v>
      </c>
      <c r="Q4">
        <v>34.347000000000001</v>
      </c>
      <c r="R4">
        <v>18</v>
      </c>
      <c r="S4" t="s">
        <v>25</v>
      </c>
      <c r="T4">
        <f>IF(TRIM(Table1[[#This Row],[PitStopLaps]])="",0,
LEN(Table1[[#This Row],[PitStopLaps]])-LEN(SUBSTITUTE(Table1[[#This Row],[PitStopLaps]],",",""))+1)</f>
        <v>1</v>
      </c>
      <c r="U4">
        <f>Table1[[#This Row],[StartPosition]]-Table1[[#This Row],[FinishPosition]]</f>
        <v>-1</v>
      </c>
    </row>
    <row r="5" spans="1:21" x14ac:dyDescent="0.3">
      <c r="A5">
        <v>2018</v>
      </c>
      <c r="B5">
        <v>1</v>
      </c>
      <c r="C5" t="s">
        <v>19</v>
      </c>
      <c r="D5" t="s">
        <v>31</v>
      </c>
      <c r="E5" t="s">
        <v>32</v>
      </c>
      <c r="F5" t="s">
        <v>33</v>
      </c>
      <c r="G5">
        <v>8</v>
      </c>
      <c r="H5">
        <v>4</v>
      </c>
      <c r="I5">
        <v>12</v>
      </c>
      <c r="J5" t="s">
        <v>34</v>
      </c>
      <c r="K5" t="s">
        <v>24</v>
      </c>
      <c r="L5">
        <v>58</v>
      </c>
      <c r="M5">
        <v>85.944999999999993</v>
      </c>
      <c r="N5">
        <v>88.466166000000001</v>
      </c>
      <c r="O5">
        <v>28.651</v>
      </c>
      <c r="P5">
        <v>23.044</v>
      </c>
      <c r="Q5">
        <v>34.088999999999999</v>
      </c>
      <c r="R5">
        <v>26</v>
      </c>
      <c r="S5" t="s">
        <v>25</v>
      </c>
      <c r="T5">
        <f>IF(TRIM(Table1[[#This Row],[PitStopLaps]])="",0,
LEN(Table1[[#This Row],[PitStopLaps]])-LEN(SUBSTITUTE(Table1[[#This Row],[PitStopLaps]],",",""))+1)</f>
        <v>1</v>
      </c>
      <c r="U5">
        <f>Table1[[#This Row],[StartPosition]]-Table1[[#This Row],[FinishPosition]]</f>
        <v>4</v>
      </c>
    </row>
    <row r="6" spans="1:21" x14ac:dyDescent="0.3">
      <c r="A6">
        <v>2018</v>
      </c>
      <c r="B6">
        <v>1</v>
      </c>
      <c r="C6" t="s">
        <v>19</v>
      </c>
      <c r="D6" t="s">
        <v>35</v>
      </c>
      <c r="E6" t="s">
        <v>36</v>
      </c>
      <c r="F6" t="s">
        <v>37</v>
      </c>
      <c r="G6">
        <v>10</v>
      </c>
      <c r="H6">
        <v>5</v>
      </c>
      <c r="I6">
        <v>10</v>
      </c>
      <c r="J6" t="s">
        <v>34</v>
      </c>
      <c r="K6" t="s">
        <v>24</v>
      </c>
      <c r="L6">
        <v>58</v>
      </c>
      <c r="M6">
        <v>86.977999999999994</v>
      </c>
      <c r="N6">
        <v>89.019833000000006</v>
      </c>
      <c r="O6">
        <v>28.975999999999999</v>
      </c>
      <c r="P6">
        <v>23.405999999999999</v>
      </c>
      <c r="Q6">
        <v>34.454000000000001</v>
      </c>
      <c r="R6">
        <v>26</v>
      </c>
      <c r="S6" t="s">
        <v>25</v>
      </c>
      <c r="T6">
        <f>IF(TRIM(Table1[[#This Row],[PitStopLaps]])="",0,
LEN(Table1[[#This Row],[PitStopLaps]])-LEN(SUBSTITUTE(Table1[[#This Row],[PitStopLaps]],",",""))+1)</f>
        <v>1</v>
      </c>
      <c r="U6">
        <f>Table1[[#This Row],[StartPosition]]-Table1[[#This Row],[FinishPosition]]</f>
        <v>5</v>
      </c>
    </row>
    <row r="7" spans="1:21" x14ac:dyDescent="0.3">
      <c r="A7">
        <v>2018</v>
      </c>
      <c r="B7">
        <v>1</v>
      </c>
      <c r="C7" t="s">
        <v>19</v>
      </c>
      <c r="D7" t="s">
        <v>38</v>
      </c>
      <c r="E7" t="s">
        <v>39</v>
      </c>
      <c r="F7" t="s">
        <v>33</v>
      </c>
      <c r="G7">
        <v>4</v>
      </c>
      <c r="H7">
        <v>6</v>
      </c>
      <c r="I7">
        <v>8</v>
      </c>
      <c r="J7" t="s">
        <v>34</v>
      </c>
      <c r="K7" t="s">
        <v>24</v>
      </c>
      <c r="L7">
        <v>58</v>
      </c>
      <c r="M7">
        <v>86.88</v>
      </c>
      <c r="N7">
        <v>88.975910999999996</v>
      </c>
      <c r="O7">
        <v>28.940999999999999</v>
      </c>
      <c r="P7">
        <v>23.251000000000001</v>
      </c>
      <c r="Q7">
        <v>34.463999999999999</v>
      </c>
      <c r="R7">
        <v>21</v>
      </c>
      <c r="S7" t="s">
        <v>25</v>
      </c>
      <c r="T7">
        <f>IF(TRIM(Table1[[#This Row],[PitStopLaps]])="",0,
LEN(Table1[[#This Row],[PitStopLaps]])-LEN(SUBSTITUTE(Table1[[#This Row],[PitStopLaps]],",",""))+1)</f>
        <v>1</v>
      </c>
      <c r="U7">
        <f>Table1[[#This Row],[StartPosition]]-Table1[[#This Row],[FinishPosition]]</f>
        <v>-2</v>
      </c>
    </row>
    <row r="8" spans="1:21" x14ac:dyDescent="0.3">
      <c r="A8">
        <v>2018</v>
      </c>
      <c r="B8">
        <v>1</v>
      </c>
      <c r="C8" t="s">
        <v>19</v>
      </c>
      <c r="D8" t="s">
        <v>40</v>
      </c>
      <c r="E8" t="s">
        <v>41</v>
      </c>
      <c r="F8" t="s">
        <v>42</v>
      </c>
      <c r="G8">
        <v>7</v>
      </c>
      <c r="H8">
        <v>7</v>
      </c>
      <c r="I8">
        <v>6</v>
      </c>
      <c r="J8" t="s">
        <v>34</v>
      </c>
      <c r="K8" t="s">
        <v>24</v>
      </c>
      <c r="L8">
        <v>58</v>
      </c>
      <c r="M8">
        <v>87.081000000000003</v>
      </c>
      <c r="N8">
        <v>89.073477999999994</v>
      </c>
      <c r="O8">
        <v>28.989000000000001</v>
      </c>
      <c r="P8">
        <v>23.404</v>
      </c>
      <c r="Q8">
        <v>34.548999999999999</v>
      </c>
      <c r="R8">
        <v>24</v>
      </c>
      <c r="S8" t="s">
        <v>25</v>
      </c>
      <c r="T8">
        <f>IF(TRIM(Table1[[#This Row],[PitStopLaps]])="",0,
LEN(Table1[[#This Row],[PitStopLaps]])-LEN(SUBSTITUTE(Table1[[#This Row],[PitStopLaps]],",",""))+1)</f>
        <v>1</v>
      </c>
      <c r="U8">
        <f>Table1[[#This Row],[StartPosition]]-Table1[[#This Row],[FinishPosition]]</f>
        <v>0</v>
      </c>
    </row>
    <row r="9" spans="1:21" x14ac:dyDescent="0.3">
      <c r="A9">
        <v>2018</v>
      </c>
      <c r="B9">
        <v>1</v>
      </c>
      <c r="C9" t="s">
        <v>19</v>
      </c>
      <c r="D9" t="s">
        <v>43</v>
      </c>
      <c r="E9" t="s">
        <v>44</v>
      </c>
      <c r="F9" t="s">
        <v>28</v>
      </c>
      <c r="G9">
        <v>15</v>
      </c>
      <c r="H9">
        <v>8</v>
      </c>
      <c r="I9">
        <v>4</v>
      </c>
      <c r="J9" t="s">
        <v>34</v>
      </c>
      <c r="K9" t="s">
        <v>24</v>
      </c>
      <c r="L9">
        <v>58</v>
      </c>
      <c r="M9">
        <v>87.019000000000005</v>
      </c>
      <c r="N9">
        <v>89.266914</v>
      </c>
      <c r="O9">
        <v>28.893000000000001</v>
      </c>
      <c r="P9">
        <v>23.277999999999999</v>
      </c>
      <c r="Q9">
        <v>34.53</v>
      </c>
      <c r="R9">
        <v>25</v>
      </c>
      <c r="S9" t="s">
        <v>25</v>
      </c>
      <c r="T9">
        <f>IF(TRIM(Table1[[#This Row],[PitStopLaps]])="",0,
LEN(Table1[[#This Row],[PitStopLaps]])-LEN(SUBSTITUTE(Table1[[#This Row],[PitStopLaps]],",",""))+1)</f>
        <v>1</v>
      </c>
      <c r="U9">
        <f>Table1[[#This Row],[StartPosition]]-Table1[[#This Row],[FinishPosition]]</f>
        <v>7</v>
      </c>
    </row>
    <row r="10" spans="1:21" x14ac:dyDescent="0.3">
      <c r="A10">
        <v>2018</v>
      </c>
      <c r="B10">
        <v>1</v>
      </c>
      <c r="C10" t="s">
        <v>19</v>
      </c>
      <c r="D10" t="s">
        <v>45</v>
      </c>
      <c r="E10" t="s">
        <v>46</v>
      </c>
      <c r="F10" t="s">
        <v>37</v>
      </c>
      <c r="G10">
        <v>11</v>
      </c>
      <c r="H10">
        <v>9</v>
      </c>
      <c r="I10">
        <v>2</v>
      </c>
      <c r="J10" t="s">
        <v>34</v>
      </c>
      <c r="K10" t="s">
        <v>24</v>
      </c>
      <c r="L10">
        <v>58</v>
      </c>
      <c r="M10">
        <v>86.957999999999998</v>
      </c>
      <c r="N10">
        <v>89.294042000000005</v>
      </c>
      <c r="O10">
        <v>28.902000000000001</v>
      </c>
      <c r="P10">
        <v>23.454999999999998</v>
      </c>
      <c r="Q10">
        <v>34.493000000000002</v>
      </c>
      <c r="R10">
        <v>25</v>
      </c>
      <c r="S10" t="s">
        <v>25</v>
      </c>
      <c r="T10">
        <f>IF(TRIM(Table1[[#This Row],[PitStopLaps]])="",0,
LEN(Table1[[#This Row],[PitStopLaps]])-LEN(SUBSTITUTE(Table1[[#This Row],[PitStopLaps]],",",""))+1)</f>
        <v>1</v>
      </c>
      <c r="U10">
        <f>Table1[[#This Row],[StartPosition]]-Table1[[#This Row],[FinishPosition]]</f>
        <v>2</v>
      </c>
    </row>
    <row r="11" spans="1:21" x14ac:dyDescent="0.3">
      <c r="A11">
        <v>2018</v>
      </c>
      <c r="B11">
        <v>1</v>
      </c>
      <c r="C11" t="s">
        <v>19</v>
      </c>
      <c r="D11" t="s">
        <v>47</v>
      </c>
      <c r="E11" t="s">
        <v>48</v>
      </c>
      <c r="F11" t="s">
        <v>42</v>
      </c>
      <c r="G11">
        <v>9</v>
      </c>
      <c r="H11">
        <v>10</v>
      </c>
      <c r="I11">
        <v>1</v>
      </c>
      <c r="J11" t="s">
        <v>34</v>
      </c>
      <c r="K11" t="s">
        <v>24</v>
      </c>
      <c r="L11">
        <v>58</v>
      </c>
      <c r="M11">
        <v>87.944000000000003</v>
      </c>
      <c r="N11">
        <v>89.356510999999998</v>
      </c>
      <c r="O11">
        <v>29.315000000000001</v>
      </c>
      <c r="P11">
        <v>23.61</v>
      </c>
      <c r="Q11">
        <v>34.811</v>
      </c>
      <c r="R11">
        <v>22</v>
      </c>
      <c r="S11" t="s">
        <v>25</v>
      </c>
      <c r="T11">
        <f>IF(TRIM(Table1[[#This Row],[PitStopLaps]])="",0,
LEN(Table1[[#This Row],[PitStopLaps]])-LEN(SUBSTITUTE(Table1[[#This Row],[PitStopLaps]],",",""))+1)</f>
        <v>1</v>
      </c>
      <c r="U11">
        <f>Table1[[#This Row],[StartPosition]]-Table1[[#This Row],[FinishPosition]]</f>
        <v>-1</v>
      </c>
    </row>
    <row r="12" spans="1:21" x14ac:dyDescent="0.3">
      <c r="A12">
        <v>2018</v>
      </c>
      <c r="B12">
        <v>1</v>
      </c>
      <c r="C12" t="s">
        <v>19</v>
      </c>
      <c r="D12" t="s">
        <v>49</v>
      </c>
      <c r="E12" t="s">
        <v>50</v>
      </c>
      <c r="F12" t="s">
        <v>51</v>
      </c>
      <c r="G12">
        <v>12</v>
      </c>
      <c r="H12">
        <v>11</v>
      </c>
      <c r="I12">
        <v>0</v>
      </c>
      <c r="J12" t="s">
        <v>34</v>
      </c>
      <c r="K12" t="s">
        <v>24</v>
      </c>
      <c r="L12">
        <v>58</v>
      </c>
      <c r="M12">
        <v>87.632999999999996</v>
      </c>
      <c r="N12">
        <v>89.530956000000003</v>
      </c>
      <c r="O12">
        <v>29.173999999999999</v>
      </c>
      <c r="P12">
        <v>23.556999999999999</v>
      </c>
      <c r="Q12">
        <v>34.877000000000002</v>
      </c>
      <c r="R12">
        <v>24</v>
      </c>
      <c r="S12" t="s">
        <v>25</v>
      </c>
      <c r="T12">
        <f>IF(TRIM(Table1[[#This Row],[PitStopLaps]])="",0,
LEN(Table1[[#This Row],[PitStopLaps]])-LEN(SUBSTITUTE(Table1[[#This Row],[PitStopLaps]],",",""))+1)</f>
        <v>1</v>
      </c>
      <c r="U12">
        <f>Table1[[#This Row],[StartPosition]]-Table1[[#This Row],[FinishPosition]]</f>
        <v>1</v>
      </c>
    </row>
    <row r="13" spans="1:21" x14ac:dyDescent="0.3">
      <c r="A13">
        <v>2018</v>
      </c>
      <c r="B13">
        <v>1</v>
      </c>
      <c r="C13" t="s">
        <v>19</v>
      </c>
      <c r="D13" t="s">
        <v>52</v>
      </c>
      <c r="E13" t="s">
        <v>53</v>
      </c>
      <c r="F13" t="s">
        <v>51</v>
      </c>
      <c r="G13">
        <v>14</v>
      </c>
      <c r="H13">
        <v>12</v>
      </c>
      <c r="I13">
        <v>0</v>
      </c>
      <c r="J13" t="s">
        <v>34</v>
      </c>
      <c r="K13" t="s">
        <v>24</v>
      </c>
      <c r="L13">
        <v>58</v>
      </c>
      <c r="M13">
        <v>87.6</v>
      </c>
      <c r="N13">
        <v>89.874065999999999</v>
      </c>
      <c r="O13">
        <v>29.097000000000001</v>
      </c>
      <c r="P13">
        <v>23.494</v>
      </c>
      <c r="Q13">
        <v>34.996000000000002</v>
      </c>
      <c r="R13">
        <v>23</v>
      </c>
      <c r="S13" t="s">
        <v>25</v>
      </c>
      <c r="T13">
        <f>IF(TRIM(Table1[[#This Row],[PitStopLaps]])="",0,
LEN(Table1[[#This Row],[PitStopLaps]])-LEN(SUBSTITUTE(Table1[[#This Row],[PitStopLaps]],",",""))+1)</f>
        <v>1</v>
      </c>
      <c r="U13">
        <f>Table1[[#This Row],[StartPosition]]-Table1[[#This Row],[FinishPosition]]</f>
        <v>2</v>
      </c>
    </row>
    <row r="14" spans="1:21" x14ac:dyDescent="0.3">
      <c r="A14">
        <v>2018</v>
      </c>
      <c r="B14">
        <v>1</v>
      </c>
      <c r="C14" t="s">
        <v>19</v>
      </c>
      <c r="D14" t="s">
        <v>54</v>
      </c>
      <c r="E14" t="s">
        <v>55</v>
      </c>
      <c r="F14" t="s">
        <v>56</v>
      </c>
      <c r="G14">
        <v>18</v>
      </c>
      <c r="H14">
        <v>13</v>
      </c>
      <c r="I14">
        <v>0</v>
      </c>
      <c r="J14" t="s">
        <v>34</v>
      </c>
      <c r="K14" t="s">
        <v>24</v>
      </c>
      <c r="L14">
        <v>58</v>
      </c>
      <c r="M14">
        <v>88.759</v>
      </c>
      <c r="N14">
        <v>90.349554999999995</v>
      </c>
      <c r="O14">
        <v>29.506</v>
      </c>
      <c r="P14">
        <v>23.818000000000001</v>
      </c>
      <c r="Q14">
        <v>35.256</v>
      </c>
      <c r="R14" t="s">
        <v>57</v>
      </c>
      <c r="S14" t="s">
        <v>25</v>
      </c>
      <c r="T14">
        <f>IF(TRIM(Table1[[#This Row],[PitStopLaps]])="",0,
LEN(Table1[[#This Row],[PitStopLaps]])-LEN(SUBSTITUTE(Table1[[#This Row],[PitStopLaps]],",",""))+1)</f>
        <v>2</v>
      </c>
      <c r="U14">
        <f>Table1[[#This Row],[StartPosition]]-Table1[[#This Row],[FinishPosition]]</f>
        <v>5</v>
      </c>
    </row>
    <row r="15" spans="1:21" x14ac:dyDescent="0.3">
      <c r="A15">
        <v>2018</v>
      </c>
      <c r="B15">
        <v>1</v>
      </c>
      <c r="C15" t="s">
        <v>19</v>
      </c>
      <c r="D15" t="s">
        <v>58</v>
      </c>
      <c r="E15" t="s">
        <v>59</v>
      </c>
      <c r="F15" t="s">
        <v>60</v>
      </c>
      <c r="G15">
        <v>13</v>
      </c>
      <c r="H15">
        <v>14</v>
      </c>
      <c r="I15">
        <v>0</v>
      </c>
      <c r="J15" t="s">
        <v>34</v>
      </c>
      <c r="K15" t="s">
        <v>24</v>
      </c>
      <c r="L15">
        <v>58</v>
      </c>
      <c r="M15">
        <v>88.510999999999996</v>
      </c>
      <c r="N15">
        <v>90.460340000000002</v>
      </c>
      <c r="O15">
        <v>29.369</v>
      </c>
      <c r="P15">
        <v>23.571999999999999</v>
      </c>
      <c r="Q15">
        <v>35.274000000000001</v>
      </c>
      <c r="R15" t="s">
        <v>61</v>
      </c>
      <c r="S15" t="s">
        <v>25</v>
      </c>
      <c r="T15">
        <f>IF(TRIM(Table1[[#This Row],[PitStopLaps]])="",0,
LEN(Table1[[#This Row],[PitStopLaps]])-LEN(SUBSTITUTE(Table1[[#This Row],[PitStopLaps]],",",""))+1)</f>
        <v>2</v>
      </c>
      <c r="U15">
        <f>Table1[[#This Row],[StartPosition]]-Table1[[#This Row],[FinishPosition]]</f>
        <v>-1</v>
      </c>
    </row>
    <row r="16" spans="1:21" x14ac:dyDescent="0.3">
      <c r="A16">
        <v>2018</v>
      </c>
      <c r="B16">
        <v>1</v>
      </c>
      <c r="C16" t="s">
        <v>19</v>
      </c>
      <c r="D16" t="s">
        <v>62</v>
      </c>
      <c r="E16" t="s">
        <v>63</v>
      </c>
      <c r="F16" t="s">
        <v>64</v>
      </c>
      <c r="G16">
        <v>16</v>
      </c>
      <c r="H16">
        <v>15</v>
      </c>
      <c r="I16">
        <v>0</v>
      </c>
      <c r="J16" t="s">
        <v>34</v>
      </c>
      <c r="K16" t="s">
        <v>65</v>
      </c>
      <c r="L16">
        <v>57</v>
      </c>
      <c r="M16">
        <v>88.176000000000002</v>
      </c>
      <c r="N16">
        <v>90.385317999999998</v>
      </c>
      <c r="O16">
        <v>29.27</v>
      </c>
      <c r="P16">
        <v>23.587</v>
      </c>
      <c r="Q16">
        <v>35.180999999999997</v>
      </c>
      <c r="R16" t="s">
        <v>66</v>
      </c>
      <c r="S16" t="s">
        <v>25</v>
      </c>
      <c r="T16">
        <f>IF(TRIM(Table1[[#This Row],[PitStopLaps]])="",0,
LEN(Table1[[#This Row],[PitStopLaps]])-LEN(SUBSTITUTE(Table1[[#This Row],[PitStopLaps]],",",""))+1)</f>
        <v>2</v>
      </c>
      <c r="U16">
        <f>Table1[[#This Row],[StartPosition]]-Table1[[#This Row],[FinishPosition]]</f>
        <v>1</v>
      </c>
    </row>
    <row r="17" spans="1:21" x14ac:dyDescent="0.3">
      <c r="A17">
        <v>2018</v>
      </c>
      <c r="B17">
        <v>1</v>
      </c>
      <c r="C17" t="s">
        <v>19</v>
      </c>
      <c r="D17" t="s">
        <v>67</v>
      </c>
      <c r="E17" t="s">
        <v>68</v>
      </c>
      <c r="F17" t="s">
        <v>69</v>
      </c>
      <c r="G17">
        <v>6</v>
      </c>
      <c r="H17">
        <v>16</v>
      </c>
      <c r="I17">
        <v>0</v>
      </c>
      <c r="J17" t="s">
        <v>34</v>
      </c>
      <c r="K17" t="s">
        <v>70</v>
      </c>
      <c r="L17">
        <v>24</v>
      </c>
      <c r="M17">
        <v>88.805000000000007</v>
      </c>
      <c r="N17">
        <v>90.128263000000004</v>
      </c>
      <c r="O17">
        <v>29.64</v>
      </c>
      <c r="P17">
        <v>23.791</v>
      </c>
      <c r="Q17">
        <v>35.374000000000002</v>
      </c>
      <c r="R17">
        <v>24</v>
      </c>
      <c r="S17" t="s">
        <v>25</v>
      </c>
      <c r="T17">
        <f>IF(TRIM(Table1[[#This Row],[PitStopLaps]])="",0,
LEN(Table1[[#This Row],[PitStopLaps]])-LEN(SUBSTITUTE(Table1[[#This Row],[PitStopLaps]],",",""))+1)</f>
        <v>1</v>
      </c>
      <c r="U17">
        <f>Table1[[#This Row],[StartPosition]]-Table1[[#This Row],[FinishPosition]]</f>
        <v>-10</v>
      </c>
    </row>
    <row r="18" spans="1:21" x14ac:dyDescent="0.3">
      <c r="A18">
        <v>2018</v>
      </c>
      <c r="B18">
        <v>1</v>
      </c>
      <c r="C18" t="s">
        <v>19</v>
      </c>
      <c r="D18" t="s">
        <v>71</v>
      </c>
      <c r="E18" t="s">
        <v>72</v>
      </c>
      <c r="F18" t="s">
        <v>69</v>
      </c>
      <c r="G18">
        <v>5</v>
      </c>
      <c r="H18">
        <v>17</v>
      </c>
      <c r="I18">
        <v>0</v>
      </c>
      <c r="J18" t="s">
        <v>34</v>
      </c>
      <c r="K18" t="s">
        <v>70</v>
      </c>
      <c r="L18">
        <v>22</v>
      </c>
      <c r="M18">
        <v>89.534000000000006</v>
      </c>
      <c r="N18">
        <v>90.256352000000007</v>
      </c>
      <c r="O18">
        <v>29.873000000000001</v>
      </c>
      <c r="P18">
        <v>23.821999999999999</v>
      </c>
      <c r="Q18">
        <v>35.838999999999999</v>
      </c>
      <c r="R18">
        <v>22</v>
      </c>
      <c r="S18" t="s">
        <v>25</v>
      </c>
      <c r="T18">
        <f>IF(TRIM(Table1[[#This Row],[PitStopLaps]])="",0,
LEN(Table1[[#This Row],[PitStopLaps]])-LEN(SUBSTITUTE(Table1[[#This Row],[PitStopLaps]],",",""))+1)</f>
        <v>1</v>
      </c>
      <c r="U18">
        <f>Table1[[#This Row],[StartPosition]]-Table1[[#This Row],[FinishPosition]]</f>
        <v>-12</v>
      </c>
    </row>
    <row r="19" spans="1:21" x14ac:dyDescent="0.3">
      <c r="A19">
        <v>2018</v>
      </c>
      <c r="B19">
        <v>1</v>
      </c>
      <c r="C19" t="s">
        <v>19</v>
      </c>
      <c r="D19" t="s">
        <v>73</v>
      </c>
      <c r="E19" t="s">
        <v>74</v>
      </c>
      <c r="F19" t="s">
        <v>64</v>
      </c>
      <c r="G19">
        <v>20</v>
      </c>
      <c r="H19">
        <v>18</v>
      </c>
      <c r="I19">
        <v>0</v>
      </c>
      <c r="J19" t="s">
        <v>34</v>
      </c>
      <c r="K19" t="s">
        <v>75</v>
      </c>
      <c r="L19">
        <v>14</v>
      </c>
      <c r="M19">
        <v>90.649000000000001</v>
      </c>
      <c r="N19">
        <v>91.997111000000004</v>
      </c>
      <c r="O19">
        <v>30.140999999999998</v>
      </c>
      <c r="P19">
        <v>24.245000000000001</v>
      </c>
      <c r="Q19">
        <v>36.209000000000003</v>
      </c>
      <c r="R19">
        <v>14</v>
      </c>
      <c r="S19" t="s">
        <v>25</v>
      </c>
      <c r="T19">
        <f>IF(TRIM(Table1[[#This Row],[PitStopLaps]])="",0,
LEN(Table1[[#This Row],[PitStopLaps]])-LEN(SUBSTITUTE(Table1[[#This Row],[PitStopLaps]],",",""))+1)</f>
        <v>1</v>
      </c>
      <c r="U19">
        <f>Table1[[#This Row],[StartPosition]]-Table1[[#This Row],[FinishPosition]]</f>
        <v>2</v>
      </c>
    </row>
    <row r="20" spans="1:21" x14ac:dyDescent="0.3">
      <c r="A20">
        <v>2018</v>
      </c>
      <c r="B20">
        <v>1</v>
      </c>
      <c r="C20" t="s">
        <v>19</v>
      </c>
      <c r="D20" t="s">
        <v>76</v>
      </c>
      <c r="E20" t="s">
        <v>77</v>
      </c>
      <c r="F20" t="s">
        <v>56</v>
      </c>
      <c r="G20">
        <v>17</v>
      </c>
      <c r="H20">
        <v>19</v>
      </c>
      <c r="I20">
        <v>0</v>
      </c>
      <c r="J20" t="s">
        <v>34</v>
      </c>
      <c r="K20" t="s">
        <v>78</v>
      </c>
      <c r="L20">
        <v>6</v>
      </c>
      <c r="M20">
        <v>92.289000000000001</v>
      </c>
      <c r="N20">
        <v>92.289000000000001</v>
      </c>
      <c r="O20">
        <v>30.731999999999999</v>
      </c>
      <c r="P20">
        <v>24.545999999999999</v>
      </c>
      <c r="Q20">
        <v>37.011000000000003</v>
      </c>
      <c r="R20">
        <v>6</v>
      </c>
      <c r="S20" t="s">
        <v>25</v>
      </c>
      <c r="T20">
        <f>IF(TRIM(Table1[[#This Row],[PitStopLaps]])="",0,
LEN(Table1[[#This Row],[PitStopLaps]])-LEN(SUBSTITUTE(Table1[[#This Row],[PitStopLaps]],",",""))+1)</f>
        <v>1</v>
      </c>
      <c r="U20">
        <f>Table1[[#This Row],[StartPosition]]-Table1[[#This Row],[FinishPosition]]</f>
        <v>-2</v>
      </c>
    </row>
    <row r="21" spans="1:21" x14ac:dyDescent="0.3">
      <c r="A21">
        <v>2018</v>
      </c>
      <c r="B21">
        <v>1</v>
      </c>
      <c r="C21" t="s">
        <v>19</v>
      </c>
      <c r="D21" t="s">
        <v>79</v>
      </c>
      <c r="E21" t="s">
        <v>80</v>
      </c>
      <c r="F21" t="s">
        <v>60</v>
      </c>
      <c r="G21">
        <v>19</v>
      </c>
      <c r="H21">
        <v>20</v>
      </c>
      <c r="I21">
        <v>0</v>
      </c>
      <c r="J21" t="s">
        <v>34</v>
      </c>
      <c r="K21" t="s">
        <v>81</v>
      </c>
      <c r="L21">
        <v>5</v>
      </c>
      <c r="S21" t="s">
        <v>25</v>
      </c>
      <c r="T21">
        <f>IF(TRIM(Table1[[#This Row],[PitStopLaps]])="",0,
LEN(Table1[[#This Row],[PitStopLaps]])-LEN(SUBSTITUTE(Table1[[#This Row],[PitStopLaps]],",",""))+1)</f>
        <v>0</v>
      </c>
      <c r="U21">
        <f>Table1[[#This Row],[StartPosition]]-Table1[[#This Row],[FinishPosition]]</f>
        <v>-1</v>
      </c>
    </row>
    <row r="22" spans="1:21" x14ac:dyDescent="0.3">
      <c r="A22">
        <v>2018</v>
      </c>
      <c r="B22">
        <v>2</v>
      </c>
      <c r="C22" t="s">
        <v>82</v>
      </c>
      <c r="D22" t="s">
        <v>20</v>
      </c>
      <c r="E22" t="s">
        <v>21</v>
      </c>
      <c r="F22" t="s">
        <v>22</v>
      </c>
      <c r="G22">
        <v>1</v>
      </c>
      <c r="H22">
        <v>1</v>
      </c>
      <c r="I22">
        <v>25</v>
      </c>
      <c r="J22" t="s">
        <v>23</v>
      </c>
      <c r="K22" t="s">
        <v>24</v>
      </c>
      <c r="L22">
        <v>57</v>
      </c>
      <c r="M22">
        <v>94.453000000000003</v>
      </c>
      <c r="N22">
        <v>95.375420000000005</v>
      </c>
      <c r="O22">
        <v>29.933</v>
      </c>
      <c r="P22">
        <v>40.926000000000002</v>
      </c>
      <c r="Q22">
        <v>23.356999999999999</v>
      </c>
      <c r="R22">
        <v>17</v>
      </c>
      <c r="S22" t="s">
        <v>83</v>
      </c>
      <c r="T22">
        <f>IF(TRIM(Table1[[#This Row],[PitStopLaps]])="",0,
LEN(Table1[[#This Row],[PitStopLaps]])-LEN(SUBSTITUTE(Table1[[#This Row],[PitStopLaps]],",",""))+1)</f>
        <v>1</v>
      </c>
      <c r="U22">
        <f>Table1[[#This Row],[StartPosition]]-Table1[[#This Row],[FinishPosition]]</f>
        <v>0</v>
      </c>
    </row>
    <row r="23" spans="1:21" x14ac:dyDescent="0.3">
      <c r="A23">
        <v>2018</v>
      </c>
      <c r="B23">
        <v>2</v>
      </c>
      <c r="C23" t="s">
        <v>82</v>
      </c>
      <c r="D23" t="s">
        <v>43</v>
      </c>
      <c r="E23" t="s">
        <v>44</v>
      </c>
      <c r="F23" t="s">
        <v>28</v>
      </c>
      <c r="G23">
        <v>3</v>
      </c>
      <c r="H23">
        <v>2</v>
      </c>
      <c r="I23">
        <v>18</v>
      </c>
      <c r="J23" t="s">
        <v>23</v>
      </c>
      <c r="K23" t="s">
        <v>24</v>
      </c>
      <c r="L23">
        <v>57</v>
      </c>
      <c r="M23">
        <v>93.74</v>
      </c>
      <c r="N23">
        <v>95.325620000000001</v>
      </c>
      <c r="O23">
        <v>29.826000000000001</v>
      </c>
      <c r="P23">
        <v>40.676000000000002</v>
      </c>
      <c r="Q23">
        <v>23.14</v>
      </c>
      <c r="R23">
        <v>19</v>
      </c>
      <c r="S23" t="s">
        <v>83</v>
      </c>
      <c r="T23">
        <f>IF(TRIM(Table1[[#This Row],[PitStopLaps]])="",0,
LEN(Table1[[#This Row],[PitStopLaps]])-LEN(SUBSTITUTE(Table1[[#This Row],[PitStopLaps]],",",""))+1)</f>
        <v>1</v>
      </c>
      <c r="U23">
        <f>Table1[[#This Row],[StartPosition]]-Table1[[#This Row],[FinishPosition]]</f>
        <v>1</v>
      </c>
    </row>
    <row r="24" spans="1:21" x14ac:dyDescent="0.3">
      <c r="A24">
        <v>2018</v>
      </c>
      <c r="B24">
        <v>2</v>
      </c>
      <c r="C24" t="s">
        <v>82</v>
      </c>
      <c r="D24" t="s">
        <v>26</v>
      </c>
      <c r="E24" t="s">
        <v>27</v>
      </c>
      <c r="F24" t="s">
        <v>28</v>
      </c>
      <c r="G24">
        <v>9</v>
      </c>
      <c r="H24">
        <v>3</v>
      </c>
      <c r="I24">
        <v>15</v>
      </c>
      <c r="J24" t="s">
        <v>23</v>
      </c>
      <c r="K24" t="s">
        <v>24</v>
      </c>
      <c r="L24">
        <v>57</v>
      </c>
      <c r="M24">
        <v>93.953000000000003</v>
      </c>
      <c r="N24">
        <v>95.256680000000003</v>
      </c>
      <c r="O24">
        <v>29.751000000000001</v>
      </c>
      <c r="P24">
        <v>40.771999999999998</v>
      </c>
      <c r="Q24">
        <v>23.12</v>
      </c>
      <c r="R24">
        <v>25</v>
      </c>
      <c r="S24" t="s">
        <v>83</v>
      </c>
      <c r="T24">
        <f>IF(TRIM(Table1[[#This Row],[PitStopLaps]])="",0,
LEN(Table1[[#This Row],[PitStopLaps]])-LEN(SUBSTITUTE(Table1[[#This Row],[PitStopLaps]],",",""))+1)</f>
        <v>1</v>
      </c>
      <c r="U24">
        <f>Table1[[#This Row],[StartPosition]]-Table1[[#This Row],[FinishPosition]]</f>
        <v>6</v>
      </c>
    </row>
    <row r="25" spans="1:21" x14ac:dyDescent="0.3">
      <c r="A25">
        <v>2018</v>
      </c>
      <c r="B25">
        <v>2</v>
      </c>
      <c r="C25" t="s">
        <v>82</v>
      </c>
      <c r="D25" t="s">
        <v>73</v>
      </c>
      <c r="E25" t="s">
        <v>74</v>
      </c>
      <c r="F25" t="s">
        <v>64</v>
      </c>
      <c r="G25">
        <v>5</v>
      </c>
      <c r="H25">
        <v>4</v>
      </c>
      <c r="I25">
        <v>12</v>
      </c>
      <c r="J25" t="s">
        <v>34</v>
      </c>
      <c r="K25" t="s">
        <v>24</v>
      </c>
      <c r="L25">
        <v>57</v>
      </c>
      <c r="M25">
        <v>94.863</v>
      </c>
      <c r="N25">
        <v>95.908332999999999</v>
      </c>
      <c r="O25">
        <v>30.318999999999999</v>
      </c>
      <c r="P25">
        <v>40.911999999999999</v>
      </c>
      <c r="Q25">
        <v>23.34</v>
      </c>
      <c r="R25" t="s">
        <v>84</v>
      </c>
      <c r="S25" t="s">
        <v>83</v>
      </c>
      <c r="T25">
        <f>IF(TRIM(Table1[[#This Row],[PitStopLaps]])="",0,
LEN(Table1[[#This Row],[PitStopLaps]])-LEN(SUBSTITUTE(Table1[[#This Row],[PitStopLaps]],",",""))+1)</f>
        <v>2</v>
      </c>
      <c r="U25">
        <f>Table1[[#This Row],[StartPosition]]-Table1[[#This Row],[FinishPosition]]</f>
        <v>1</v>
      </c>
    </row>
    <row r="26" spans="1:21" x14ac:dyDescent="0.3">
      <c r="A26">
        <v>2018</v>
      </c>
      <c r="B26">
        <v>2</v>
      </c>
      <c r="C26" t="s">
        <v>82</v>
      </c>
      <c r="D26" t="s">
        <v>71</v>
      </c>
      <c r="E26" t="s">
        <v>72</v>
      </c>
      <c r="F26" t="s">
        <v>69</v>
      </c>
      <c r="G26">
        <v>6</v>
      </c>
      <c r="H26">
        <v>5</v>
      </c>
      <c r="I26">
        <v>10</v>
      </c>
      <c r="J26" t="s">
        <v>34</v>
      </c>
      <c r="K26" t="s">
        <v>24</v>
      </c>
      <c r="L26">
        <v>57</v>
      </c>
      <c r="M26">
        <v>94.326999999999998</v>
      </c>
      <c r="N26">
        <v>96.149665999999996</v>
      </c>
      <c r="O26">
        <v>30.015000000000001</v>
      </c>
      <c r="P26">
        <v>40.796999999999997</v>
      </c>
      <c r="Q26">
        <v>23.41</v>
      </c>
      <c r="R26" t="s">
        <v>85</v>
      </c>
      <c r="S26" t="s">
        <v>83</v>
      </c>
      <c r="T26">
        <f>IF(TRIM(Table1[[#This Row],[PitStopLaps]])="",0,
LEN(Table1[[#This Row],[PitStopLaps]])-LEN(SUBSTITUTE(Table1[[#This Row],[PitStopLaps]],",",""))+1)</f>
        <v>2</v>
      </c>
      <c r="U26">
        <f>Table1[[#This Row],[StartPosition]]-Table1[[#This Row],[FinishPosition]]</f>
        <v>1</v>
      </c>
    </row>
    <row r="27" spans="1:21" x14ac:dyDescent="0.3">
      <c r="A27">
        <v>2018</v>
      </c>
      <c r="B27">
        <v>2</v>
      </c>
      <c r="C27" t="s">
        <v>82</v>
      </c>
      <c r="D27" t="s">
        <v>40</v>
      </c>
      <c r="E27" t="s">
        <v>41</v>
      </c>
      <c r="F27" t="s">
        <v>42</v>
      </c>
      <c r="G27">
        <v>7</v>
      </c>
      <c r="H27">
        <v>6</v>
      </c>
      <c r="I27">
        <v>8</v>
      </c>
      <c r="J27" t="s">
        <v>34</v>
      </c>
      <c r="K27" t="s">
        <v>24</v>
      </c>
      <c r="L27">
        <v>57</v>
      </c>
      <c r="M27">
        <v>94.667000000000002</v>
      </c>
      <c r="N27">
        <v>96.615658999999994</v>
      </c>
      <c r="O27">
        <v>29.922999999999998</v>
      </c>
      <c r="P27">
        <v>40.908000000000001</v>
      </c>
      <c r="Q27">
        <v>23.276</v>
      </c>
      <c r="R27" t="s">
        <v>86</v>
      </c>
      <c r="S27" t="s">
        <v>83</v>
      </c>
      <c r="T27">
        <f>IF(TRIM(Table1[[#This Row],[PitStopLaps]])="",0,
LEN(Table1[[#This Row],[PitStopLaps]])-LEN(SUBSTITUTE(Table1[[#This Row],[PitStopLaps]],",",""))+1)</f>
        <v>2</v>
      </c>
      <c r="U27">
        <f>Table1[[#This Row],[StartPosition]]-Table1[[#This Row],[FinishPosition]]</f>
        <v>1</v>
      </c>
    </row>
    <row r="28" spans="1:21" x14ac:dyDescent="0.3">
      <c r="A28">
        <v>2018</v>
      </c>
      <c r="B28">
        <v>2</v>
      </c>
      <c r="C28" t="s">
        <v>82</v>
      </c>
      <c r="D28" t="s">
        <v>35</v>
      </c>
      <c r="E28" t="s">
        <v>36</v>
      </c>
      <c r="F28" t="s">
        <v>37</v>
      </c>
      <c r="G28">
        <v>13</v>
      </c>
      <c r="H28">
        <v>7</v>
      </c>
      <c r="I28">
        <v>6</v>
      </c>
      <c r="J28" t="s">
        <v>34</v>
      </c>
      <c r="K28" t="s">
        <v>65</v>
      </c>
      <c r="L28">
        <v>56</v>
      </c>
      <c r="M28">
        <v>94.168000000000006</v>
      </c>
      <c r="N28">
        <v>96.580129999999997</v>
      </c>
      <c r="O28">
        <v>30.163</v>
      </c>
      <c r="P28">
        <v>40.566000000000003</v>
      </c>
      <c r="Q28">
        <v>23.343</v>
      </c>
      <c r="R28" t="s">
        <v>87</v>
      </c>
      <c r="S28" t="s">
        <v>83</v>
      </c>
      <c r="T28">
        <f>IF(TRIM(Table1[[#This Row],[PitStopLaps]])="",0,
LEN(Table1[[#This Row],[PitStopLaps]])-LEN(SUBSTITUTE(Table1[[#This Row],[PitStopLaps]],",",""))+1)</f>
        <v>2</v>
      </c>
      <c r="U28">
        <f>Table1[[#This Row],[StartPosition]]-Table1[[#This Row],[FinishPosition]]</f>
        <v>6</v>
      </c>
    </row>
    <row r="29" spans="1:21" x14ac:dyDescent="0.3">
      <c r="A29">
        <v>2018</v>
      </c>
      <c r="B29">
        <v>2</v>
      </c>
      <c r="C29" t="s">
        <v>82</v>
      </c>
      <c r="D29" t="s">
        <v>45</v>
      </c>
      <c r="E29" t="s">
        <v>46</v>
      </c>
      <c r="F29" t="s">
        <v>37</v>
      </c>
      <c r="G29">
        <v>14</v>
      </c>
      <c r="H29">
        <v>8</v>
      </c>
      <c r="I29">
        <v>4</v>
      </c>
      <c r="J29" t="s">
        <v>34</v>
      </c>
      <c r="K29" t="s">
        <v>65</v>
      </c>
      <c r="L29">
        <v>56</v>
      </c>
      <c r="M29">
        <v>95.131</v>
      </c>
      <c r="N29">
        <v>96.682744</v>
      </c>
      <c r="O29">
        <v>30.236000000000001</v>
      </c>
      <c r="P29">
        <v>41.021000000000001</v>
      </c>
      <c r="Q29">
        <v>23.452999999999999</v>
      </c>
      <c r="R29" t="s">
        <v>88</v>
      </c>
      <c r="S29" t="s">
        <v>83</v>
      </c>
      <c r="T29">
        <f>IF(TRIM(Table1[[#This Row],[PitStopLaps]])="",0,
LEN(Table1[[#This Row],[PitStopLaps]])-LEN(SUBSTITUTE(Table1[[#This Row],[PitStopLaps]],",",""))+1)</f>
        <v>2</v>
      </c>
      <c r="U29">
        <f>Table1[[#This Row],[StartPosition]]-Table1[[#This Row],[FinishPosition]]</f>
        <v>6</v>
      </c>
    </row>
    <row r="30" spans="1:21" x14ac:dyDescent="0.3">
      <c r="A30">
        <v>2018</v>
      </c>
      <c r="B30">
        <v>2</v>
      </c>
      <c r="C30" t="s">
        <v>82</v>
      </c>
      <c r="D30" t="s">
        <v>76</v>
      </c>
      <c r="E30" t="s">
        <v>77</v>
      </c>
      <c r="F30" t="s">
        <v>56</v>
      </c>
      <c r="G30">
        <v>17</v>
      </c>
      <c r="H30">
        <v>9</v>
      </c>
      <c r="I30">
        <v>2</v>
      </c>
      <c r="J30" t="s">
        <v>34</v>
      </c>
      <c r="K30" t="s">
        <v>65</v>
      </c>
      <c r="L30">
        <v>56</v>
      </c>
      <c r="M30">
        <v>95.093000000000004</v>
      </c>
      <c r="N30">
        <v>97.149957999999998</v>
      </c>
      <c r="O30">
        <v>30.138000000000002</v>
      </c>
      <c r="P30">
        <v>41.222999999999999</v>
      </c>
      <c r="Q30">
        <v>23.66</v>
      </c>
      <c r="R30">
        <v>23</v>
      </c>
      <c r="S30" t="s">
        <v>83</v>
      </c>
      <c r="T30">
        <f>IF(TRIM(Table1[[#This Row],[PitStopLaps]])="",0,
LEN(Table1[[#This Row],[PitStopLaps]])-LEN(SUBSTITUTE(Table1[[#This Row],[PitStopLaps]],",",""))+1)</f>
        <v>1</v>
      </c>
      <c r="U30">
        <f>Table1[[#This Row],[StartPosition]]-Table1[[#This Row],[FinishPosition]]</f>
        <v>8</v>
      </c>
    </row>
    <row r="31" spans="1:21" x14ac:dyDescent="0.3">
      <c r="A31">
        <v>2018</v>
      </c>
      <c r="B31">
        <v>2</v>
      </c>
      <c r="C31" t="s">
        <v>82</v>
      </c>
      <c r="D31" t="s">
        <v>52</v>
      </c>
      <c r="E31" t="s">
        <v>53</v>
      </c>
      <c r="F31" t="s">
        <v>51</v>
      </c>
      <c r="G31">
        <v>8</v>
      </c>
      <c r="H31">
        <v>10</v>
      </c>
      <c r="I31">
        <v>1</v>
      </c>
      <c r="J31" t="s">
        <v>34</v>
      </c>
      <c r="K31" t="s">
        <v>65</v>
      </c>
      <c r="L31">
        <v>56</v>
      </c>
      <c r="M31">
        <v>95.043000000000006</v>
      </c>
      <c r="N31">
        <v>96.944716999999997</v>
      </c>
      <c r="O31">
        <v>30.201000000000001</v>
      </c>
      <c r="P31">
        <v>41.155999999999999</v>
      </c>
      <c r="Q31">
        <v>23.488</v>
      </c>
      <c r="R31" t="s">
        <v>89</v>
      </c>
      <c r="S31" t="s">
        <v>83</v>
      </c>
      <c r="T31">
        <f>IF(TRIM(Table1[[#This Row],[PitStopLaps]])="",0,
LEN(Table1[[#This Row],[PitStopLaps]])-LEN(SUBSTITUTE(Table1[[#This Row],[PitStopLaps]],",",""))+1)</f>
        <v>2</v>
      </c>
      <c r="U31">
        <f>Table1[[#This Row],[StartPosition]]-Table1[[#This Row],[FinishPosition]]</f>
        <v>-2</v>
      </c>
    </row>
    <row r="32" spans="1:21" x14ac:dyDescent="0.3">
      <c r="A32">
        <v>2018</v>
      </c>
      <c r="B32">
        <v>2</v>
      </c>
      <c r="C32" t="s">
        <v>82</v>
      </c>
      <c r="D32" t="s">
        <v>47</v>
      </c>
      <c r="E32" t="s">
        <v>48</v>
      </c>
      <c r="F32" t="s">
        <v>42</v>
      </c>
      <c r="G32">
        <v>10</v>
      </c>
      <c r="H32">
        <v>11</v>
      </c>
      <c r="I32">
        <v>0</v>
      </c>
      <c r="J32" t="s">
        <v>34</v>
      </c>
      <c r="K32" t="s">
        <v>65</v>
      </c>
      <c r="L32">
        <v>56</v>
      </c>
      <c r="M32">
        <v>95.534999999999997</v>
      </c>
      <c r="N32">
        <v>96.987369000000001</v>
      </c>
      <c r="O32">
        <v>30.251999999999999</v>
      </c>
      <c r="P32">
        <v>41.502000000000002</v>
      </c>
      <c r="Q32">
        <v>23.619</v>
      </c>
      <c r="R32" t="s">
        <v>90</v>
      </c>
      <c r="S32" t="s">
        <v>83</v>
      </c>
      <c r="T32">
        <f>IF(TRIM(Table1[[#This Row],[PitStopLaps]])="",0,
LEN(Table1[[#This Row],[PitStopLaps]])-LEN(SUBSTITUTE(Table1[[#This Row],[PitStopLaps]],",",""))+1)</f>
        <v>2</v>
      </c>
      <c r="U32">
        <f>Table1[[#This Row],[StartPosition]]-Table1[[#This Row],[FinishPosition]]</f>
        <v>-1</v>
      </c>
    </row>
    <row r="33" spans="1:21" x14ac:dyDescent="0.3">
      <c r="A33">
        <v>2018</v>
      </c>
      <c r="B33">
        <v>2</v>
      </c>
      <c r="C33" t="s">
        <v>82</v>
      </c>
      <c r="D33" t="s">
        <v>54</v>
      </c>
      <c r="E33" t="s">
        <v>55</v>
      </c>
      <c r="F33" t="s">
        <v>56</v>
      </c>
      <c r="G33">
        <v>19</v>
      </c>
      <c r="H33">
        <v>12</v>
      </c>
      <c r="I33">
        <v>0</v>
      </c>
      <c r="J33" t="s">
        <v>34</v>
      </c>
      <c r="K33" t="s">
        <v>65</v>
      </c>
      <c r="L33">
        <v>56</v>
      </c>
      <c r="M33">
        <v>95.058000000000007</v>
      </c>
      <c r="N33">
        <v>97.187729000000004</v>
      </c>
      <c r="O33">
        <v>30.324999999999999</v>
      </c>
      <c r="P33">
        <v>41.100999999999999</v>
      </c>
      <c r="Q33">
        <v>23.463000000000001</v>
      </c>
      <c r="R33" t="s">
        <v>91</v>
      </c>
      <c r="S33" t="s">
        <v>83</v>
      </c>
      <c r="T33">
        <f>IF(TRIM(Table1[[#This Row],[PitStopLaps]])="",0,
LEN(Table1[[#This Row],[PitStopLaps]])-LEN(SUBSTITUTE(Table1[[#This Row],[PitStopLaps]],",",""))+1)</f>
        <v>2</v>
      </c>
      <c r="U33">
        <f>Table1[[#This Row],[StartPosition]]-Table1[[#This Row],[FinishPosition]]</f>
        <v>7</v>
      </c>
    </row>
    <row r="34" spans="1:21" x14ac:dyDescent="0.3">
      <c r="A34">
        <v>2018</v>
      </c>
      <c r="B34">
        <v>2</v>
      </c>
      <c r="C34" t="s">
        <v>82</v>
      </c>
      <c r="D34" t="s">
        <v>67</v>
      </c>
      <c r="E34" t="s">
        <v>68</v>
      </c>
      <c r="F34" t="s">
        <v>69</v>
      </c>
      <c r="G34">
        <v>16</v>
      </c>
      <c r="H34">
        <v>13</v>
      </c>
      <c r="I34">
        <v>0</v>
      </c>
      <c r="J34" t="s">
        <v>34</v>
      </c>
      <c r="K34" t="s">
        <v>65</v>
      </c>
      <c r="L34">
        <v>56</v>
      </c>
      <c r="M34">
        <v>94.052999999999997</v>
      </c>
      <c r="N34">
        <v>96.58484</v>
      </c>
      <c r="O34">
        <v>29.93</v>
      </c>
      <c r="P34">
        <v>40.695999999999998</v>
      </c>
      <c r="Q34">
        <v>23.396999999999998</v>
      </c>
      <c r="R34" t="s">
        <v>92</v>
      </c>
      <c r="S34" t="s">
        <v>83</v>
      </c>
      <c r="T34">
        <f>IF(TRIM(Table1[[#This Row],[PitStopLaps]])="",0,
LEN(Table1[[#This Row],[PitStopLaps]])-LEN(SUBSTITUTE(Table1[[#This Row],[PitStopLaps]],",",""))+1)</f>
        <v>3</v>
      </c>
      <c r="U34">
        <f>Table1[[#This Row],[StartPosition]]-Table1[[#This Row],[FinishPosition]]</f>
        <v>3</v>
      </c>
    </row>
    <row r="35" spans="1:21" x14ac:dyDescent="0.3">
      <c r="A35">
        <v>2018</v>
      </c>
      <c r="B35">
        <v>2</v>
      </c>
      <c r="C35" t="s">
        <v>82</v>
      </c>
      <c r="D35" t="s">
        <v>58</v>
      </c>
      <c r="E35" t="s">
        <v>59</v>
      </c>
      <c r="F35" t="s">
        <v>60</v>
      </c>
      <c r="G35">
        <v>20</v>
      </c>
      <c r="H35">
        <v>14</v>
      </c>
      <c r="I35">
        <v>0</v>
      </c>
      <c r="J35" t="s">
        <v>34</v>
      </c>
      <c r="K35" t="s">
        <v>65</v>
      </c>
      <c r="L35">
        <v>56</v>
      </c>
      <c r="M35">
        <v>95.266000000000005</v>
      </c>
      <c r="N35">
        <v>97.384978000000004</v>
      </c>
      <c r="O35">
        <v>30.387</v>
      </c>
      <c r="P35">
        <v>41.088000000000001</v>
      </c>
      <c r="Q35">
        <v>23.677</v>
      </c>
      <c r="R35" t="s">
        <v>93</v>
      </c>
      <c r="S35" t="s">
        <v>83</v>
      </c>
      <c r="T35">
        <f>IF(TRIM(Table1[[#This Row],[PitStopLaps]])="",0,
LEN(Table1[[#This Row],[PitStopLaps]])-LEN(SUBSTITUTE(Table1[[#This Row],[PitStopLaps]],",",""))+1)</f>
        <v>2</v>
      </c>
      <c r="U35">
        <f>Table1[[#This Row],[StartPosition]]-Table1[[#This Row],[FinishPosition]]</f>
        <v>6</v>
      </c>
    </row>
    <row r="36" spans="1:21" x14ac:dyDescent="0.3">
      <c r="A36">
        <v>2018</v>
      </c>
      <c r="B36">
        <v>2</v>
      </c>
      <c r="C36" t="s">
        <v>82</v>
      </c>
      <c r="D36" t="s">
        <v>79</v>
      </c>
      <c r="E36" t="s">
        <v>80</v>
      </c>
      <c r="F36" t="s">
        <v>60</v>
      </c>
      <c r="G36">
        <v>18</v>
      </c>
      <c r="H36">
        <v>15</v>
      </c>
      <c r="I36">
        <v>0</v>
      </c>
      <c r="J36" t="s">
        <v>34</v>
      </c>
      <c r="K36" t="s">
        <v>65</v>
      </c>
      <c r="L36">
        <v>56</v>
      </c>
      <c r="M36">
        <v>94.563000000000002</v>
      </c>
      <c r="N36">
        <v>97.487695000000002</v>
      </c>
      <c r="O36">
        <v>30.263000000000002</v>
      </c>
      <c r="P36">
        <v>40.929000000000002</v>
      </c>
      <c r="Q36">
        <v>23.364000000000001</v>
      </c>
      <c r="R36" t="s">
        <v>94</v>
      </c>
      <c r="S36" t="s">
        <v>83</v>
      </c>
      <c r="T36">
        <f>IF(TRIM(Table1[[#This Row],[PitStopLaps]])="",0,
LEN(Table1[[#This Row],[PitStopLaps]])-LEN(SUBSTITUTE(Table1[[#This Row],[PitStopLaps]],",",""))+1)</f>
        <v>2</v>
      </c>
      <c r="U36">
        <f>Table1[[#This Row],[StartPosition]]-Table1[[#This Row],[FinishPosition]]</f>
        <v>3</v>
      </c>
    </row>
    <row r="37" spans="1:21" x14ac:dyDescent="0.3">
      <c r="A37">
        <v>2018</v>
      </c>
      <c r="B37">
        <v>2</v>
      </c>
      <c r="C37" t="s">
        <v>82</v>
      </c>
      <c r="D37" t="s">
        <v>49</v>
      </c>
      <c r="E37" t="s">
        <v>50</v>
      </c>
      <c r="F37" t="s">
        <v>51</v>
      </c>
      <c r="G37">
        <v>12</v>
      </c>
      <c r="H37">
        <v>16</v>
      </c>
      <c r="I37">
        <v>0</v>
      </c>
      <c r="J37" t="s">
        <v>34</v>
      </c>
      <c r="K37" t="s">
        <v>65</v>
      </c>
      <c r="L37">
        <v>56</v>
      </c>
      <c r="M37">
        <v>95.075000000000003</v>
      </c>
      <c r="N37">
        <v>97.025318999999996</v>
      </c>
      <c r="O37">
        <v>30.213999999999999</v>
      </c>
      <c r="P37">
        <v>41.341999999999999</v>
      </c>
      <c r="Q37">
        <v>23.411000000000001</v>
      </c>
      <c r="R37" t="s">
        <v>95</v>
      </c>
      <c r="S37" t="s">
        <v>83</v>
      </c>
      <c r="T37">
        <f>IF(TRIM(Table1[[#This Row],[PitStopLaps]])="",0,
LEN(Table1[[#This Row],[PitStopLaps]])-LEN(SUBSTITUTE(Table1[[#This Row],[PitStopLaps]],",",""))+1)</f>
        <v>2</v>
      </c>
      <c r="U37">
        <f>Table1[[#This Row],[StartPosition]]-Table1[[#This Row],[FinishPosition]]</f>
        <v>-4</v>
      </c>
    </row>
    <row r="38" spans="1:21" x14ac:dyDescent="0.3">
      <c r="A38">
        <v>2018</v>
      </c>
      <c r="B38">
        <v>2</v>
      </c>
      <c r="C38" t="s">
        <v>82</v>
      </c>
      <c r="D38" t="s">
        <v>62</v>
      </c>
      <c r="E38" t="s">
        <v>63</v>
      </c>
      <c r="F38" t="s">
        <v>64</v>
      </c>
      <c r="G38">
        <v>11</v>
      </c>
      <c r="H38">
        <v>17</v>
      </c>
      <c r="I38">
        <v>0</v>
      </c>
      <c r="J38" t="s">
        <v>34</v>
      </c>
      <c r="K38" t="s">
        <v>65</v>
      </c>
      <c r="L38">
        <v>56</v>
      </c>
      <c r="M38">
        <v>94.688999999999993</v>
      </c>
      <c r="N38">
        <v>96.752673000000001</v>
      </c>
      <c r="O38">
        <v>30.195</v>
      </c>
      <c r="P38">
        <v>41.084000000000003</v>
      </c>
      <c r="Q38">
        <v>23.277000000000001</v>
      </c>
      <c r="R38" t="s">
        <v>96</v>
      </c>
      <c r="S38" t="s">
        <v>83</v>
      </c>
      <c r="T38">
        <f>IF(TRIM(Table1[[#This Row],[PitStopLaps]])="",0,
LEN(Table1[[#This Row],[PitStopLaps]])-LEN(SUBSTITUTE(Table1[[#This Row],[PitStopLaps]],",",""))+1)</f>
        <v>2</v>
      </c>
      <c r="U38">
        <f>Table1[[#This Row],[StartPosition]]-Table1[[#This Row],[FinishPosition]]</f>
        <v>-6</v>
      </c>
    </row>
    <row r="39" spans="1:21" x14ac:dyDescent="0.3">
      <c r="A39">
        <v>2018</v>
      </c>
      <c r="B39">
        <v>2</v>
      </c>
      <c r="C39" t="s">
        <v>82</v>
      </c>
      <c r="D39" t="s">
        <v>29</v>
      </c>
      <c r="E39" t="s">
        <v>30</v>
      </c>
      <c r="F39" t="s">
        <v>22</v>
      </c>
      <c r="G39">
        <v>2</v>
      </c>
      <c r="H39">
        <v>18</v>
      </c>
      <c r="I39">
        <v>0</v>
      </c>
      <c r="J39" t="s">
        <v>34</v>
      </c>
      <c r="K39" t="s">
        <v>70</v>
      </c>
      <c r="L39">
        <v>34</v>
      </c>
      <c r="M39">
        <v>94.337000000000003</v>
      </c>
      <c r="N39">
        <v>95.499184999999997</v>
      </c>
      <c r="O39">
        <v>30.077999999999999</v>
      </c>
      <c r="P39">
        <v>40.850999999999999</v>
      </c>
      <c r="Q39">
        <v>23.317</v>
      </c>
      <c r="R39" t="s">
        <v>97</v>
      </c>
      <c r="S39" t="s">
        <v>83</v>
      </c>
      <c r="T39">
        <f>IF(TRIM(Table1[[#This Row],[PitStopLaps]])="",0,
LEN(Table1[[#This Row],[PitStopLaps]])-LEN(SUBSTITUTE(Table1[[#This Row],[PitStopLaps]],",",""))+1)</f>
        <v>2</v>
      </c>
      <c r="U39">
        <f>Table1[[#This Row],[StartPosition]]-Table1[[#This Row],[FinishPosition]]</f>
        <v>-16</v>
      </c>
    </row>
    <row r="40" spans="1:21" x14ac:dyDescent="0.3">
      <c r="A40">
        <v>2018</v>
      </c>
      <c r="B40">
        <v>2</v>
      </c>
      <c r="C40" t="s">
        <v>82</v>
      </c>
      <c r="D40" t="s">
        <v>38</v>
      </c>
      <c r="E40" t="s">
        <v>39</v>
      </c>
      <c r="F40" t="s">
        <v>33</v>
      </c>
      <c r="G40">
        <v>15</v>
      </c>
      <c r="H40">
        <v>19</v>
      </c>
      <c r="I40">
        <v>0</v>
      </c>
      <c r="J40" t="s">
        <v>34</v>
      </c>
      <c r="K40" t="s">
        <v>98</v>
      </c>
      <c r="L40">
        <v>4</v>
      </c>
      <c r="R40">
        <v>2</v>
      </c>
      <c r="S40" t="s">
        <v>83</v>
      </c>
      <c r="T40">
        <f>IF(TRIM(Table1[[#This Row],[PitStopLaps]])="",0,
LEN(Table1[[#This Row],[PitStopLaps]])-LEN(SUBSTITUTE(Table1[[#This Row],[PitStopLaps]],",",""))+1)</f>
        <v>1</v>
      </c>
      <c r="U40">
        <f>Table1[[#This Row],[StartPosition]]-Table1[[#This Row],[FinishPosition]]</f>
        <v>-4</v>
      </c>
    </row>
    <row r="41" spans="1:21" x14ac:dyDescent="0.3">
      <c r="A41">
        <v>2018</v>
      </c>
      <c r="B41">
        <v>2</v>
      </c>
      <c r="C41" t="s">
        <v>82</v>
      </c>
      <c r="D41" t="s">
        <v>31</v>
      </c>
      <c r="E41" t="s">
        <v>32</v>
      </c>
      <c r="F41" t="s">
        <v>33</v>
      </c>
      <c r="G41">
        <v>4</v>
      </c>
      <c r="H41">
        <v>20</v>
      </c>
      <c r="I41">
        <v>0</v>
      </c>
      <c r="J41" t="s">
        <v>34</v>
      </c>
      <c r="K41" t="s">
        <v>99</v>
      </c>
      <c r="L41">
        <v>2</v>
      </c>
      <c r="S41" t="s">
        <v>83</v>
      </c>
      <c r="T41">
        <f>IF(TRIM(Table1[[#This Row],[PitStopLaps]])="",0,
LEN(Table1[[#This Row],[PitStopLaps]])-LEN(SUBSTITUTE(Table1[[#This Row],[PitStopLaps]],",",""))+1)</f>
        <v>0</v>
      </c>
      <c r="U41">
        <f>Table1[[#This Row],[StartPosition]]-Table1[[#This Row],[FinishPosition]]</f>
        <v>-16</v>
      </c>
    </row>
    <row r="42" spans="1:21" x14ac:dyDescent="0.3">
      <c r="A42">
        <v>2018</v>
      </c>
      <c r="B42">
        <v>3</v>
      </c>
      <c r="C42" t="s">
        <v>100</v>
      </c>
      <c r="D42" t="s">
        <v>31</v>
      </c>
      <c r="E42" t="s">
        <v>32</v>
      </c>
      <c r="F42" t="s">
        <v>33</v>
      </c>
      <c r="G42">
        <v>6</v>
      </c>
      <c r="H42">
        <v>1</v>
      </c>
      <c r="I42">
        <v>25</v>
      </c>
      <c r="J42" t="s">
        <v>23</v>
      </c>
      <c r="K42" t="s">
        <v>24</v>
      </c>
      <c r="L42">
        <v>56</v>
      </c>
      <c r="M42">
        <v>95.784999999999997</v>
      </c>
      <c r="N42">
        <v>96.938362999999995</v>
      </c>
      <c r="O42">
        <v>25.606000000000002</v>
      </c>
      <c r="P42">
        <v>28.43</v>
      </c>
      <c r="Q42">
        <v>41.706000000000003</v>
      </c>
      <c r="R42" t="s">
        <v>101</v>
      </c>
      <c r="S42" t="s">
        <v>25</v>
      </c>
      <c r="T42">
        <f>IF(TRIM(Table1[[#This Row],[PitStopLaps]])="",0,
LEN(Table1[[#This Row],[PitStopLaps]])-LEN(SUBSTITUTE(Table1[[#This Row],[PitStopLaps]],",",""))+1)</f>
        <v>2</v>
      </c>
      <c r="U42">
        <f>Table1[[#This Row],[StartPosition]]-Table1[[#This Row],[FinishPosition]]</f>
        <v>5</v>
      </c>
    </row>
    <row r="43" spans="1:21" x14ac:dyDescent="0.3">
      <c r="A43">
        <v>2018</v>
      </c>
      <c r="B43">
        <v>3</v>
      </c>
      <c r="C43" t="s">
        <v>100</v>
      </c>
      <c r="D43" t="s">
        <v>43</v>
      </c>
      <c r="E43" t="s">
        <v>44</v>
      </c>
      <c r="F43" t="s">
        <v>28</v>
      </c>
      <c r="G43">
        <v>3</v>
      </c>
      <c r="H43">
        <v>2</v>
      </c>
      <c r="I43">
        <v>18</v>
      </c>
      <c r="J43" t="s">
        <v>23</v>
      </c>
      <c r="K43" t="s">
        <v>24</v>
      </c>
      <c r="L43">
        <v>56</v>
      </c>
      <c r="M43">
        <v>96.986999999999995</v>
      </c>
      <c r="N43">
        <v>97.544135999999995</v>
      </c>
      <c r="O43">
        <v>25.878</v>
      </c>
      <c r="P43">
        <v>28.913</v>
      </c>
      <c r="Q43">
        <v>41.917000000000002</v>
      </c>
      <c r="R43">
        <v>19</v>
      </c>
      <c r="S43" t="s">
        <v>25</v>
      </c>
      <c r="T43">
        <f>IF(TRIM(Table1[[#This Row],[PitStopLaps]])="",0,
LEN(Table1[[#This Row],[PitStopLaps]])-LEN(SUBSTITUTE(Table1[[#This Row],[PitStopLaps]],",",""))+1)</f>
        <v>1</v>
      </c>
      <c r="U43">
        <f>Table1[[#This Row],[StartPosition]]-Table1[[#This Row],[FinishPosition]]</f>
        <v>1</v>
      </c>
    </row>
    <row r="44" spans="1:21" x14ac:dyDescent="0.3">
      <c r="A44">
        <v>2018</v>
      </c>
      <c r="B44">
        <v>3</v>
      </c>
      <c r="C44" t="s">
        <v>100</v>
      </c>
      <c r="D44" t="s">
        <v>29</v>
      </c>
      <c r="E44" t="s">
        <v>30</v>
      </c>
      <c r="F44" t="s">
        <v>22</v>
      </c>
      <c r="G44">
        <v>2</v>
      </c>
      <c r="H44">
        <v>3</v>
      </c>
      <c r="I44">
        <v>15</v>
      </c>
      <c r="J44" t="s">
        <v>23</v>
      </c>
      <c r="K44" t="s">
        <v>24</v>
      </c>
      <c r="L44">
        <v>56</v>
      </c>
      <c r="M44">
        <v>96.456000000000003</v>
      </c>
      <c r="N44">
        <v>97.396771999999999</v>
      </c>
      <c r="O44">
        <v>25.649000000000001</v>
      </c>
      <c r="P44">
        <v>28.838999999999999</v>
      </c>
      <c r="Q44">
        <v>41.756</v>
      </c>
      <c r="R44">
        <v>27</v>
      </c>
      <c r="S44" t="s">
        <v>25</v>
      </c>
      <c r="T44">
        <f>IF(TRIM(Table1[[#This Row],[PitStopLaps]])="",0,
LEN(Table1[[#This Row],[PitStopLaps]])-LEN(SUBSTITUTE(Table1[[#This Row],[PitStopLaps]],",",""))+1)</f>
        <v>1</v>
      </c>
      <c r="U44">
        <f>Table1[[#This Row],[StartPosition]]-Table1[[#This Row],[FinishPosition]]</f>
        <v>-1</v>
      </c>
    </row>
    <row r="45" spans="1:21" x14ac:dyDescent="0.3">
      <c r="A45">
        <v>2018</v>
      </c>
      <c r="B45">
        <v>3</v>
      </c>
      <c r="C45" t="s">
        <v>100</v>
      </c>
      <c r="D45" t="s">
        <v>26</v>
      </c>
      <c r="E45" t="s">
        <v>27</v>
      </c>
      <c r="F45" t="s">
        <v>28</v>
      </c>
      <c r="G45">
        <v>4</v>
      </c>
      <c r="H45">
        <v>4</v>
      </c>
      <c r="I45">
        <v>12</v>
      </c>
      <c r="J45" t="s">
        <v>34</v>
      </c>
      <c r="K45" t="s">
        <v>24</v>
      </c>
      <c r="L45">
        <v>56</v>
      </c>
      <c r="M45">
        <v>96.977999999999994</v>
      </c>
      <c r="N45">
        <v>97.839363000000006</v>
      </c>
      <c r="O45">
        <v>25.968</v>
      </c>
      <c r="P45">
        <v>28.873999999999999</v>
      </c>
      <c r="Q45">
        <v>41.942999999999998</v>
      </c>
      <c r="R45">
        <v>18</v>
      </c>
      <c r="S45" t="s">
        <v>25</v>
      </c>
      <c r="T45">
        <f>IF(TRIM(Table1[[#This Row],[PitStopLaps]])="",0,
LEN(Table1[[#This Row],[PitStopLaps]])-LEN(SUBSTITUTE(Table1[[#This Row],[PitStopLaps]],",",""))+1)</f>
        <v>1</v>
      </c>
      <c r="U45">
        <f>Table1[[#This Row],[StartPosition]]-Table1[[#This Row],[FinishPosition]]</f>
        <v>0</v>
      </c>
    </row>
    <row r="46" spans="1:21" x14ac:dyDescent="0.3">
      <c r="A46">
        <v>2018</v>
      </c>
      <c r="B46">
        <v>3</v>
      </c>
      <c r="C46" t="s">
        <v>100</v>
      </c>
      <c r="D46" t="s">
        <v>38</v>
      </c>
      <c r="E46" t="s">
        <v>39</v>
      </c>
      <c r="F46" t="s">
        <v>33</v>
      </c>
      <c r="G46">
        <v>5</v>
      </c>
      <c r="H46">
        <v>5</v>
      </c>
      <c r="I46">
        <v>10</v>
      </c>
      <c r="J46" t="s">
        <v>34</v>
      </c>
      <c r="K46" t="s">
        <v>24</v>
      </c>
      <c r="L46">
        <v>56</v>
      </c>
      <c r="M46">
        <v>96.206000000000003</v>
      </c>
      <c r="N46">
        <v>97.484954000000002</v>
      </c>
      <c r="O46">
        <v>25.547000000000001</v>
      </c>
      <c r="P46">
        <v>28.748999999999999</v>
      </c>
      <c r="Q46">
        <v>41.593000000000004</v>
      </c>
      <c r="R46" t="s">
        <v>101</v>
      </c>
      <c r="S46" t="s">
        <v>25</v>
      </c>
      <c r="T46">
        <f>IF(TRIM(Table1[[#This Row],[PitStopLaps]])="",0,
LEN(Table1[[#This Row],[PitStopLaps]])-LEN(SUBSTITUTE(Table1[[#This Row],[PitStopLaps]],",",""))+1)</f>
        <v>2</v>
      </c>
      <c r="U46">
        <f>Table1[[#This Row],[StartPosition]]-Table1[[#This Row],[FinishPosition]]</f>
        <v>0</v>
      </c>
    </row>
    <row r="47" spans="1:21" x14ac:dyDescent="0.3">
      <c r="A47">
        <v>2018</v>
      </c>
      <c r="B47">
        <v>3</v>
      </c>
      <c r="C47" t="s">
        <v>100</v>
      </c>
      <c r="D47" t="s">
        <v>40</v>
      </c>
      <c r="E47" t="s">
        <v>41</v>
      </c>
      <c r="F47" t="s">
        <v>42</v>
      </c>
      <c r="G47">
        <v>7</v>
      </c>
      <c r="H47">
        <v>6</v>
      </c>
      <c r="I47">
        <v>8</v>
      </c>
      <c r="J47" t="s">
        <v>34</v>
      </c>
      <c r="K47" t="s">
        <v>24</v>
      </c>
      <c r="L47">
        <v>56</v>
      </c>
      <c r="M47">
        <v>96.881</v>
      </c>
      <c r="N47">
        <v>97.900181000000003</v>
      </c>
      <c r="O47">
        <v>25.838999999999999</v>
      </c>
      <c r="P47">
        <v>28.966000000000001</v>
      </c>
      <c r="Q47">
        <v>42.009</v>
      </c>
      <c r="R47" t="s">
        <v>102</v>
      </c>
      <c r="S47" t="s">
        <v>25</v>
      </c>
      <c r="T47">
        <f>IF(TRIM(Table1[[#This Row],[PitStopLaps]])="",0,
LEN(Table1[[#This Row],[PitStopLaps]])-LEN(SUBSTITUTE(Table1[[#This Row],[PitStopLaps]],",",""))+1)</f>
        <v>2</v>
      </c>
      <c r="U47">
        <f>Table1[[#This Row],[StartPosition]]-Table1[[#This Row],[FinishPosition]]</f>
        <v>1</v>
      </c>
    </row>
    <row r="48" spans="1:21" x14ac:dyDescent="0.3">
      <c r="A48">
        <v>2018</v>
      </c>
      <c r="B48">
        <v>3</v>
      </c>
      <c r="C48" t="s">
        <v>100</v>
      </c>
      <c r="D48" t="s">
        <v>35</v>
      </c>
      <c r="E48" t="s">
        <v>36</v>
      </c>
      <c r="F48" t="s">
        <v>37</v>
      </c>
      <c r="G48">
        <v>13</v>
      </c>
      <c r="H48">
        <v>7</v>
      </c>
      <c r="I48">
        <v>6</v>
      </c>
      <c r="J48" t="s">
        <v>34</v>
      </c>
      <c r="K48" t="s">
        <v>24</v>
      </c>
      <c r="L48">
        <v>56</v>
      </c>
      <c r="M48">
        <v>97.233999999999995</v>
      </c>
      <c r="N48">
        <v>98.218903999999995</v>
      </c>
      <c r="O48">
        <v>25.774000000000001</v>
      </c>
      <c r="P48">
        <v>28.882999999999999</v>
      </c>
      <c r="Q48">
        <v>42.164000000000001</v>
      </c>
      <c r="R48">
        <v>29</v>
      </c>
      <c r="S48" t="s">
        <v>25</v>
      </c>
      <c r="T48">
        <f>IF(TRIM(Table1[[#This Row],[PitStopLaps]])="",0,
LEN(Table1[[#This Row],[PitStopLaps]])-LEN(SUBSTITUTE(Table1[[#This Row],[PitStopLaps]],",",""))+1)</f>
        <v>1</v>
      </c>
      <c r="U48">
        <f>Table1[[#This Row],[StartPosition]]-Table1[[#This Row],[FinishPosition]]</f>
        <v>6</v>
      </c>
    </row>
    <row r="49" spans="1:21" x14ac:dyDescent="0.3">
      <c r="A49">
        <v>2018</v>
      </c>
      <c r="B49">
        <v>3</v>
      </c>
      <c r="C49" t="s">
        <v>100</v>
      </c>
      <c r="D49" t="s">
        <v>20</v>
      </c>
      <c r="E49" t="s">
        <v>21</v>
      </c>
      <c r="F49" t="s">
        <v>22</v>
      </c>
      <c r="G49">
        <v>1</v>
      </c>
      <c r="H49">
        <v>8</v>
      </c>
      <c r="I49">
        <v>4</v>
      </c>
      <c r="J49" t="s">
        <v>34</v>
      </c>
      <c r="K49" t="s">
        <v>24</v>
      </c>
      <c r="L49">
        <v>56</v>
      </c>
      <c r="M49">
        <v>97.489000000000004</v>
      </c>
      <c r="N49">
        <v>98.696135999999996</v>
      </c>
      <c r="O49">
        <v>26.04</v>
      </c>
      <c r="P49">
        <v>29.132000000000001</v>
      </c>
      <c r="Q49">
        <v>42.061</v>
      </c>
      <c r="R49">
        <v>20</v>
      </c>
      <c r="S49" t="s">
        <v>25</v>
      </c>
      <c r="T49">
        <f>IF(TRIM(Table1[[#This Row],[PitStopLaps]])="",0,
LEN(Table1[[#This Row],[PitStopLaps]])-LEN(SUBSTITUTE(Table1[[#This Row],[PitStopLaps]],",",""))+1)</f>
        <v>1</v>
      </c>
      <c r="U49">
        <f>Table1[[#This Row],[StartPosition]]-Table1[[#This Row],[FinishPosition]]</f>
        <v>-7</v>
      </c>
    </row>
    <row r="50" spans="1:21" x14ac:dyDescent="0.3">
      <c r="A50">
        <v>2018</v>
      </c>
      <c r="B50">
        <v>3</v>
      </c>
      <c r="C50" t="s">
        <v>100</v>
      </c>
      <c r="D50" t="s">
        <v>47</v>
      </c>
      <c r="E50" t="s">
        <v>48</v>
      </c>
      <c r="F50" t="s">
        <v>42</v>
      </c>
      <c r="G50">
        <v>9</v>
      </c>
      <c r="H50">
        <v>9</v>
      </c>
      <c r="I50">
        <v>2</v>
      </c>
      <c r="J50" t="s">
        <v>34</v>
      </c>
      <c r="K50" t="s">
        <v>24</v>
      </c>
      <c r="L50">
        <v>56</v>
      </c>
      <c r="M50">
        <v>97.754000000000005</v>
      </c>
      <c r="N50">
        <v>98.511044999999996</v>
      </c>
      <c r="O50">
        <v>26.053999999999998</v>
      </c>
      <c r="P50">
        <v>29.15</v>
      </c>
      <c r="Q50">
        <v>41.811999999999998</v>
      </c>
      <c r="R50" t="s">
        <v>103</v>
      </c>
      <c r="S50" t="s">
        <v>25</v>
      </c>
      <c r="T50">
        <f>IF(TRIM(Table1[[#This Row],[PitStopLaps]])="",0,
LEN(Table1[[#This Row],[PitStopLaps]])-LEN(SUBSTITUTE(Table1[[#This Row],[PitStopLaps]],",",""))+1)</f>
        <v>2</v>
      </c>
      <c r="U50">
        <f>Table1[[#This Row],[StartPosition]]-Table1[[#This Row],[FinishPosition]]</f>
        <v>0</v>
      </c>
    </row>
    <row r="51" spans="1:21" x14ac:dyDescent="0.3">
      <c r="A51">
        <v>2018</v>
      </c>
      <c r="B51">
        <v>3</v>
      </c>
      <c r="C51" t="s">
        <v>100</v>
      </c>
      <c r="D51" t="s">
        <v>71</v>
      </c>
      <c r="E51" t="s">
        <v>72</v>
      </c>
      <c r="F51" t="s">
        <v>69</v>
      </c>
      <c r="G51">
        <v>11</v>
      </c>
      <c r="H51">
        <v>10</v>
      </c>
      <c r="I51">
        <v>1</v>
      </c>
      <c r="J51" t="s">
        <v>34</v>
      </c>
      <c r="K51" t="s">
        <v>24</v>
      </c>
      <c r="L51">
        <v>56</v>
      </c>
      <c r="M51">
        <v>98.152000000000001</v>
      </c>
      <c r="N51">
        <v>98.732363000000007</v>
      </c>
      <c r="O51">
        <v>26.059000000000001</v>
      </c>
      <c r="P51">
        <v>29.364000000000001</v>
      </c>
      <c r="Q51">
        <v>42.506999999999998</v>
      </c>
      <c r="R51">
        <v>24</v>
      </c>
      <c r="S51" t="s">
        <v>25</v>
      </c>
      <c r="T51">
        <f>IF(TRIM(Table1[[#This Row],[PitStopLaps]])="",0,
LEN(Table1[[#This Row],[PitStopLaps]])-LEN(SUBSTITUTE(Table1[[#This Row],[PitStopLaps]],",",""))+1)</f>
        <v>1</v>
      </c>
      <c r="U51">
        <f>Table1[[#This Row],[StartPosition]]-Table1[[#This Row],[FinishPosition]]</f>
        <v>1</v>
      </c>
    </row>
    <row r="52" spans="1:21" x14ac:dyDescent="0.3">
      <c r="A52">
        <v>2018</v>
      </c>
      <c r="B52">
        <v>3</v>
      </c>
      <c r="C52" t="s">
        <v>100</v>
      </c>
      <c r="D52" t="s">
        <v>52</v>
      </c>
      <c r="E52" t="s">
        <v>53</v>
      </c>
      <c r="F52" t="s">
        <v>51</v>
      </c>
      <c r="G52">
        <v>12</v>
      </c>
      <c r="H52">
        <v>11</v>
      </c>
      <c r="I52">
        <v>0</v>
      </c>
      <c r="J52" t="s">
        <v>34</v>
      </c>
      <c r="K52" t="s">
        <v>24</v>
      </c>
      <c r="L52">
        <v>56</v>
      </c>
      <c r="M52">
        <v>97.984999999999999</v>
      </c>
      <c r="N52">
        <v>98.849953999999997</v>
      </c>
      <c r="O52">
        <v>26.109000000000002</v>
      </c>
      <c r="P52">
        <v>29.233000000000001</v>
      </c>
      <c r="Q52">
        <v>42.389000000000003</v>
      </c>
      <c r="R52" t="s">
        <v>104</v>
      </c>
      <c r="S52" t="s">
        <v>25</v>
      </c>
      <c r="T52">
        <f>IF(TRIM(Table1[[#This Row],[PitStopLaps]])="",0,
LEN(Table1[[#This Row],[PitStopLaps]])-LEN(SUBSTITUTE(Table1[[#This Row],[PitStopLaps]],",",""))+1)</f>
        <v>2</v>
      </c>
      <c r="U52">
        <f>Table1[[#This Row],[StartPosition]]-Table1[[#This Row],[FinishPosition]]</f>
        <v>1</v>
      </c>
    </row>
    <row r="53" spans="1:21" x14ac:dyDescent="0.3">
      <c r="A53">
        <v>2018</v>
      </c>
      <c r="B53">
        <v>3</v>
      </c>
      <c r="C53" t="s">
        <v>100</v>
      </c>
      <c r="D53" t="s">
        <v>49</v>
      </c>
      <c r="E53" t="s">
        <v>50</v>
      </c>
      <c r="F53" t="s">
        <v>51</v>
      </c>
      <c r="G53">
        <v>8</v>
      </c>
      <c r="H53">
        <v>12</v>
      </c>
      <c r="I53">
        <v>0</v>
      </c>
      <c r="J53" t="s">
        <v>34</v>
      </c>
      <c r="K53" t="s">
        <v>24</v>
      </c>
      <c r="L53">
        <v>56</v>
      </c>
      <c r="M53">
        <v>97.673000000000002</v>
      </c>
      <c r="N53">
        <v>98.850772000000006</v>
      </c>
      <c r="O53">
        <v>25.824999999999999</v>
      </c>
      <c r="P53">
        <v>29.13</v>
      </c>
      <c r="Q53">
        <v>42.11</v>
      </c>
      <c r="R53" t="s">
        <v>105</v>
      </c>
      <c r="S53" t="s">
        <v>25</v>
      </c>
      <c r="T53">
        <f>IF(TRIM(Table1[[#This Row],[PitStopLaps]])="",0,
LEN(Table1[[#This Row],[PitStopLaps]])-LEN(SUBSTITUTE(Table1[[#This Row],[PitStopLaps]],",",""))+1)</f>
        <v>2</v>
      </c>
      <c r="U53">
        <f>Table1[[#This Row],[StartPosition]]-Table1[[#This Row],[FinishPosition]]</f>
        <v>-4</v>
      </c>
    </row>
    <row r="54" spans="1:21" x14ac:dyDescent="0.3">
      <c r="A54">
        <v>2018</v>
      </c>
      <c r="B54">
        <v>3</v>
      </c>
      <c r="C54" t="s">
        <v>100</v>
      </c>
      <c r="D54" t="s">
        <v>45</v>
      </c>
      <c r="E54" t="s">
        <v>46</v>
      </c>
      <c r="F54" t="s">
        <v>37</v>
      </c>
      <c r="G54">
        <v>14</v>
      </c>
      <c r="H54">
        <v>13</v>
      </c>
      <c r="I54">
        <v>0</v>
      </c>
      <c r="J54" t="s">
        <v>34</v>
      </c>
      <c r="K54" t="s">
        <v>24</v>
      </c>
      <c r="L54">
        <v>56</v>
      </c>
      <c r="M54">
        <v>98.137</v>
      </c>
      <c r="N54">
        <v>99.110652000000002</v>
      </c>
      <c r="O54">
        <v>26.154</v>
      </c>
      <c r="P54">
        <v>29.311</v>
      </c>
      <c r="Q54">
        <v>42.494999999999997</v>
      </c>
      <c r="R54">
        <v>22</v>
      </c>
      <c r="S54" t="s">
        <v>25</v>
      </c>
      <c r="T54">
        <f>IF(TRIM(Table1[[#This Row],[PitStopLaps]])="",0,
LEN(Table1[[#This Row],[PitStopLaps]])-LEN(SUBSTITUTE(Table1[[#This Row],[PitStopLaps]],",",""))+1)</f>
        <v>1</v>
      </c>
      <c r="U54">
        <f>Table1[[#This Row],[StartPosition]]-Table1[[#This Row],[FinishPosition]]</f>
        <v>1</v>
      </c>
    </row>
    <row r="55" spans="1:21" x14ac:dyDescent="0.3">
      <c r="A55">
        <v>2018</v>
      </c>
      <c r="B55">
        <v>3</v>
      </c>
      <c r="C55" t="s">
        <v>100</v>
      </c>
      <c r="D55" t="s">
        <v>58</v>
      </c>
      <c r="E55" t="s">
        <v>59</v>
      </c>
      <c r="F55" t="s">
        <v>60</v>
      </c>
      <c r="G55">
        <v>18</v>
      </c>
      <c r="H55">
        <v>14</v>
      </c>
      <c r="I55">
        <v>0</v>
      </c>
      <c r="J55" t="s">
        <v>34</v>
      </c>
      <c r="K55" t="s">
        <v>24</v>
      </c>
      <c r="L55">
        <v>56</v>
      </c>
      <c r="M55">
        <v>98.5</v>
      </c>
      <c r="N55">
        <v>99.364520999999996</v>
      </c>
      <c r="O55">
        <v>26.218</v>
      </c>
      <c r="P55">
        <v>29.422000000000001</v>
      </c>
      <c r="Q55">
        <v>42.697000000000003</v>
      </c>
      <c r="R55">
        <v>23</v>
      </c>
      <c r="S55" t="s">
        <v>25</v>
      </c>
      <c r="T55">
        <f>IF(TRIM(Table1[[#This Row],[PitStopLaps]])="",0,
LEN(Table1[[#This Row],[PitStopLaps]])-LEN(SUBSTITUTE(Table1[[#This Row],[PitStopLaps]],",",""))+1)</f>
        <v>1</v>
      </c>
      <c r="U55">
        <f>Table1[[#This Row],[StartPosition]]-Table1[[#This Row],[FinishPosition]]</f>
        <v>4</v>
      </c>
    </row>
    <row r="56" spans="1:21" x14ac:dyDescent="0.3">
      <c r="A56">
        <v>2018</v>
      </c>
      <c r="B56">
        <v>3</v>
      </c>
      <c r="C56" t="s">
        <v>100</v>
      </c>
      <c r="D56" t="s">
        <v>79</v>
      </c>
      <c r="E56" t="s">
        <v>80</v>
      </c>
      <c r="F56" t="s">
        <v>60</v>
      </c>
      <c r="G56">
        <v>16</v>
      </c>
      <c r="H56">
        <v>15</v>
      </c>
      <c r="I56">
        <v>0</v>
      </c>
      <c r="J56" t="s">
        <v>34</v>
      </c>
      <c r="K56" t="s">
        <v>24</v>
      </c>
      <c r="L56">
        <v>56</v>
      </c>
      <c r="M56">
        <v>98.623999999999995</v>
      </c>
      <c r="N56">
        <v>99.373000000000005</v>
      </c>
      <c r="O56">
        <v>26.224</v>
      </c>
      <c r="P56">
        <v>29.45</v>
      </c>
      <c r="Q56">
        <v>42.637</v>
      </c>
      <c r="R56" t="s">
        <v>106</v>
      </c>
      <c r="S56" t="s">
        <v>25</v>
      </c>
      <c r="T56">
        <f>IF(TRIM(Table1[[#This Row],[PitStopLaps]])="",0,
LEN(Table1[[#This Row],[PitStopLaps]])-LEN(SUBSTITUTE(Table1[[#This Row],[PitStopLaps]],",",""))+1)</f>
        <v>2</v>
      </c>
      <c r="U56">
        <f>Table1[[#This Row],[StartPosition]]-Table1[[#This Row],[FinishPosition]]</f>
        <v>1</v>
      </c>
    </row>
    <row r="57" spans="1:21" x14ac:dyDescent="0.3">
      <c r="A57">
        <v>2018</v>
      </c>
      <c r="B57">
        <v>3</v>
      </c>
      <c r="C57" t="s">
        <v>100</v>
      </c>
      <c r="D57" t="s">
        <v>76</v>
      </c>
      <c r="E57" t="s">
        <v>77</v>
      </c>
      <c r="F57" t="s">
        <v>56</v>
      </c>
      <c r="G57">
        <v>20</v>
      </c>
      <c r="H57">
        <v>16</v>
      </c>
      <c r="I57">
        <v>0</v>
      </c>
      <c r="J57" t="s">
        <v>34</v>
      </c>
      <c r="K57" t="s">
        <v>24</v>
      </c>
      <c r="L57">
        <v>56</v>
      </c>
      <c r="M57">
        <v>98.385999999999996</v>
      </c>
      <c r="N57">
        <v>99.109189999999998</v>
      </c>
      <c r="O57">
        <v>26.321999999999999</v>
      </c>
      <c r="P57">
        <v>29.335999999999999</v>
      </c>
      <c r="Q57">
        <v>42.603000000000002</v>
      </c>
      <c r="R57">
        <v>29</v>
      </c>
      <c r="S57" t="s">
        <v>25</v>
      </c>
      <c r="T57">
        <f>IF(TRIM(Table1[[#This Row],[PitStopLaps]])="",0,
LEN(Table1[[#This Row],[PitStopLaps]])-LEN(SUBSTITUTE(Table1[[#This Row],[PitStopLaps]],",",""))+1)</f>
        <v>1</v>
      </c>
      <c r="U57">
        <f>Table1[[#This Row],[StartPosition]]-Table1[[#This Row],[FinishPosition]]</f>
        <v>4</v>
      </c>
    </row>
    <row r="58" spans="1:21" x14ac:dyDescent="0.3">
      <c r="A58">
        <v>2018</v>
      </c>
      <c r="B58">
        <v>3</v>
      </c>
      <c r="C58" t="s">
        <v>100</v>
      </c>
      <c r="D58" t="s">
        <v>67</v>
      </c>
      <c r="E58" t="s">
        <v>68</v>
      </c>
      <c r="F58" t="s">
        <v>69</v>
      </c>
      <c r="G58">
        <v>10</v>
      </c>
      <c r="H58">
        <v>17</v>
      </c>
      <c r="I58">
        <v>0</v>
      </c>
      <c r="J58" t="s">
        <v>34</v>
      </c>
      <c r="K58" t="s">
        <v>24</v>
      </c>
      <c r="L58">
        <v>56</v>
      </c>
      <c r="M58">
        <v>97.41</v>
      </c>
      <c r="N58">
        <v>98.720399999999998</v>
      </c>
      <c r="O58">
        <v>25.988</v>
      </c>
      <c r="P58">
        <v>28.890999999999998</v>
      </c>
      <c r="Q58">
        <v>42.292999999999999</v>
      </c>
      <c r="R58" t="s">
        <v>107</v>
      </c>
      <c r="S58" t="s">
        <v>25</v>
      </c>
      <c r="T58">
        <f>IF(TRIM(Table1[[#This Row],[PitStopLaps]])="",0,
LEN(Table1[[#This Row],[PitStopLaps]])-LEN(SUBSTITUTE(Table1[[#This Row],[PitStopLaps]],",",""))+1)</f>
        <v>2</v>
      </c>
      <c r="U58">
        <f>Table1[[#This Row],[StartPosition]]-Table1[[#This Row],[FinishPosition]]</f>
        <v>-7</v>
      </c>
    </row>
    <row r="59" spans="1:21" x14ac:dyDescent="0.3">
      <c r="A59">
        <v>2018</v>
      </c>
      <c r="B59">
        <v>3</v>
      </c>
      <c r="C59" t="s">
        <v>100</v>
      </c>
      <c r="D59" t="s">
        <v>73</v>
      </c>
      <c r="E59" t="s">
        <v>74</v>
      </c>
      <c r="F59" t="s">
        <v>64</v>
      </c>
      <c r="G59">
        <v>17</v>
      </c>
      <c r="H59">
        <v>18</v>
      </c>
      <c r="I59">
        <v>0</v>
      </c>
      <c r="J59" t="s">
        <v>34</v>
      </c>
      <c r="K59" t="s">
        <v>24</v>
      </c>
      <c r="L59">
        <v>56</v>
      </c>
      <c r="M59">
        <v>98.367000000000004</v>
      </c>
      <c r="N59">
        <v>99.578564999999998</v>
      </c>
      <c r="O59">
        <v>26.222999999999999</v>
      </c>
      <c r="P59">
        <v>29.401</v>
      </c>
      <c r="Q59">
        <v>42.585999999999999</v>
      </c>
      <c r="R59" t="s">
        <v>108</v>
      </c>
      <c r="S59" t="s">
        <v>25</v>
      </c>
      <c r="T59">
        <f>IF(TRIM(Table1[[#This Row],[PitStopLaps]])="",0,
LEN(Table1[[#This Row],[PitStopLaps]])-LEN(SUBSTITUTE(Table1[[#This Row],[PitStopLaps]],",",""))+1)</f>
        <v>2</v>
      </c>
      <c r="U59">
        <f>Table1[[#This Row],[StartPosition]]-Table1[[#This Row],[FinishPosition]]</f>
        <v>-1</v>
      </c>
    </row>
    <row r="60" spans="1:21" x14ac:dyDescent="0.3">
      <c r="A60">
        <v>2018</v>
      </c>
      <c r="B60">
        <v>3</v>
      </c>
      <c r="C60" t="s">
        <v>100</v>
      </c>
      <c r="D60" t="s">
        <v>54</v>
      </c>
      <c r="E60" t="s">
        <v>55</v>
      </c>
      <c r="F60" t="s">
        <v>56</v>
      </c>
      <c r="G60">
        <v>19</v>
      </c>
      <c r="H60">
        <v>19</v>
      </c>
      <c r="I60">
        <v>0</v>
      </c>
      <c r="J60" t="s">
        <v>34</v>
      </c>
      <c r="K60" t="s">
        <v>24</v>
      </c>
      <c r="L60">
        <v>56</v>
      </c>
      <c r="M60">
        <v>99.628</v>
      </c>
      <c r="N60">
        <v>100.137636</v>
      </c>
      <c r="O60">
        <v>26.562000000000001</v>
      </c>
      <c r="P60">
        <v>29.792000000000002</v>
      </c>
      <c r="Q60">
        <v>43.042000000000002</v>
      </c>
      <c r="R60">
        <v>21</v>
      </c>
      <c r="S60" t="s">
        <v>25</v>
      </c>
      <c r="T60">
        <f>IF(TRIM(Table1[[#This Row],[PitStopLaps]])="",0,
LEN(Table1[[#This Row],[PitStopLaps]])-LEN(SUBSTITUTE(Table1[[#This Row],[PitStopLaps]],",",""))+1)</f>
        <v>1</v>
      </c>
      <c r="U60">
        <f>Table1[[#This Row],[StartPosition]]-Table1[[#This Row],[FinishPosition]]</f>
        <v>0</v>
      </c>
    </row>
    <row r="61" spans="1:21" x14ac:dyDescent="0.3">
      <c r="A61">
        <v>2018</v>
      </c>
      <c r="B61">
        <v>3</v>
      </c>
      <c r="C61" t="s">
        <v>100</v>
      </c>
      <c r="D61" t="s">
        <v>62</v>
      </c>
      <c r="E61" t="s">
        <v>63</v>
      </c>
      <c r="F61" t="s">
        <v>64</v>
      </c>
      <c r="G61">
        <v>15</v>
      </c>
      <c r="H61">
        <v>20</v>
      </c>
      <c r="I61">
        <v>0</v>
      </c>
      <c r="J61" t="s">
        <v>34</v>
      </c>
      <c r="K61" t="s">
        <v>109</v>
      </c>
      <c r="L61">
        <v>51</v>
      </c>
      <c r="M61">
        <v>99.376000000000005</v>
      </c>
      <c r="N61">
        <v>100.97518700000001</v>
      </c>
      <c r="O61">
        <v>26.443000000000001</v>
      </c>
      <c r="P61">
        <v>30.027999999999999</v>
      </c>
      <c r="Q61">
        <v>42.838999999999999</v>
      </c>
      <c r="R61" t="s">
        <v>110</v>
      </c>
      <c r="S61" t="s">
        <v>25</v>
      </c>
      <c r="T61">
        <f>IF(TRIM(Table1[[#This Row],[PitStopLaps]])="",0,
LEN(Table1[[#This Row],[PitStopLaps]])-LEN(SUBSTITUTE(Table1[[#This Row],[PitStopLaps]],",",""))+1)</f>
        <v>3</v>
      </c>
      <c r="U61">
        <f>Table1[[#This Row],[StartPosition]]-Table1[[#This Row],[FinishPosition]]</f>
        <v>-5</v>
      </c>
    </row>
    <row r="62" spans="1:21" x14ac:dyDescent="0.3">
      <c r="A62">
        <v>2018</v>
      </c>
      <c r="B62">
        <v>4</v>
      </c>
      <c r="C62" t="s">
        <v>111</v>
      </c>
      <c r="D62" t="s">
        <v>26</v>
      </c>
      <c r="E62" t="s">
        <v>27</v>
      </c>
      <c r="F62" t="s">
        <v>28</v>
      </c>
      <c r="G62">
        <v>2</v>
      </c>
      <c r="H62">
        <v>1</v>
      </c>
      <c r="I62">
        <v>25</v>
      </c>
      <c r="J62" t="s">
        <v>23</v>
      </c>
      <c r="K62" t="s">
        <v>24</v>
      </c>
      <c r="L62">
        <v>51</v>
      </c>
      <c r="M62">
        <v>105.41200000000001</v>
      </c>
      <c r="N62">
        <v>106.98216600000001</v>
      </c>
      <c r="O62">
        <v>37.017000000000003</v>
      </c>
      <c r="P62">
        <v>42.396000000000001</v>
      </c>
      <c r="Q62">
        <v>25.562999999999999</v>
      </c>
      <c r="R62" t="s">
        <v>94</v>
      </c>
      <c r="S62" t="s">
        <v>83</v>
      </c>
      <c r="T62">
        <f>IF(TRIM(Table1[[#This Row],[PitStopLaps]])="",0,
LEN(Table1[[#This Row],[PitStopLaps]])-LEN(SUBSTITUTE(Table1[[#This Row],[PitStopLaps]],",",""))+1)</f>
        <v>2</v>
      </c>
      <c r="U62">
        <f>Table1[[#This Row],[StartPosition]]-Table1[[#This Row],[FinishPosition]]</f>
        <v>1</v>
      </c>
    </row>
    <row r="63" spans="1:21" x14ac:dyDescent="0.3">
      <c r="A63">
        <v>2018</v>
      </c>
      <c r="B63">
        <v>4</v>
      </c>
      <c r="C63" t="s">
        <v>111</v>
      </c>
      <c r="D63" t="s">
        <v>29</v>
      </c>
      <c r="E63" t="s">
        <v>30</v>
      </c>
      <c r="F63" t="s">
        <v>22</v>
      </c>
      <c r="G63">
        <v>6</v>
      </c>
      <c r="H63">
        <v>2</v>
      </c>
      <c r="I63">
        <v>18</v>
      </c>
      <c r="J63" t="s">
        <v>23</v>
      </c>
      <c r="K63" t="s">
        <v>24</v>
      </c>
      <c r="L63">
        <v>51</v>
      </c>
      <c r="M63">
        <v>106.523</v>
      </c>
      <c r="N63">
        <v>108.507578</v>
      </c>
      <c r="O63">
        <v>37.548999999999999</v>
      </c>
      <c r="P63">
        <v>42.633000000000003</v>
      </c>
      <c r="Q63">
        <v>25.516999999999999</v>
      </c>
      <c r="R63" t="s">
        <v>112</v>
      </c>
      <c r="S63" t="s">
        <v>83</v>
      </c>
      <c r="T63">
        <f>IF(TRIM(Table1[[#This Row],[PitStopLaps]])="",0,
LEN(Table1[[#This Row],[PitStopLaps]])-LEN(SUBSTITUTE(Table1[[#This Row],[PitStopLaps]],",",""))+1)</f>
        <v>2</v>
      </c>
      <c r="U63">
        <f>Table1[[#This Row],[StartPosition]]-Table1[[#This Row],[FinishPosition]]</f>
        <v>4</v>
      </c>
    </row>
    <row r="64" spans="1:21" x14ac:dyDescent="0.3">
      <c r="A64">
        <v>2018</v>
      </c>
      <c r="B64">
        <v>4</v>
      </c>
      <c r="C64" t="s">
        <v>111</v>
      </c>
      <c r="D64" t="s">
        <v>49</v>
      </c>
      <c r="E64" t="s">
        <v>50</v>
      </c>
      <c r="F64" t="s">
        <v>51</v>
      </c>
      <c r="G64">
        <v>8</v>
      </c>
      <c r="H64">
        <v>3</v>
      </c>
      <c r="I64">
        <v>15</v>
      </c>
      <c r="J64" t="s">
        <v>23</v>
      </c>
      <c r="K64" t="s">
        <v>24</v>
      </c>
      <c r="L64">
        <v>51</v>
      </c>
      <c r="M64">
        <v>106.206</v>
      </c>
      <c r="N64">
        <v>108.786342</v>
      </c>
      <c r="O64">
        <v>37.555999999999997</v>
      </c>
      <c r="P64">
        <v>42.945999999999998</v>
      </c>
      <c r="Q64">
        <v>25.437000000000001</v>
      </c>
      <c r="R64" t="s">
        <v>113</v>
      </c>
      <c r="S64" t="s">
        <v>83</v>
      </c>
      <c r="T64">
        <f>IF(TRIM(Table1[[#This Row],[PitStopLaps]])="",0,
LEN(Table1[[#This Row],[PitStopLaps]])-LEN(SUBSTITUTE(Table1[[#This Row],[PitStopLaps]],",",""))+1)</f>
        <v>2</v>
      </c>
      <c r="U64">
        <f>Table1[[#This Row],[StartPosition]]-Table1[[#This Row],[FinishPosition]]</f>
        <v>5</v>
      </c>
    </row>
    <row r="65" spans="1:21" x14ac:dyDescent="0.3">
      <c r="A65">
        <v>2018</v>
      </c>
      <c r="B65">
        <v>4</v>
      </c>
      <c r="C65" t="s">
        <v>111</v>
      </c>
      <c r="D65" t="s">
        <v>20</v>
      </c>
      <c r="E65" t="s">
        <v>21</v>
      </c>
      <c r="F65" t="s">
        <v>22</v>
      </c>
      <c r="G65">
        <v>1</v>
      </c>
      <c r="H65">
        <v>4</v>
      </c>
      <c r="I65">
        <v>12</v>
      </c>
      <c r="J65" t="s">
        <v>34</v>
      </c>
      <c r="K65" t="s">
        <v>24</v>
      </c>
      <c r="L65">
        <v>51</v>
      </c>
      <c r="M65">
        <v>105.53</v>
      </c>
      <c r="N65">
        <v>107.127666</v>
      </c>
      <c r="O65">
        <v>37.101999999999997</v>
      </c>
      <c r="P65">
        <v>42.411999999999999</v>
      </c>
      <c r="Q65">
        <v>25.538</v>
      </c>
      <c r="R65" t="s">
        <v>114</v>
      </c>
      <c r="S65" t="s">
        <v>83</v>
      </c>
      <c r="T65">
        <f>IF(TRIM(Table1[[#This Row],[PitStopLaps]])="",0,
LEN(Table1[[#This Row],[PitStopLaps]])-LEN(SUBSTITUTE(Table1[[#This Row],[PitStopLaps]],",",""))+1)</f>
        <v>2</v>
      </c>
      <c r="U65">
        <f>Table1[[#This Row],[StartPosition]]-Table1[[#This Row],[FinishPosition]]</f>
        <v>-3</v>
      </c>
    </row>
    <row r="66" spans="1:21" x14ac:dyDescent="0.3">
      <c r="A66">
        <v>2018</v>
      </c>
      <c r="B66">
        <v>4</v>
      </c>
      <c r="C66" t="s">
        <v>111</v>
      </c>
      <c r="D66" t="s">
        <v>47</v>
      </c>
      <c r="E66" t="s">
        <v>48</v>
      </c>
      <c r="F66" t="s">
        <v>42</v>
      </c>
      <c r="G66">
        <v>9</v>
      </c>
      <c r="H66">
        <v>5</v>
      </c>
      <c r="I66">
        <v>10</v>
      </c>
      <c r="J66" t="s">
        <v>34</v>
      </c>
      <c r="K66" t="s">
        <v>24</v>
      </c>
      <c r="L66">
        <v>51</v>
      </c>
      <c r="M66">
        <v>106.85599999999999</v>
      </c>
      <c r="N66">
        <v>108.472228</v>
      </c>
      <c r="O66">
        <v>37.658999999999999</v>
      </c>
      <c r="P66">
        <v>43.091999999999999</v>
      </c>
      <c r="Q66">
        <v>25.292000000000002</v>
      </c>
      <c r="R66" t="s">
        <v>115</v>
      </c>
      <c r="S66" t="s">
        <v>83</v>
      </c>
      <c r="T66">
        <f>IF(TRIM(Table1[[#This Row],[PitStopLaps]])="",0,
LEN(Table1[[#This Row],[PitStopLaps]])-LEN(SUBSTITUTE(Table1[[#This Row],[PitStopLaps]],",",""))+1)</f>
        <v>2</v>
      </c>
      <c r="U66">
        <f>Table1[[#This Row],[StartPosition]]-Table1[[#This Row],[FinishPosition]]</f>
        <v>4</v>
      </c>
    </row>
    <row r="67" spans="1:21" x14ac:dyDescent="0.3">
      <c r="A67">
        <v>2018</v>
      </c>
      <c r="B67">
        <v>4</v>
      </c>
      <c r="C67" t="s">
        <v>111</v>
      </c>
      <c r="D67" t="s">
        <v>54</v>
      </c>
      <c r="E67" t="s">
        <v>55</v>
      </c>
      <c r="F67" t="s">
        <v>56</v>
      </c>
      <c r="G67">
        <v>13</v>
      </c>
      <c r="H67">
        <v>6</v>
      </c>
      <c r="I67">
        <v>8</v>
      </c>
      <c r="J67" t="s">
        <v>34</v>
      </c>
      <c r="K67" t="s">
        <v>24</v>
      </c>
      <c r="L67">
        <v>51</v>
      </c>
      <c r="M67">
        <v>107.40300000000001</v>
      </c>
      <c r="N67">
        <v>108.92108500000001</v>
      </c>
      <c r="O67">
        <v>37.837000000000003</v>
      </c>
      <c r="P67">
        <v>43.052999999999997</v>
      </c>
      <c r="Q67">
        <v>25.603999999999999</v>
      </c>
      <c r="R67" t="s">
        <v>116</v>
      </c>
      <c r="S67" t="s">
        <v>83</v>
      </c>
      <c r="T67">
        <f>IF(TRIM(Table1[[#This Row],[PitStopLaps]])="",0,
LEN(Table1[[#This Row],[PitStopLaps]])-LEN(SUBSTITUTE(Table1[[#This Row],[PitStopLaps]],",",""))+1)</f>
        <v>2</v>
      </c>
      <c r="U67">
        <f>Table1[[#This Row],[StartPosition]]-Table1[[#This Row],[FinishPosition]]</f>
        <v>7</v>
      </c>
    </row>
    <row r="68" spans="1:21" x14ac:dyDescent="0.3">
      <c r="A68">
        <v>2018</v>
      </c>
      <c r="B68">
        <v>4</v>
      </c>
      <c r="C68" t="s">
        <v>111</v>
      </c>
      <c r="D68" t="s">
        <v>35</v>
      </c>
      <c r="E68" t="s">
        <v>36</v>
      </c>
      <c r="F68" t="s">
        <v>37</v>
      </c>
      <c r="G68">
        <v>12</v>
      </c>
      <c r="H68">
        <v>7</v>
      </c>
      <c r="I68">
        <v>6</v>
      </c>
      <c r="J68" t="s">
        <v>34</v>
      </c>
      <c r="K68" t="s">
        <v>24</v>
      </c>
      <c r="L68">
        <v>51</v>
      </c>
      <c r="M68">
        <v>107.449</v>
      </c>
      <c r="N68">
        <v>109.708394</v>
      </c>
      <c r="O68">
        <v>37.847999999999999</v>
      </c>
      <c r="P68">
        <v>43.281999999999996</v>
      </c>
      <c r="Q68">
        <v>25.631</v>
      </c>
      <c r="R68" t="s">
        <v>112</v>
      </c>
      <c r="S68" t="s">
        <v>83</v>
      </c>
      <c r="T68">
        <f>IF(TRIM(Table1[[#This Row],[PitStopLaps]])="",0,
LEN(Table1[[#This Row],[PitStopLaps]])-LEN(SUBSTITUTE(Table1[[#This Row],[PitStopLaps]],",",""))+1)</f>
        <v>2</v>
      </c>
      <c r="U68">
        <f>Table1[[#This Row],[StartPosition]]-Table1[[#This Row],[FinishPosition]]</f>
        <v>5</v>
      </c>
    </row>
    <row r="69" spans="1:21" x14ac:dyDescent="0.3">
      <c r="A69">
        <v>2018</v>
      </c>
      <c r="B69">
        <v>4</v>
      </c>
      <c r="C69" t="s">
        <v>111</v>
      </c>
      <c r="D69" t="s">
        <v>58</v>
      </c>
      <c r="E69" t="s">
        <v>59</v>
      </c>
      <c r="F69" t="s">
        <v>60</v>
      </c>
      <c r="G69">
        <v>10</v>
      </c>
      <c r="H69">
        <v>8</v>
      </c>
      <c r="I69">
        <v>4</v>
      </c>
      <c r="J69" t="s">
        <v>34</v>
      </c>
      <c r="K69" t="s">
        <v>24</v>
      </c>
      <c r="L69">
        <v>51</v>
      </c>
      <c r="M69">
        <v>106.815</v>
      </c>
      <c r="N69">
        <v>109.014777</v>
      </c>
      <c r="O69">
        <v>37.779000000000003</v>
      </c>
      <c r="P69">
        <v>42.994</v>
      </c>
      <c r="Q69">
        <v>25.222999999999999</v>
      </c>
      <c r="R69" t="s">
        <v>117</v>
      </c>
      <c r="S69" t="s">
        <v>83</v>
      </c>
      <c r="T69">
        <f>IF(TRIM(Table1[[#This Row],[PitStopLaps]])="",0,
LEN(Table1[[#This Row],[PitStopLaps]])-LEN(SUBSTITUTE(Table1[[#This Row],[PitStopLaps]],",",""))+1)</f>
        <v>2</v>
      </c>
      <c r="U69">
        <f>Table1[[#This Row],[StartPosition]]-Table1[[#This Row],[FinishPosition]]</f>
        <v>2</v>
      </c>
    </row>
    <row r="70" spans="1:21" x14ac:dyDescent="0.3">
      <c r="A70">
        <v>2018</v>
      </c>
      <c r="B70">
        <v>4</v>
      </c>
      <c r="C70" t="s">
        <v>111</v>
      </c>
      <c r="D70" t="s">
        <v>45</v>
      </c>
      <c r="E70" t="s">
        <v>46</v>
      </c>
      <c r="F70" t="s">
        <v>37</v>
      </c>
      <c r="G70">
        <v>16</v>
      </c>
      <c r="H70">
        <v>9</v>
      </c>
      <c r="I70">
        <v>2</v>
      </c>
      <c r="J70" t="s">
        <v>34</v>
      </c>
      <c r="K70" t="s">
        <v>24</v>
      </c>
      <c r="L70">
        <v>51</v>
      </c>
      <c r="M70">
        <v>107.666</v>
      </c>
      <c r="N70">
        <v>110.52072699999999</v>
      </c>
      <c r="O70">
        <v>38.064999999999998</v>
      </c>
      <c r="P70">
        <v>43.351999999999997</v>
      </c>
      <c r="Q70">
        <v>25.818999999999999</v>
      </c>
      <c r="R70" t="s">
        <v>118</v>
      </c>
      <c r="S70" t="s">
        <v>83</v>
      </c>
      <c r="T70">
        <f>IF(TRIM(Table1[[#This Row],[PitStopLaps]])="",0,
LEN(Table1[[#This Row],[PitStopLaps]])-LEN(SUBSTITUTE(Table1[[#This Row],[PitStopLaps]],",",""))+1)</f>
        <v>4</v>
      </c>
      <c r="U70">
        <f>Table1[[#This Row],[StartPosition]]-Table1[[#This Row],[FinishPosition]]</f>
        <v>7</v>
      </c>
    </row>
    <row r="71" spans="1:21" x14ac:dyDescent="0.3">
      <c r="A71">
        <v>2018</v>
      </c>
      <c r="B71">
        <v>4</v>
      </c>
      <c r="C71" t="s">
        <v>111</v>
      </c>
      <c r="D71" t="s">
        <v>62</v>
      </c>
      <c r="E71" t="s">
        <v>63</v>
      </c>
      <c r="F71" t="s">
        <v>64</v>
      </c>
      <c r="G71">
        <v>19</v>
      </c>
      <c r="H71">
        <v>10</v>
      </c>
      <c r="I71">
        <v>1</v>
      </c>
      <c r="J71" t="s">
        <v>34</v>
      </c>
      <c r="K71" t="s">
        <v>24</v>
      </c>
      <c r="L71">
        <v>51</v>
      </c>
      <c r="M71">
        <v>108.288</v>
      </c>
      <c r="N71">
        <v>110.755411</v>
      </c>
      <c r="O71">
        <v>37.982999999999997</v>
      </c>
      <c r="P71">
        <v>43.555</v>
      </c>
      <c r="Q71">
        <v>25.876000000000001</v>
      </c>
      <c r="R71" t="s">
        <v>119</v>
      </c>
      <c r="S71" t="s">
        <v>83</v>
      </c>
      <c r="T71">
        <f>IF(TRIM(Table1[[#This Row],[PitStopLaps]])="",0,
LEN(Table1[[#This Row],[PitStopLaps]])-LEN(SUBSTITUTE(Table1[[#This Row],[PitStopLaps]],",",""))+1)</f>
        <v>3</v>
      </c>
      <c r="U71">
        <f>Table1[[#This Row],[StartPosition]]-Table1[[#This Row],[FinishPosition]]</f>
        <v>9</v>
      </c>
    </row>
    <row r="72" spans="1:21" x14ac:dyDescent="0.3">
      <c r="A72">
        <v>2018</v>
      </c>
      <c r="B72">
        <v>4</v>
      </c>
      <c r="C72" t="s">
        <v>111</v>
      </c>
      <c r="D72" t="s">
        <v>76</v>
      </c>
      <c r="E72" t="s">
        <v>77</v>
      </c>
      <c r="F72" t="s">
        <v>56</v>
      </c>
      <c r="G72">
        <v>18</v>
      </c>
      <c r="H72">
        <v>11</v>
      </c>
      <c r="I72">
        <v>0</v>
      </c>
      <c r="J72" t="s">
        <v>34</v>
      </c>
      <c r="K72" t="s">
        <v>24</v>
      </c>
      <c r="L72">
        <v>51</v>
      </c>
      <c r="M72">
        <v>107.925</v>
      </c>
      <c r="N72">
        <v>110.945187</v>
      </c>
      <c r="O72">
        <v>38.298000000000002</v>
      </c>
      <c r="P72">
        <v>43.798999999999999</v>
      </c>
      <c r="Q72">
        <v>25.75</v>
      </c>
      <c r="R72" t="s">
        <v>120</v>
      </c>
      <c r="S72" t="s">
        <v>83</v>
      </c>
      <c r="T72">
        <f>IF(TRIM(Table1[[#This Row],[PitStopLaps]])="",0,
LEN(Table1[[#This Row],[PitStopLaps]])-LEN(SUBSTITUTE(Table1[[#This Row],[PitStopLaps]],",",""))+1)</f>
        <v>4</v>
      </c>
      <c r="U72">
        <f>Table1[[#This Row],[StartPosition]]-Table1[[#This Row],[FinishPosition]]</f>
        <v>7</v>
      </c>
    </row>
    <row r="73" spans="1:21" x14ac:dyDescent="0.3">
      <c r="A73">
        <v>2018</v>
      </c>
      <c r="B73">
        <v>4</v>
      </c>
      <c r="C73" t="s">
        <v>111</v>
      </c>
      <c r="D73" t="s">
        <v>73</v>
      </c>
      <c r="E73" t="s">
        <v>74</v>
      </c>
      <c r="F73" t="s">
        <v>64</v>
      </c>
      <c r="G73">
        <v>17</v>
      </c>
      <c r="H73">
        <v>12</v>
      </c>
      <c r="I73">
        <v>0</v>
      </c>
      <c r="J73" t="s">
        <v>34</v>
      </c>
      <c r="K73" t="s">
        <v>24</v>
      </c>
      <c r="L73">
        <v>51</v>
      </c>
      <c r="M73">
        <v>108.035</v>
      </c>
      <c r="N73">
        <v>110.78322799999999</v>
      </c>
      <c r="O73">
        <v>38.009</v>
      </c>
      <c r="P73">
        <v>43.292999999999999</v>
      </c>
      <c r="Q73">
        <v>26.408000000000001</v>
      </c>
      <c r="R73" t="s">
        <v>121</v>
      </c>
      <c r="S73" t="s">
        <v>83</v>
      </c>
      <c r="T73">
        <f>IF(TRIM(Table1[[#This Row],[PitStopLaps]])="",0,
LEN(Table1[[#This Row],[PitStopLaps]])-LEN(SUBSTITUTE(Table1[[#This Row],[PitStopLaps]],",",""))+1)</f>
        <v>2</v>
      </c>
      <c r="U73">
        <f>Table1[[#This Row],[StartPosition]]-Table1[[#This Row],[FinishPosition]]</f>
        <v>5</v>
      </c>
    </row>
    <row r="74" spans="1:21" x14ac:dyDescent="0.3">
      <c r="A74">
        <v>2018</v>
      </c>
      <c r="B74">
        <v>4</v>
      </c>
      <c r="C74" t="s">
        <v>111</v>
      </c>
      <c r="D74" t="s">
        <v>71</v>
      </c>
      <c r="E74" t="s">
        <v>72</v>
      </c>
      <c r="F74" t="s">
        <v>69</v>
      </c>
      <c r="G74">
        <v>15</v>
      </c>
      <c r="H74">
        <v>13</v>
      </c>
      <c r="I74">
        <v>0</v>
      </c>
      <c r="J74" t="s">
        <v>34</v>
      </c>
      <c r="K74" t="s">
        <v>24</v>
      </c>
      <c r="L74">
        <v>51</v>
      </c>
      <c r="M74">
        <v>108.155</v>
      </c>
      <c r="N74">
        <v>111.04555499999999</v>
      </c>
      <c r="O74">
        <v>37.851999999999997</v>
      </c>
      <c r="P74">
        <v>43.606000000000002</v>
      </c>
      <c r="Q74">
        <v>26.097000000000001</v>
      </c>
      <c r="R74" t="s">
        <v>122</v>
      </c>
      <c r="S74" t="s">
        <v>83</v>
      </c>
      <c r="T74">
        <f>IF(TRIM(Table1[[#This Row],[PitStopLaps]])="",0,
LEN(Table1[[#This Row],[PitStopLaps]])-LEN(SUBSTITUTE(Table1[[#This Row],[PitStopLaps]],",",""))+1)</f>
        <v>2</v>
      </c>
      <c r="U74">
        <f>Table1[[#This Row],[StartPosition]]-Table1[[#This Row],[FinishPosition]]</f>
        <v>2</v>
      </c>
    </row>
    <row r="75" spans="1:21" x14ac:dyDescent="0.3">
      <c r="A75">
        <v>2018</v>
      </c>
      <c r="B75">
        <v>4</v>
      </c>
      <c r="C75" t="s">
        <v>111</v>
      </c>
      <c r="D75" t="s">
        <v>43</v>
      </c>
      <c r="E75" t="s">
        <v>44</v>
      </c>
      <c r="F75" t="s">
        <v>28</v>
      </c>
      <c r="G75">
        <v>3</v>
      </c>
      <c r="H75">
        <v>14</v>
      </c>
      <c r="I75">
        <v>0</v>
      </c>
      <c r="J75" t="s">
        <v>34</v>
      </c>
      <c r="K75" t="s">
        <v>98</v>
      </c>
      <c r="L75">
        <v>49</v>
      </c>
      <c r="M75">
        <v>105.149</v>
      </c>
      <c r="N75">
        <v>107.11051399999999</v>
      </c>
      <c r="O75">
        <v>36.994999999999997</v>
      </c>
      <c r="P75">
        <v>42.390999999999998</v>
      </c>
      <c r="Q75">
        <v>25.593</v>
      </c>
      <c r="R75">
        <v>40</v>
      </c>
      <c r="S75" t="s">
        <v>83</v>
      </c>
      <c r="T75">
        <f>IF(TRIM(Table1[[#This Row],[PitStopLaps]])="",0,
LEN(Table1[[#This Row],[PitStopLaps]])-LEN(SUBSTITUTE(Table1[[#This Row],[PitStopLaps]],",",""))+1)</f>
        <v>1</v>
      </c>
      <c r="U75">
        <f>Table1[[#This Row],[StartPosition]]-Table1[[#This Row],[FinishPosition]]</f>
        <v>-11</v>
      </c>
    </row>
    <row r="76" spans="1:21" x14ac:dyDescent="0.3">
      <c r="A76">
        <v>2018</v>
      </c>
      <c r="B76">
        <v>4</v>
      </c>
      <c r="C76" t="s">
        <v>111</v>
      </c>
      <c r="D76" t="s">
        <v>67</v>
      </c>
      <c r="E76" t="s">
        <v>68</v>
      </c>
      <c r="F76" t="s">
        <v>69</v>
      </c>
      <c r="G76">
        <v>20</v>
      </c>
      <c r="H76">
        <v>15</v>
      </c>
      <c r="I76">
        <v>0</v>
      </c>
      <c r="J76" t="s">
        <v>34</v>
      </c>
      <c r="K76" t="s">
        <v>123</v>
      </c>
      <c r="L76">
        <v>43</v>
      </c>
      <c r="M76">
        <v>106.88</v>
      </c>
      <c r="N76">
        <v>109.019882</v>
      </c>
      <c r="O76">
        <v>37.847000000000001</v>
      </c>
      <c r="P76">
        <v>42.997999999999998</v>
      </c>
      <c r="Q76">
        <v>25.722000000000001</v>
      </c>
      <c r="R76" t="s">
        <v>113</v>
      </c>
      <c r="S76" t="s">
        <v>83</v>
      </c>
      <c r="T76">
        <f>IF(TRIM(Table1[[#This Row],[PitStopLaps]])="",0,
LEN(Table1[[#This Row],[PitStopLaps]])-LEN(SUBSTITUTE(Table1[[#This Row],[PitStopLaps]],",",""))+1)</f>
        <v>2</v>
      </c>
      <c r="U76">
        <f>Table1[[#This Row],[StartPosition]]-Table1[[#This Row],[FinishPosition]]</f>
        <v>5</v>
      </c>
    </row>
    <row r="77" spans="1:21" x14ac:dyDescent="0.3">
      <c r="A77">
        <v>2018</v>
      </c>
      <c r="B77">
        <v>4</v>
      </c>
      <c r="C77" t="s">
        <v>111</v>
      </c>
      <c r="D77" t="s">
        <v>38</v>
      </c>
      <c r="E77" t="s">
        <v>39</v>
      </c>
      <c r="F77" t="s">
        <v>33</v>
      </c>
      <c r="G77">
        <v>5</v>
      </c>
      <c r="H77">
        <v>16</v>
      </c>
      <c r="I77">
        <v>0</v>
      </c>
      <c r="J77" t="s">
        <v>34</v>
      </c>
      <c r="K77" t="s">
        <v>124</v>
      </c>
      <c r="L77">
        <v>40</v>
      </c>
      <c r="M77">
        <v>105.771</v>
      </c>
      <c r="N77">
        <v>108.010312</v>
      </c>
      <c r="O77">
        <v>37.51</v>
      </c>
      <c r="P77">
        <v>42.317</v>
      </c>
      <c r="Q77">
        <v>25.606000000000002</v>
      </c>
      <c r="R77">
        <v>38</v>
      </c>
      <c r="S77" t="s">
        <v>83</v>
      </c>
      <c r="T77">
        <f>IF(TRIM(Table1[[#This Row],[PitStopLaps]])="",0,
LEN(Table1[[#This Row],[PitStopLaps]])-LEN(SUBSTITUTE(Table1[[#This Row],[PitStopLaps]],",",""))+1)</f>
        <v>1</v>
      </c>
      <c r="U77">
        <f>Table1[[#This Row],[StartPosition]]-Table1[[#This Row],[FinishPosition]]</f>
        <v>-11</v>
      </c>
    </row>
    <row r="78" spans="1:21" x14ac:dyDescent="0.3">
      <c r="A78">
        <v>2018</v>
      </c>
      <c r="B78">
        <v>4</v>
      </c>
      <c r="C78" t="s">
        <v>111</v>
      </c>
      <c r="D78" t="s">
        <v>31</v>
      </c>
      <c r="E78" t="s">
        <v>32</v>
      </c>
      <c r="F78" t="s">
        <v>33</v>
      </c>
      <c r="G78">
        <v>4</v>
      </c>
      <c r="H78">
        <v>17</v>
      </c>
      <c r="I78">
        <v>0</v>
      </c>
      <c r="J78" t="s">
        <v>34</v>
      </c>
      <c r="K78" t="s">
        <v>124</v>
      </c>
      <c r="L78">
        <v>40</v>
      </c>
      <c r="M78">
        <v>105.419</v>
      </c>
      <c r="N78">
        <v>107.958406</v>
      </c>
      <c r="O78">
        <v>37.42</v>
      </c>
      <c r="P78">
        <v>42.38</v>
      </c>
      <c r="Q78">
        <v>25.158000000000001</v>
      </c>
      <c r="R78">
        <v>37</v>
      </c>
      <c r="S78" t="s">
        <v>83</v>
      </c>
      <c r="T78">
        <f>IF(TRIM(Table1[[#This Row],[PitStopLaps]])="",0,
LEN(Table1[[#This Row],[PitStopLaps]])-LEN(SUBSTITUTE(Table1[[#This Row],[PitStopLaps]],",",""))+1)</f>
        <v>1</v>
      </c>
      <c r="U78">
        <f>Table1[[#This Row],[StartPosition]]-Table1[[#This Row],[FinishPosition]]</f>
        <v>-13</v>
      </c>
    </row>
    <row r="79" spans="1:21" x14ac:dyDescent="0.3">
      <c r="A79">
        <v>2018</v>
      </c>
      <c r="B79">
        <v>4</v>
      </c>
      <c r="C79" t="s">
        <v>111</v>
      </c>
      <c r="D79" t="s">
        <v>40</v>
      </c>
      <c r="E79" t="s">
        <v>41</v>
      </c>
      <c r="F79" t="s">
        <v>42</v>
      </c>
      <c r="G79">
        <v>14</v>
      </c>
      <c r="H79">
        <v>18</v>
      </c>
      <c r="I79">
        <v>0</v>
      </c>
      <c r="J79" t="s">
        <v>34</v>
      </c>
      <c r="K79" t="s">
        <v>123</v>
      </c>
      <c r="L79">
        <v>11</v>
      </c>
      <c r="M79">
        <v>108.867</v>
      </c>
      <c r="N79">
        <v>111.7814</v>
      </c>
      <c r="O79">
        <v>38.639000000000003</v>
      </c>
      <c r="P79">
        <v>43.927</v>
      </c>
      <c r="Q79">
        <v>25.201000000000001</v>
      </c>
      <c r="S79" t="s">
        <v>83</v>
      </c>
      <c r="T79">
        <f>IF(TRIM(Table1[[#This Row],[PitStopLaps]])="",0,
LEN(Table1[[#This Row],[PitStopLaps]])-LEN(SUBSTITUTE(Table1[[#This Row],[PitStopLaps]],",",""))+1)</f>
        <v>0</v>
      </c>
      <c r="U79">
        <f>Table1[[#This Row],[StartPosition]]-Table1[[#This Row],[FinishPosition]]</f>
        <v>-4</v>
      </c>
    </row>
    <row r="80" spans="1:21" x14ac:dyDescent="0.3">
      <c r="A80">
        <v>2018</v>
      </c>
      <c r="B80">
        <v>4</v>
      </c>
      <c r="C80" t="s">
        <v>111</v>
      </c>
      <c r="D80" t="s">
        <v>52</v>
      </c>
      <c r="E80" t="s">
        <v>53</v>
      </c>
      <c r="F80" t="s">
        <v>51</v>
      </c>
      <c r="G80">
        <v>7</v>
      </c>
      <c r="H80">
        <v>19</v>
      </c>
      <c r="I80">
        <v>0</v>
      </c>
      <c r="J80" t="s">
        <v>34</v>
      </c>
      <c r="K80" t="s">
        <v>124</v>
      </c>
      <c r="L80">
        <v>1</v>
      </c>
      <c r="S80" t="s">
        <v>83</v>
      </c>
      <c r="T80">
        <f>IF(TRIM(Table1[[#This Row],[PitStopLaps]])="",0,
LEN(Table1[[#This Row],[PitStopLaps]])-LEN(SUBSTITUTE(Table1[[#This Row],[PitStopLaps]],",",""))+1)</f>
        <v>0</v>
      </c>
      <c r="U80">
        <f>Table1[[#This Row],[StartPosition]]-Table1[[#This Row],[FinishPosition]]</f>
        <v>-12</v>
      </c>
    </row>
    <row r="81" spans="1:21" x14ac:dyDescent="0.3">
      <c r="A81">
        <v>2018</v>
      </c>
      <c r="B81">
        <v>4</v>
      </c>
      <c r="C81" t="s">
        <v>111</v>
      </c>
      <c r="D81" t="s">
        <v>79</v>
      </c>
      <c r="E81" t="s">
        <v>80</v>
      </c>
      <c r="F81" t="s">
        <v>60</v>
      </c>
      <c r="G81">
        <v>11</v>
      </c>
      <c r="H81">
        <v>20</v>
      </c>
      <c r="I81">
        <v>0</v>
      </c>
      <c r="J81" t="s">
        <v>34</v>
      </c>
      <c r="K81" t="s">
        <v>124</v>
      </c>
      <c r="L81">
        <v>1</v>
      </c>
      <c r="S81" t="s">
        <v>83</v>
      </c>
      <c r="T81">
        <f>IF(TRIM(Table1[[#This Row],[PitStopLaps]])="",0,
LEN(Table1[[#This Row],[PitStopLaps]])-LEN(SUBSTITUTE(Table1[[#This Row],[PitStopLaps]],",",""))+1)</f>
        <v>0</v>
      </c>
      <c r="U81">
        <f>Table1[[#This Row],[StartPosition]]-Table1[[#This Row],[FinishPosition]]</f>
        <v>-9</v>
      </c>
    </row>
    <row r="82" spans="1:21" x14ac:dyDescent="0.3">
      <c r="A82">
        <v>2018</v>
      </c>
      <c r="B82">
        <v>5</v>
      </c>
      <c r="C82" t="s">
        <v>125</v>
      </c>
      <c r="D82" t="s">
        <v>26</v>
      </c>
      <c r="E82" t="s">
        <v>27</v>
      </c>
      <c r="F82" t="s">
        <v>28</v>
      </c>
      <c r="G82">
        <v>1</v>
      </c>
      <c r="H82">
        <v>1</v>
      </c>
      <c r="I82">
        <v>25</v>
      </c>
      <c r="J82" t="s">
        <v>23</v>
      </c>
      <c r="K82" t="s">
        <v>24</v>
      </c>
      <c r="L82">
        <v>66</v>
      </c>
      <c r="M82">
        <v>79.132999999999996</v>
      </c>
      <c r="N82">
        <v>80.728836000000001</v>
      </c>
      <c r="O82">
        <v>22.422999999999998</v>
      </c>
      <c r="P82">
        <v>29.597999999999999</v>
      </c>
      <c r="Q82">
        <v>26.852</v>
      </c>
      <c r="R82">
        <v>25</v>
      </c>
      <c r="S82" t="s">
        <v>25</v>
      </c>
      <c r="T82">
        <f>IF(TRIM(Table1[[#This Row],[PitStopLaps]])="",0,
LEN(Table1[[#This Row],[PitStopLaps]])-LEN(SUBSTITUTE(Table1[[#This Row],[PitStopLaps]],",",""))+1)</f>
        <v>1</v>
      </c>
      <c r="U82">
        <f>Table1[[#This Row],[StartPosition]]-Table1[[#This Row],[FinishPosition]]</f>
        <v>0</v>
      </c>
    </row>
    <row r="83" spans="1:21" x14ac:dyDescent="0.3">
      <c r="A83">
        <v>2018</v>
      </c>
      <c r="B83">
        <v>5</v>
      </c>
      <c r="C83" t="s">
        <v>125</v>
      </c>
      <c r="D83" t="s">
        <v>43</v>
      </c>
      <c r="E83" t="s">
        <v>44</v>
      </c>
      <c r="F83" t="s">
        <v>28</v>
      </c>
      <c r="G83">
        <v>2</v>
      </c>
      <c r="H83">
        <v>2</v>
      </c>
      <c r="I83">
        <v>18</v>
      </c>
      <c r="J83" t="s">
        <v>23</v>
      </c>
      <c r="K83" t="s">
        <v>24</v>
      </c>
      <c r="L83">
        <v>66</v>
      </c>
      <c r="M83">
        <v>79.477999999999994</v>
      </c>
      <c r="N83">
        <v>81.054034999999999</v>
      </c>
      <c r="O83">
        <v>22.178999999999998</v>
      </c>
      <c r="P83">
        <v>29.587</v>
      </c>
      <c r="Q83">
        <v>27.187000000000001</v>
      </c>
      <c r="R83">
        <v>19</v>
      </c>
      <c r="S83" t="s">
        <v>25</v>
      </c>
      <c r="T83">
        <f>IF(TRIM(Table1[[#This Row],[PitStopLaps]])="",0,
LEN(Table1[[#This Row],[PitStopLaps]])-LEN(SUBSTITUTE(Table1[[#This Row],[PitStopLaps]],",",""))+1)</f>
        <v>1</v>
      </c>
      <c r="U83">
        <f>Table1[[#This Row],[StartPosition]]-Table1[[#This Row],[FinishPosition]]</f>
        <v>0</v>
      </c>
    </row>
    <row r="84" spans="1:21" x14ac:dyDescent="0.3">
      <c r="A84">
        <v>2018</v>
      </c>
      <c r="B84">
        <v>5</v>
      </c>
      <c r="C84" t="s">
        <v>125</v>
      </c>
      <c r="D84" t="s">
        <v>38</v>
      </c>
      <c r="E84" t="s">
        <v>39</v>
      </c>
      <c r="F84" t="s">
        <v>33</v>
      </c>
      <c r="G84">
        <v>5</v>
      </c>
      <c r="H84">
        <v>3</v>
      </c>
      <c r="I84">
        <v>15</v>
      </c>
      <c r="J84" t="s">
        <v>23</v>
      </c>
      <c r="K84" t="s">
        <v>24</v>
      </c>
      <c r="L84">
        <v>66</v>
      </c>
      <c r="M84">
        <v>79.421999999999997</v>
      </c>
      <c r="N84">
        <v>81.135409999999993</v>
      </c>
      <c r="O84">
        <v>22.497</v>
      </c>
      <c r="P84">
        <v>29.76</v>
      </c>
      <c r="Q84">
        <v>26.84</v>
      </c>
      <c r="R84">
        <v>34</v>
      </c>
      <c r="S84" t="s">
        <v>25</v>
      </c>
      <c r="T84">
        <f>IF(TRIM(Table1[[#This Row],[PitStopLaps]])="",0,
LEN(Table1[[#This Row],[PitStopLaps]])-LEN(SUBSTITUTE(Table1[[#This Row],[PitStopLaps]],",",""))+1)</f>
        <v>1</v>
      </c>
      <c r="U84">
        <f>Table1[[#This Row],[StartPosition]]-Table1[[#This Row],[FinishPosition]]</f>
        <v>2</v>
      </c>
    </row>
    <row r="85" spans="1:21" x14ac:dyDescent="0.3">
      <c r="A85">
        <v>2018</v>
      </c>
      <c r="B85">
        <v>5</v>
      </c>
      <c r="C85" t="s">
        <v>125</v>
      </c>
      <c r="D85" t="s">
        <v>20</v>
      </c>
      <c r="E85" t="s">
        <v>21</v>
      </c>
      <c r="F85" t="s">
        <v>22</v>
      </c>
      <c r="G85">
        <v>3</v>
      </c>
      <c r="H85">
        <v>4</v>
      </c>
      <c r="I85">
        <v>12</v>
      </c>
      <c r="J85" t="s">
        <v>34</v>
      </c>
      <c r="K85" t="s">
        <v>24</v>
      </c>
      <c r="L85">
        <v>66</v>
      </c>
      <c r="M85">
        <v>79.128</v>
      </c>
      <c r="N85">
        <v>80.953214000000003</v>
      </c>
      <c r="O85">
        <v>22.167000000000002</v>
      </c>
      <c r="P85">
        <v>29.452999999999999</v>
      </c>
      <c r="Q85">
        <v>27.172000000000001</v>
      </c>
      <c r="R85" t="s">
        <v>126</v>
      </c>
      <c r="S85" t="s">
        <v>25</v>
      </c>
      <c r="T85">
        <f>IF(TRIM(Table1[[#This Row],[PitStopLaps]])="",0,
LEN(Table1[[#This Row],[PitStopLaps]])-LEN(SUBSTITUTE(Table1[[#This Row],[PitStopLaps]],",",""))+1)</f>
        <v>2</v>
      </c>
      <c r="U85">
        <f>Table1[[#This Row],[StartPosition]]-Table1[[#This Row],[FinishPosition]]</f>
        <v>-1</v>
      </c>
    </row>
    <row r="86" spans="1:21" x14ac:dyDescent="0.3">
      <c r="A86">
        <v>2018</v>
      </c>
      <c r="B86">
        <v>5</v>
      </c>
      <c r="C86" t="s">
        <v>125</v>
      </c>
      <c r="D86" t="s">
        <v>31</v>
      </c>
      <c r="E86" t="s">
        <v>32</v>
      </c>
      <c r="F86" t="s">
        <v>33</v>
      </c>
      <c r="G86">
        <v>6</v>
      </c>
      <c r="H86">
        <v>5</v>
      </c>
      <c r="I86">
        <v>10</v>
      </c>
      <c r="J86" t="s">
        <v>34</v>
      </c>
      <c r="K86" t="s">
        <v>24</v>
      </c>
      <c r="L86">
        <v>66</v>
      </c>
      <c r="M86">
        <v>78.441000000000003</v>
      </c>
      <c r="N86">
        <v>81.373490000000004</v>
      </c>
      <c r="O86">
        <v>22.111000000000001</v>
      </c>
      <c r="P86">
        <v>29.486000000000001</v>
      </c>
      <c r="Q86">
        <v>26.788</v>
      </c>
      <c r="R86">
        <v>33</v>
      </c>
      <c r="S86" t="s">
        <v>25</v>
      </c>
      <c r="T86">
        <f>IF(TRIM(Table1[[#This Row],[PitStopLaps]])="",0,
LEN(Table1[[#This Row],[PitStopLaps]])-LEN(SUBSTITUTE(Table1[[#This Row],[PitStopLaps]],",",""))+1)</f>
        <v>1</v>
      </c>
      <c r="U86">
        <f>Table1[[#This Row],[StartPosition]]-Table1[[#This Row],[FinishPosition]]</f>
        <v>1</v>
      </c>
    </row>
    <row r="87" spans="1:21" x14ac:dyDescent="0.3">
      <c r="A87">
        <v>2018</v>
      </c>
      <c r="B87">
        <v>5</v>
      </c>
      <c r="C87" t="s">
        <v>125</v>
      </c>
      <c r="D87" t="s">
        <v>71</v>
      </c>
      <c r="E87" t="s">
        <v>72</v>
      </c>
      <c r="F87" t="s">
        <v>69</v>
      </c>
      <c r="G87">
        <v>7</v>
      </c>
      <c r="H87">
        <v>6</v>
      </c>
      <c r="I87">
        <v>8</v>
      </c>
      <c r="J87" t="s">
        <v>34</v>
      </c>
      <c r="K87" t="s">
        <v>65</v>
      </c>
      <c r="L87">
        <v>65</v>
      </c>
      <c r="M87">
        <v>80.245999999999995</v>
      </c>
      <c r="N87">
        <v>82.369980999999996</v>
      </c>
      <c r="O87">
        <v>22.716999999999999</v>
      </c>
      <c r="P87">
        <v>30.001000000000001</v>
      </c>
      <c r="Q87">
        <v>27.42</v>
      </c>
      <c r="R87">
        <v>32</v>
      </c>
      <c r="S87" t="s">
        <v>25</v>
      </c>
      <c r="T87">
        <f>IF(TRIM(Table1[[#This Row],[PitStopLaps]])="",0,
LEN(Table1[[#This Row],[PitStopLaps]])-LEN(SUBSTITUTE(Table1[[#This Row],[PitStopLaps]],",",""))+1)</f>
        <v>1</v>
      </c>
      <c r="U87">
        <f>Table1[[#This Row],[StartPosition]]-Table1[[#This Row],[FinishPosition]]</f>
        <v>1</v>
      </c>
    </row>
    <row r="88" spans="1:21" x14ac:dyDescent="0.3">
      <c r="A88">
        <v>2018</v>
      </c>
      <c r="B88">
        <v>5</v>
      </c>
      <c r="C88" t="s">
        <v>125</v>
      </c>
      <c r="D88" t="s">
        <v>47</v>
      </c>
      <c r="E88" t="s">
        <v>48</v>
      </c>
      <c r="F88" t="s">
        <v>42</v>
      </c>
      <c r="G88">
        <v>9</v>
      </c>
      <c r="H88">
        <v>7</v>
      </c>
      <c r="I88">
        <v>6</v>
      </c>
      <c r="J88" t="s">
        <v>34</v>
      </c>
      <c r="K88" t="s">
        <v>65</v>
      </c>
      <c r="L88">
        <v>65</v>
      </c>
      <c r="M88">
        <v>81.323999999999998</v>
      </c>
      <c r="N88">
        <v>83.019907000000003</v>
      </c>
      <c r="O88">
        <v>23.236000000000001</v>
      </c>
      <c r="P88">
        <v>30.233000000000001</v>
      </c>
      <c r="Q88">
        <v>27.489000000000001</v>
      </c>
      <c r="R88">
        <v>25</v>
      </c>
      <c r="S88" t="s">
        <v>25</v>
      </c>
      <c r="T88">
        <f>IF(TRIM(Table1[[#This Row],[PitStopLaps]])="",0,
LEN(Table1[[#This Row],[PitStopLaps]])-LEN(SUBSTITUTE(Table1[[#This Row],[PitStopLaps]],",",""))+1)</f>
        <v>1</v>
      </c>
      <c r="U88">
        <f>Table1[[#This Row],[StartPosition]]-Table1[[#This Row],[FinishPosition]]</f>
        <v>2</v>
      </c>
    </row>
    <row r="89" spans="1:21" x14ac:dyDescent="0.3">
      <c r="A89">
        <v>2018</v>
      </c>
      <c r="B89">
        <v>5</v>
      </c>
      <c r="C89" t="s">
        <v>125</v>
      </c>
      <c r="D89" t="s">
        <v>35</v>
      </c>
      <c r="E89" t="s">
        <v>36</v>
      </c>
      <c r="F89" t="s">
        <v>37</v>
      </c>
      <c r="G89">
        <v>8</v>
      </c>
      <c r="H89">
        <v>8</v>
      </c>
      <c r="I89">
        <v>4</v>
      </c>
      <c r="J89" t="s">
        <v>34</v>
      </c>
      <c r="K89" t="s">
        <v>65</v>
      </c>
      <c r="L89">
        <v>65</v>
      </c>
      <c r="M89">
        <v>80.727000000000004</v>
      </c>
      <c r="N89">
        <v>83.113527000000005</v>
      </c>
      <c r="O89">
        <v>22.904</v>
      </c>
      <c r="P89">
        <v>30.027999999999999</v>
      </c>
      <c r="Q89">
        <v>27.613</v>
      </c>
      <c r="R89">
        <v>21</v>
      </c>
      <c r="S89" t="s">
        <v>25</v>
      </c>
      <c r="T89">
        <f>IF(TRIM(Table1[[#This Row],[PitStopLaps]])="",0,
LEN(Table1[[#This Row],[PitStopLaps]])-LEN(SUBSTITUTE(Table1[[#This Row],[PitStopLaps]],",",""))+1)</f>
        <v>1</v>
      </c>
      <c r="U89">
        <f>Table1[[#This Row],[StartPosition]]-Table1[[#This Row],[FinishPosition]]</f>
        <v>0</v>
      </c>
    </row>
    <row r="90" spans="1:21" x14ac:dyDescent="0.3">
      <c r="A90">
        <v>2018</v>
      </c>
      <c r="B90">
        <v>5</v>
      </c>
      <c r="C90" t="s">
        <v>125</v>
      </c>
      <c r="D90" t="s">
        <v>49</v>
      </c>
      <c r="E90" t="s">
        <v>50</v>
      </c>
      <c r="F90" t="s">
        <v>51</v>
      </c>
      <c r="G90">
        <v>15</v>
      </c>
      <c r="H90">
        <v>9</v>
      </c>
      <c r="I90">
        <v>2</v>
      </c>
      <c r="J90" t="s">
        <v>34</v>
      </c>
      <c r="K90" t="s">
        <v>127</v>
      </c>
      <c r="L90">
        <v>64</v>
      </c>
      <c r="M90">
        <v>81.128</v>
      </c>
      <c r="N90">
        <v>83.260666000000001</v>
      </c>
      <c r="O90">
        <v>22.559000000000001</v>
      </c>
      <c r="P90">
        <v>30.515999999999998</v>
      </c>
      <c r="Q90">
        <v>27.715</v>
      </c>
      <c r="R90" t="s">
        <v>128</v>
      </c>
      <c r="S90" t="s">
        <v>25</v>
      </c>
      <c r="T90">
        <f>IF(TRIM(Table1[[#This Row],[PitStopLaps]])="",0,
LEN(Table1[[#This Row],[PitStopLaps]])-LEN(SUBSTITUTE(Table1[[#This Row],[PitStopLaps]],",",""))+1)</f>
        <v>2</v>
      </c>
      <c r="U90">
        <f>Table1[[#This Row],[StartPosition]]-Table1[[#This Row],[FinishPosition]]</f>
        <v>6</v>
      </c>
    </row>
    <row r="91" spans="1:21" x14ac:dyDescent="0.3">
      <c r="A91">
        <v>2018</v>
      </c>
      <c r="B91">
        <v>5</v>
      </c>
      <c r="C91" t="s">
        <v>125</v>
      </c>
      <c r="D91" t="s">
        <v>54</v>
      </c>
      <c r="E91" t="s">
        <v>55</v>
      </c>
      <c r="F91" t="s">
        <v>56</v>
      </c>
      <c r="G91">
        <v>14</v>
      </c>
      <c r="H91">
        <v>10</v>
      </c>
      <c r="I91">
        <v>1</v>
      </c>
      <c r="J91" t="s">
        <v>34</v>
      </c>
      <c r="K91" t="s">
        <v>127</v>
      </c>
      <c r="L91">
        <v>64</v>
      </c>
      <c r="M91">
        <v>82.122</v>
      </c>
      <c r="N91">
        <v>83.663685000000001</v>
      </c>
      <c r="O91">
        <v>23.23</v>
      </c>
      <c r="P91">
        <v>30.762</v>
      </c>
      <c r="Q91">
        <v>27.977</v>
      </c>
      <c r="R91">
        <v>20</v>
      </c>
      <c r="S91" t="s">
        <v>25</v>
      </c>
      <c r="T91">
        <f>IF(TRIM(Table1[[#This Row],[PitStopLaps]])="",0,
LEN(Table1[[#This Row],[PitStopLaps]])-LEN(SUBSTITUTE(Table1[[#This Row],[PitStopLaps]],",",""))+1)</f>
        <v>1</v>
      </c>
      <c r="U91">
        <f>Table1[[#This Row],[StartPosition]]-Table1[[#This Row],[FinishPosition]]</f>
        <v>4</v>
      </c>
    </row>
    <row r="92" spans="1:21" x14ac:dyDescent="0.3">
      <c r="A92">
        <v>2018</v>
      </c>
      <c r="B92">
        <v>5</v>
      </c>
      <c r="C92" t="s">
        <v>125</v>
      </c>
      <c r="D92" t="s">
        <v>58</v>
      </c>
      <c r="E92" t="s">
        <v>59</v>
      </c>
      <c r="F92" t="s">
        <v>60</v>
      </c>
      <c r="G92">
        <v>18</v>
      </c>
      <c r="H92">
        <v>11</v>
      </c>
      <c r="I92">
        <v>0</v>
      </c>
      <c r="J92" t="s">
        <v>34</v>
      </c>
      <c r="K92" t="s">
        <v>127</v>
      </c>
      <c r="L92">
        <v>64</v>
      </c>
      <c r="M92">
        <v>82.094999999999999</v>
      </c>
      <c r="N92">
        <v>83.688129000000004</v>
      </c>
      <c r="O92">
        <v>23.221</v>
      </c>
      <c r="P92">
        <v>30.786999999999999</v>
      </c>
      <c r="Q92">
        <v>27.981999999999999</v>
      </c>
      <c r="R92">
        <v>20</v>
      </c>
      <c r="S92" t="s">
        <v>25</v>
      </c>
      <c r="T92">
        <f>IF(TRIM(Table1[[#This Row],[PitStopLaps]])="",0,
LEN(Table1[[#This Row],[PitStopLaps]])-LEN(SUBSTITUTE(Table1[[#This Row],[PitStopLaps]],",",""))+1)</f>
        <v>1</v>
      </c>
      <c r="U92">
        <f>Table1[[#This Row],[StartPosition]]-Table1[[#This Row],[FinishPosition]]</f>
        <v>7</v>
      </c>
    </row>
    <row r="93" spans="1:21" x14ac:dyDescent="0.3">
      <c r="A93">
        <v>2018</v>
      </c>
      <c r="B93">
        <v>5</v>
      </c>
      <c r="C93" t="s">
        <v>125</v>
      </c>
      <c r="D93" t="s">
        <v>62</v>
      </c>
      <c r="E93" t="s">
        <v>63</v>
      </c>
      <c r="F93" t="s">
        <v>64</v>
      </c>
      <c r="G93">
        <v>20</v>
      </c>
      <c r="H93">
        <v>12</v>
      </c>
      <c r="I93">
        <v>0</v>
      </c>
      <c r="J93" t="s">
        <v>34</v>
      </c>
      <c r="K93" t="s">
        <v>127</v>
      </c>
      <c r="L93">
        <v>64</v>
      </c>
      <c r="M93">
        <v>81.438999999999993</v>
      </c>
      <c r="N93">
        <v>83.688415000000006</v>
      </c>
      <c r="O93">
        <v>23.045999999999999</v>
      </c>
      <c r="P93">
        <v>30.456</v>
      </c>
      <c r="Q93">
        <v>27.867999999999999</v>
      </c>
      <c r="R93" t="s">
        <v>129</v>
      </c>
      <c r="S93" t="s">
        <v>25</v>
      </c>
      <c r="T93">
        <f>IF(TRIM(Table1[[#This Row],[PitStopLaps]])="",0,
LEN(Table1[[#This Row],[PitStopLaps]])-LEN(SUBSTITUTE(Table1[[#This Row],[PitStopLaps]],",",""))+1)</f>
        <v>2</v>
      </c>
      <c r="U93">
        <f>Table1[[#This Row],[StartPosition]]-Table1[[#This Row],[FinishPosition]]</f>
        <v>8</v>
      </c>
    </row>
    <row r="94" spans="1:21" x14ac:dyDescent="0.3">
      <c r="A94">
        <v>2018</v>
      </c>
      <c r="B94">
        <v>5</v>
      </c>
      <c r="C94" t="s">
        <v>125</v>
      </c>
      <c r="D94" t="s">
        <v>76</v>
      </c>
      <c r="E94" t="s">
        <v>77</v>
      </c>
      <c r="F94" t="s">
        <v>56</v>
      </c>
      <c r="G94">
        <v>17</v>
      </c>
      <c r="H94">
        <v>13</v>
      </c>
      <c r="I94">
        <v>0</v>
      </c>
      <c r="J94" t="s">
        <v>34</v>
      </c>
      <c r="K94" t="s">
        <v>127</v>
      </c>
      <c r="L94">
        <v>64</v>
      </c>
      <c r="M94">
        <v>82.486999999999995</v>
      </c>
      <c r="N94">
        <v>83.921132</v>
      </c>
      <c r="O94">
        <v>23.283000000000001</v>
      </c>
      <c r="P94">
        <v>30.751999999999999</v>
      </c>
      <c r="Q94">
        <v>28.201000000000001</v>
      </c>
      <c r="R94">
        <v>35</v>
      </c>
      <c r="S94" t="s">
        <v>25</v>
      </c>
      <c r="T94">
        <f>IF(TRIM(Table1[[#This Row],[PitStopLaps]])="",0,
LEN(Table1[[#This Row],[PitStopLaps]])-LEN(SUBSTITUTE(Table1[[#This Row],[PitStopLaps]],",",""))+1)</f>
        <v>1</v>
      </c>
      <c r="U94">
        <f>Table1[[#This Row],[StartPosition]]-Table1[[#This Row],[FinishPosition]]</f>
        <v>4</v>
      </c>
    </row>
    <row r="95" spans="1:21" x14ac:dyDescent="0.3">
      <c r="A95">
        <v>2018</v>
      </c>
      <c r="B95">
        <v>5</v>
      </c>
      <c r="C95" t="s">
        <v>125</v>
      </c>
      <c r="D95" t="s">
        <v>79</v>
      </c>
      <c r="E95" t="s">
        <v>80</v>
      </c>
      <c r="F95" t="s">
        <v>60</v>
      </c>
      <c r="G95">
        <v>19</v>
      </c>
      <c r="H95">
        <v>14</v>
      </c>
      <c r="I95">
        <v>0</v>
      </c>
      <c r="J95" t="s">
        <v>34</v>
      </c>
      <c r="K95" t="s">
        <v>130</v>
      </c>
      <c r="L95">
        <v>63</v>
      </c>
      <c r="M95">
        <v>82.68</v>
      </c>
      <c r="N95">
        <v>84.412234999999995</v>
      </c>
      <c r="O95">
        <v>23.274999999999999</v>
      </c>
      <c r="P95">
        <v>30.885999999999999</v>
      </c>
      <c r="Q95">
        <v>28.262</v>
      </c>
      <c r="R95" t="s">
        <v>131</v>
      </c>
      <c r="S95" t="s">
        <v>25</v>
      </c>
      <c r="T95">
        <f>IF(TRIM(Table1[[#This Row],[PitStopLaps]])="",0,
LEN(Table1[[#This Row],[PitStopLaps]])-LEN(SUBSTITUTE(Table1[[#This Row],[PitStopLaps]],",",""))+1)</f>
        <v>3</v>
      </c>
      <c r="U95">
        <f>Table1[[#This Row],[StartPosition]]-Table1[[#This Row],[FinishPosition]]</f>
        <v>5</v>
      </c>
    </row>
    <row r="96" spans="1:21" x14ac:dyDescent="0.3">
      <c r="A96">
        <v>2018</v>
      </c>
      <c r="B96">
        <v>5</v>
      </c>
      <c r="C96" t="s">
        <v>125</v>
      </c>
      <c r="D96" t="s">
        <v>45</v>
      </c>
      <c r="E96" t="s">
        <v>46</v>
      </c>
      <c r="F96" t="s">
        <v>37</v>
      </c>
      <c r="G96">
        <v>11</v>
      </c>
      <c r="H96">
        <v>15</v>
      </c>
      <c r="I96">
        <v>0</v>
      </c>
      <c r="J96" t="s">
        <v>34</v>
      </c>
      <c r="K96" t="s">
        <v>132</v>
      </c>
      <c r="L96">
        <v>46</v>
      </c>
      <c r="M96">
        <v>82.593999999999994</v>
      </c>
      <c r="N96">
        <v>84.336646999999999</v>
      </c>
      <c r="O96">
        <v>23.183</v>
      </c>
      <c r="P96">
        <v>30.780999999999999</v>
      </c>
      <c r="Q96">
        <v>28.306000000000001</v>
      </c>
      <c r="R96" t="s">
        <v>133</v>
      </c>
      <c r="S96" t="s">
        <v>25</v>
      </c>
      <c r="T96">
        <f>IF(TRIM(Table1[[#This Row],[PitStopLaps]])="",0,
LEN(Table1[[#This Row],[PitStopLaps]])-LEN(SUBSTITUTE(Table1[[#This Row],[PitStopLaps]],",",""))+1)</f>
        <v>2</v>
      </c>
      <c r="U96">
        <f>Table1[[#This Row],[StartPosition]]-Table1[[#This Row],[FinishPosition]]</f>
        <v>-4</v>
      </c>
    </row>
    <row r="97" spans="1:21" x14ac:dyDescent="0.3">
      <c r="A97">
        <v>2018</v>
      </c>
      <c r="B97">
        <v>5</v>
      </c>
      <c r="C97" t="s">
        <v>125</v>
      </c>
      <c r="D97" t="s">
        <v>52</v>
      </c>
      <c r="E97" t="s">
        <v>53</v>
      </c>
      <c r="F97" t="s">
        <v>51</v>
      </c>
      <c r="G97">
        <v>13</v>
      </c>
      <c r="H97">
        <v>16</v>
      </c>
      <c r="I97">
        <v>0</v>
      </c>
      <c r="J97" t="s">
        <v>34</v>
      </c>
      <c r="K97" t="s">
        <v>134</v>
      </c>
      <c r="L97">
        <v>39</v>
      </c>
      <c r="M97">
        <v>82.117000000000004</v>
      </c>
      <c r="N97">
        <v>83.998500000000007</v>
      </c>
      <c r="O97">
        <v>22.966000000000001</v>
      </c>
      <c r="P97">
        <v>30.974</v>
      </c>
      <c r="Q97">
        <v>27.888999999999999</v>
      </c>
      <c r="R97">
        <v>29</v>
      </c>
      <c r="S97" t="s">
        <v>25</v>
      </c>
      <c r="T97">
        <f>IF(TRIM(Table1[[#This Row],[PitStopLaps]])="",0,
LEN(Table1[[#This Row],[PitStopLaps]])-LEN(SUBSTITUTE(Table1[[#This Row],[PitStopLaps]],",",""))+1)</f>
        <v>1</v>
      </c>
      <c r="U97">
        <f>Table1[[#This Row],[StartPosition]]-Table1[[#This Row],[FinishPosition]]</f>
        <v>-3</v>
      </c>
    </row>
    <row r="98" spans="1:21" x14ac:dyDescent="0.3">
      <c r="A98">
        <v>2018</v>
      </c>
      <c r="B98">
        <v>5</v>
      </c>
      <c r="C98" t="s">
        <v>125</v>
      </c>
      <c r="D98" t="s">
        <v>29</v>
      </c>
      <c r="E98" t="s">
        <v>30</v>
      </c>
      <c r="F98" t="s">
        <v>22</v>
      </c>
      <c r="G98">
        <v>4</v>
      </c>
      <c r="H98">
        <v>17</v>
      </c>
      <c r="I98">
        <v>0</v>
      </c>
      <c r="J98" t="s">
        <v>34</v>
      </c>
      <c r="K98" t="s">
        <v>135</v>
      </c>
      <c r="L98">
        <v>25</v>
      </c>
      <c r="M98">
        <v>81.531000000000006</v>
      </c>
      <c r="N98">
        <v>82.630722000000006</v>
      </c>
      <c r="O98">
        <v>23.201000000000001</v>
      </c>
      <c r="P98">
        <v>30.597999999999999</v>
      </c>
      <c r="Q98">
        <v>27.695</v>
      </c>
      <c r="R98">
        <v>25</v>
      </c>
      <c r="S98" t="s">
        <v>25</v>
      </c>
      <c r="T98">
        <f>IF(TRIM(Table1[[#This Row],[PitStopLaps]])="",0,
LEN(Table1[[#This Row],[PitStopLaps]])-LEN(SUBSTITUTE(Table1[[#This Row],[PitStopLaps]],",",""))+1)</f>
        <v>1</v>
      </c>
      <c r="U98">
        <f>Table1[[#This Row],[StartPosition]]-Table1[[#This Row],[FinishPosition]]</f>
        <v>-13</v>
      </c>
    </row>
    <row r="99" spans="1:21" x14ac:dyDescent="0.3">
      <c r="A99">
        <v>2018</v>
      </c>
      <c r="B99">
        <v>5</v>
      </c>
      <c r="C99" t="s">
        <v>125</v>
      </c>
      <c r="D99" t="s">
        <v>67</v>
      </c>
      <c r="E99" t="s">
        <v>68</v>
      </c>
      <c r="F99" t="s">
        <v>69</v>
      </c>
      <c r="G99">
        <v>10</v>
      </c>
      <c r="H99">
        <v>18</v>
      </c>
      <c r="I99">
        <v>0</v>
      </c>
      <c r="J99" t="s">
        <v>34</v>
      </c>
      <c r="K99" t="s">
        <v>124</v>
      </c>
      <c r="L99">
        <v>1</v>
      </c>
      <c r="S99" t="s">
        <v>25</v>
      </c>
      <c r="T99">
        <f>IF(TRIM(Table1[[#This Row],[PitStopLaps]])="",0,
LEN(Table1[[#This Row],[PitStopLaps]])-LEN(SUBSTITUTE(Table1[[#This Row],[PitStopLaps]],",",""))+1)</f>
        <v>0</v>
      </c>
      <c r="U99">
        <f>Table1[[#This Row],[StartPosition]]-Table1[[#This Row],[FinishPosition]]</f>
        <v>-8</v>
      </c>
    </row>
    <row r="100" spans="1:21" x14ac:dyDescent="0.3">
      <c r="A100">
        <v>2018</v>
      </c>
      <c r="B100">
        <v>5</v>
      </c>
      <c r="C100" t="s">
        <v>125</v>
      </c>
      <c r="D100" t="s">
        <v>73</v>
      </c>
      <c r="E100" t="s">
        <v>74</v>
      </c>
      <c r="F100" t="s">
        <v>64</v>
      </c>
      <c r="G100">
        <v>12</v>
      </c>
      <c r="H100">
        <v>19</v>
      </c>
      <c r="I100">
        <v>0</v>
      </c>
      <c r="J100" t="s">
        <v>34</v>
      </c>
      <c r="K100" t="s">
        <v>124</v>
      </c>
      <c r="L100">
        <v>1</v>
      </c>
      <c r="S100" t="s">
        <v>25</v>
      </c>
      <c r="T100">
        <f>IF(TRIM(Table1[[#This Row],[PitStopLaps]])="",0,
LEN(Table1[[#This Row],[PitStopLaps]])-LEN(SUBSTITUTE(Table1[[#This Row],[PitStopLaps]],",",""))+1)</f>
        <v>0</v>
      </c>
      <c r="U100">
        <f>Table1[[#This Row],[StartPosition]]-Table1[[#This Row],[FinishPosition]]</f>
        <v>-7</v>
      </c>
    </row>
    <row r="101" spans="1:21" x14ac:dyDescent="0.3">
      <c r="A101">
        <v>2018</v>
      </c>
      <c r="B101">
        <v>5</v>
      </c>
      <c r="C101" t="s">
        <v>125</v>
      </c>
      <c r="D101" t="s">
        <v>40</v>
      </c>
      <c r="E101" t="s">
        <v>41</v>
      </c>
      <c r="F101" t="s">
        <v>42</v>
      </c>
      <c r="G101">
        <v>16</v>
      </c>
      <c r="H101">
        <v>20</v>
      </c>
      <c r="I101">
        <v>0</v>
      </c>
      <c r="J101" t="s">
        <v>34</v>
      </c>
      <c r="K101" t="s">
        <v>124</v>
      </c>
      <c r="L101">
        <v>1</v>
      </c>
      <c r="S101" t="s">
        <v>25</v>
      </c>
      <c r="T101">
        <f>IF(TRIM(Table1[[#This Row],[PitStopLaps]])="",0,
LEN(Table1[[#This Row],[PitStopLaps]])-LEN(SUBSTITUTE(Table1[[#This Row],[PitStopLaps]],",",""))+1)</f>
        <v>0</v>
      </c>
      <c r="U101">
        <f>Table1[[#This Row],[StartPosition]]-Table1[[#This Row],[FinishPosition]]</f>
        <v>-4</v>
      </c>
    </row>
    <row r="102" spans="1:21" x14ac:dyDescent="0.3">
      <c r="A102">
        <v>2018</v>
      </c>
      <c r="B102">
        <v>6</v>
      </c>
      <c r="C102" t="s">
        <v>136</v>
      </c>
      <c r="D102" t="s">
        <v>31</v>
      </c>
      <c r="E102" t="s">
        <v>32</v>
      </c>
      <c r="F102" t="s">
        <v>33</v>
      </c>
      <c r="G102">
        <v>1</v>
      </c>
      <c r="H102">
        <v>1</v>
      </c>
      <c r="I102">
        <v>25</v>
      </c>
      <c r="J102" t="s">
        <v>23</v>
      </c>
      <c r="K102" t="s">
        <v>24</v>
      </c>
      <c r="L102">
        <v>78</v>
      </c>
      <c r="M102">
        <v>75.561999999999998</v>
      </c>
      <c r="N102">
        <v>78.437246000000002</v>
      </c>
      <c r="O102">
        <v>20.100999999999999</v>
      </c>
      <c r="P102">
        <v>35.292000000000002</v>
      </c>
      <c r="Q102">
        <v>20.149000000000001</v>
      </c>
      <c r="R102">
        <v>17</v>
      </c>
      <c r="S102" t="s">
        <v>25</v>
      </c>
      <c r="T102">
        <f>IF(TRIM(Table1[[#This Row],[PitStopLaps]])="",0,
LEN(Table1[[#This Row],[PitStopLaps]])-LEN(SUBSTITUTE(Table1[[#This Row],[PitStopLaps]],",",""))+1)</f>
        <v>1</v>
      </c>
      <c r="U102">
        <f>Table1[[#This Row],[StartPosition]]-Table1[[#This Row],[FinishPosition]]</f>
        <v>0</v>
      </c>
    </row>
    <row r="103" spans="1:21" x14ac:dyDescent="0.3">
      <c r="A103">
        <v>2018</v>
      </c>
      <c r="B103">
        <v>6</v>
      </c>
      <c r="C103" t="s">
        <v>136</v>
      </c>
      <c r="D103" t="s">
        <v>20</v>
      </c>
      <c r="E103" t="s">
        <v>21</v>
      </c>
      <c r="F103" t="s">
        <v>22</v>
      </c>
      <c r="G103">
        <v>2</v>
      </c>
      <c r="H103">
        <v>2</v>
      </c>
      <c r="I103">
        <v>18</v>
      </c>
      <c r="J103" t="s">
        <v>23</v>
      </c>
      <c r="K103" t="s">
        <v>24</v>
      </c>
      <c r="L103">
        <v>78</v>
      </c>
      <c r="M103">
        <v>76.064999999999998</v>
      </c>
      <c r="N103">
        <v>78.460290999999998</v>
      </c>
      <c r="O103">
        <v>19.977</v>
      </c>
      <c r="P103">
        <v>35.685000000000002</v>
      </c>
      <c r="Q103">
        <v>20.396000000000001</v>
      </c>
      <c r="R103">
        <v>16</v>
      </c>
      <c r="S103" t="s">
        <v>25</v>
      </c>
      <c r="T103">
        <f>IF(TRIM(Table1[[#This Row],[PitStopLaps]])="",0,
LEN(Table1[[#This Row],[PitStopLaps]])-LEN(SUBSTITUTE(Table1[[#This Row],[PitStopLaps]],",",""))+1)</f>
        <v>1</v>
      </c>
      <c r="U103">
        <f>Table1[[#This Row],[StartPosition]]-Table1[[#This Row],[FinishPosition]]</f>
        <v>0</v>
      </c>
    </row>
    <row r="104" spans="1:21" x14ac:dyDescent="0.3">
      <c r="A104">
        <v>2018</v>
      </c>
      <c r="B104">
        <v>6</v>
      </c>
      <c r="C104" t="s">
        <v>136</v>
      </c>
      <c r="D104" t="s">
        <v>26</v>
      </c>
      <c r="E104" t="s">
        <v>27</v>
      </c>
      <c r="F104" t="s">
        <v>28</v>
      </c>
      <c r="G104">
        <v>3</v>
      </c>
      <c r="H104">
        <v>3</v>
      </c>
      <c r="I104">
        <v>15</v>
      </c>
      <c r="J104" t="s">
        <v>23</v>
      </c>
      <c r="K104" t="s">
        <v>24</v>
      </c>
      <c r="L104">
        <v>78</v>
      </c>
      <c r="M104">
        <v>76.27</v>
      </c>
      <c r="N104">
        <v>78.588069000000004</v>
      </c>
      <c r="O104">
        <v>19.96</v>
      </c>
      <c r="P104">
        <v>35.479999999999997</v>
      </c>
      <c r="Q104">
        <v>20.321000000000002</v>
      </c>
      <c r="R104">
        <v>12</v>
      </c>
      <c r="S104" t="s">
        <v>25</v>
      </c>
      <c r="T104">
        <f>IF(TRIM(Table1[[#This Row],[PitStopLaps]])="",0,
LEN(Table1[[#This Row],[PitStopLaps]])-LEN(SUBSTITUTE(Table1[[#This Row],[PitStopLaps]],",",""))+1)</f>
        <v>1</v>
      </c>
      <c r="U104">
        <f>Table1[[#This Row],[StartPosition]]-Table1[[#This Row],[FinishPosition]]</f>
        <v>0</v>
      </c>
    </row>
    <row r="105" spans="1:21" x14ac:dyDescent="0.3">
      <c r="A105">
        <v>2018</v>
      </c>
      <c r="B105">
        <v>6</v>
      </c>
      <c r="C105" t="s">
        <v>136</v>
      </c>
      <c r="D105" t="s">
        <v>29</v>
      </c>
      <c r="E105" t="s">
        <v>30</v>
      </c>
      <c r="F105" t="s">
        <v>22</v>
      </c>
      <c r="G105">
        <v>4</v>
      </c>
      <c r="H105">
        <v>4</v>
      </c>
      <c r="I105">
        <v>12</v>
      </c>
      <c r="J105" t="s">
        <v>34</v>
      </c>
      <c r="K105" t="s">
        <v>24</v>
      </c>
      <c r="L105">
        <v>78</v>
      </c>
      <c r="M105">
        <v>76.391999999999996</v>
      </c>
      <c r="N105">
        <v>78.598888000000002</v>
      </c>
      <c r="O105">
        <v>19.942</v>
      </c>
      <c r="P105">
        <v>35.890999999999998</v>
      </c>
      <c r="Q105">
        <v>20.484999999999999</v>
      </c>
      <c r="R105">
        <v>17</v>
      </c>
      <c r="S105" t="s">
        <v>25</v>
      </c>
      <c r="T105">
        <f>IF(TRIM(Table1[[#This Row],[PitStopLaps]])="",0,
LEN(Table1[[#This Row],[PitStopLaps]])-LEN(SUBSTITUTE(Table1[[#This Row],[PitStopLaps]],",",""))+1)</f>
        <v>1</v>
      </c>
      <c r="U105">
        <f>Table1[[#This Row],[StartPosition]]-Table1[[#This Row],[FinishPosition]]</f>
        <v>0</v>
      </c>
    </row>
    <row r="106" spans="1:21" x14ac:dyDescent="0.3">
      <c r="A106">
        <v>2018</v>
      </c>
      <c r="B106">
        <v>6</v>
      </c>
      <c r="C106" t="s">
        <v>136</v>
      </c>
      <c r="D106" t="s">
        <v>43</v>
      </c>
      <c r="E106" t="s">
        <v>44</v>
      </c>
      <c r="F106" t="s">
        <v>28</v>
      </c>
      <c r="G106">
        <v>5</v>
      </c>
      <c r="H106">
        <v>5</v>
      </c>
      <c r="I106">
        <v>10</v>
      </c>
      <c r="J106" t="s">
        <v>34</v>
      </c>
      <c r="K106" t="s">
        <v>24</v>
      </c>
      <c r="L106">
        <v>78</v>
      </c>
      <c r="M106">
        <v>76.311999999999998</v>
      </c>
      <c r="N106">
        <v>78.589402000000007</v>
      </c>
      <c r="O106">
        <v>20.041</v>
      </c>
      <c r="P106">
        <v>35.863</v>
      </c>
      <c r="Q106">
        <v>20.302</v>
      </c>
      <c r="R106">
        <v>17</v>
      </c>
      <c r="S106" t="s">
        <v>25</v>
      </c>
      <c r="T106">
        <f>IF(TRIM(Table1[[#This Row],[PitStopLaps]])="",0,
LEN(Table1[[#This Row],[PitStopLaps]])-LEN(SUBSTITUTE(Table1[[#This Row],[PitStopLaps]],",",""))+1)</f>
        <v>1</v>
      </c>
      <c r="U106">
        <f>Table1[[#This Row],[StartPosition]]-Table1[[#This Row],[FinishPosition]]</f>
        <v>0</v>
      </c>
    </row>
    <row r="107" spans="1:21" x14ac:dyDescent="0.3">
      <c r="A107">
        <v>2018</v>
      </c>
      <c r="B107">
        <v>6</v>
      </c>
      <c r="C107" t="s">
        <v>136</v>
      </c>
      <c r="D107" t="s">
        <v>52</v>
      </c>
      <c r="E107" t="s">
        <v>53</v>
      </c>
      <c r="F107" t="s">
        <v>51</v>
      </c>
      <c r="G107">
        <v>6</v>
      </c>
      <c r="H107">
        <v>6</v>
      </c>
      <c r="I107">
        <v>8</v>
      </c>
      <c r="J107" t="s">
        <v>34</v>
      </c>
      <c r="K107" t="s">
        <v>24</v>
      </c>
      <c r="L107">
        <v>78</v>
      </c>
      <c r="M107">
        <v>77.027000000000001</v>
      </c>
      <c r="N107">
        <v>78.580568999999997</v>
      </c>
      <c r="O107">
        <v>20.364999999999998</v>
      </c>
      <c r="P107">
        <v>35.936999999999998</v>
      </c>
      <c r="Q107">
        <v>20.640999999999998</v>
      </c>
      <c r="R107">
        <v>23</v>
      </c>
      <c r="S107" t="s">
        <v>25</v>
      </c>
      <c r="T107">
        <f>IF(TRIM(Table1[[#This Row],[PitStopLaps]])="",0,
LEN(Table1[[#This Row],[PitStopLaps]])-LEN(SUBSTITUTE(Table1[[#This Row],[PitStopLaps]],",",""))+1)</f>
        <v>1</v>
      </c>
      <c r="U107">
        <f>Table1[[#This Row],[StartPosition]]-Table1[[#This Row],[FinishPosition]]</f>
        <v>0</v>
      </c>
    </row>
    <row r="108" spans="1:21" x14ac:dyDescent="0.3">
      <c r="A108">
        <v>2018</v>
      </c>
      <c r="B108">
        <v>6</v>
      </c>
      <c r="C108" t="s">
        <v>136</v>
      </c>
      <c r="D108" t="s">
        <v>73</v>
      </c>
      <c r="E108" t="s">
        <v>74</v>
      </c>
      <c r="F108" t="s">
        <v>64</v>
      </c>
      <c r="G108">
        <v>10</v>
      </c>
      <c r="H108">
        <v>7</v>
      </c>
      <c r="I108">
        <v>6</v>
      </c>
      <c r="J108" t="s">
        <v>34</v>
      </c>
      <c r="K108" t="s">
        <v>24</v>
      </c>
      <c r="L108">
        <v>78</v>
      </c>
      <c r="M108">
        <v>77.099000000000004</v>
      </c>
      <c r="N108">
        <v>78.594847000000001</v>
      </c>
      <c r="O108">
        <v>20.119</v>
      </c>
      <c r="P108">
        <v>35.997</v>
      </c>
      <c r="Q108">
        <v>20.751000000000001</v>
      </c>
      <c r="R108">
        <v>37</v>
      </c>
      <c r="S108" t="s">
        <v>25</v>
      </c>
      <c r="T108">
        <f>IF(TRIM(Table1[[#This Row],[PitStopLaps]])="",0,
LEN(Table1[[#This Row],[PitStopLaps]])-LEN(SUBSTITUTE(Table1[[#This Row],[PitStopLaps]],",",""))+1)</f>
        <v>1</v>
      </c>
      <c r="U108">
        <f>Table1[[#This Row],[StartPosition]]-Table1[[#This Row],[FinishPosition]]</f>
        <v>3</v>
      </c>
    </row>
    <row r="109" spans="1:21" x14ac:dyDescent="0.3">
      <c r="A109">
        <v>2018</v>
      </c>
      <c r="B109">
        <v>6</v>
      </c>
      <c r="C109" t="s">
        <v>136</v>
      </c>
      <c r="D109" t="s">
        <v>40</v>
      </c>
      <c r="E109" t="s">
        <v>41</v>
      </c>
      <c r="F109" t="s">
        <v>42</v>
      </c>
      <c r="G109">
        <v>11</v>
      </c>
      <c r="H109">
        <v>8</v>
      </c>
      <c r="I109">
        <v>4</v>
      </c>
      <c r="J109" t="s">
        <v>34</v>
      </c>
      <c r="K109" t="s">
        <v>24</v>
      </c>
      <c r="L109">
        <v>78</v>
      </c>
      <c r="M109">
        <v>76.061000000000007</v>
      </c>
      <c r="N109">
        <v>78.606235999999996</v>
      </c>
      <c r="O109">
        <v>20.004999999999999</v>
      </c>
      <c r="P109">
        <v>35.42</v>
      </c>
      <c r="Q109">
        <v>20.295999999999999</v>
      </c>
      <c r="R109">
        <v>50</v>
      </c>
      <c r="S109" t="s">
        <v>25</v>
      </c>
      <c r="T109">
        <f>IF(TRIM(Table1[[#This Row],[PitStopLaps]])="",0,
LEN(Table1[[#This Row],[PitStopLaps]])-LEN(SUBSTITUTE(Table1[[#This Row],[PitStopLaps]],",",""))+1)</f>
        <v>1</v>
      </c>
      <c r="U109">
        <f>Table1[[#This Row],[StartPosition]]-Table1[[#This Row],[FinishPosition]]</f>
        <v>3</v>
      </c>
    </row>
    <row r="110" spans="1:21" x14ac:dyDescent="0.3">
      <c r="A110">
        <v>2018</v>
      </c>
      <c r="B110">
        <v>6</v>
      </c>
      <c r="C110" t="s">
        <v>136</v>
      </c>
      <c r="D110" t="s">
        <v>38</v>
      </c>
      <c r="E110" t="s">
        <v>39</v>
      </c>
      <c r="F110" t="s">
        <v>33</v>
      </c>
      <c r="G110">
        <v>20</v>
      </c>
      <c r="H110">
        <v>9</v>
      </c>
      <c r="I110">
        <v>2</v>
      </c>
      <c r="J110" t="s">
        <v>34</v>
      </c>
      <c r="K110" t="s">
        <v>24</v>
      </c>
      <c r="L110">
        <v>78</v>
      </c>
      <c r="M110">
        <v>74.260000000000005</v>
      </c>
      <c r="N110">
        <v>78.571957999999995</v>
      </c>
      <c r="O110">
        <v>19.734000000000002</v>
      </c>
      <c r="P110">
        <v>34.651000000000003</v>
      </c>
      <c r="Q110">
        <v>19.875</v>
      </c>
      <c r="R110">
        <v>47</v>
      </c>
      <c r="S110" t="s">
        <v>25</v>
      </c>
      <c r="T110">
        <f>IF(TRIM(Table1[[#This Row],[PitStopLaps]])="",0,
LEN(Table1[[#This Row],[PitStopLaps]])-LEN(SUBSTITUTE(Table1[[#This Row],[PitStopLaps]],",",""))+1)</f>
        <v>1</v>
      </c>
      <c r="U110">
        <f>Table1[[#This Row],[StartPosition]]-Table1[[#This Row],[FinishPosition]]</f>
        <v>11</v>
      </c>
    </row>
    <row r="111" spans="1:21" x14ac:dyDescent="0.3">
      <c r="A111">
        <v>2018</v>
      </c>
      <c r="B111">
        <v>6</v>
      </c>
      <c r="C111" t="s">
        <v>136</v>
      </c>
      <c r="D111" t="s">
        <v>47</v>
      </c>
      <c r="E111" t="s">
        <v>48</v>
      </c>
      <c r="F111" t="s">
        <v>42</v>
      </c>
      <c r="G111">
        <v>8</v>
      </c>
      <c r="H111">
        <v>10</v>
      </c>
      <c r="I111">
        <v>1</v>
      </c>
      <c r="J111" t="s">
        <v>34</v>
      </c>
      <c r="K111" t="s">
        <v>24</v>
      </c>
      <c r="L111">
        <v>78</v>
      </c>
      <c r="M111">
        <v>77.491</v>
      </c>
      <c r="N111">
        <v>79.220917</v>
      </c>
      <c r="O111">
        <v>20.411999999999999</v>
      </c>
      <c r="P111">
        <v>36.11</v>
      </c>
      <c r="Q111">
        <v>20.87</v>
      </c>
      <c r="R111">
        <v>16</v>
      </c>
      <c r="S111" t="s">
        <v>25</v>
      </c>
      <c r="T111">
        <f>IF(TRIM(Table1[[#This Row],[PitStopLaps]])="",0,
LEN(Table1[[#This Row],[PitStopLaps]])-LEN(SUBSTITUTE(Table1[[#This Row],[PitStopLaps]],",",""))+1)</f>
        <v>1</v>
      </c>
      <c r="U111">
        <f>Table1[[#This Row],[StartPosition]]-Table1[[#This Row],[FinishPosition]]</f>
        <v>-2</v>
      </c>
    </row>
    <row r="112" spans="1:21" x14ac:dyDescent="0.3">
      <c r="A112">
        <v>2018</v>
      </c>
      <c r="B112">
        <v>6</v>
      </c>
      <c r="C112" t="s">
        <v>136</v>
      </c>
      <c r="D112" t="s">
        <v>76</v>
      </c>
      <c r="E112" t="s">
        <v>77</v>
      </c>
      <c r="F112" t="s">
        <v>56</v>
      </c>
      <c r="G112">
        <v>16</v>
      </c>
      <c r="H112">
        <v>11</v>
      </c>
      <c r="I112">
        <v>0</v>
      </c>
      <c r="J112" t="s">
        <v>34</v>
      </c>
      <c r="K112" t="s">
        <v>24</v>
      </c>
      <c r="L112">
        <v>78</v>
      </c>
      <c r="M112">
        <v>76.936000000000007</v>
      </c>
      <c r="N112">
        <v>79.158178000000007</v>
      </c>
      <c r="O112">
        <v>20.43</v>
      </c>
      <c r="P112">
        <v>35.887</v>
      </c>
      <c r="Q112">
        <v>20.619</v>
      </c>
      <c r="R112">
        <v>17</v>
      </c>
      <c r="S112" t="s">
        <v>25</v>
      </c>
      <c r="T112">
        <f>IF(TRIM(Table1[[#This Row],[PitStopLaps]])="",0,
LEN(Table1[[#This Row],[PitStopLaps]])-LEN(SUBSTITUTE(Table1[[#This Row],[PitStopLaps]],",",""))+1)</f>
        <v>1</v>
      </c>
      <c r="U112">
        <f>Table1[[#This Row],[StartPosition]]-Table1[[#This Row],[FinishPosition]]</f>
        <v>5</v>
      </c>
    </row>
    <row r="113" spans="1:21" x14ac:dyDescent="0.3">
      <c r="A113">
        <v>2018</v>
      </c>
      <c r="B113">
        <v>6</v>
      </c>
      <c r="C113" t="s">
        <v>136</v>
      </c>
      <c r="D113" t="s">
        <v>49</v>
      </c>
      <c r="E113" t="s">
        <v>50</v>
      </c>
      <c r="F113" t="s">
        <v>51</v>
      </c>
      <c r="G113">
        <v>9</v>
      </c>
      <c r="H113">
        <v>12</v>
      </c>
      <c r="I113">
        <v>0</v>
      </c>
      <c r="J113" t="s">
        <v>34</v>
      </c>
      <c r="K113" t="s">
        <v>24</v>
      </c>
      <c r="L113">
        <v>78</v>
      </c>
      <c r="M113">
        <v>77.546000000000006</v>
      </c>
      <c r="N113">
        <v>79.167602000000002</v>
      </c>
      <c r="O113">
        <v>20.411999999999999</v>
      </c>
      <c r="P113">
        <v>36.31</v>
      </c>
      <c r="Q113">
        <v>20.745999999999999</v>
      </c>
      <c r="R113">
        <v>21</v>
      </c>
      <c r="S113" t="s">
        <v>25</v>
      </c>
      <c r="T113">
        <f>IF(TRIM(Table1[[#This Row],[PitStopLaps]])="",0,
LEN(Table1[[#This Row],[PitStopLaps]])-LEN(SUBSTITUTE(Table1[[#This Row],[PitStopLaps]],",",""))+1)</f>
        <v>1</v>
      </c>
      <c r="U113">
        <f>Table1[[#This Row],[StartPosition]]-Table1[[#This Row],[FinishPosition]]</f>
        <v>-3</v>
      </c>
    </row>
    <row r="114" spans="1:21" x14ac:dyDescent="0.3">
      <c r="A114">
        <v>2018</v>
      </c>
      <c r="B114">
        <v>6</v>
      </c>
      <c r="C114" t="s">
        <v>136</v>
      </c>
      <c r="D114" t="s">
        <v>71</v>
      </c>
      <c r="E114" t="s">
        <v>72</v>
      </c>
      <c r="F114" t="s">
        <v>69</v>
      </c>
      <c r="G114">
        <v>19</v>
      </c>
      <c r="H114">
        <v>13</v>
      </c>
      <c r="I114">
        <v>0</v>
      </c>
      <c r="J114" t="s">
        <v>34</v>
      </c>
      <c r="K114" t="s">
        <v>24</v>
      </c>
      <c r="L114">
        <v>78</v>
      </c>
      <c r="M114">
        <v>77.475999999999999</v>
      </c>
      <c r="N114">
        <v>79.179027000000005</v>
      </c>
      <c r="O114">
        <v>20.536999999999999</v>
      </c>
      <c r="P114">
        <v>36.131999999999998</v>
      </c>
      <c r="Q114">
        <v>20.673999999999999</v>
      </c>
      <c r="R114">
        <v>17</v>
      </c>
      <c r="S114" t="s">
        <v>25</v>
      </c>
      <c r="T114">
        <f>IF(TRIM(Table1[[#This Row],[PitStopLaps]])="",0,
LEN(Table1[[#This Row],[PitStopLaps]])-LEN(SUBSTITUTE(Table1[[#This Row],[PitStopLaps]],",",""))+1)</f>
        <v>1</v>
      </c>
      <c r="U114">
        <f>Table1[[#This Row],[StartPosition]]-Table1[[#This Row],[FinishPosition]]</f>
        <v>6</v>
      </c>
    </row>
    <row r="115" spans="1:21" x14ac:dyDescent="0.3">
      <c r="A115">
        <v>2018</v>
      </c>
      <c r="B115">
        <v>6</v>
      </c>
      <c r="C115" t="s">
        <v>136</v>
      </c>
      <c r="D115" t="s">
        <v>45</v>
      </c>
      <c r="E115" t="s">
        <v>46</v>
      </c>
      <c r="F115" t="s">
        <v>37</v>
      </c>
      <c r="G115">
        <v>12</v>
      </c>
      <c r="H115">
        <v>14</v>
      </c>
      <c r="I115">
        <v>0</v>
      </c>
      <c r="J115" t="s">
        <v>34</v>
      </c>
      <c r="K115" t="s">
        <v>65</v>
      </c>
      <c r="L115">
        <v>77</v>
      </c>
      <c r="M115">
        <v>76.864000000000004</v>
      </c>
      <c r="N115">
        <v>79.111943999999994</v>
      </c>
      <c r="O115">
        <v>20.202999999999999</v>
      </c>
      <c r="P115">
        <v>35.918999999999997</v>
      </c>
      <c r="Q115">
        <v>20.341000000000001</v>
      </c>
      <c r="R115" t="s">
        <v>137</v>
      </c>
      <c r="S115" t="s">
        <v>25</v>
      </c>
      <c r="T115">
        <f>IF(TRIM(Table1[[#This Row],[PitStopLaps]])="",0,
LEN(Table1[[#This Row],[PitStopLaps]])-LEN(SUBSTITUTE(Table1[[#This Row],[PitStopLaps]],",",""))+1)</f>
        <v>2</v>
      </c>
      <c r="U115">
        <f>Table1[[#This Row],[StartPosition]]-Table1[[#This Row],[FinishPosition]]</f>
        <v>-2</v>
      </c>
    </row>
    <row r="116" spans="1:21" x14ac:dyDescent="0.3">
      <c r="A116">
        <v>2018</v>
      </c>
      <c r="B116">
        <v>6</v>
      </c>
      <c r="C116" t="s">
        <v>136</v>
      </c>
      <c r="D116" t="s">
        <v>67</v>
      </c>
      <c r="E116" t="s">
        <v>68</v>
      </c>
      <c r="F116" t="s">
        <v>69</v>
      </c>
      <c r="G116">
        <v>18</v>
      </c>
      <c r="H116">
        <v>15</v>
      </c>
      <c r="I116">
        <v>0</v>
      </c>
      <c r="J116" t="s">
        <v>34</v>
      </c>
      <c r="K116" t="s">
        <v>65</v>
      </c>
      <c r="L116">
        <v>77</v>
      </c>
      <c r="M116">
        <v>74.822000000000003</v>
      </c>
      <c r="N116">
        <v>79.244213999999999</v>
      </c>
      <c r="O116">
        <v>19.859000000000002</v>
      </c>
      <c r="P116">
        <v>34.835000000000001</v>
      </c>
      <c r="Q116">
        <v>20.016999999999999</v>
      </c>
      <c r="R116" t="s">
        <v>138</v>
      </c>
      <c r="S116" t="s">
        <v>25</v>
      </c>
      <c r="T116">
        <f>IF(TRIM(Table1[[#This Row],[PitStopLaps]])="",0,
LEN(Table1[[#This Row],[PitStopLaps]])-LEN(SUBSTITUTE(Table1[[#This Row],[PitStopLaps]],",",""))+1)</f>
        <v>2</v>
      </c>
      <c r="U116">
        <f>Table1[[#This Row],[StartPosition]]-Table1[[#This Row],[FinishPosition]]</f>
        <v>3</v>
      </c>
    </row>
    <row r="117" spans="1:21" x14ac:dyDescent="0.3">
      <c r="A117">
        <v>2018</v>
      </c>
      <c r="B117">
        <v>6</v>
      </c>
      <c r="C117" t="s">
        <v>136</v>
      </c>
      <c r="D117" t="s">
        <v>79</v>
      </c>
      <c r="E117" t="s">
        <v>80</v>
      </c>
      <c r="F117" t="s">
        <v>60</v>
      </c>
      <c r="G117">
        <v>13</v>
      </c>
      <c r="H117">
        <v>16</v>
      </c>
      <c r="I117">
        <v>0</v>
      </c>
      <c r="J117" t="s">
        <v>34</v>
      </c>
      <c r="K117" t="s">
        <v>65</v>
      </c>
      <c r="L117">
        <v>77</v>
      </c>
      <c r="M117">
        <v>75.325000000000003</v>
      </c>
      <c r="N117">
        <v>79.241838000000001</v>
      </c>
      <c r="O117">
        <v>19.867000000000001</v>
      </c>
      <c r="P117">
        <v>35.28</v>
      </c>
      <c r="Q117">
        <v>20.117000000000001</v>
      </c>
      <c r="R117" t="s">
        <v>139</v>
      </c>
      <c r="S117" t="s">
        <v>25</v>
      </c>
      <c r="T117">
        <f>IF(TRIM(Table1[[#This Row],[PitStopLaps]])="",0,
LEN(Table1[[#This Row],[PitStopLaps]])-LEN(SUBSTITUTE(Table1[[#This Row],[PitStopLaps]],",",""))+1)</f>
        <v>3</v>
      </c>
      <c r="U117">
        <f>Table1[[#This Row],[StartPosition]]-Table1[[#This Row],[FinishPosition]]</f>
        <v>-3</v>
      </c>
    </row>
    <row r="118" spans="1:21" x14ac:dyDescent="0.3">
      <c r="A118">
        <v>2018</v>
      </c>
      <c r="B118">
        <v>6</v>
      </c>
      <c r="C118" t="s">
        <v>136</v>
      </c>
      <c r="D118" t="s">
        <v>58</v>
      </c>
      <c r="E118" t="s">
        <v>59</v>
      </c>
      <c r="F118" t="s">
        <v>60</v>
      </c>
      <c r="G118">
        <v>17</v>
      </c>
      <c r="H118">
        <v>17</v>
      </c>
      <c r="I118">
        <v>0</v>
      </c>
      <c r="J118" t="s">
        <v>34</v>
      </c>
      <c r="K118" t="s">
        <v>127</v>
      </c>
      <c r="L118">
        <v>76</v>
      </c>
      <c r="M118">
        <v>74.944000000000003</v>
      </c>
      <c r="N118">
        <v>79.004088999999993</v>
      </c>
      <c r="O118">
        <v>19.920999999999999</v>
      </c>
      <c r="P118">
        <v>35.130000000000003</v>
      </c>
      <c r="Q118">
        <v>19.870999999999999</v>
      </c>
      <c r="R118" t="s">
        <v>140</v>
      </c>
      <c r="S118" t="s">
        <v>25</v>
      </c>
      <c r="T118">
        <f>IF(TRIM(Table1[[#This Row],[PitStopLaps]])="",0,
LEN(Table1[[#This Row],[PitStopLaps]])-LEN(SUBSTITUTE(Table1[[#This Row],[PitStopLaps]],",",""))+1)</f>
        <v>3</v>
      </c>
      <c r="U118">
        <f>Table1[[#This Row],[StartPosition]]-Table1[[#This Row],[FinishPosition]]</f>
        <v>0</v>
      </c>
    </row>
    <row r="119" spans="1:21" x14ac:dyDescent="0.3">
      <c r="A119">
        <v>2018</v>
      </c>
      <c r="B119">
        <v>6</v>
      </c>
      <c r="C119" t="s">
        <v>136</v>
      </c>
      <c r="D119" t="s">
        <v>54</v>
      </c>
      <c r="E119" t="s">
        <v>55</v>
      </c>
      <c r="F119" t="s">
        <v>56</v>
      </c>
      <c r="G119">
        <v>14</v>
      </c>
      <c r="H119">
        <v>18</v>
      </c>
      <c r="I119">
        <v>0</v>
      </c>
      <c r="J119" t="s">
        <v>34</v>
      </c>
      <c r="K119" t="s">
        <v>124</v>
      </c>
      <c r="L119">
        <v>71</v>
      </c>
      <c r="M119">
        <v>77.709999999999994</v>
      </c>
      <c r="N119">
        <v>79.165119000000004</v>
      </c>
      <c r="O119">
        <v>20.468</v>
      </c>
      <c r="P119">
        <v>36.201000000000001</v>
      </c>
      <c r="Q119">
        <v>20.745999999999999</v>
      </c>
      <c r="R119">
        <v>14</v>
      </c>
      <c r="S119" t="s">
        <v>25</v>
      </c>
      <c r="T119">
        <f>IF(TRIM(Table1[[#This Row],[PitStopLaps]])="",0,
LEN(Table1[[#This Row],[PitStopLaps]])-LEN(SUBSTITUTE(Table1[[#This Row],[PitStopLaps]],",",""))+1)</f>
        <v>1</v>
      </c>
      <c r="U119">
        <f>Table1[[#This Row],[StartPosition]]-Table1[[#This Row],[FinishPosition]]</f>
        <v>-4</v>
      </c>
    </row>
    <row r="120" spans="1:21" x14ac:dyDescent="0.3">
      <c r="A120">
        <v>2018</v>
      </c>
      <c r="B120">
        <v>6</v>
      </c>
      <c r="C120" t="s">
        <v>136</v>
      </c>
      <c r="D120" t="s">
        <v>62</v>
      </c>
      <c r="E120" t="s">
        <v>63</v>
      </c>
      <c r="F120" t="s">
        <v>64</v>
      </c>
      <c r="G120">
        <v>15</v>
      </c>
      <c r="H120">
        <v>19</v>
      </c>
      <c r="I120">
        <v>0</v>
      </c>
      <c r="J120" t="s">
        <v>34</v>
      </c>
      <c r="K120" t="s">
        <v>124</v>
      </c>
      <c r="L120">
        <v>71</v>
      </c>
      <c r="M120">
        <v>77.171999999999997</v>
      </c>
      <c r="N120">
        <v>79.164985000000001</v>
      </c>
      <c r="O120">
        <v>20.321000000000002</v>
      </c>
      <c r="P120">
        <v>36.06</v>
      </c>
      <c r="Q120">
        <v>20.765000000000001</v>
      </c>
      <c r="R120" t="s">
        <v>141</v>
      </c>
      <c r="S120" t="s">
        <v>25</v>
      </c>
      <c r="T120">
        <f>IF(TRIM(Table1[[#This Row],[PitStopLaps]])="",0,
LEN(Table1[[#This Row],[PitStopLaps]])-LEN(SUBSTITUTE(Table1[[#This Row],[PitStopLaps]],",",""))+1)</f>
        <v>2</v>
      </c>
      <c r="U120">
        <f>Table1[[#This Row],[StartPosition]]-Table1[[#This Row],[FinishPosition]]</f>
        <v>-4</v>
      </c>
    </row>
    <row r="121" spans="1:21" x14ac:dyDescent="0.3">
      <c r="A121">
        <v>2018</v>
      </c>
      <c r="B121">
        <v>6</v>
      </c>
      <c r="C121" t="s">
        <v>136</v>
      </c>
      <c r="D121" t="s">
        <v>35</v>
      </c>
      <c r="E121" t="s">
        <v>36</v>
      </c>
      <c r="F121" t="s">
        <v>37</v>
      </c>
      <c r="G121">
        <v>7</v>
      </c>
      <c r="H121">
        <v>20</v>
      </c>
      <c r="I121">
        <v>0</v>
      </c>
      <c r="J121" t="s">
        <v>34</v>
      </c>
      <c r="K121" t="s">
        <v>132</v>
      </c>
      <c r="L121">
        <v>53</v>
      </c>
      <c r="M121">
        <v>77.018000000000001</v>
      </c>
      <c r="N121">
        <v>79.110836000000006</v>
      </c>
      <c r="O121">
        <v>20.239999999999998</v>
      </c>
      <c r="P121">
        <v>36.158999999999999</v>
      </c>
      <c r="Q121">
        <v>20.619</v>
      </c>
      <c r="R121">
        <v>19</v>
      </c>
      <c r="S121" t="s">
        <v>25</v>
      </c>
      <c r="T121">
        <f>IF(TRIM(Table1[[#This Row],[PitStopLaps]])="",0,
LEN(Table1[[#This Row],[PitStopLaps]])-LEN(SUBSTITUTE(Table1[[#This Row],[PitStopLaps]],",",""))+1)</f>
        <v>1</v>
      </c>
      <c r="U121">
        <f>Table1[[#This Row],[StartPosition]]-Table1[[#This Row],[FinishPosition]]</f>
        <v>-13</v>
      </c>
    </row>
    <row r="122" spans="1:21" x14ac:dyDescent="0.3">
      <c r="A122">
        <v>2018</v>
      </c>
      <c r="B122">
        <v>7</v>
      </c>
      <c r="C122" t="s">
        <v>142</v>
      </c>
      <c r="D122" t="s">
        <v>20</v>
      </c>
      <c r="E122" t="s">
        <v>21</v>
      </c>
      <c r="F122" t="s">
        <v>22</v>
      </c>
      <c r="G122">
        <v>1</v>
      </c>
      <c r="H122">
        <v>1</v>
      </c>
      <c r="I122">
        <v>25</v>
      </c>
      <c r="J122" t="s">
        <v>23</v>
      </c>
      <c r="K122" t="s">
        <v>24</v>
      </c>
      <c r="L122">
        <v>70</v>
      </c>
      <c r="M122">
        <v>73.963999999999999</v>
      </c>
      <c r="N122">
        <v>75.147687000000005</v>
      </c>
      <c r="O122">
        <v>20.431000000000001</v>
      </c>
      <c r="P122">
        <v>23.706</v>
      </c>
      <c r="Q122">
        <v>29.74</v>
      </c>
      <c r="R122">
        <v>37</v>
      </c>
      <c r="S122" t="s">
        <v>83</v>
      </c>
      <c r="T122">
        <f>IF(TRIM(Table1[[#This Row],[PitStopLaps]])="",0,
LEN(Table1[[#This Row],[PitStopLaps]])-LEN(SUBSTITUTE(Table1[[#This Row],[PitStopLaps]],",",""))+1)</f>
        <v>1</v>
      </c>
      <c r="U122">
        <f>Table1[[#This Row],[StartPosition]]-Table1[[#This Row],[FinishPosition]]</f>
        <v>0</v>
      </c>
    </row>
    <row r="123" spans="1:21" x14ac:dyDescent="0.3">
      <c r="A123">
        <v>2018</v>
      </c>
      <c r="B123">
        <v>7</v>
      </c>
      <c r="C123" t="s">
        <v>142</v>
      </c>
      <c r="D123" t="s">
        <v>43</v>
      </c>
      <c r="E123" t="s">
        <v>44</v>
      </c>
      <c r="F123" t="s">
        <v>28</v>
      </c>
      <c r="G123">
        <v>2</v>
      </c>
      <c r="H123">
        <v>2</v>
      </c>
      <c r="I123">
        <v>18</v>
      </c>
      <c r="J123" t="s">
        <v>23</v>
      </c>
      <c r="K123" t="s">
        <v>24</v>
      </c>
      <c r="L123">
        <v>70</v>
      </c>
      <c r="M123">
        <v>73.992000000000004</v>
      </c>
      <c r="N123">
        <v>75.227687000000003</v>
      </c>
      <c r="O123">
        <v>20.344000000000001</v>
      </c>
      <c r="P123">
        <v>23.513999999999999</v>
      </c>
      <c r="Q123">
        <v>29.925000000000001</v>
      </c>
      <c r="R123">
        <v>36</v>
      </c>
      <c r="S123" t="s">
        <v>83</v>
      </c>
      <c r="T123">
        <f>IF(TRIM(Table1[[#This Row],[PitStopLaps]])="",0,
LEN(Table1[[#This Row],[PitStopLaps]])-LEN(SUBSTITUTE(Table1[[#This Row],[PitStopLaps]],",",""))+1)</f>
        <v>1</v>
      </c>
      <c r="U123">
        <f>Table1[[#This Row],[StartPosition]]-Table1[[#This Row],[FinishPosition]]</f>
        <v>0</v>
      </c>
    </row>
    <row r="124" spans="1:21" x14ac:dyDescent="0.3">
      <c r="A124">
        <v>2018</v>
      </c>
      <c r="B124">
        <v>7</v>
      </c>
      <c r="C124" t="s">
        <v>142</v>
      </c>
      <c r="D124" t="s">
        <v>38</v>
      </c>
      <c r="E124" t="s">
        <v>39</v>
      </c>
      <c r="F124" t="s">
        <v>33</v>
      </c>
      <c r="G124">
        <v>3</v>
      </c>
      <c r="H124">
        <v>3</v>
      </c>
      <c r="I124">
        <v>15</v>
      </c>
      <c r="J124" t="s">
        <v>23</v>
      </c>
      <c r="K124" t="s">
        <v>24</v>
      </c>
      <c r="L124">
        <v>70</v>
      </c>
      <c r="M124">
        <v>73.864000000000004</v>
      </c>
      <c r="N124">
        <v>75.203359000000006</v>
      </c>
      <c r="O124">
        <v>20.382999999999999</v>
      </c>
      <c r="P124">
        <v>23.535</v>
      </c>
      <c r="Q124">
        <v>29.831</v>
      </c>
      <c r="R124">
        <v>16</v>
      </c>
      <c r="S124" t="s">
        <v>83</v>
      </c>
      <c r="T124">
        <f>IF(TRIM(Table1[[#This Row],[PitStopLaps]])="",0,
LEN(Table1[[#This Row],[PitStopLaps]])-LEN(SUBSTITUTE(Table1[[#This Row],[PitStopLaps]],",",""))+1)</f>
        <v>1</v>
      </c>
      <c r="U124">
        <f>Table1[[#This Row],[StartPosition]]-Table1[[#This Row],[FinishPosition]]</f>
        <v>0</v>
      </c>
    </row>
    <row r="125" spans="1:21" x14ac:dyDescent="0.3">
      <c r="A125">
        <v>2018</v>
      </c>
      <c r="B125">
        <v>7</v>
      </c>
      <c r="C125" t="s">
        <v>142</v>
      </c>
      <c r="D125" t="s">
        <v>31</v>
      </c>
      <c r="E125" t="s">
        <v>32</v>
      </c>
      <c r="F125" t="s">
        <v>33</v>
      </c>
      <c r="G125">
        <v>6</v>
      </c>
      <c r="H125">
        <v>4</v>
      </c>
      <c r="I125">
        <v>12</v>
      </c>
      <c r="J125" t="s">
        <v>34</v>
      </c>
      <c r="K125" t="s">
        <v>24</v>
      </c>
      <c r="L125">
        <v>70</v>
      </c>
      <c r="M125">
        <v>73.834999999999994</v>
      </c>
      <c r="N125">
        <v>75.390625</v>
      </c>
      <c r="O125">
        <v>20.266999999999999</v>
      </c>
      <c r="P125">
        <v>23.606999999999999</v>
      </c>
      <c r="Q125">
        <v>29.774000000000001</v>
      </c>
      <c r="R125">
        <v>17</v>
      </c>
      <c r="S125" t="s">
        <v>83</v>
      </c>
      <c r="T125">
        <f>IF(TRIM(Table1[[#This Row],[PitStopLaps]])="",0,
LEN(Table1[[#This Row],[PitStopLaps]])-LEN(SUBSTITUTE(Table1[[#This Row],[PitStopLaps]],",",""))+1)</f>
        <v>1</v>
      </c>
      <c r="U125">
        <f>Table1[[#This Row],[StartPosition]]-Table1[[#This Row],[FinishPosition]]</f>
        <v>2</v>
      </c>
    </row>
    <row r="126" spans="1:21" x14ac:dyDescent="0.3">
      <c r="A126">
        <v>2018</v>
      </c>
      <c r="B126">
        <v>7</v>
      </c>
      <c r="C126" t="s">
        <v>142</v>
      </c>
      <c r="D126" t="s">
        <v>26</v>
      </c>
      <c r="E126" t="s">
        <v>27</v>
      </c>
      <c r="F126" t="s">
        <v>28</v>
      </c>
      <c r="G126">
        <v>4</v>
      </c>
      <c r="H126">
        <v>5</v>
      </c>
      <c r="I126">
        <v>10</v>
      </c>
      <c r="J126" t="s">
        <v>34</v>
      </c>
      <c r="K126" t="s">
        <v>24</v>
      </c>
      <c r="L126">
        <v>70</v>
      </c>
      <c r="M126">
        <v>74.183000000000007</v>
      </c>
      <c r="N126">
        <v>75.429968000000002</v>
      </c>
      <c r="O126">
        <v>20.503</v>
      </c>
      <c r="P126">
        <v>23.581</v>
      </c>
      <c r="Q126">
        <v>29.783000000000001</v>
      </c>
      <c r="R126">
        <v>16</v>
      </c>
      <c r="S126" t="s">
        <v>83</v>
      </c>
      <c r="T126">
        <f>IF(TRIM(Table1[[#This Row],[PitStopLaps]])="",0,
LEN(Table1[[#This Row],[PitStopLaps]])-LEN(SUBSTITUTE(Table1[[#This Row],[PitStopLaps]],",",""))+1)</f>
        <v>1</v>
      </c>
      <c r="U126">
        <f>Table1[[#This Row],[StartPosition]]-Table1[[#This Row],[FinishPosition]]</f>
        <v>-1</v>
      </c>
    </row>
    <row r="127" spans="1:21" x14ac:dyDescent="0.3">
      <c r="A127">
        <v>2018</v>
      </c>
      <c r="B127">
        <v>7</v>
      </c>
      <c r="C127" t="s">
        <v>142</v>
      </c>
      <c r="D127" t="s">
        <v>29</v>
      </c>
      <c r="E127" t="s">
        <v>30</v>
      </c>
      <c r="F127" t="s">
        <v>22</v>
      </c>
      <c r="G127">
        <v>5</v>
      </c>
      <c r="H127">
        <v>6</v>
      </c>
      <c r="I127">
        <v>8</v>
      </c>
      <c r="J127" t="s">
        <v>34</v>
      </c>
      <c r="K127" t="s">
        <v>24</v>
      </c>
      <c r="L127">
        <v>70</v>
      </c>
      <c r="M127">
        <v>74.075000000000003</v>
      </c>
      <c r="N127">
        <v>75.516795999999999</v>
      </c>
      <c r="O127">
        <v>20.648</v>
      </c>
      <c r="P127">
        <v>23.606999999999999</v>
      </c>
      <c r="Q127">
        <v>29.771000000000001</v>
      </c>
      <c r="R127">
        <v>32</v>
      </c>
      <c r="S127" t="s">
        <v>83</v>
      </c>
      <c r="T127">
        <f>IF(TRIM(Table1[[#This Row],[PitStopLaps]])="",0,
LEN(Table1[[#This Row],[PitStopLaps]])-LEN(SUBSTITUTE(Table1[[#This Row],[PitStopLaps]],",",""))+1)</f>
        <v>1</v>
      </c>
      <c r="U127">
        <f>Table1[[#This Row],[StartPosition]]-Table1[[#This Row],[FinishPosition]]</f>
        <v>-1</v>
      </c>
    </row>
    <row r="128" spans="1:21" x14ac:dyDescent="0.3">
      <c r="A128">
        <v>2018</v>
      </c>
      <c r="B128">
        <v>7</v>
      </c>
      <c r="C128" t="s">
        <v>142</v>
      </c>
      <c r="D128" t="s">
        <v>40</v>
      </c>
      <c r="E128" t="s">
        <v>41</v>
      </c>
      <c r="F128" t="s">
        <v>42</v>
      </c>
      <c r="G128">
        <v>7</v>
      </c>
      <c r="H128">
        <v>7</v>
      </c>
      <c r="I128">
        <v>6</v>
      </c>
      <c r="J128" t="s">
        <v>34</v>
      </c>
      <c r="K128" t="s">
        <v>65</v>
      </c>
      <c r="L128">
        <v>69</v>
      </c>
      <c r="M128">
        <v>75.488</v>
      </c>
      <c r="N128">
        <v>76.640062999999998</v>
      </c>
      <c r="O128">
        <v>20.93</v>
      </c>
      <c r="P128">
        <v>24.05</v>
      </c>
      <c r="Q128">
        <v>30.198</v>
      </c>
      <c r="R128">
        <v>13</v>
      </c>
      <c r="S128" t="s">
        <v>83</v>
      </c>
      <c r="T128">
        <f>IF(TRIM(Table1[[#This Row],[PitStopLaps]])="",0,
LEN(Table1[[#This Row],[PitStopLaps]])-LEN(SUBSTITUTE(Table1[[#This Row],[PitStopLaps]],",",""))+1)</f>
        <v>1</v>
      </c>
      <c r="U128">
        <f>Table1[[#This Row],[StartPosition]]-Table1[[#This Row],[FinishPosition]]</f>
        <v>0</v>
      </c>
    </row>
    <row r="129" spans="1:21" x14ac:dyDescent="0.3">
      <c r="A129">
        <v>2018</v>
      </c>
      <c r="B129">
        <v>7</v>
      </c>
      <c r="C129" t="s">
        <v>142</v>
      </c>
      <c r="D129" t="s">
        <v>47</v>
      </c>
      <c r="E129" t="s">
        <v>48</v>
      </c>
      <c r="F129" t="s">
        <v>42</v>
      </c>
      <c r="G129">
        <v>9</v>
      </c>
      <c r="H129">
        <v>8</v>
      </c>
      <c r="I129">
        <v>4</v>
      </c>
      <c r="J129" t="s">
        <v>34</v>
      </c>
      <c r="K129" t="s">
        <v>65</v>
      </c>
      <c r="L129">
        <v>69</v>
      </c>
      <c r="M129">
        <v>75.665999999999997</v>
      </c>
      <c r="N129">
        <v>76.695094999999995</v>
      </c>
      <c r="O129">
        <v>20.986000000000001</v>
      </c>
      <c r="P129">
        <v>24.081</v>
      </c>
      <c r="Q129">
        <v>30.266999999999999</v>
      </c>
      <c r="R129">
        <v>14</v>
      </c>
      <c r="S129" t="s">
        <v>83</v>
      </c>
      <c r="T129">
        <f>IF(TRIM(Table1[[#This Row],[PitStopLaps]])="",0,
LEN(Table1[[#This Row],[PitStopLaps]])-LEN(SUBSTITUTE(Table1[[#This Row],[PitStopLaps]],",",""))+1)</f>
        <v>1</v>
      </c>
      <c r="U129">
        <f>Table1[[#This Row],[StartPosition]]-Table1[[#This Row],[FinishPosition]]</f>
        <v>1</v>
      </c>
    </row>
    <row r="130" spans="1:21" x14ac:dyDescent="0.3">
      <c r="A130">
        <v>2018</v>
      </c>
      <c r="B130">
        <v>7</v>
      </c>
      <c r="C130" t="s">
        <v>142</v>
      </c>
      <c r="D130" t="s">
        <v>52</v>
      </c>
      <c r="E130" t="s">
        <v>53</v>
      </c>
      <c r="F130" t="s">
        <v>51</v>
      </c>
      <c r="G130">
        <v>8</v>
      </c>
      <c r="H130">
        <v>9</v>
      </c>
      <c r="I130">
        <v>2</v>
      </c>
      <c r="J130" t="s">
        <v>34</v>
      </c>
      <c r="K130" t="s">
        <v>65</v>
      </c>
      <c r="L130">
        <v>69</v>
      </c>
      <c r="M130">
        <v>75.498000000000005</v>
      </c>
      <c r="N130">
        <v>76.706539000000006</v>
      </c>
      <c r="O130">
        <v>20.977</v>
      </c>
      <c r="P130">
        <v>24.113</v>
      </c>
      <c r="Q130">
        <v>30.254999999999999</v>
      </c>
      <c r="R130">
        <v>11</v>
      </c>
      <c r="S130" t="s">
        <v>83</v>
      </c>
      <c r="T130">
        <f>IF(TRIM(Table1[[#This Row],[PitStopLaps]])="",0,
LEN(Table1[[#This Row],[PitStopLaps]])-LEN(SUBSTITUTE(Table1[[#This Row],[PitStopLaps]],",",""))+1)</f>
        <v>1</v>
      </c>
      <c r="U130">
        <f>Table1[[#This Row],[StartPosition]]-Table1[[#This Row],[FinishPosition]]</f>
        <v>-1</v>
      </c>
    </row>
    <row r="131" spans="1:21" x14ac:dyDescent="0.3">
      <c r="A131">
        <v>2018</v>
      </c>
      <c r="B131">
        <v>7</v>
      </c>
      <c r="C131" t="s">
        <v>142</v>
      </c>
      <c r="D131" t="s">
        <v>54</v>
      </c>
      <c r="E131" t="s">
        <v>55</v>
      </c>
      <c r="F131" t="s">
        <v>56</v>
      </c>
      <c r="G131">
        <v>13</v>
      </c>
      <c r="H131">
        <v>10</v>
      </c>
      <c r="I131">
        <v>1</v>
      </c>
      <c r="J131" t="s">
        <v>34</v>
      </c>
      <c r="K131" t="s">
        <v>65</v>
      </c>
      <c r="L131">
        <v>69</v>
      </c>
      <c r="M131">
        <v>75.350999999999999</v>
      </c>
      <c r="N131">
        <v>76.849030999999997</v>
      </c>
      <c r="O131">
        <v>20.882999999999999</v>
      </c>
      <c r="P131">
        <v>24.053999999999998</v>
      </c>
      <c r="Q131">
        <v>30.289000000000001</v>
      </c>
      <c r="R131">
        <v>19</v>
      </c>
      <c r="S131" t="s">
        <v>83</v>
      </c>
      <c r="T131">
        <f>IF(TRIM(Table1[[#This Row],[PitStopLaps]])="",0,
LEN(Table1[[#This Row],[PitStopLaps]])-LEN(SUBSTITUTE(Table1[[#This Row],[PitStopLaps]],",",""))+1)</f>
        <v>1</v>
      </c>
      <c r="U131">
        <f>Table1[[#This Row],[StartPosition]]-Table1[[#This Row],[FinishPosition]]</f>
        <v>3</v>
      </c>
    </row>
    <row r="132" spans="1:21" x14ac:dyDescent="0.3">
      <c r="A132">
        <v>2018</v>
      </c>
      <c r="B132">
        <v>7</v>
      </c>
      <c r="C132" t="s">
        <v>142</v>
      </c>
      <c r="D132" t="s">
        <v>73</v>
      </c>
      <c r="E132" t="s">
        <v>74</v>
      </c>
      <c r="F132" t="s">
        <v>64</v>
      </c>
      <c r="G132">
        <v>16</v>
      </c>
      <c r="H132">
        <v>11</v>
      </c>
      <c r="I132">
        <v>0</v>
      </c>
      <c r="J132" t="s">
        <v>34</v>
      </c>
      <c r="K132" t="s">
        <v>65</v>
      </c>
      <c r="L132">
        <v>69</v>
      </c>
      <c r="M132">
        <v>75.698999999999998</v>
      </c>
      <c r="N132">
        <v>76.913141999999993</v>
      </c>
      <c r="O132">
        <v>21.048999999999999</v>
      </c>
      <c r="P132">
        <v>24.116</v>
      </c>
      <c r="Q132">
        <v>30.257000000000001</v>
      </c>
      <c r="R132">
        <v>23</v>
      </c>
      <c r="S132" t="s">
        <v>83</v>
      </c>
      <c r="T132">
        <f>IF(TRIM(Table1[[#This Row],[PitStopLaps]])="",0,
LEN(Table1[[#This Row],[PitStopLaps]])-LEN(SUBSTITUTE(Table1[[#This Row],[PitStopLaps]],",",""))+1)</f>
        <v>1</v>
      </c>
      <c r="U132">
        <f>Table1[[#This Row],[StartPosition]]-Table1[[#This Row],[FinishPosition]]</f>
        <v>5</v>
      </c>
    </row>
    <row r="133" spans="1:21" x14ac:dyDescent="0.3">
      <c r="A133">
        <v>2018</v>
      </c>
      <c r="B133">
        <v>7</v>
      </c>
      <c r="C133" t="s">
        <v>142</v>
      </c>
      <c r="D133" t="s">
        <v>67</v>
      </c>
      <c r="E133" t="s">
        <v>68</v>
      </c>
      <c r="F133" t="s">
        <v>69</v>
      </c>
      <c r="G133">
        <v>20</v>
      </c>
      <c r="H133">
        <v>12</v>
      </c>
      <c r="I133">
        <v>0</v>
      </c>
      <c r="J133" t="s">
        <v>34</v>
      </c>
      <c r="K133" t="s">
        <v>65</v>
      </c>
      <c r="L133">
        <v>69</v>
      </c>
      <c r="M133">
        <v>75.47</v>
      </c>
      <c r="N133">
        <v>76.899760999999998</v>
      </c>
      <c r="O133">
        <v>20.751000000000001</v>
      </c>
      <c r="P133">
        <v>23.984000000000002</v>
      </c>
      <c r="Q133">
        <v>30.206</v>
      </c>
      <c r="R133">
        <v>48</v>
      </c>
      <c r="S133" t="s">
        <v>83</v>
      </c>
      <c r="T133">
        <f>IF(TRIM(Table1[[#This Row],[PitStopLaps]])="",0,
LEN(Table1[[#This Row],[PitStopLaps]])-LEN(SUBSTITUTE(Table1[[#This Row],[PitStopLaps]],",",""))+1)</f>
        <v>1</v>
      </c>
      <c r="U133">
        <f>Table1[[#This Row],[StartPosition]]-Table1[[#This Row],[FinishPosition]]</f>
        <v>8</v>
      </c>
    </row>
    <row r="134" spans="1:21" x14ac:dyDescent="0.3">
      <c r="A134">
        <v>2018</v>
      </c>
      <c r="B134">
        <v>7</v>
      </c>
      <c r="C134" t="s">
        <v>142</v>
      </c>
      <c r="D134" t="s">
        <v>71</v>
      </c>
      <c r="E134" t="s">
        <v>72</v>
      </c>
      <c r="F134" t="s">
        <v>69</v>
      </c>
      <c r="G134">
        <v>11</v>
      </c>
      <c r="H134">
        <v>13</v>
      </c>
      <c r="I134">
        <v>0</v>
      </c>
      <c r="J134" t="s">
        <v>34</v>
      </c>
      <c r="K134" t="s">
        <v>65</v>
      </c>
      <c r="L134">
        <v>69</v>
      </c>
      <c r="M134">
        <v>75.400999999999996</v>
      </c>
      <c r="N134">
        <v>76.991395999999995</v>
      </c>
      <c r="O134">
        <v>20.792000000000002</v>
      </c>
      <c r="P134">
        <v>24.024999999999999</v>
      </c>
      <c r="Q134">
        <v>30.364999999999998</v>
      </c>
      <c r="R134">
        <v>22</v>
      </c>
      <c r="S134" t="s">
        <v>83</v>
      </c>
      <c r="T134">
        <f>IF(TRIM(Table1[[#This Row],[PitStopLaps]])="",0,
LEN(Table1[[#This Row],[PitStopLaps]])-LEN(SUBSTITUTE(Table1[[#This Row],[PitStopLaps]],",",""))+1)</f>
        <v>1</v>
      </c>
      <c r="U134">
        <f>Table1[[#This Row],[StartPosition]]-Table1[[#This Row],[FinishPosition]]</f>
        <v>-2</v>
      </c>
    </row>
    <row r="135" spans="1:21" x14ac:dyDescent="0.3">
      <c r="A135">
        <v>2018</v>
      </c>
      <c r="B135">
        <v>7</v>
      </c>
      <c r="C135" t="s">
        <v>142</v>
      </c>
      <c r="D135" t="s">
        <v>49</v>
      </c>
      <c r="E135" t="s">
        <v>50</v>
      </c>
      <c r="F135" t="s">
        <v>51</v>
      </c>
      <c r="G135">
        <v>10</v>
      </c>
      <c r="H135">
        <v>14</v>
      </c>
      <c r="I135">
        <v>0</v>
      </c>
      <c r="J135" t="s">
        <v>34</v>
      </c>
      <c r="K135" t="s">
        <v>65</v>
      </c>
      <c r="L135">
        <v>69</v>
      </c>
      <c r="M135">
        <v>75.099999999999994</v>
      </c>
      <c r="N135">
        <v>76.677918000000005</v>
      </c>
      <c r="O135">
        <v>20.838999999999999</v>
      </c>
      <c r="P135">
        <v>24.065999999999999</v>
      </c>
      <c r="Q135">
        <v>30.085999999999999</v>
      </c>
      <c r="R135" t="s">
        <v>143</v>
      </c>
      <c r="S135" t="s">
        <v>83</v>
      </c>
      <c r="T135">
        <f>IF(TRIM(Table1[[#This Row],[PitStopLaps]])="",0,
LEN(Table1[[#This Row],[PitStopLaps]])-LEN(SUBSTITUTE(Table1[[#This Row],[PitStopLaps]],",",""))+1)</f>
        <v>2</v>
      </c>
      <c r="U135">
        <f>Table1[[#This Row],[StartPosition]]-Table1[[#This Row],[FinishPosition]]</f>
        <v>-4</v>
      </c>
    </row>
    <row r="136" spans="1:21" x14ac:dyDescent="0.3">
      <c r="A136">
        <v>2018</v>
      </c>
      <c r="B136">
        <v>7</v>
      </c>
      <c r="C136" t="s">
        <v>142</v>
      </c>
      <c r="D136" t="s">
        <v>76</v>
      </c>
      <c r="E136" t="s">
        <v>77</v>
      </c>
      <c r="F136" t="s">
        <v>56</v>
      </c>
      <c r="G136">
        <v>19</v>
      </c>
      <c r="H136">
        <v>15</v>
      </c>
      <c r="I136">
        <v>0</v>
      </c>
      <c r="J136" t="s">
        <v>34</v>
      </c>
      <c r="K136" t="s">
        <v>127</v>
      </c>
      <c r="L136">
        <v>68</v>
      </c>
      <c r="M136">
        <v>76.403000000000006</v>
      </c>
      <c r="N136">
        <v>77.872234000000006</v>
      </c>
      <c r="O136">
        <v>21.2</v>
      </c>
      <c r="P136">
        <v>24.344000000000001</v>
      </c>
      <c r="Q136">
        <v>30.734999999999999</v>
      </c>
      <c r="R136">
        <v>1</v>
      </c>
      <c r="S136" t="s">
        <v>83</v>
      </c>
      <c r="T136">
        <f>IF(TRIM(Table1[[#This Row],[PitStopLaps]])="",0,
LEN(Table1[[#This Row],[PitStopLaps]])-LEN(SUBSTITUTE(Table1[[#This Row],[PitStopLaps]],",",""))+1)</f>
        <v>1</v>
      </c>
      <c r="U136">
        <f>Table1[[#This Row],[StartPosition]]-Table1[[#This Row],[FinishPosition]]</f>
        <v>4</v>
      </c>
    </row>
    <row r="137" spans="1:21" x14ac:dyDescent="0.3">
      <c r="A137">
        <v>2018</v>
      </c>
      <c r="B137">
        <v>7</v>
      </c>
      <c r="C137" t="s">
        <v>142</v>
      </c>
      <c r="D137" t="s">
        <v>45</v>
      </c>
      <c r="E137" t="s">
        <v>46</v>
      </c>
      <c r="F137" t="s">
        <v>37</v>
      </c>
      <c r="G137">
        <v>15</v>
      </c>
      <c r="H137">
        <v>16</v>
      </c>
      <c r="I137">
        <v>0</v>
      </c>
      <c r="J137" t="s">
        <v>34</v>
      </c>
      <c r="K137" t="s">
        <v>127</v>
      </c>
      <c r="L137">
        <v>68</v>
      </c>
      <c r="M137">
        <v>75.765000000000001</v>
      </c>
      <c r="N137">
        <v>77.631805999999997</v>
      </c>
      <c r="O137">
        <v>20.88</v>
      </c>
      <c r="P137">
        <v>24.253</v>
      </c>
      <c r="Q137">
        <v>30.457000000000001</v>
      </c>
      <c r="R137" t="s">
        <v>144</v>
      </c>
      <c r="S137" t="s">
        <v>83</v>
      </c>
      <c r="T137">
        <f>IF(TRIM(Table1[[#This Row],[PitStopLaps]])="",0,
LEN(Table1[[#This Row],[PitStopLaps]])-LEN(SUBSTITUTE(Table1[[#This Row],[PitStopLaps]],",",""))+1)</f>
        <v>2</v>
      </c>
      <c r="U137">
        <f>Table1[[#This Row],[StartPosition]]-Table1[[#This Row],[FinishPosition]]</f>
        <v>-1</v>
      </c>
    </row>
    <row r="138" spans="1:21" x14ac:dyDescent="0.3">
      <c r="A138">
        <v>2018</v>
      </c>
      <c r="B138">
        <v>7</v>
      </c>
      <c r="C138" t="s">
        <v>142</v>
      </c>
      <c r="D138" t="s">
        <v>79</v>
      </c>
      <c r="E138" t="s">
        <v>80</v>
      </c>
      <c r="F138" t="s">
        <v>60</v>
      </c>
      <c r="G138">
        <v>18</v>
      </c>
      <c r="H138">
        <v>17</v>
      </c>
      <c r="I138">
        <v>0</v>
      </c>
      <c r="J138" t="s">
        <v>34</v>
      </c>
      <c r="K138" t="s">
        <v>127</v>
      </c>
      <c r="L138">
        <v>68</v>
      </c>
      <c r="M138">
        <v>75.924000000000007</v>
      </c>
      <c r="N138">
        <v>77.943934999999996</v>
      </c>
      <c r="O138">
        <v>21.094000000000001</v>
      </c>
      <c r="P138">
        <v>24.257000000000001</v>
      </c>
      <c r="Q138">
        <v>30.501999999999999</v>
      </c>
      <c r="R138">
        <v>26</v>
      </c>
      <c r="S138" t="s">
        <v>83</v>
      </c>
      <c r="T138">
        <f>IF(TRIM(Table1[[#This Row],[PitStopLaps]])="",0,
LEN(Table1[[#This Row],[PitStopLaps]])-LEN(SUBSTITUTE(Table1[[#This Row],[PitStopLaps]],",",""))+1)</f>
        <v>1</v>
      </c>
      <c r="U138">
        <f>Table1[[#This Row],[StartPosition]]-Table1[[#This Row],[FinishPosition]]</f>
        <v>1</v>
      </c>
    </row>
    <row r="139" spans="1:21" x14ac:dyDescent="0.3">
      <c r="A139">
        <v>2018</v>
      </c>
      <c r="B139">
        <v>7</v>
      </c>
      <c r="C139" t="s">
        <v>142</v>
      </c>
      <c r="D139" t="s">
        <v>35</v>
      </c>
      <c r="E139" t="s">
        <v>36</v>
      </c>
      <c r="F139" t="s">
        <v>37</v>
      </c>
      <c r="G139">
        <v>14</v>
      </c>
      <c r="H139">
        <v>18</v>
      </c>
      <c r="I139">
        <v>0</v>
      </c>
      <c r="J139" t="s">
        <v>34</v>
      </c>
      <c r="K139" t="s">
        <v>145</v>
      </c>
      <c r="L139">
        <v>41</v>
      </c>
      <c r="M139">
        <v>76.180000000000007</v>
      </c>
      <c r="N139">
        <v>77.173940999999999</v>
      </c>
      <c r="O139">
        <v>21.036000000000001</v>
      </c>
      <c r="P139">
        <v>24.416</v>
      </c>
      <c r="Q139">
        <v>30.635999999999999</v>
      </c>
      <c r="R139" t="s">
        <v>146</v>
      </c>
      <c r="S139" t="s">
        <v>83</v>
      </c>
      <c r="T139">
        <f>IF(TRIM(Table1[[#This Row],[PitStopLaps]])="",0,
LEN(Table1[[#This Row],[PitStopLaps]])-LEN(SUBSTITUTE(Table1[[#This Row],[PitStopLaps]],",",""))+1)</f>
        <v>2</v>
      </c>
      <c r="U139">
        <f>Table1[[#This Row],[StartPosition]]-Table1[[#This Row],[FinishPosition]]</f>
        <v>-4</v>
      </c>
    </row>
    <row r="140" spans="1:21" x14ac:dyDescent="0.3">
      <c r="A140">
        <v>2018</v>
      </c>
      <c r="B140">
        <v>7</v>
      </c>
      <c r="C140" t="s">
        <v>142</v>
      </c>
      <c r="D140" t="s">
        <v>62</v>
      </c>
      <c r="E140" t="s">
        <v>63</v>
      </c>
      <c r="F140" t="s">
        <v>64</v>
      </c>
      <c r="G140">
        <v>12</v>
      </c>
      <c r="H140">
        <v>19</v>
      </c>
      <c r="I140">
        <v>0</v>
      </c>
      <c r="J140" t="s">
        <v>34</v>
      </c>
      <c r="K140" t="s">
        <v>124</v>
      </c>
      <c r="L140">
        <v>1</v>
      </c>
      <c r="S140" t="s">
        <v>83</v>
      </c>
      <c r="T140">
        <f>IF(TRIM(Table1[[#This Row],[PitStopLaps]])="",0,
LEN(Table1[[#This Row],[PitStopLaps]])-LEN(SUBSTITUTE(Table1[[#This Row],[PitStopLaps]],",",""))+1)</f>
        <v>0</v>
      </c>
      <c r="U140">
        <f>Table1[[#This Row],[StartPosition]]-Table1[[#This Row],[FinishPosition]]</f>
        <v>-7</v>
      </c>
    </row>
    <row r="141" spans="1:21" x14ac:dyDescent="0.3">
      <c r="A141">
        <v>2018</v>
      </c>
      <c r="B141">
        <v>7</v>
      </c>
      <c r="C141" t="s">
        <v>142</v>
      </c>
      <c r="D141" t="s">
        <v>58</v>
      </c>
      <c r="E141" t="s">
        <v>59</v>
      </c>
      <c r="F141" t="s">
        <v>60</v>
      </c>
      <c r="G141">
        <v>17</v>
      </c>
      <c r="H141">
        <v>20</v>
      </c>
      <c r="I141">
        <v>0</v>
      </c>
      <c r="J141" t="s">
        <v>34</v>
      </c>
      <c r="K141" t="s">
        <v>124</v>
      </c>
      <c r="L141">
        <v>1</v>
      </c>
      <c r="S141" t="s">
        <v>83</v>
      </c>
      <c r="T141">
        <f>IF(TRIM(Table1[[#This Row],[PitStopLaps]])="",0,
LEN(Table1[[#This Row],[PitStopLaps]])-LEN(SUBSTITUTE(Table1[[#This Row],[PitStopLaps]],",",""))+1)</f>
        <v>0</v>
      </c>
      <c r="U141">
        <f>Table1[[#This Row],[StartPosition]]-Table1[[#This Row],[FinishPosition]]</f>
        <v>-3</v>
      </c>
    </row>
    <row r="142" spans="1:21" x14ac:dyDescent="0.3">
      <c r="A142">
        <v>2018</v>
      </c>
      <c r="B142">
        <v>8</v>
      </c>
      <c r="C142" t="s">
        <v>147</v>
      </c>
      <c r="D142" t="s">
        <v>26</v>
      </c>
      <c r="E142" t="s">
        <v>27</v>
      </c>
      <c r="F142" t="s">
        <v>28</v>
      </c>
      <c r="G142">
        <v>1</v>
      </c>
      <c r="H142">
        <v>1</v>
      </c>
      <c r="I142">
        <v>25</v>
      </c>
      <c r="J142" t="s">
        <v>23</v>
      </c>
      <c r="K142" t="s">
        <v>24</v>
      </c>
      <c r="L142">
        <v>53</v>
      </c>
      <c r="M142">
        <v>94.509</v>
      </c>
      <c r="N142">
        <v>96.101703999999998</v>
      </c>
      <c r="O142">
        <v>23.62</v>
      </c>
      <c r="P142">
        <v>29.03</v>
      </c>
      <c r="Q142">
        <v>41.664000000000001</v>
      </c>
      <c r="R142">
        <v>33</v>
      </c>
      <c r="S142" t="s">
        <v>25</v>
      </c>
      <c r="T142">
        <f>IF(TRIM(Table1[[#This Row],[PitStopLaps]])="",0,
LEN(Table1[[#This Row],[PitStopLaps]])-LEN(SUBSTITUTE(Table1[[#This Row],[PitStopLaps]],",",""))+1)</f>
        <v>1</v>
      </c>
      <c r="U142">
        <f>Table1[[#This Row],[StartPosition]]-Table1[[#This Row],[FinishPosition]]</f>
        <v>0</v>
      </c>
    </row>
    <row r="143" spans="1:21" x14ac:dyDescent="0.3">
      <c r="A143">
        <v>2018</v>
      </c>
      <c r="B143">
        <v>8</v>
      </c>
      <c r="C143" t="s">
        <v>147</v>
      </c>
      <c r="D143" t="s">
        <v>38</v>
      </c>
      <c r="E143" t="s">
        <v>39</v>
      </c>
      <c r="F143" t="s">
        <v>33</v>
      </c>
      <c r="G143">
        <v>4</v>
      </c>
      <c r="H143">
        <v>2</v>
      </c>
      <c r="I143">
        <v>18</v>
      </c>
      <c r="J143" t="s">
        <v>23</v>
      </c>
      <c r="K143" t="s">
        <v>24</v>
      </c>
      <c r="L143">
        <v>53</v>
      </c>
      <c r="M143">
        <v>94.275000000000006</v>
      </c>
      <c r="N143">
        <v>96.198227000000003</v>
      </c>
      <c r="O143">
        <v>23.608000000000001</v>
      </c>
      <c r="P143">
        <v>28.896000000000001</v>
      </c>
      <c r="Q143">
        <v>41.7</v>
      </c>
      <c r="R143">
        <v>25</v>
      </c>
      <c r="S143" t="s">
        <v>25</v>
      </c>
      <c r="T143">
        <f>IF(TRIM(Table1[[#This Row],[PitStopLaps]])="",0,
LEN(Table1[[#This Row],[PitStopLaps]])-LEN(SUBSTITUTE(Table1[[#This Row],[PitStopLaps]],",",""))+1)</f>
        <v>1</v>
      </c>
      <c r="U143">
        <f>Table1[[#This Row],[StartPosition]]-Table1[[#This Row],[FinishPosition]]</f>
        <v>2</v>
      </c>
    </row>
    <row r="144" spans="1:21" x14ac:dyDescent="0.3">
      <c r="A144">
        <v>2018</v>
      </c>
      <c r="B144">
        <v>8</v>
      </c>
      <c r="C144" t="s">
        <v>147</v>
      </c>
      <c r="D144" t="s">
        <v>29</v>
      </c>
      <c r="E144" t="s">
        <v>30</v>
      </c>
      <c r="F144" t="s">
        <v>22</v>
      </c>
      <c r="G144">
        <v>6</v>
      </c>
      <c r="H144">
        <v>3</v>
      </c>
      <c r="I144">
        <v>15</v>
      </c>
      <c r="J144" t="s">
        <v>23</v>
      </c>
      <c r="K144" t="s">
        <v>24</v>
      </c>
      <c r="L144">
        <v>53</v>
      </c>
      <c r="M144">
        <v>94.397999999999996</v>
      </c>
      <c r="N144">
        <v>96.604794999999996</v>
      </c>
      <c r="O144">
        <v>23.515000000000001</v>
      </c>
      <c r="P144">
        <v>28.803999999999998</v>
      </c>
      <c r="Q144">
        <v>41.664999999999999</v>
      </c>
      <c r="R144">
        <v>34</v>
      </c>
      <c r="S144" t="s">
        <v>25</v>
      </c>
      <c r="T144">
        <f>IF(TRIM(Table1[[#This Row],[PitStopLaps]])="",0,
LEN(Table1[[#This Row],[PitStopLaps]])-LEN(SUBSTITUTE(Table1[[#This Row],[PitStopLaps]],",",""))+1)</f>
        <v>1</v>
      </c>
      <c r="U144">
        <f>Table1[[#This Row],[StartPosition]]-Table1[[#This Row],[FinishPosition]]</f>
        <v>3</v>
      </c>
    </row>
    <row r="145" spans="1:21" x14ac:dyDescent="0.3">
      <c r="A145">
        <v>2018</v>
      </c>
      <c r="B145">
        <v>8</v>
      </c>
      <c r="C145" t="s">
        <v>147</v>
      </c>
      <c r="D145" t="s">
        <v>31</v>
      </c>
      <c r="E145" t="s">
        <v>32</v>
      </c>
      <c r="F145" t="s">
        <v>33</v>
      </c>
      <c r="G145">
        <v>5</v>
      </c>
      <c r="H145">
        <v>4</v>
      </c>
      <c r="I145">
        <v>12</v>
      </c>
      <c r="J145" t="s">
        <v>34</v>
      </c>
      <c r="K145" t="s">
        <v>24</v>
      </c>
      <c r="L145">
        <v>53</v>
      </c>
      <c r="M145">
        <v>95.382000000000005</v>
      </c>
      <c r="N145">
        <v>96.791635999999997</v>
      </c>
      <c r="O145">
        <v>23.728999999999999</v>
      </c>
      <c r="P145">
        <v>29.132999999999999</v>
      </c>
      <c r="Q145">
        <v>42.226999999999997</v>
      </c>
      <c r="R145">
        <v>28</v>
      </c>
      <c r="S145" t="s">
        <v>25</v>
      </c>
      <c r="T145">
        <f>IF(TRIM(Table1[[#This Row],[PitStopLaps]])="",0,
LEN(Table1[[#This Row],[PitStopLaps]])-LEN(SUBSTITUTE(Table1[[#This Row],[PitStopLaps]],",",""))+1)</f>
        <v>1</v>
      </c>
      <c r="U145">
        <f>Table1[[#This Row],[StartPosition]]-Table1[[#This Row],[FinishPosition]]</f>
        <v>1</v>
      </c>
    </row>
    <row r="146" spans="1:21" x14ac:dyDescent="0.3">
      <c r="A146">
        <v>2018</v>
      </c>
      <c r="B146">
        <v>8</v>
      </c>
      <c r="C146" t="s">
        <v>147</v>
      </c>
      <c r="D146" t="s">
        <v>20</v>
      </c>
      <c r="E146" t="s">
        <v>21</v>
      </c>
      <c r="F146" t="s">
        <v>22</v>
      </c>
      <c r="G146">
        <v>3</v>
      </c>
      <c r="H146">
        <v>5</v>
      </c>
      <c r="I146">
        <v>10</v>
      </c>
      <c r="J146" t="s">
        <v>34</v>
      </c>
      <c r="K146" t="s">
        <v>24</v>
      </c>
      <c r="L146">
        <v>53</v>
      </c>
      <c r="M146">
        <v>94.484999999999999</v>
      </c>
      <c r="N146">
        <v>97.126339999999999</v>
      </c>
      <c r="O146">
        <v>23.456</v>
      </c>
      <c r="P146">
        <v>28.568000000000001</v>
      </c>
      <c r="Q146">
        <v>41.695</v>
      </c>
      <c r="R146" t="s">
        <v>112</v>
      </c>
      <c r="S146" t="s">
        <v>25</v>
      </c>
      <c r="T146">
        <f>IF(TRIM(Table1[[#This Row],[PitStopLaps]])="",0,
LEN(Table1[[#This Row],[PitStopLaps]])-LEN(SUBSTITUTE(Table1[[#This Row],[PitStopLaps]],",",""))+1)</f>
        <v>2</v>
      </c>
      <c r="U146">
        <f>Table1[[#This Row],[StartPosition]]-Table1[[#This Row],[FinishPosition]]</f>
        <v>-2</v>
      </c>
    </row>
    <row r="147" spans="1:21" x14ac:dyDescent="0.3">
      <c r="A147">
        <v>2018</v>
      </c>
      <c r="B147">
        <v>8</v>
      </c>
      <c r="C147" t="s">
        <v>147</v>
      </c>
      <c r="D147" t="s">
        <v>71</v>
      </c>
      <c r="E147" t="s">
        <v>72</v>
      </c>
      <c r="F147" t="s">
        <v>69</v>
      </c>
      <c r="G147">
        <v>9</v>
      </c>
      <c r="H147">
        <v>6</v>
      </c>
      <c r="I147">
        <v>8</v>
      </c>
      <c r="J147" t="s">
        <v>34</v>
      </c>
      <c r="K147" t="s">
        <v>24</v>
      </c>
      <c r="L147">
        <v>53</v>
      </c>
      <c r="M147">
        <v>95.424999999999997</v>
      </c>
      <c r="N147">
        <v>97.735203999999996</v>
      </c>
      <c r="O147">
        <v>23.859000000000002</v>
      </c>
      <c r="P147">
        <v>29.19</v>
      </c>
      <c r="Q147">
        <v>41.917000000000002</v>
      </c>
      <c r="R147">
        <v>28</v>
      </c>
      <c r="S147" t="s">
        <v>25</v>
      </c>
      <c r="T147">
        <f>IF(TRIM(Table1[[#This Row],[PitStopLaps]])="",0,
LEN(Table1[[#This Row],[PitStopLaps]])-LEN(SUBSTITUTE(Table1[[#This Row],[PitStopLaps]],",",""))+1)</f>
        <v>1</v>
      </c>
      <c r="U147">
        <f>Table1[[#This Row],[StartPosition]]-Table1[[#This Row],[FinishPosition]]</f>
        <v>3</v>
      </c>
    </row>
    <row r="148" spans="1:21" x14ac:dyDescent="0.3">
      <c r="A148">
        <v>2018</v>
      </c>
      <c r="B148">
        <v>8</v>
      </c>
      <c r="C148" t="s">
        <v>147</v>
      </c>
      <c r="D148" t="s">
        <v>43</v>
      </c>
      <c r="E148" t="s">
        <v>44</v>
      </c>
      <c r="F148" t="s">
        <v>28</v>
      </c>
      <c r="G148">
        <v>2</v>
      </c>
      <c r="H148">
        <v>7</v>
      </c>
      <c r="I148">
        <v>6</v>
      </c>
      <c r="J148" t="s">
        <v>34</v>
      </c>
      <c r="K148" t="s">
        <v>24</v>
      </c>
      <c r="L148">
        <v>53</v>
      </c>
      <c r="M148">
        <v>94.224999999999994</v>
      </c>
      <c r="N148">
        <v>97.592909000000006</v>
      </c>
      <c r="O148">
        <v>23.71</v>
      </c>
      <c r="P148">
        <v>28.725999999999999</v>
      </c>
      <c r="Q148">
        <v>41.789000000000001</v>
      </c>
      <c r="R148" t="s">
        <v>122</v>
      </c>
      <c r="S148" t="s">
        <v>25</v>
      </c>
      <c r="T148">
        <f>IF(TRIM(Table1[[#This Row],[PitStopLaps]])="",0,
LEN(Table1[[#This Row],[PitStopLaps]])-LEN(SUBSTITUTE(Table1[[#This Row],[PitStopLaps]],",",""))+1)</f>
        <v>2</v>
      </c>
      <c r="U148">
        <f>Table1[[#This Row],[StartPosition]]-Table1[[#This Row],[FinishPosition]]</f>
        <v>-5</v>
      </c>
    </row>
    <row r="149" spans="1:21" x14ac:dyDescent="0.3">
      <c r="A149">
        <v>2018</v>
      </c>
      <c r="B149">
        <v>8</v>
      </c>
      <c r="C149" t="s">
        <v>147</v>
      </c>
      <c r="D149" t="s">
        <v>47</v>
      </c>
      <c r="E149" t="s">
        <v>48</v>
      </c>
      <c r="F149" t="s">
        <v>42</v>
      </c>
      <c r="G149">
        <v>7</v>
      </c>
      <c r="H149">
        <v>8</v>
      </c>
      <c r="I149">
        <v>4</v>
      </c>
      <c r="J149" t="s">
        <v>34</v>
      </c>
      <c r="K149" t="s">
        <v>24</v>
      </c>
      <c r="L149">
        <v>53</v>
      </c>
      <c r="M149">
        <v>95.638000000000005</v>
      </c>
      <c r="N149">
        <v>97.901839999999893</v>
      </c>
      <c r="O149">
        <v>23.925000000000001</v>
      </c>
      <c r="P149">
        <v>29.224</v>
      </c>
      <c r="Q149">
        <v>42.277999999999999</v>
      </c>
      <c r="R149">
        <v>26</v>
      </c>
      <c r="S149" t="s">
        <v>25</v>
      </c>
      <c r="T149">
        <f>IF(TRIM(Table1[[#This Row],[PitStopLaps]])="",0,
LEN(Table1[[#This Row],[PitStopLaps]])-LEN(SUBSTITUTE(Table1[[#This Row],[PitStopLaps]],",",""))+1)</f>
        <v>1</v>
      </c>
      <c r="U149">
        <f>Table1[[#This Row],[StartPosition]]-Table1[[#This Row],[FinishPosition]]</f>
        <v>-1</v>
      </c>
    </row>
    <row r="150" spans="1:21" x14ac:dyDescent="0.3">
      <c r="A150">
        <v>2018</v>
      </c>
      <c r="B150">
        <v>8</v>
      </c>
      <c r="C150" t="s">
        <v>147</v>
      </c>
      <c r="D150" t="s">
        <v>40</v>
      </c>
      <c r="E150" t="s">
        <v>41</v>
      </c>
      <c r="F150" t="s">
        <v>42</v>
      </c>
      <c r="G150">
        <v>12</v>
      </c>
      <c r="H150">
        <v>9</v>
      </c>
      <c r="I150">
        <v>2</v>
      </c>
      <c r="J150" t="s">
        <v>34</v>
      </c>
      <c r="K150" t="s">
        <v>24</v>
      </c>
      <c r="L150">
        <v>53</v>
      </c>
      <c r="M150">
        <v>95.873000000000005</v>
      </c>
      <c r="N150">
        <v>97.995385999999996</v>
      </c>
      <c r="O150">
        <v>23.843</v>
      </c>
      <c r="P150">
        <v>29.265000000000001</v>
      </c>
      <c r="Q150">
        <v>42.442</v>
      </c>
      <c r="R150">
        <v>37</v>
      </c>
      <c r="S150" t="s">
        <v>25</v>
      </c>
      <c r="T150">
        <f>IF(TRIM(Table1[[#This Row],[PitStopLaps]])="",0,
LEN(Table1[[#This Row],[PitStopLaps]])-LEN(SUBSTITUTE(Table1[[#This Row],[PitStopLaps]],",",""))+1)</f>
        <v>1</v>
      </c>
      <c r="U150">
        <f>Table1[[#This Row],[StartPosition]]-Table1[[#This Row],[FinishPosition]]</f>
        <v>3</v>
      </c>
    </row>
    <row r="151" spans="1:21" x14ac:dyDescent="0.3">
      <c r="A151">
        <v>2018</v>
      </c>
      <c r="B151">
        <v>8</v>
      </c>
      <c r="C151" t="s">
        <v>147</v>
      </c>
      <c r="D151" t="s">
        <v>54</v>
      </c>
      <c r="E151" t="s">
        <v>55</v>
      </c>
      <c r="F151" t="s">
        <v>56</v>
      </c>
      <c r="G151">
        <v>8</v>
      </c>
      <c r="H151">
        <v>10</v>
      </c>
      <c r="I151">
        <v>1</v>
      </c>
      <c r="J151" t="s">
        <v>34</v>
      </c>
      <c r="K151" t="s">
        <v>24</v>
      </c>
      <c r="L151">
        <v>53</v>
      </c>
      <c r="M151">
        <v>95.977000000000004</v>
      </c>
      <c r="N151">
        <v>98.084226999999998</v>
      </c>
      <c r="O151">
        <v>24.071999999999999</v>
      </c>
      <c r="P151">
        <v>29.22</v>
      </c>
      <c r="Q151">
        <v>42.411999999999999</v>
      </c>
      <c r="R151">
        <v>31</v>
      </c>
      <c r="S151" t="s">
        <v>25</v>
      </c>
      <c r="T151">
        <f>IF(TRIM(Table1[[#This Row],[PitStopLaps]])="",0,
LEN(Table1[[#This Row],[PitStopLaps]])-LEN(SUBSTITUTE(Table1[[#This Row],[PitStopLaps]],",",""))+1)</f>
        <v>1</v>
      </c>
      <c r="U151">
        <f>Table1[[#This Row],[StartPosition]]-Table1[[#This Row],[FinishPosition]]</f>
        <v>-2</v>
      </c>
    </row>
    <row r="152" spans="1:21" x14ac:dyDescent="0.3">
      <c r="A152">
        <v>2018</v>
      </c>
      <c r="B152">
        <v>8</v>
      </c>
      <c r="C152" t="s">
        <v>147</v>
      </c>
      <c r="D152" t="s">
        <v>67</v>
      </c>
      <c r="E152" t="s">
        <v>68</v>
      </c>
      <c r="F152" t="s">
        <v>69</v>
      </c>
      <c r="G152">
        <v>10</v>
      </c>
      <c r="H152">
        <v>11</v>
      </c>
      <c r="I152">
        <v>0</v>
      </c>
      <c r="J152" t="s">
        <v>34</v>
      </c>
      <c r="K152" t="s">
        <v>65</v>
      </c>
      <c r="L152">
        <v>52</v>
      </c>
      <c r="M152">
        <v>95.694999999999993</v>
      </c>
      <c r="N152">
        <v>98.309237999999993</v>
      </c>
      <c r="O152">
        <v>23.995999999999999</v>
      </c>
      <c r="P152">
        <v>29.349</v>
      </c>
      <c r="Q152">
        <v>42.168999999999997</v>
      </c>
      <c r="R152">
        <v>34</v>
      </c>
      <c r="S152" t="s">
        <v>25</v>
      </c>
      <c r="T152">
        <f>IF(TRIM(Table1[[#This Row],[PitStopLaps]])="",0,
LEN(Table1[[#This Row],[PitStopLaps]])-LEN(SUBSTITUTE(Table1[[#This Row],[PitStopLaps]],",",""))+1)</f>
        <v>1</v>
      </c>
      <c r="U152">
        <f>Table1[[#This Row],[StartPosition]]-Table1[[#This Row],[FinishPosition]]</f>
        <v>-1</v>
      </c>
    </row>
    <row r="153" spans="1:21" x14ac:dyDescent="0.3">
      <c r="A153">
        <v>2018</v>
      </c>
      <c r="B153">
        <v>8</v>
      </c>
      <c r="C153" t="s">
        <v>147</v>
      </c>
      <c r="D153" t="s">
        <v>45</v>
      </c>
      <c r="E153" t="s">
        <v>46</v>
      </c>
      <c r="F153" t="s">
        <v>37</v>
      </c>
      <c r="G153">
        <v>17</v>
      </c>
      <c r="H153">
        <v>12</v>
      </c>
      <c r="I153">
        <v>0</v>
      </c>
      <c r="J153" t="s">
        <v>34</v>
      </c>
      <c r="K153" t="s">
        <v>65</v>
      </c>
      <c r="L153">
        <v>52</v>
      </c>
      <c r="M153">
        <v>96.674999999999997</v>
      </c>
      <c r="N153">
        <v>98.685929999999999</v>
      </c>
      <c r="O153">
        <v>24.469000000000001</v>
      </c>
      <c r="P153">
        <v>29.372</v>
      </c>
      <c r="Q153">
        <v>42.445999999999998</v>
      </c>
      <c r="R153">
        <v>40</v>
      </c>
      <c r="S153" t="s">
        <v>25</v>
      </c>
      <c r="T153">
        <f>IF(TRIM(Table1[[#This Row],[PitStopLaps]])="",0,
LEN(Table1[[#This Row],[PitStopLaps]])-LEN(SUBSTITUTE(Table1[[#This Row],[PitStopLaps]],",",""))+1)</f>
        <v>1</v>
      </c>
      <c r="U153">
        <f>Table1[[#This Row],[StartPosition]]-Table1[[#This Row],[FinishPosition]]</f>
        <v>5</v>
      </c>
    </row>
    <row r="154" spans="1:21" x14ac:dyDescent="0.3">
      <c r="A154">
        <v>2018</v>
      </c>
      <c r="B154">
        <v>8</v>
      </c>
      <c r="C154" t="s">
        <v>147</v>
      </c>
      <c r="D154" t="s">
        <v>76</v>
      </c>
      <c r="E154" t="s">
        <v>77</v>
      </c>
      <c r="F154" t="s">
        <v>56</v>
      </c>
      <c r="G154">
        <v>15</v>
      </c>
      <c r="H154">
        <v>13</v>
      </c>
      <c r="I154">
        <v>0</v>
      </c>
      <c r="J154" t="s">
        <v>34</v>
      </c>
      <c r="K154" t="s">
        <v>65</v>
      </c>
      <c r="L154">
        <v>52</v>
      </c>
      <c r="M154">
        <v>96.494</v>
      </c>
      <c r="N154">
        <v>99.206812999999997</v>
      </c>
      <c r="O154">
        <v>24.181999999999999</v>
      </c>
      <c r="P154">
        <v>29.35</v>
      </c>
      <c r="Q154">
        <v>42.893000000000001</v>
      </c>
      <c r="R154">
        <v>35</v>
      </c>
      <c r="S154" t="s">
        <v>25</v>
      </c>
      <c r="T154">
        <f>IF(TRIM(Table1[[#This Row],[PitStopLaps]])="",0,
LEN(Table1[[#This Row],[PitStopLaps]])-LEN(SUBSTITUTE(Table1[[#This Row],[PitStopLaps]],",",""))+1)</f>
        <v>1</v>
      </c>
      <c r="U154">
        <f>Table1[[#This Row],[StartPosition]]-Table1[[#This Row],[FinishPosition]]</f>
        <v>2</v>
      </c>
    </row>
    <row r="155" spans="1:21" x14ac:dyDescent="0.3">
      <c r="A155">
        <v>2018</v>
      </c>
      <c r="B155">
        <v>8</v>
      </c>
      <c r="C155" t="s">
        <v>147</v>
      </c>
      <c r="D155" t="s">
        <v>62</v>
      </c>
      <c r="E155" t="s">
        <v>63</v>
      </c>
      <c r="F155" t="s">
        <v>64</v>
      </c>
      <c r="G155">
        <v>20</v>
      </c>
      <c r="H155">
        <v>14</v>
      </c>
      <c r="I155">
        <v>0</v>
      </c>
      <c r="J155" t="s">
        <v>34</v>
      </c>
      <c r="K155" t="s">
        <v>65</v>
      </c>
      <c r="L155">
        <v>52</v>
      </c>
      <c r="M155">
        <v>96.838999999999999</v>
      </c>
      <c r="N155">
        <v>99.177905999999993</v>
      </c>
      <c r="O155">
        <v>24.212</v>
      </c>
      <c r="P155">
        <v>29.454999999999998</v>
      </c>
      <c r="Q155">
        <v>42.859000000000002</v>
      </c>
      <c r="R155">
        <v>38</v>
      </c>
      <c r="S155" t="s">
        <v>25</v>
      </c>
      <c r="T155">
        <f>IF(TRIM(Table1[[#This Row],[PitStopLaps]])="",0,
LEN(Table1[[#This Row],[PitStopLaps]])-LEN(SUBSTITUTE(Table1[[#This Row],[PitStopLaps]],",",""))+1)</f>
        <v>1</v>
      </c>
      <c r="U155">
        <f>Table1[[#This Row],[StartPosition]]-Table1[[#This Row],[FinishPosition]]</f>
        <v>6</v>
      </c>
    </row>
    <row r="156" spans="1:21" x14ac:dyDescent="0.3">
      <c r="A156">
        <v>2018</v>
      </c>
      <c r="B156">
        <v>8</v>
      </c>
      <c r="C156" t="s">
        <v>147</v>
      </c>
      <c r="D156" t="s">
        <v>79</v>
      </c>
      <c r="E156" t="s">
        <v>80</v>
      </c>
      <c r="F156" t="s">
        <v>60</v>
      </c>
      <c r="G156">
        <v>18</v>
      </c>
      <c r="H156">
        <v>15</v>
      </c>
      <c r="I156">
        <v>0</v>
      </c>
      <c r="J156" t="s">
        <v>34</v>
      </c>
      <c r="K156" t="s">
        <v>65</v>
      </c>
      <c r="L156">
        <v>52</v>
      </c>
      <c r="M156">
        <v>98.3</v>
      </c>
      <c r="N156">
        <v>99.865510999999998</v>
      </c>
      <c r="O156">
        <v>24.721</v>
      </c>
      <c r="P156">
        <v>29.792000000000002</v>
      </c>
      <c r="Q156">
        <v>43.743000000000002</v>
      </c>
      <c r="R156">
        <v>1</v>
      </c>
      <c r="S156" t="s">
        <v>25</v>
      </c>
      <c r="T156">
        <f>IF(TRIM(Table1[[#This Row],[PitStopLaps]])="",0,
LEN(Table1[[#This Row],[PitStopLaps]])-LEN(SUBSTITUTE(Table1[[#This Row],[PitStopLaps]],",",""))+1)</f>
        <v>1</v>
      </c>
      <c r="U156">
        <f>Table1[[#This Row],[StartPosition]]-Table1[[#This Row],[FinishPosition]]</f>
        <v>3</v>
      </c>
    </row>
    <row r="157" spans="1:21" x14ac:dyDescent="0.3">
      <c r="A157">
        <v>2018</v>
      </c>
      <c r="B157">
        <v>8</v>
      </c>
      <c r="C157" t="s">
        <v>147</v>
      </c>
      <c r="D157" t="s">
        <v>35</v>
      </c>
      <c r="E157" t="s">
        <v>36</v>
      </c>
      <c r="F157" t="s">
        <v>37</v>
      </c>
      <c r="G157">
        <v>16</v>
      </c>
      <c r="H157">
        <v>16</v>
      </c>
      <c r="I157">
        <v>0</v>
      </c>
      <c r="J157" t="s">
        <v>34</v>
      </c>
      <c r="K157" t="s">
        <v>70</v>
      </c>
      <c r="L157">
        <v>51</v>
      </c>
      <c r="M157">
        <v>95.132999999999996</v>
      </c>
      <c r="N157">
        <v>99.550094999999999</v>
      </c>
      <c r="O157">
        <v>23.95</v>
      </c>
      <c r="P157">
        <v>29.178999999999998</v>
      </c>
      <c r="Q157">
        <v>42.003999999999998</v>
      </c>
      <c r="R157" t="s">
        <v>148</v>
      </c>
      <c r="S157" t="s">
        <v>25</v>
      </c>
      <c r="T157">
        <f>IF(TRIM(Table1[[#This Row],[PitStopLaps]])="",0,
LEN(Table1[[#This Row],[PitStopLaps]])-LEN(SUBSTITUTE(Table1[[#This Row],[PitStopLaps]],",",""))+1)</f>
        <v>3</v>
      </c>
      <c r="U157">
        <f>Table1[[#This Row],[StartPosition]]-Table1[[#This Row],[FinishPosition]]</f>
        <v>0</v>
      </c>
    </row>
    <row r="158" spans="1:21" x14ac:dyDescent="0.3">
      <c r="A158">
        <v>2018</v>
      </c>
      <c r="B158">
        <v>8</v>
      </c>
      <c r="C158" t="s">
        <v>147</v>
      </c>
      <c r="D158" t="s">
        <v>58</v>
      </c>
      <c r="E158" t="s">
        <v>59</v>
      </c>
      <c r="F158" t="s">
        <v>60</v>
      </c>
      <c r="G158">
        <v>19</v>
      </c>
      <c r="H158">
        <v>17</v>
      </c>
      <c r="I158">
        <v>0</v>
      </c>
      <c r="J158" t="s">
        <v>34</v>
      </c>
      <c r="K158" t="s">
        <v>98</v>
      </c>
      <c r="L158">
        <v>49</v>
      </c>
      <c r="M158">
        <v>98.319000000000003</v>
      </c>
      <c r="N158">
        <v>99.800790000000006</v>
      </c>
      <c r="O158">
        <v>24.693000000000001</v>
      </c>
      <c r="P158">
        <v>30.024000000000001</v>
      </c>
      <c r="Q158">
        <v>43.536999999999999</v>
      </c>
      <c r="R158">
        <v>1</v>
      </c>
      <c r="S158" t="s">
        <v>25</v>
      </c>
      <c r="T158">
        <f>IF(TRIM(Table1[[#This Row],[PitStopLaps]])="",0,
LEN(Table1[[#This Row],[PitStopLaps]])-LEN(SUBSTITUTE(Table1[[#This Row],[PitStopLaps]],",",""))+1)</f>
        <v>1</v>
      </c>
      <c r="U158">
        <f>Table1[[#This Row],[StartPosition]]-Table1[[#This Row],[FinishPosition]]</f>
        <v>2</v>
      </c>
    </row>
    <row r="159" spans="1:21" x14ac:dyDescent="0.3">
      <c r="A159">
        <v>2018</v>
      </c>
      <c r="B159">
        <v>8</v>
      </c>
      <c r="C159" t="s">
        <v>147</v>
      </c>
      <c r="D159" t="s">
        <v>49</v>
      </c>
      <c r="E159" t="s">
        <v>50</v>
      </c>
      <c r="F159" t="s">
        <v>51</v>
      </c>
      <c r="G159">
        <v>13</v>
      </c>
      <c r="H159">
        <v>18</v>
      </c>
      <c r="I159">
        <v>0</v>
      </c>
      <c r="J159" t="s">
        <v>34</v>
      </c>
      <c r="K159" t="s">
        <v>75</v>
      </c>
      <c r="L159">
        <v>28</v>
      </c>
      <c r="M159">
        <v>98.319000000000003</v>
      </c>
      <c r="N159">
        <v>99.453181000000001</v>
      </c>
      <c r="O159">
        <v>24.837</v>
      </c>
      <c r="P159">
        <v>29.866</v>
      </c>
      <c r="Q159">
        <v>43.5</v>
      </c>
      <c r="R159">
        <v>28</v>
      </c>
      <c r="S159" t="s">
        <v>25</v>
      </c>
      <c r="T159">
        <f>IF(TRIM(Table1[[#This Row],[PitStopLaps]])="",0,
LEN(Table1[[#This Row],[PitStopLaps]])-LEN(SUBSTITUTE(Table1[[#This Row],[PitStopLaps]],",",""))+1)</f>
        <v>1</v>
      </c>
      <c r="U159">
        <f>Table1[[#This Row],[StartPosition]]-Table1[[#This Row],[FinishPosition]]</f>
        <v>-5</v>
      </c>
    </row>
    <row r="160" spans="1:21" x14ac:dyDescent="0.3">
      <c r="A160">
        <v>2018</v>
      </c>
      <c r="B160">
        <v>8</v>
      </c>
      <c r="C160" t="s">
        <v>147</v>
      </c>
      <c r="D160" t="s">
        <v>52</v>
      </c>
      <c r="E160" t="s">
        <v>53</v>
      </c>
      <c r="F160" t="s">
        <v>51</v>
      </c>
      <c r="G160">
        <v>11</v>
      </c>
      <c r="H160">
        <v>19</v>
      </c>
      <c r="I160">
        <v>0</v>
      </c>
      <c r="J160" t="s">
        <v>34</v>
      </c>
      <c r="K160" t="s">
        <v>124</v>
      </c>
      <c r="L160">
        <v>1</v>
      </c>
      <c r="S160" t="s">
        <v>25</v>
      </c>
      <c r="T160">
        <f>IF(TRIM(Table1[[#This Row],[PitStopLaps]])="",0,
LEN(Table1[[#This Row],[PitStopLaps]])-LEN(SUBSTITUTE(Table1[[#This Row],[PitStopLaps]],",",""))+1)</f>
        <v>0</v>
      </c>
      <c r="U160">
        <f>Table1[[#This Row],[StartPosition]]-Table1[[#This Row],[FinishPosition]]</f>
        <v>-8</v>
      </c>
    </row>
    <row r="161" spans="1:21" x14ac:dyDescent="0.3">
      <c r="A161">
        <v>2018</v>
      </c>
      <c r="B161">
        <v>8</v>
      </c>
      <c r="C161" t="s">
        <v>147</v>
      </c>
      <c r="D161" t="s">
        <v>73</v>
      </c>
      <c r="E161" t="s">
        <v>74</v>
      </c>
      <c r="F161" t="s">
        <v>64</v>
      </c>
      <c r="G161">
        <v>14</v>
      </c>
      <c r="H161">
        <v>20</v>
      </c>
      <c r="I161">
        <v>0</v>
      </c>
      <c r="J161" t="s">
        <v>34</v>
      </c>
      <c r="K161" t="s">
        <v>124</v>
      </c>
      <c r="L161">
        <v>1</v>
      </c>
      <c r="S161" t="s">
        <v>25</v>
      </c>
      <c r="T161">
        <f>IF(TRIM(Table1[[#This Row],[PitStopLaps]])="",0,
LEN(Table1[[#This Row],[PitStopLaps]])-LEN(SUBSTITUTE(Table1[[#This Row],[PitStopLaps]],",",""))+1)</f>
        <v>0</v>
      </c>
      <c r="U161">
        <f>Table1[[#This Row],[StartPosition]]-Table1[[#This Row],[FinishPosition]]</f>
        <v>-6</v>
      </c>
    </row>
    <row r="162" spans="1:21" x14ac:dyDescent="0.3">
      <c r="A162">
        <v>2018</v>
      </c>
      <c r="B162">
        <v>9</v>
      </c>
      <c r="C162" t="s">
        <v>149</v>
      </c>
      <c r="D162" t="s">
        <v>38</v>
      </c>
      <c r="E162" t="s">
        <v>39</v>
      </c>
      <c r="F162" t="s">
        <v>33</v>
      </c>
      <c r="G162">
        <v>4</v>
      </c>
      <c r="H162">
        <v>1</v>
      </c>
      <c r="I162">
        <v>25</v>
      </c>
      <c r="J162" t="s">
        <v>23</v>
      </c>
      <c r="K162" t="s">
        <v>24</v>
      </c>
      <c r="L162">
        <v>71</v>
      </c>
      <c r="M162">
        <v>67.441999999999993</v>
      </c>
      <c r="N162">
        <v>68.520366999999993</v>
      </c>
      <c r="O162">
        <v>16.946000000000002</v>
      </c>
      <c r="P162">
        <v>29.802</v>
      </c>
      <c r="Q162">
        <v>20.521000000000001</v>
      </c>
      <c r="R162">
        <v>15</v>
      </c>
      <c r="S162" t="s">
        <v>83</v>
      </c>
      <c r="T162">
        <f>IF(TRIM(Table1[[#This Row],[PitStopLaps]])="",0,
LEN(Table1[[#This Row],[PitStopLaps]])-LEN(SUBSTITUTE(Table1[[#This Row],[PitStopLaps]],",",""))+1)</f>
        <v>1</v>
      </c>
      <c r="U162">
        <f>Table1[[#This Row],[StartPosition]]-Table1[[#This Row],[FinishPosition]]</f>
        <v>3</v>
      </c>
    </row>
    <row r="163" spans="1:21" x14ac:dyDescent="0.3">
      <c r="A163">
        <v>2018</v>
      </c>
      <c r="B163">
        <v>9</v>
      </c>
      <c r="C163" t="s">
        <v>149</v>
      </c>
      <c r="D163" t="s">
        <v>29</v>
      </c>
      <c r="E163" t="s">
        <v>30</v>
      </c>
      <c r="F163" t="s">
        <v>22</v>
      </c>
      <c r="G163">
        <v>3</v>
      </c>
      <c r="H163">
        <v>2</v>
      </c>
      <c r="I163">
        <v>18</v>
      </c>
      <c r="J163" t="s">
        <v>23</v>
      </c>
      <c r="K163" t="s">
        <v>24</v>
      </c>
      <c r="L163">
        <v>71</v>
      </c>
      <c r="M163">
        <v>66.956999999999994</v>
      </c>
      <c r="N163">
        <v>68.526484999999994</v>
      </c>
      <c r="O163">
        <v>16.809000000000001</v>
      </c>
      <c r="P163">
        <v>29.706</v>
      </c>
      <c r="Q163">
        <v>20.259</v>
      </c>
      <c r="R163">
        <v>15</v>
      </c>
      <c r="S163" t="s">
        <v>83</v>
      </c>
      <c r="T163">
        <f>IF(TRIM(Table1[[#This Row],[PitStopLaps]])="",0,
LEN(Table1[[#This Row],[PitStopLaps]])-LEN(SUBSTITUTE(Table1[[#This Row],[PitStopLaps]],",",""))+1)</f>
        <v>1</v>
      </c>
      <c r="U163">
        <f>Table1[[#This Row],[StartPosition]]-Table1[[#This Row],[FinishPosition]]</f>
        <v>1</v>
      </c>
    </row>
    <row r="164" spans="1:21" x14ac:dyDescent="0.3">
      <c r="A164">
        <v>2018</v>
      </c>
      <c r="B164">
        <v>9</v>
      </c>
      <c r="C164" t="s">
        <v>149</v>
      </c>
      <c r="D164" t="s">
        <v>20</v>
      </c>
      <c r="E164" t="s">
        <v>21</v>
      </c>
      <c r="F164" t="s">
        <v>22</v>
      </c>
      <c r="G164">
        <v>6</v>
      </c>
      <c r="H164">
        <v>3</v>
      </c>
      <c r="I164">
        <v>15</v>
      </c>
      <c r="J164" t="s">
        <v>23</v>
      </c>
      <c r="K164" t="s">
        <v>24</v>
      </c>
      <c r="L164">
        <v>71</v>
      </c>
      <c r="M164">
        <v>67.081999999999994</v>
      </c>
      <c r="N164">
        <v>68.479426000000004</v>
      </c>
      <c r="O164">
        <v>16.846</v>
      </c>
      <c r="P164">
        <v>29.766999999999999</v>
      </c>
      <c r="Q164">
        <v>20.271999999999998</v>
      </c>
      <c r="R164">
        <v>15</v>
      </c>
      <c r="S164" t="s">
        <v>83</v>
      </c>
      <c r="T164">
        <f>IF(TRIM(Table1[[#This Row],[PitStopLaps]])="",0,
LEN(Table1[[#This Row],[PitStopLaps]])-LEN(SUBSTITUTE(Table1[[#This Row],[PitStopLaps]],",",""))+1)</f>
        <v>1</v>
      </c>
      <c r="U164">
        <f>Table1[[#This Row],[StartPosition]]-Table1[[#This Row],[FinishPosition]]</f>
        <v>3</v>
      </c>
    </row>
    <row r="165" spans="1:21" x14ac:dyDescent="0.3">
      <c r="A165">
        <v>2018</v>
      </c>
      <c r="B165">
        <v>9</v>
      </c>
      <c r="C165" t="s">
        <v>149</v>
      </c>
      <c r="D165" t="s">
        <v>67</v>
      </c>
      <c r="E165" t="s">
        <v>68</v>
      </c>
      <c r="F165" t="s">
        <v>69</v>
      </c>
      <c r="G165">
        <v>5</v>
      </c>
      <c r="H165">
        <v>4</v>
      </c>
      <c r="I165">
        <v>12</v>
      </c>
      <c r="J165" t="s">
        <v>34</v>
      </c>
      <c r="K165" t="s">
        <v>65</v>
      </c>
      <c r="L165">
        <v>70</v>
      </c>
      <c r="M165">
        <v>69.070999999999998</v>
      </c>
      <c r="N165">
        <v>69.778597000000005</v>
      </c>
      <c r="O165">
        <v>17.353999999999999</v>
      </c>
      <c r="P165">
        <v>30.417000000000002</v>
      </c>
      <c r="Q165">
        <v>20.984000000000002</v>
      </c>
      <c r="R165">
        <v>15</v>
      </c>
      <c r="S165" t="s">
        <v>83</v>
      </c>
      <c r="T165">
        <f>IF(TRIM(Table1[[#This Row],[PitStopLaps]])="",0,
LEN(Table1[[#This Row],[PitStopLaps]])-LEN(SUBSTITUTE(Table1[[#This Row],[PitStopLaps]],",",""))+1)</f>
        <v>1</v>
      </c>
      <c r="U165">
        <f>Table1[[#This Row],[StartPosition]]-Table1[[#This Row],[FinishPosition]]</f>
        <v>1</v>
      </c>
    </row>
    <row r="166" spans="1:21" x14ac:dyDescent="0.3">
      <c r="A166">
        <v>2018</v>
      </c>
      <c r="B166">
        <v>9</v>
      </c>
      <c r="C166" t="s">
        <v>149</v>
      </c>
      <c r="D166" t="s">
        <v>71</v>
      </c>
      <c r="E166" t="s">
        <v>72</v>
      </c>
      <c r="F166" t="s">
        <v>69</v>
      </c>
      <c r="G166">
        <v>8</v>
      </c>
      <c r="H166">
        <v>5</v>
      </c>
      <c r="I166">
        <v>10</v>
      </c>
      <c r="J166" t="s">
        <v>34</v>
      </c>
      <c r="K166" t="s">
        <v>65</v>
      </c>
      <c r="L166">
        <v>70</v>
      </c>
      <c r="M166">
        <v>68.475999999999999</v>
      </c>
      <c r="N166">
        <v>69.640984000000003</v>
      </c>
      <c r="O166">
        <v>17.120999999999999</v>
      </c>
      <c r="P166">
        <v>30.263999999999999</v>
      </c>
      <c r="Q166">
        <v>20.78</v>
      </c>
      <c r="R166">
        <v>28</v>
      </c>
      <c r="S166" t="s">
        <v>83</v>
      </c>
      <c r="T166">
        <f>IF(TRIM(Table1[[#This Row],[PitStopLaps]])="",0,
LEN(Table1[[#This Row],[PitStopLaps]])-LEN(SUBSTITUTE(Table1[[#This Row],[PitStopLaps]],",",""))+1)</f>
        <v>1</v>
      </c>
      <c r="U166">
        <f>Table1[[#This Row],[StartPosition]]-Table1[[#This Row],[FinishPosition]]</f>
        <v>3</v>
      </c>
    </row>
    <row r="167" spans="1:21" x14ac:dyDescent="0.3">
      <c r="A167">
        <v>2018</v>
      </c>
      <c r="B167">
        <v>9</v>
      </c>
      <c r="C167" t="s">
        <v>149</v>
      </c>
      <c r="D167" t="s">
        <v>52</v>
      </c>
      <c r="E167" t="s">
        <v>53</v>
      </c>
      <c r="F167" t="s">
        <v>51</v>
      </c>
      <c r="G167">
        <v>11</v>
      </c>
      <c r="H167">
        <v>6</v>
      </c>
      <c r="I167">
        <v>8</v>
      </c>
      <c r="J167" t="s">
        <v>34</v>
      </c>
      <c r="K167" t="s">
        <v>65</v>
      </c>
      <c r="L167">
        <v>70</v>
      </c>
      <c r="M167">
        <v>68.849999999999994</v>
      </c>
      <c r="N167">
        <v>69.962610999999995</v>
      </c>
      <c r="O167">
        <v>17.100999999999999</v>
      </c>
      <c r="P167">
        <v>30.54</v>
      </c>
      <c r="Q167">
        <v>20.922000000000001</v>
      </c>
      <c r="R167">
        <v>15</v>
      </c>
      <c r="S167" t="s">
        <v>83</v>
      </c>
      <c r="T167">
        <f>IF(TRIM(Table1[[#This Row],[PitStopLaps]])="",0,
LEN(Table1[[#This Row],[PitStopLaps]])-LEN(SUBSTITUTE(Table1[[#This Row],[PitStopLaps]],",",""))+1)</f>
        <v>1</v>
      </c>
      <c r="U167">
        <f>Table1[[#This Row],[StartPosition]]-Table1[[#This Row],[FinishPosition]]</f>
        <v>5</v>
      </c>
    </row>
    <row r="168" spans="1:21" x14ac:dyDescent="0.3">
      <c r="A168">
        <v>2018</v>
      </c>
      <c r="B168">
        <v>9</v>
      </c>
      <c r="C168" t="s">
        <v>149</v>
      </c>
      <c r="D168" t="s">
        <v>49</v>
      </c>
      <c r="E168" t="s">
        <v>50</v>
      </c>
      <c r="F168" t="s">
        <v>51</v>
      </c>
      <c r="G168">
        <v>16</v>
      </c>
      <c r="H168">
        <v>7</v>
      </c>
      <c r="I168">
        <v>6</v>
      </c>
      <c r="J168" t="s">
        <v>34</v>
      </c>
      <c r="K168" t="s">
        <v>65</v>
      </c>
      <c r="L168">
        <v>70</v>
      </c>
      <c r="M168">
        <v>68.504000000000005</v>
      </c>
      <c r="N168">
        <v>69.819230000000005</v>
      </c>
      <c r="O168">
        <v>16.835000000000001</v>
      </c>
      <c r="P168">
        <v>30.393000000000001</v>
      </c>
      <c r="Q168">
        <v>20.945</v>
      </c>
      <c r="R168">
        <v>27</v>
      </c>
      <c r="S168" t="s">
        <v>83</v>
      </c>
      <c r="T168">
        <f>IF(TRIM(Table1[[#This Row],[PitStopLaps]])="",0,
LEN(Table1[[#This Row],[PitStopLaps]])-LEN(SUBSTITUTE(Table1[[#This Row],[PitStopLaps]],",",""))+1)</f>
        <v>1</v>
      </c>
      <c r="U168">
        <f>Table1[[#This Row],[StartPosition]]-Table1[[#This Row],[FinishPosition]]</f>
        <v>9</v>
      </c>
    </row>
    <row r="169" spans="1:21" x14ac:dyDescent="0.3">
      <c r="A169">
        <v>2018</v>
      </c>
      <c r="B169">
        <v>9</v>
      </c>
      <c r="C169" t="s">
        <v>149</v>
      </c>
      <c r="D169" t="s">
        <v>35</v>
      </c>
      <c r="E169" t="s">
        <v>36</v>
      </c>
      <c r="F169" t="s">
        <v>37</v>
      </c>
      <c r="G169">
        <v>13</v>
      </c>
      <c r="H169">
        <v>8</v>
      </c>
      <c r="I169">
        <v>4</v>
      </c>
      <c r="J169" t="s">
        <v>34</v>
      </c>
      <c r="K169" t="s">
        <v>65</v>
      </c>
      <c r="L169">
        <v>70</v>
      </c>
      <c r="M169">
        <v>68.661000000000001</v>
      </c>
      <c r="N169">
        <v>70.070575000000005</v>
      </c>
      <c r="O169">
        <v>16.96</v>
      </c>
      <c r="P169">
        <v>30.516999999999999</v>
      </c>
      <c r="Q169">
        <v>20.606999999999999</v>
      </c>
      <c r="R169">
        <v>15</v>
      </c>
      <c r="S169" t="s">
        <v>83</v>
      </c>
      <c r="T169">
        <f>IF(TRIM(Table1[[#This Row],[PitStopLaps]])="",0,
LEN(Table1[[#This Row],[PitStopLaps]])-LEN(SUBSTITUTE(Table1[[#This Row],[PitStopLaps]],",",""))+1)</f>
        <v>1</v>
      </c>
      <c r="U169">
        <f>Table1[[#This Row],[StartPosition]]-Table1[[#This Row],[FinishPosition]]</f>
        <v>5</v>
      </c>
    </row>
    <row r="170" spans="1:21" x14ac:dyDescent="0.3">
      <c r="A170">
        <v>2018</v>
      </c>
      <c r="B170">
        <v>9</v>
      </c>
      <c r="C170" t="s">
        <v>149</v>
      </c>
      <c r="D170" t="s">
        <v>54</v>
      </c>
      <c r="E170" t="s">
        <v>55</v>
      </c>
      <c r="F170" t="s">
        <v>56</v>
      </c>
      <c r="G170">
        <v>18</v>
      </c>
      <c r="H170">
        <v>9</v>
      </c>
      <c r="I170">
        <v>2</v>
      </c>
      <c r="J170" t="s">
        <v>34</v>
      </c>
      <c r="K170" t="s">
        <v>65</v>
      </c>
      <c r="L170">
        <v>70</v>
      </c>
      <c r="M170">
        <v>69.006</v>
      </c>
      <c r="N170">
        <v>70.032670999999993</v>
      </c>
      <c r="O170">
        <v>17.050999999999998</v>
      </c>
      <c r="P170">
        <v>30.486000000000001</v>
      </c>
      <c r="Q170">
        <v>20.96</v>
      </c>
      <c r="R170">
        <v>15</v>
      </c>
      <c r="S170" t="s">
        <v>83</v>
      </c>
      <c r="T170">
        <f>IF(TRIM(Table1[[#This Row],[PitStopLaps]])="",0,
LEN(Table1[[#This Row],[PitStopLaps]])-LEN(SUBSTITUTE(Table1[[#This Row],[PitStopLaps]],",",""))+1)</f>
        <v>1</v>
      </c>
      <c r="U170">
        <f>Table1[[#This Row],[StartPosition]]-Table1[[#This Row],[FinishPosition]]</f>
        <v>9</v>
      </c>
    </row>
    <row r="171" spans="1:21" x14ac:dyDescent="0.3">
      <c r="A171">
        <v>2018</v>
      </c>
      <c r="B171">
        <v>9</v>
      </c>
      <c r="C171" t="s">
        <v>149</v>
      </c>
      <c r="D171" t="s">
        <v>76</v>
      </c>
      <c r="E171" t="s">
        <v>77</v>
      </c>
      <c r="F171" t="s">
        <v>56</v>
      </c>
      <c r="G171">
        <v>20</v>
      </c>
      <c r="H171">
        <v>10</v>
      </c>
      <c r="I171">
        <v>1</v>
      </c>
      <c r="J171" t="s">
        <v>34</v>
      </c>
      <c r="K171" t="s">
        <v>65</v>
      </c>
      <c r="L171">
        <v>70</v>
      </c>
      <c r="M171">
        <v>68.215999999999994</v>
      </c>
      <c r="N171">
        <v>70.080171000000007</v>
      </c>
      <c r="O171">
        <v>16.866</v>
      </c>
      <c r="P171">
        <v>30.266999999999999</v>
      </c>
      <c r="Q171">
        <v>20.677</v>
      </c>
      <c r="R171">
        <v>45</v>
      </c>
      <c r="S171" t="s">
        <v>83</v>
      </c>
      <c r="T171">
        <f>IF(TRIM(Table1[[#This Row],[PitStopLaps]])="",0,
LEN(Table1[[#This Row],[PitStopLaps]])-LEN(SUBSTITUTE(Table1[[#This Row],[PitStopLaps]],",",""))+1)</f>
        <v>1</v>
      </c>
      <c r="U171">
        <f>Table1[[#This Row],[StartPosition]]-Table1[[#This Row],[FinishPosition]]</f>
        <v>10</v>
      </c>
    </row>
    <row r="172" spans="1:21" x14ac:dyDescent="0.3">
      <c r="A172">
        <v>2018</v>
      </c>
      <c r="B172">
        <v>9</v>
      </c>
      <c r="C172" t="s">
        <v>149</v>
      </c>
      <c r="D172" t="s">
        <v>73</v>
      </c>
      <c r="E172" t="s">
        <v>74</v>
      </c>
      <c r="F172" t="s">
        <v>64</v>
      </c>
      <c r="G172">
        <v>12</v>
      </c>
      <c r="H172">
        <v>11</v>
      </c>
      <c r="I172">
        <v>0</v>
      </c>
      <c r="J172" t="s">
        <v>34</v>
      </c>
      <c r="K172" t="s">
        <v>65</v>
      </c>
      <c r="L172">
        <v>70</v>
      </c>
      <c r="M172">
        <v>69.295000000000002</v>
      </c>
      <c r="N172">
        <v>70.291666000000006</v>
      </c>
      <c r="O172">
        <v>17.077999999999999</v>
      </c>
      <c r="P172">
        <v>30.431999999999999</v>
      </c>
      <c r="Q172">
        <v>21.172999999999998</v>
      </c>
      <c r="R172">
        <v>15</v>
      </c>
      <c r="S172" t="s">
        <v>83</v>
      </c>
      <c r="T172">
        <f>IF(TRIM(Table1[[#This Row],[PitStopLaps]])="",0,
LEN(Table1[[#This Row],[PitStopLaps]])-LEN(SUBSTITUTE(Table1[[#This Row],[PitStopLaps]],",",""))+1)</f>
        <v>1</v>
      </c>
      <c r="U172">
        <f>Table1[[#This Row],[StartPosition]]-Table1[[#This Row],[FinishPosition]]</f>
        <v>1</v>
      </c>
    </row>
    <row r="173" spans="1:21" x14ac:dyDescent="0.3">
      <c r="A173">
        <v>2018</v>
      </c>
      <c r="B173">
        <v>9</v>
      </c>
      <c r="C173" t="s">
        <v>149</v>
      </c>
      <c r="D173" t="s">
        <v>47</v>
      </c>
      <c r="E173" t="s">
        <v>48</v>
      </c>
      <c r="F173" t="s">
        <v>42</v>
      </c>
      <c r="G173">
        <v>9</v>
      </c>
      <c r="H173">
        <v>12</v>
      </c>
      <c r="I173">
        <v>0</v>
      </c>
      <c r="J173" t="s">
        <v>34</v>
      </c>
      <c r="K173" t="s">
        <v>65</v>
      </c>
      <c r="L173">
        <v>70</v>
      </c>
      <c r="M173">
        <v>68.766000000000005</v>
      </c>
      <c r="N173">
        <v>70.024327999999997</v>
      </c>
      <c r="O173">
        <v>16.975000000000001</v>
      </c>
      <c r="P173">
        <v>30.562999999999999</v>
      </c>
      <c r="Q173">
        <v>20.99</v>
      </c>
      <c r="R173" t="s">
        <v>84</v>
      </c>
      <c r="S173" t="s">
        <v>83</v>
      </c>
      <c r="T173">
        <f>IF(TRIM(Table1[[#This Row],[PitStopLaps]])="",0,
LEN(Table1[[#This Row],[PitStopLaps]])-LEN(SUBSTITUTE(Table1[[#This Row],[PitStopLaps]],",",""))+1)</f>
        <v>2</v>
      </c>
      <c r="U173">
        <f>Table1[[#This Row],[StartPosition]]-Table1[[#This Row],[FinishPosition]]</f>
        <v>-3</v>
      </c>
    </row>
    <row r="174" spans="1:21" x14ac:dyDescent="0.3">
      <c r="A174">
        <v>2018</v>
      </c>
      <c r="B174">
        <v>9</v>
      </c>
      <c r="C174" t="s">
        <v>149</v>
      </c>
      <c r="D174" t="s">
        <v>79</v>
      </c>
      <c r="E174" t="s">
        <v>80</v>
      </c>
      <c r="F174" t="s">
        <v>60</v>
      </c>
      <c r="G174">
        <v>17</v>
      </c>
      <c r="H174">
        <v>13</v>
      </c>
      <c r="I174">
        <v>0</v>
      </c>
      <c r="J174" t="s">
        <v>34</v>
      </c>
      <c r="K174" t="s">
        <v>127</v>
      </c>
      <c r="L174">
        <v>69</v>
      </c>
      <c r="M174">
        <v>68.971000000000004</v>
      </c>
      <c r="N174">
        <v>70.429918000000001</v>
      </c>
      <c r="O174">
        <v>17.157</v>
      </c>
      <c r="P174">
        <v>30.562000000000001</v>
      </c>
      <c r="Q174">
        <v>21.085000000000001</v>
      </c>
      <c r="R174" t="s">
        <v>150</v>
      </c>
      <c r="S174" t="s">
        <v>83</v>
      </c>
      <c r="T174">
        <f>IF(TRIM(Table1[[#This Row],[PitStopLaps]])="",0,
LEN(Table1[[#This Row],[PitStopLaps]])-LEN(SUBSTITUTE(Table1[[#This Row],[PitStopLaps]],",",""))+1)</f>
        <v>2</v>
      </c>
      <c r="U174">
        <f>Table1[[#This Row],[StartPosition]]-Table1[[#This Row],[FinishPosition]]</f>
        <v>4</v>
      </c>
    </row>
    <row r="175" spans="1:21" x14ac:dyDescent="0.3">
      <c r="A175">
        <v>2018</v>
      </c>
      <c r="B175">
        <v>9</v>
      </c>
      <c r="C175" t="s">
        <v>149</v>
      </c>
      <c r="D175" t="s">
        <v>58</v>
      </c>
      <c r="E175" t="s">
        <v>59</v>
      </c>
      <c r="F175" t="s">
        <v>60</v>
      </c>
      <c r="G175">
        <v>14</v>
      </c>
      <c r="H175">
        <v>14</v>
      </c>
      <c r="I175">
        <v>0</v>
      </c>
      <c r="J175" t="s">
        <v>34</v>
      </c>
      <c r="K175" t="s">
        <v>127</v>
      </c>
      <c r="L175">
        <v>69</v>
      </c>
      <c r="M175">
        <v>69.203000000000003</v>
      </c>
      <c r="N175">
        <v>70.580904000000004</v>
      </c>
      <c r="O175">
        <v>16.954999999999998</v>
      </c>
      <c r="P175">
        <v>30.675000000000001</v>
      </c>
      <c r="Q175">
        <v>21.114999999999998</v>
      </c>
      <c r="R175" t="s">
        <v>151</v>
      </c>
      <c r="S175" t="s">
        <v>83</v>
      </c>
      <c r="T175">
        <f>IF(TRIM(Table1[[#This Row],[PitStopLaps]])="",0,
LEN(Table1[[#This Row],[PitStopLaps]])-LEN(SUBSTITUTE(Table1[[#This Row],[PitStopLaps]],",",""))+1)</f>
        <v>2</v>
      </c>
      <c r="U175">
        <f>Table1[[#This Row],[StartPosition]]-Table1[[#This Row],[FinishPosition]]</f>
        <v>0</v>
      </c>
    </row>
    <row r="176" spans="1:21" x14ac:dyDescent="0.3">
      <c r="A176">
        <v>2018</v>
      </c>
      <c r="B176">
        <v>9</v>
      </c>
      <c r="C176" t="s">
        <v>149</v>
      </c>
      <c r="D176" t="s">
        <v>45</v>
      </c>
      <c r="E176" t="s">
        <v>46</v>
      </c>
      <c r="F176" t="s">
        <v>37</v>
      </c>
      <c r="G176">
        <v>15</v>
      </c>
      <c r="H176">
        <v>15</v>
      </c>
      <c r="I176">
        <v>0</v>
      </c>
      <c r="J176" t="s">
        <v>34</v>
      </c>
      <c r="K176" t="s">
        <v>109</v>
      </c>
      <c r="L176">
        <v>65</v>
      </c>
      <c r="M176">
        <v>68.894000000000005</v>
      </c>
      <c r="N176">
        <v>70.620534000000006</v>
      </c>
      <c r="O176">
        <v>17.096</v>
      </c>
      <c r="P176">
        <v>30.495000000000001</v>
      </c>
      <c r="Q176">
        <v>20.960999999999999</v>
      </c>
      <c r="R176" t="s">
        <v>152</v>
      </c>
      <c r="S176" t="s">
        <v>83</v>
      </c>
      <c r="T176">
        <f>IF(TRIM(Table1[[#This Row],[PitStopLaps]])="",0,
LEN(Table1[[#This Row],[PitStopLaps]])-LEN(SUBSTITUTE(Table1[[#This Row],[PitStopLaps]],",",""))+1)</f>
        <v>3</v>
      </c>
      <c r="U176">
        <f>Table1[[#This Row],[StartPosition]]-Table1[[#This Row],[FinishPosition]]</f>
        <v>0</v>
      </c>
    </row>
    <row r="177" spans="1:21" x14ac:dyDescent="0.3">
      <c r="A177">
        <v>2018</v>
      </c>
      <c r="B177">
        <v>9</v>
      </c>
      <c r="C177" t="s">
        <v>149</v>
      </c>
      <c r="D177" t="s">
        <v>26</v>
      </c>
      <c r="E177" t="s">
        <v>27</v>
      </c>
      <c r="F177" t="s">
        <v>28</v>
      </c>
      <c r="G177">
        <v>2</v>
      </c>
      <c r="H177">
        <v>16</v>
      </c>
      <c r="I177">
        <v>0</v>
      </c>
      <c r="J177" t="s">
        <v>34</v>
      </c>
      <c r="K177" t="s">
        <v>153</v>
      </c>
      <c r="L177">
        <v>63</v>
      </c>
      <c r="M177">
        <v>67.241</v>
      </c>
      <c r="N177">
        <v>68.660235999999998</v>
      </c>
      <c r="O177">
        <v>16.667999999999999</v>
      </c>
      <c r="P177">
        <v>29.85</v>
      </c>
      <c r="Q177">
        <v>20.463999999999999</v>
      </c>
      <c r="R177" t="s">
        <v>154</v>
      </c>
      <c r="S177" t="s">
        <v>83</v>
      </c>
      <c r="T177">
        <f>IF(TRIM(Table1[[#This Row],[PitStopLaps]])="",0,
LEN(Table1[[#This Row],[PitStopLaps]])-LEN(SUBSTITUTE(Table1[[#This Row],[PitStopLaps]],",",""))+1)</f>
        <v>2</v>
      </c>
      <c r="U177">
        <f>Table1[[#This Row],[StartPosition]]-Table1[[#This Row],[FinishPosition]]</f>
        <v>-14</v>
      </c>
    </row>
    <row r="178" spans="1:21" x14ac:dyDescent="0.3">
      <c r="A178">
        <v>2018</v>
      </c>
      <c r="B178">
        <v>9</v>
      </c>
      <c r="C178" t="s">
        <v>149</v>
      </c>
      <c r="D178" t="s">
        <v>62</v>
      </c>
      <c r="E178" t="s">
        <v>63</v>
      </c>
      <c r="F178" t="s">
        <v>64</v>
      </c>
      <c r="G178">
        <v>19</v>
      </c>
      <c r="H178">
        <v>17</v>
      </c>
      <c r="I178">
        <v>0</v>
      </c>
      <c r="J178" t="s">
        <v>34</v>
      </c>
      <c r="K178" t="s">
        <v>155</v>
      </c>
      <c r="L178">
        <v>55</v>
      </c>
      <c r="M178">
        <v>69.171000000000006</v>
      </c>
      <c r="N178">
        <v>70.91198</v>
      </c>
      <c r="O178">
        <v>17.143000000000001</v>
      </c>
      <c r="P178">
        <v>30.558</v>
      </c>
      <c r="Q178">
        <v>21.161000000000001</v>
      </c>
      <c r="S178" t="s">
        <v>83</v>
      </c>
      <c r="T178">
        <f>IF(TRIM(Table1[[#This Row],[PitStopLaps]])="",0,
LEN(Table1[[#This Row],[PitStopLaps]])-LEN(SUBSTITUTE(Table1[[#This Row],[PitStopLaps]],",",""))+1)</f>
        <v>0</v>
      </c>
      <c r="U178">
        <f>Table1[[#This Row],[StartPosition]]-Table1[[#This Row],[FinishPosition]]</f>
        <v>2</v>
      </c>
    </row>
    <row r="179" spans="1:21" x14ac:dyDescent="0.3">
      <c r="A179">
        <v>2018</v>
      </c>
      <c r="B179">
        <v>9</v>
      </c>
      <c r="C179" t="s">
        <v>149</v>
      </c>
      <c r="D179" t="s">
        <v>31</v>
      </c>
      <c r="E179" t="s">
        <v>32</v>
      </c>
      <c r="F179" t="s">
        <v>33</v>
      </c>
      <c r="G179">
        <v>7</v>
      </c>
      <c r="H179">
        <v>18</v>
      </c>
      <c r="I179">
        <v>0</v>
      </c>
      <c r="J179" t="s">
        <v>34</v>
      </c>
      <c r="K179" t="s">
        <v>145</v>
      </c>
      <c r="L179">
        <v>54</v>
      </c>
      <c r="M179">
        <v>67.590999999999994</v>
      </c>
      <c r="N179">
        <v>68.862125000000006</v>
      </c>
      <c r="O179">
        <v>17.010999999999999</v>
      </c>
      <c r="P179">
        <v>29.835000000000001</v>
      </c>
      <c r="Q179">
        <v>20.512</v>
      </c>
      <c r="R179" t="s">
        <v>156</v>
      </c>
      <c r="S179" t="s">
        <v>83</v>
      </c>
      <c r="T179">
        <f>IF(TRIM(Table1[[#This Row],[PitStopLaps]])="",0,
LEN(Table1[[#This Row],[PitStopLaps]])-LEN(SUBSTITUTE(Table1[[#This Row],[PitStopLaps]],",",""))+1)</f>
        <v>2</v>
      </c>
      <c r="U179">
        <f>Table1[[#This Row],[StartPosition]]-Table1[[#This Row],[FinishPosition]]</f>
        <v>-11</v>
      </c>
    </row>
    <row r="180" spans="1:21" x14ac:dyDescent="0.3">
      <c r="A180">
        <v>2018</v>
      </c>
      <c r="B180">
        <v>9</v>
      </c>
      <c r="C180" t="s">
        <v>149</v>
      </c>
      <c r="D180" t="s">
        <v>43</v>
      </c>
      <c r="E180" t="s">
        <v>44</v>
      </c>
      <c r="F180" t="s">
        <v>28</v>
      </c>
      <c r="G180">
        <v>1</v>
      </c>
      <c r="H180">
        <v>19</v>
      </c>
      <c r="I180">
        <v>0</v>
      </c>
      <c r="J180" t="s">
        <v>34</v>
      </c>
      <c r="K180" t="s">
        <v>155</v>
      </c>
      <c r="L180">
        <v>14</v>
      </c>
      <c r="M180">
        <v>69.043999999999997</v>
      </c>
      <c r="N180">
        <v>69.454415999999995</v>
      </c>
      <c r="O180">
        <v>17.231000000000002</v>
      </c>
      <c r="P180">
        <v>30.64</v>
      </c>
      <c r="Q180">
        <v>21.021999999999998</v>
      </c>
      <c r="S180" t="s">
        <v>83</v>
      </c>
      <c r="T180">
        <f>IF(TRIM(Table1[[#This Row],[PitStopLaps]])="",0,
LEN(Table1[[#This Row],[PitStopLaps]])-LEN(SUBSTITUTE(Table1[[#This Row],[PitStopLaps]],",",""))+1)</f>
        <v>0</v>
      </c>
      <c r="U180">
        <f>Table1[[#This Row],[StartPosition]]-Table1[[#This Row],[FinishPosition]]</f>
        <v>-18</v>
      </c>
    </row>
    <row r="181" spans="1:21" x14ac:dyDescent="0.3">
      <c r="A181">
        <v>2018</v>
      </c>
      <c r="B181">
        <v>9</v>
      </c>
      <c r="C181" t="s">
        <v>149</v>
      </c>
      <c r="D181" t="s">
        <v>40</v>
      </c>
      <c r="E181" t="s">
        <v>41</v>
      </c>
      <c r="F181" t="s">
        <v>42</v>
      </c>
      <c r="G181">
        <v>10</v>
      </c>
      <c r="H181">
        <v>20</v>
      </c>
      <c r="I181">
        <v>0</v>
      </c>
      <c r="J181" t="s">
        <v>34</v>
      </c>
      <c r="K181" t="s">
        <v>75</v>
      </c>
      <c r="L181">
        <v>12</v>
      </c>
      <c r="M181">
        <v>70.38</v>
      </c>
      <c r="N181">
        <v>71.200199999999995</v>
      </c>
      <c r="O181">
        <v>17.123999999999999</v>
      </c>
      <c r="P181">
        <v>31.033000000000001</v>
      </c>
      <c r="Q181">
        <v>21.57</v>
      </c>
      <c r="S181" t="s">
        <v>83</v>
      </c>
      <c r="T181">
        <f>IF(TRIM(Table1[[#This Row],[PitStopLaps]])="",0,
LEN(Table1[[#This Row],[PitStopLaps]])-LEN(SUBSTITUTE(Table1[[#This Row],[PitStopLaps]],",",""))+1)</f>
        <v>0</v>
      </c>
      <c r="U181">
        <f>Table1[[#This Row],[StartPosition]]-Table1[[#This Row],[FinishPosition]]</f>
        <v>-10</v>
      </c>
    </row>
    <row r="182" spans="1:21" x14ac:dyDescent="0.3">
      <c r="A182">
        <v>2018</v>
      </c>
      <c r="B182">
        <v>10</v>
      </c>
      <c r="C182" t="s">
        <v>157</v>
      </c>
      <c r="D182" t="s">
        <v>20</v>
      </c>
      <c r="E182" t="s">
        <v>21</v>
      </c>
      <c r="F182" t="s">
        <v>22</v>
      </c>
      <c r="G182">
        <v>2</v>
      </c>
      <c r="H182">
        <v>1</v>
      </c>
      <c r="I182">
        <v>25</v>
      </c>
      <c r="J182" t="s">
        <v>23</v>
      </c>
      <c r="K182" t="s">
        <v>24</v>
      </c>
      <c r="L182">
        <v>52</v>
      </c>
      <c r="M182">
        <v>90.695999999999998</v>
      </c>
      <c r="N182">
        <v>92.927525000000003</v>
      </c>
      <c r="O182">
        <v>28.658999999999999</v>
      </c>
      <c r="P182">
        <v>37.064</v>
      </c>
      <c r="Q182">
        <v>24.706</v>
      </c>
      <c r="R182" t="s">
        <v>158</v>
      </c>
      <c r="S182" t="s">
        <v>83</v>
      </c>
      <c r="T182">
        <f>IF(TRIM(Table1[[#This Row],[PitStopLaps]])="",0,
LEN(Table1[[#This Row],[PitStopLaps]])-LEN(SUBSTITUTE(Table1[[#This Row],[PitStopLaps]],",",""))+1)</f>
        <v>2</v>
      </c>
      <c r="U182">
        <f>Table1[[#This Row],[StartPosition]]-Table1[[#This Row],[FinishPosition]]</f>
        <v>1</v>
      </c>
    </row>
    <row r="183" spans="1:21" x14ac:dyDescent="0.3">
      <c r="A183">
        <v>2018</v>
      </c>
      <c r="B183">
        <v>10</v>
      </c>
      <c r="C183" t="s">
        <v>157</v>
      </c>
      <c r="D183" t="s">
        <v>26</v>
      </c>
      <c r="E183" t="s">
        <v>27</v>
      </c>
      <c r="F183" t="s">
        <v>28</v>
      </c>
      <c r="G183">
        <v>1</v>
      </c>
      <c r="H183">
        <v>2</v>
      </c>
      <c r="I183">
        <v>18</v>
      </c>
      <c r="J183" t="s">
        <v>23</v>
      </c>
      <c r="K183" t="s">
        <v>24</v>
      </c>
      <c r="L183">
        <v>52</v>
      </c>
      <c r="M183">
        <v>91.245000000000005</v>
      </c>
      <c r="N183">
        <v>93.149024999999995</v>
      </c>
      <c r="O183">
        <v>29.027000000000001</v>
      </c>
      <c r="P183">
        <v>36.973999999999997</v>
      </c>
      <c r="Q183">
        <v>24.864000000000001</v>
      </c>
      <c r="R183">
        <v>25</v>
      </c>
      <c r="S183" t="s">
        <v>83</v>
      </c>
      <c r="T183">
        <f>IF(TRIM(Table1[[#This Row],[PitStopLaps]])="",0,
LEN(Table1[[#This Row],[PitStopLaps]])-LEN(SUBSTITUTE(Table1[[#This Row],[PitStopLaps]],",",""))+1)</f>
        <v>1</v>
      </c>
      <c r="U183">
        <f>Table1[[#This Row],[StartPosition]]-Table1[[#This Row],[FinishPosition]]</f>
        <v>-1</v>
      </c>
    </row>
    <row r="184" spans="1:21" x14ac:dyDescent="0.3">
      <c r="A184">
        <v>2018</v>
      </c>
      <c r="B184">
        <v>10</v>
      </c>
      <c r="C184" t="s">
        <v>157</v>
      </c>
      <c r="D184" t="s">
        <v>29</v>
      </c>
      <c r="E184" t="s">
        <v>30</v>
      </c>
      <c r="F184" t="s">
        <v>22</v>
      </c>
      <c r="G184">
        <v>3</v>
      </c>
      <c r="H184">
        <v>3</v>
      </c>
      <c r="I184">
        <v>15</v>
      </c>
      <c r="J184" t="s">
        <v>23</v>
      </c>
      <c r="K184" t="s">
        <v>24</v>
      </c>
      <c r="L184">
        <v>52</v>
      </c>
      <c r="M184">
        <v>90.795000000000002</v>
      </c>
      <c r="N184">
        <v>93.008099999999999</v>
      </c>
      <c r="O184">
        <v>28.824000000000002</v>
      </c>
      <c r="P184">
        <v>36.938000000000002</v>
      </c>
      <c r="Q184">
        <v>24.641999999999999</v>
      </c>
      <c r="R184" t="s">
        <v>159</v>
      </c>
      <c r="S184" t="s">
        <v>83</v>
      </c>
      <c r="T184">
        <f>IF(TRIM(Table1[[#This Row],[PitStopLaps]])="",0,
LEN(Table1[[#This Row],[PitStopLaps]])-LEN(SUBSTITUTE(Table1[[#This Row],[PitStopLaps]],",",""))+1)</f>
        <v>2</v>
      </c>
      <c r="U184">
        <f>Table1[[#This Row],[StartPosition]]-Table1[[#This Row],[FinishPosition]]</f>
        <v>0</v>
      </c>
    </row>
    <row r="185" spans="1:21" x14ac:dyDescent="0.3">
      <c r="A185">
        <v>2018</v>
      </c>
      <c r="B185">
        <v>10</v>
      </c>
      <c r="C185" t="s">
        <v>157</v>
      </c>
      <c r="D185" t="s">
        <v>43</v>
      </c>
      <c r="E185" t="s">
        <v>44</v>
      </c>
      <c r="F185" t="s">
        <v>28</v>
      </c>
      <c r="G185">
        <v>4</v>
      </c>
      <c r="H185">
        <v>4</v>
      </c>
      <c r="I185">
        <v>12</v>
      </c>
      <c r="J185" t="s">
        <v>34</v>
      </c>
      <c r="K185" t="s">
        <v>24</v>
      </c>
      <c r="L185">
        <v>52</v>
      </c>
      <c r="M185">
        <v>91.376999999999995</v>
      </c>
      <c r="N185">
        <v>93.189300000000003</v>
      </c>
      <c r="O185">
        <v>29.234999999999999</v>
      </c>
      <c r="P185">
        <v>37.049999999999997</v>
      </c>
      <c r="Q185">
        <v>24.934000000000001</v>
      </c>
      <c r="R185">
        <v>21</v>
      </c>
      <c r="S185" t="s">
        <v>83</v>
      </c>
      <c r="T185">
        <f>IF(TRIM(Table1[[#This Row],[PitStopLaps]])="",0,
LEN(Table1[[#This Row],[PitStopLaps]])-LEN(SUBSTITUTE(Table1[[#This Row],[PitStopLaps]],",",""))+1)</f>
        <v>1</v>
      </c>
      <c r="U185">
        <f>Table1[[#This Row],[StartPosition]]-Table1[[#This Row],[FinishPosition]]</f>
        <v>0</v>
      </c>
    </row>
    <row r="186" spans="1:21" x14ac:dyDescent="0.3">
      <c r="A186">
        <v>2018</v>
      </c>
      <c r="B186">
        <v>10</v>
      </c>
      <c r="C186" t="s">
        <v>157</v>
      </c>
      <c r="D186" t="s">
        <v>31</v>
      </c>
      <c r="E186" t="s">
        <v>32</v>
      </c>
      <c r="F186" t="s">
        <v>33</v>
      </c>
      <c r="G186">
        <v>6</v>
      </c>
      <c r="H186">
        <v>5</v>
      </c>
      <c r="I186">
        <v>10</v>
      </c>
      <c r="J186" t="s">
        <v>34</v>
      </c>
      <c r="K186" t="s">
        <v>24</v>
      </c>
      <c r="L186">
        <v>52</v>
      </c>
      <c r="M186">
        <v>91.588999999999999</v>
      </c>
      <c r="N186">
        <v>93.314235999999994</v>
      </c>
      <c r="O186">
        <v>29.018999999999998</v>
      </c>
      <c r="P186">
        <v>37.249000000000002</v>
      </c>
      <c r="Q186">
        <v>25.009</v>
      </c>
      <c r="R186" t="s">
        <v>160</v>
      </c>
      <c r="S186" t="s">
        <v>83</v>
      </c>
      <c r="T186">
        <f>IF(TRIM(Table1[[#This Row],[PitStopLaps]])="",0,
LEN(Table1[[#This Row],[PitStopLaps]])-LEN(SUBSTITUTE(Table1[[#This Row],[PitStopLaps]],",",""))+1)</f>
        <v>2</v>
      </c>
      <c r="U186">
        <f>Table1[[#This Row],[StartPosition]]-Table1[[#This Row],[FinishPosition]]</f>
        <v>1</v>
      </c>
    </row>
    <row r="187" spans="1:21" x14ac:dyDescent="0.3">
      <c r="A187">
        <v>2018</v>
      </c>
      <c r="B187">
        <v>10</v>
      </c>
      <c r="C187" t="s">
        <v>157</v>
      </c>
      <c r="D187" t="s">
        <v>40</v>
      </c>
      <c r="E187" t="s">
        <v>41</v>
      </c>
      <c r="F187" t="s">
        <v>42</v>
      </c>
      <c r="G187">
        <v>11</v>
      </c>
      <c r="H187">
        <v>6</v>
      </c>
      <c r="I187">
        <v>8</v>
      </c>
      <c r="J187" t="s">
        <v>34</v>
      </c>
      <c r="K187" t="s">
        <v>24</v>
      </c>
      <c r="L187">
        <v>52</v>
      </c>
      <c r="M187">
        <v>93.405000000000001</v>
      </c>
      <c r="N187">
        <v>95.007947999999999</v>
      </c>
      <c r="O187">
        <v>29.814</v>
      </c>
      <c r="P187">
        <v>38.070999999999998</v>
      </c>
      <c r="Q187">
        <v>25.472999999999999</v>
      </c>
      <c r="R187">
        <v>20</v>
      </c>
      <c r="S187" t="s">
        <v>83</v>
      </c>
      <c r="T187">
        <f>IF(TRIM(Table1[[#This Row],[PitStopLaps]])="",0,
LEN(Table1[[#This Row],[PitStopLaps]])-LEN(SUBSTITUTE(Table1[[#This Row],[PitStopLaps]],",",""))+1)</f>
        <v>1</v>
      </c>
      <c r="U187">
        <f>Table1[[#This Row],[StartPosition]]-Table1[[#This Row],[FinishPosition]]</f>
        <v>5</v>
      </c>
    </row>
    <row r="188" spans="1:21" x14ac:dyDescent="0.3">
      <c r="A188">
        <v>2018</v>
      </c>
      <c r="B188">
        <v>10</v>
      </c>
      <c r="C188" t="s">
        <v>157</v>
      </c>
      <c r="D188" t="s">
        <v>52</v>
      </c>
      <c r="E188" t="s">
        <v>53</v>
      </c>
      <c r="F188" t="s">
        <v>51</v>
      </c>
      <c r="G188">
        <v>10</v>
      </c>
      <c r="H188">
        <v>7</v>
      </c>
      <c r="I188">
        <v>6</v>
      </c>
      <c r="J188" t="s">
        <v>34</v>
      </c>
      <c r="K188" t="s">
        <v>24</v>
      </c>
      <c r="L188">
        <v>52</v>
      </c>
      <c r="M188">
        <v>93.605999999999995</v>
      </c>
      <c r="N188">
        <v>95.059434999999993</v>
      </c>
      <c r="O188">
        <v>29.823</v>
      </c>
      <c r="P188">
        <v>37.988999999999997</v>
      </c>
      <c r="Q188">
        <v>25.594999999999999</v>
      </c>
      <c r="R188">
        <v>19</v>
      </c>
      <c r="S188" t="s">
        <v>83</v>
      </c>
      <c r="T188">
        <f>IF(TRIM(Table1[[#This Row],[PitStopLaps]])="",0,
LEN(Table1[[#This Row],[PitStopLaps]])-LEN(SUBSTITUTE(Table1[[#This Row],[PitStopLaps]],",",""))+1)</f>
        <v>1</v>
      </c>
      <c r="U188">
        <f>Table1[[#This Row],[StartPosition]]-Table1[[#This Row],[FinishPosition]]</f>
        <v>3</v>
      </c>
    </row>
    <row r="189" spans="1:21" x14ac:dyDescent="0.3">
      <c r="A189">
        <v>2018</v>
      </c>
      <c r="B189">
        <v>10</v>
      </c>
      <c r="C189" t="s">
        <v>157</v>
      </c>
      <c r="D189" t="s">
        <v>35</v>
      </c>
      <c r="E189" t="s">
        <v>36</v>
      </c>
      <c r="F189" t="s">
        <v>37</v>
      </c>
      <c r="G189">
        <v>13</v>
      </c>
      <c r="H189">
        <v>8</v>
      </c>
      <c r="I189">
        <v>4</v>
      </c>
      <c r="J189" t="s">
        <v>34</v>
      </c>
      <c r="K189" t="s">
        <v>24</v>
      </c>
      <c r="L189">
        <v>52</v>
      </c>
      <c r="M189">
        <v>93.481999999999999</v>
      </c>
      <c r="N189">
        <v>95.016229999999993</v>
      </c>
      <c r="O189">
        <v>29.507000000000001</v>
      </c>
      <c r="P189">
        <v>37.817</v>
      </c>
      <c r="Q189">
        <v>25.556000000000001</v>
      </c>
      <c r="R189" t="s">
        <v>161</v>
      </c>
      <c r="S189" t="s">
        <v>83</v>
      </c>
      <c r="T189">
        <f>IF(TRIM(Table1[[#This Row],[PitStopLaps]])="",0,
LEN(Table1[[#This Row],[PitStopLaps]])-LEN(SUBSTITUTE(Table1[[#This Row],[PitStopLaps]],",",""))+1)</f>
        <v>2</v>
      </c>
      <c r="U189">
        <f>Table1[[#This Row],[StartPosition]]-Table1[[#This Row],[FinishPosition]]</f>
        <v>5</v>
      </c>
    </row>
    <row r="190" spans="1:21" x14ac:dyDescent="0.3">
      <c r="A190">
        <v>2018</v>
      </c>
      <c r="B190">
        <v>10</v>
      </c>
      <c r="C190" t="s">
        <v>157</v>
      </c>
      <c r="D190" t="s">
        <v>71</v>
      </c>
      <c r="E190" t="s">
        <v>72</v>
      </c>
      <c r="F190" t="s">
        <v>69</v>
      </c>
      <c r="G190">
        <v>7</v>
      </c>
      <c r="H190">
        <v>9</v>
      </c>
      <c r="I190">
        <v>2</v>
      </c>
      <c r="J190" t="s">
        <v>34</v>
      </c>
      <c r="K190" t="s">
        <v>24</v>
      </c>
      <c r="L190">
        <v>52</v>
      </c>
      <c r="M190">
        <v>93.603999999999999</v>
      </c>
      <c r="N190">
        <v>95.133666000000005</v>
      </c>
      <c r="O190">
        <v>29.542000000000002</v>
      </c>
      <c r="P190">
        <v>38.302</v>
      </c>
      <c r="Q190">
        <v>25.489000000000001</v>
      </c>
      <c r="R190">
        <v>25</v>
      </c>
      <c r="S190" t="s">
        <v>83</v>
      </c>
      <c r="T190">
        <f>IF(TRIM(Table1[[#This Row],[PitStopLaps]])="",0,
LEN(Table1[[#This Row],[PitStopLaps]])-LEN(SUBSTITUTE(Table1[[#This Row],[PitStopLaps]],",",""))+1)</f>
        <v>1</v>
      </c>
      <c r="U190">
        <f>Table1[[#This Row],[StartPosition]]-Table1[[#This Row],[FinishPosition]]</f>
        <v>-2</v>
      </c>
    </row>
    <row r="191" spans="1:21" x14ac:dyDescent="0.3">
      <c r="A191">
        <v>2018</v>
      </c>
      <c r="B191">
        <v>10</v>
      </c>
      <c r="C191" t="s">
        <v>157</v>
      </c>
      <c r="D191" t="s">
        <v>49</v>
      </c>
      <c r="E191" t="s">
        <v>50</v>
      </c>
      <c r="F191" t="s">
        <v>51</v>
      </c>
      <c r="G191">
        <v>12</v>
      </c>
      <c r="H191">
        <v>10</v>
      </c>
      <c r="I191">
        <v>1</v>
      </c>
      <c r="J191" t="s">
        <v>34</v>
      </c>
      <c r="K191" t="s">
        <v>24</v>
      </c>
      <c r="L191">
        <v>52</v>
      </c>
      <c r="M191">
        <v>93.471999999999994</v>
      </c>
      <c r="N191">
        <v>94.963999999999999</v>
      </c>
      <c r="O191">
        <v>29.227</v>
      </c>
      <c r="P191">
        <v>38.335999999999999</v>
      </c>
      <c r="Q191">
        <v>25.212</v>
      </c>
      <c r="R191" t="s">
        <v>161</v>
      </c>
      <c r="S191" t="s">
        <v>83</v>
      </c>
      <c r="T191">
        <f>IF(TRIM(Table1[[#This Row],[PitStopLaps]])="",0,
LEN(Table1[[#This Row],[PitStopLaps]])-LEN(SUBSTITUTE(Table1[[#This Row],[PitStopLaps]],",",""))+1)</f>
        <v>2</v>
      </c>
      <c r="U191">
        <f>Table1[[#This Row],[StartPosition]]-Table1[[#This Row],[FinishPosition]]</f>
        <v>2</v>
      </c>
    </row>
    <row r="192" spans="1:21" x14ac:dyDescent="0.3">
      <c r="A192">
        <v>2018</v>
      </c>
      <c r="B192">
        <v>10</v>
      </c>
      <c r="C192" t="s">
        <v>157</v>
      </c>
      <c r="D192" t="s">
        <v>45</v>
      </c>
      <c r="E192" t="s">
        <v>46</v>
      </c>
      <c r="F192" t="s">
        <v>37</v>
      </c>
      <c r="G192">
        <v>17</v>
      </c>
      <c r="H192">
        <v>11</v>
      </c>
      <c r="I192">
        <v>0</v>
      </c>
      <c r="J192" t="s">
        <v>34</v>
      </c>
      <c r="K192" t="s">
        <v>24</v>
      </c>
      <c r="L192">
        <v>52</v>
      </c>
      <c r="M192">
        <v>93.551000000000002</v>
      </c>
      <c r="N192">
        <v>95.454108000000005</v>
      </c>
      <c r="O192">
        <v>29.599</v>
      </c>
      <c r="P192">
        <v>38.082999999999998</v>
      </c>
      <c r="Q192">
        <v>25.369</v>
      </c>
      <c r="R192" t="s">
        <v>162</v>
      </c>
      <c r="S192" t="s">
        <v>83</v>
      </c>
      <c r="T192">
        <f>IF(TRIM(Table1[[#This Row],[PitStopLaps]])="",0,
LEN(Table1[[#This Row],[PitStopLaps]])-LEN(SUBSTITUTE(Table1[[#This Row],[PitStopLaps]],",",""))+1)</f>
        <v>2</v>
      </c>
      <c r="U192">
        <f>Table1[[#This Row],[StartPosition]]-Table1[[#This Row],[FinishPosition]]</f>
        <v>6</v>
      </c>
    </row>
    <row r="193" spans="1:21" x14ac:dyDescent="0.3">
      <c r="A193">
        <v>2018</v>
      </c>
      <c r="B193">
        <v>10</v>
      </c>
      <c r="C193" t="s">
        <v>157</v>
      </c>
      <c r="D193" t="s">
        <v>58</v>
      </c>
      <c r="E193" t="s">
        <v>59</v>
      </c>
      <c r="F193" t="s">
        <v>60</v>
      </c>
      <c r="G193">
        <v>19</v>
      </c>
      <c r="H193">
        <v>12</v>
      </c>
      <c r="I193">
        <v>0</v>
      </c>
      <c r="J193" t="s">
        <v>34</v>
      </c>
      <c r="K193" t="s">
        <v>24</v>
      </c>
      <c r="L193">
        <v>52</v>
      </c>
      <c r="M193">
        <v>93.869</v>
      </c>
      <c r="N193">
        <v>96.239230000000006</v>
      </c>
      <c r="O193">
        <v>29.856000000000002</v>
      </c>
      <c r="P193">
        <v>38.258000000000003</v>
      </c>
      <c r="Q193">
        <v>25.567</v>
      </c>
      <c r="R193">
        <v>30</v>
      </c>
      <c r="S193" t="s">
        <v>83</v>
      </c>
      <c r="T193">
        <f>IF(TRIM(Table1[[#This Row],[PitStopLaps]])="",0,
LEN(Table1[[#This Row],[PitStopLaps]])-LEN(SUBSTITUTE(Table1[[#This Row],[PitStopLaps]],",",""))+1)</f>
        <v>1</v>
      </c>
      <c r="U193">
        <f>Table1[[#This Row],[StartPosition]]-Table1[[#This Row],[FinishPosition]]</f>
        <v>7</v>
      </c>
    </row>
    <row r="194" spans="1:21" x14ac:dyDescent="0.3">
      <c r="A194">
        <v>2018</v>
      </c>
      <c r="B194">
        <v>10</v>
      </c>
      <c r="C194" t="s">
        <v>157</v>
      </c>
      <c r="D194" t="s">
        <v>73</v>
      </c>
      <c r="E194" t="s">
        <v>74</v>
      </c>
      <c r="F194" t="s">
        <v>64</v>
      </c>
      <c r="G194">
        <v>14</v>
      </c>
      <c r="H194">
        <v>13</v>
      </c>
      <c r="I194">
        <v>0</v>
      </c>
      <c r="J194" t="s">
        <v>34</v>
      </c>
      <c r="K194" t="s">
        <v>24</v>
      </c>
      <c r="L194">
        <v>52</v>
      </c>
      <c r="M194">
        <v>93.465000000000003</v>
      </c>
      <c r="N194">
        <v>95.186819999999997</v>
      </c>
      <c r="O194">
        <v>29.666</v>
      </c>
      <c r="P194">
        <v>37.802</v>
      </c>
      <c r="Q194">
        <v>25.338000000000001</v>
      </c>
      <c r="R194" t="s">
        <v>163</v>
      </c>
      <c r="S194" t="s">
        <v>83</v>
      </c>
      <c r="T194">
        <f>IF(TRIM(Table1[[#This Row],[PitStopLaps]])="",0,
LEN(Table1[[#This Row],[PitStopLaps]])-LEN(SUBSTITUTE(Table1[[#This Row],[PitStopLaps]],",",""))+1)</f>
        <v>2</v>
      </c>
      <c r="U194">
        <f>Table1[[#This Row],[StartPosition]]-Table1[[#This Row],[FinishPosition]]</f>
        <v>1</v>
      </c>
    </row>
    <row r="195" spans="1:21" x14ac:dyDescent="0.3">
      <c r="A195">
        <v>2018</v>
      </c>
      <c r="B195">
        <v>10</v>
      </c>
      <c r="C195" t="s">
        <v>157</v>
      </c>
      <c r="D195" t="s">
        <v>79</v>
      </c>
      <c r="E195" t="s">
        <v>80</v>
      </c>
      <c r="F195" t="s">
        <v>60</v>
      </c>
      <c r="G195">
        <v>18</v>
      </c>
      <c r="H195">
        <v>14</v>
      </c>
      <c r="I195">
        <v>0</v>
      </c>
      <c r="J195" t="s">
        <v>34</v>
      </c>
      <c r="K195" t="s">
        <v>24</v>
      </c>
      <c r="L195">
        <v>52</v>
      </c>
      <c r="M195">
        <v>94.62</v>
      </c>
      <c r="N195">
        <v>96.539871000000005</v>
      </c>
      <c r="O195">
        <v>30.077999999999999</v>
      </c>
      <c r="P195">
        <v>38.369999999999997</v>
      </c>
      <c r="Q195">
        <v>25.933</v>
      </c>
      <c r="R195">
        <v>21</v>
      </c>
      <c r="S195" t="s">
        <v>83</v>
      </c>
      <c r="T195">
        <f>IF(TRIM(Table1[[#This Row],[PitStopLaps]])="",0,
LEN(Table1[[#This Row],[PitStopLaps]])-LEN(SUBSTITUTE(Table1[[#This Row],[PitStopLaps]],",",""))+1)</f>
        <v>1</v>
      </c>
      <c r="U195">
        <f>Table1[[#This Row],[StartPosition]]-Table1[[#This Row],[FinishPosition]]</f>
        <v>4</v>
      </c>
    </row>
    <row r="196" spans="1:21" x14ac:dyDescent="0.3">
      <c r="A196">
        <v>2018</v>
      </c>
      <c r="B196">
        <v>10</v>
      </c>
      <c r="C196" t="s">
        <v>157</v>
      </c>
      <c r="D196" t="s">
        <v>38</v>
      </c>
      <c r="E196" t="s">
        <v>39</v>
      </c>
      <c r="F196" t="s">
        <v>33</v>
      </c>
      <c r="G196">
        <v>5</v>
      </c>
      <c r="H196">
        <v>15</v>
      </c>
      <c r="I196">
        <v>0</v>
      </c>
      <c r="J196" t="s">
        <v>34</v>
      </c>
      <c r="K196" t="s">
        <v>81</v>
      </c>
      <c r="L196">
        <v>47</v>
      </c>
      <c r="M196">
        <v>92.007000000000005</v>
      </c>
      <c r="N196">
        <v>94.011499999999998</v>
      </c>
      <c r="O196">
        <v>29.324999999999999</v>
      </c>
      <c r="P196">
        <v>37.32</v>
      </c>
      <c r="Q196">
        <v>25.13</v>
      </c>
      <c r="R196" t="s">
        <v>164</v>
      </c>
      <c r="S196" t="s">
        <v>83</v>
      </c>
      <c r="T196">
        <f>IF(TRIM(Table1[[#This Row],[PitStopLaps]])="",0,
LEN(Table1[[#This Row],[PitStopLaps]])-LEN(SUBSTITUTE(Table1[[#This Row],[PitStopLaps]],",",""))+1)</f>
        <v>2</v>
      </c>
      <c r="U196">
        <f>Table1[[#This Row],[StartPosition]]-Table1[[#This Row],[FinishPosition]]</f>
        <v>-10</v>
      </c>
    </row>
    <row r="197" spans="1:21" x14ac:dyDescent="0.3">
      <c r="A197">
        <v>2018</v>
      </c>
      <c r="B197">
        <v>10</v>
      </c>
      <c r="C197" t="s">
        <v>157</v>
      </c>
      <c r="D197" t="s">
        <v>67</v>
      </c>
      <c r="E197" t="s">
        <v>68</v>
      </c>
      <c r="F197" t="s">
        <v>69</v>
      </c>
      <c r="G197">
        <v>8</v>
      </c>
      <c r="H197">
        <v>16</v>
      </c>
      <c r="I197">
        <v>0</v>
      </c>
      <c r="J197" t="s">
        <v>34</v>
      </c>
      <c r="K197" t="s">
        <v>124</v>
      </c>
      <c r="L197">
        <v>38</v>
      </c>
      <c r="M197">
        <v>94.391000000000005</v>
      </c>
      <c r="N197">
        <v>95.633213999999995</v>
      </c>
      <c r="O197">
        <v>29.861999999999998</v>
      </c>
      <c r="P197">
        <v>38.244</v>
      </c>
      <c r="Q197">
        <v>25.762</v>
      </c>
      <c r="R197">
        <v>26</v>
      </c>
      <c r="S197" t="s">
        <v>83</v>
      </c>
      <c r="T197">
        <f>IF(TRIM(Table1[[#This Row],[PitStopLaps]])="",0,
LEN(Table1[[#This Row],[PitStopLaps]])-LEN(SUBSTITUTE(Table1[[#This Row],[PitStopLaps]],",",""))+1)</f>
        <v>1</v>
      </c>
      <c r="U197">
        <f>Table1[[#This Row],[StartPosition]]-Table1[[#This Row],[FinishPosition]]</f>
        <v>-8</v>
      </c>
    </row>
    <row r="198" spans="1:21" x14ac:dyDescent="0.3">
      <c r="A198">
        <v>2018</v>
      </c>
      <c r="B198">
        <v>10</v>
      </c>
      <c r="C198" t="s">
        <v>157</v>
      </c>
      <c r="D198" t="s">
        <v>47</v>
      </c>
      <c r="E198" t="s">
        <v>48</v>
      </c>
      <c r="F198" t="s">
        <v>42</v>
      </c>
      <c r="G198">
        <v>16</v>
      </c>
      <c r="H198">
        <v>17</v>
      </c>
      <c r="I198">
        <v>0</v>
      </c>
      <c r="J198" t="s">
        <v>34</v>
      </c>
      <c r="K198" t="s">
        <v>124</v>
      </c>
      <c r="L198">
        <v>38</v>
      </c>
      <c r="M198">
        <v>94.602000000000004</v>
      </c>
      <c r="N198">
        <v>95.484785000000002</v>
      </c>
      <c r="O198">
        <v>29.68</v>
      </c>
      <c r="P198">
        <v>38.497</v>
      </c>
      <c r="Q198">
        <v>25.779</v>
      </c>
      <c r="R198" t="s">
        <v>165</v>
      </c>
      <c r="S198" t="s">
        <v>83</v>
      </c>
      <c r="T198">
        <f>IF(TRIM(Table1[[#This Row],[PitStopLaps]])="",0,
LEN(Table1[[#This Row],[PitStopLaps]])-LEN(SUBSTITUTE(Table1[[#This Row],[PitStopLaps]],",",""))+1)</f>
        <v>2</v>
      </c>
      <c r="U198">
        <f>Table1[[#This Row],[StartPosition]]-Table1[[#This Row],[FinishPosition]]</f>
        <v>-1</v>
      </c>
    </row>
    <row r="199" spans="1:21" x14ac:dyDescent="0.3">
      <c r="A199">
        <v>2018</v>
      </c>
      <c r="B199">
        <v>10</v>
      </c>
      <c r="C199" t="s">
        <v>157</v>
      </c>
      <c r="D199" t="s">
        <v>76</v>
      </c>
      <c r="E199" t="s">
        <v>77</v>
      </c>
      <c r="F199" t="s">
        <v>56</v>
      </c>
      <c r="G199">
        <v>15</v>
      </c>
      <c r="H199">
        <v>18</v>
      </c>
      <c r="I199">
        <v>0</v>
      </c>
      <c r="J199" t="s">
        <v>34</v>
      </c>
      <c r="K199" t="s">
        <v>123</v>
      </c>
      <c r="L199">
        <v>32</v>
      </c>
      <c r="M199">
        <v>93.674999999999997</v>
      </c>
      <c r="N199">
        <v>95.681892000000005</v>
      </c>
      <c r="O199">
        <v>29.701000000000001</v>
      </c>
      <c r="P199">
        <v>38.078000000000003</v>
      </c>
      <c r="Q199">
        <v>25.856000000000002</v>
      </c>
      <c r="R199">
        <v>24</v>
      </c>
      <c r="S199" t="s">
        <v>83</v>
      </c>
      <c r="T199">
        <f>IF(TRIM(Table1[[#This Row],[PitStopLaps]])="",0,
LEN(Table1[[#This Row],[PitStopLaps]])-LEN(SUBSTITUTE(Table1[[#This Row],[PitStopLaps]],",",""))+1)</f>
        <v>1</v>
      </c>
      <c r="U199">
        <f>Table1[[#This Row],[StartPosition]]-Table1[[#This Row],[FinishPosition]]</f>
        <v>-3</v>
      </c>
    </row>
    <row r="200" spans="1:21" x14ac:dyDescent="0.3">
      <c r="A200">
        <v>2018</v>
      </c>
      <c r="B200">
        <v>10</v>
      </c>
      <c r="C200" t="s">
        <v>157</v>
      </c>
      <c r="D200" t="s">
        <v>54</v>
      </c>
      <c r="E200" t="s">
        <v>55</v>
      </c>
      <c r="F200" t="s">
        <v>56</v>
      </c>
      <c r="G200">
        <v>9</v>
      </c>
      <c r="H200">
        <v>19</v>
      </c>
      <c r="I200">
        <v>0</v>
      </c>
      <c r="J200" t="s">
        <v>34</v>
      </c>
      <c r="K200" t="s">
        <v>166</v>
      </c>
      <c r="L200">
        <v>18</v>
      </c>
      <c r="M200">
        <v>95.209000000000003</v>
      </c>
      <c r="N200">
        <v>95.560374999999993</v>
      </c>
      <c r="O200">
        <v>29.861999999999998</v>
      </c>
      <c r="P200">
        <v>38.886000000000003</v>
      </c>
      <c r="Q200">
        <v>25.974</v>
      </c>
      <c r="R200">
        <v>18</v>
      </c>
      <c r="S200" t="s">
        <v>83</v>
      </c>
      <c r="T200">
        <f>IF(TRIM(Table1[[#This Row],[PitStopLaps]])="",0,
LEN(Table1[[#This Row],[PitStopLaps]])-LEN(SUBSTITUTE(Table1[[#This Row],[PitStopLaps]],",",""))+1)</f>
        <v>1</v>
      </c>
      <c r="U200">
        <f>Table1[[#This Row],[StartPosition]]-Table1[[#This Row],[FinishPosition]]</f>
        <v>-10</v>
      </c>
    </row>
    <row r="201" spans="1:21" x14ac:dyDescent="0.3">
      <c r="A201">
        <v>2018</v>
      </c>
      <c r="B201">
        <v>10</v>
      </c>
      <c r="C201" t="s">
        <v>157</v>
      </c>
      <c r="D201" t="s">
        <v>62</v>
      </c>
      <c r="E201" t="s">
        <v>63</v>
      </c>
      <c r="F201" t="s">
        <v>64</v>
      </c>
      <c r="G201">
        <v>0</v>
      </c>
      <c r="H201">
        <v>20</v>
      </c>
      <c r="I201">
        <v>0</v>
      </c>
      <c r="J201" t="s">
        <v>34</v>
      </c>
      <c r="K201" t="s">
        <v>167</v>
      </c>
      <c r="L201">
        <v>1</v>
      </c>
      <c r="R201">
        <v>1</v>
      </c>
      <c r="S201" t="s">
        <v>83</v>
      </c>
      <c r="T201">
        <f>IF(TRIM(Table1[[#This Row],[PitStopLaps]])="",0,
LEN(Table1[[#This Row],[PitStopLaps]])-LEN(SUBSTITUTE(Table1[[#This Row],[PitStopLaps]],",",""))+1)</f>
        <v>1</v>
      </c>
      <c r="U201">
        <f>Table1[[#This Row],[StartPosition]]-Table1[[#This Row],[FinishPosition]]</f>
        <v>-20</v>
      </c>
    </row>
    <row r="202" spans="1:21" x14ac:dyDescent="0.3">
      <c r="A202">
        <v>2018</v>
      </c>
      <c r="B202">
        <v>11</v>
      </c>
      <c r="C202" t="s">
        <v>168</v>
      </c>
      <c r="D202" t="s">
        <v>26</v>
      </c>
      <c r="E202" t="s">
        <v>27</v>
      </c>
      <c r="F202" t="s">
        <v>28</v>
      </c>
      <c r="G202">
        <v>14</v>
      </c>
      <c r="H202">
        <v>1</v>
      </c>
      <c r="I202">
        <v>25</v>
      </c>
      <c r="J202" t="s">
        <v>23</v>
      </c>
      <c r="K202" t="s">
        <v>24</v>
      </c>
      <c r="L202">
        <v>67</v>
      </c>
      <c r="M202">
        <v>75.545000000000002</v>
      </c>
      <c r="N202">
        <v>77.879322000000002</v>
      </c>
      <c r="O202">
        <v>16.440999999999999</v>
      </c>
      <c r="P202">
        <v>36.06</v>
      </c>
      <c r="Q202">
        <v>22.913</v>
      </c>
      <c r="R202">
        <v>42</v>
      </c>
      <c r="S202" t="s">
        <v>25</v>
      </c>
      <c r="T202">
        <f>IF(TRIM(Table1[[#This Row],[PitStopLaps]])="",0,
LEN(Table1[[#This Row],[PitStopLaps]])-LEN(SUBSTITUTE(Table1[[#This Row],[PitStopLaps]],",",""))+1)</f>
        <v>1</v>
      </c>
      <c r="U202">
        <f>Table1[[#This Row],[StartPosition]]-Table1[[#This Row],[FinishPosition]]</f>
        <v>13</v>
      </c>
    </row>
    <row r="203" spans="1:21" x14ac:dyDescent="0.3">
      <c r="A203">
        <v>2018</v>
      </c>
      <c r="B203">
        <v>11</v>
      </c>
      <c r="C203" t="s">
        <v>168</v>
      </c>
      <c r="D203" t="s">
        <v>43</v>
      </c>
      <c r="E203" t="s">
        <v>44</v>
      </c>
      <c r="F203" t="s">
        <v>28</v>
      </c>
      <c r="G203">
        <v>2</v>
      </c>
      <c r="H203">
        <v>2</v>
      </c>
      <c r="I203">
        <v>18</v>
      </c>
      <c r="J203" t="s">
        <v>23</v>
      </c>
      <c r="K203" t="s">
        <v>24</v>
      </c>
      <c r="L203">
        <v>67</v>
      </c>
      <c r="M203">
        <v>75.721000000000004</v>
      </c>
      <c r="N203">
        <v>78.197500000000005</v>
      </c>
      <c r="O203">
        <v>16.36</v>
      </c>
      <c r="P203">
        <v>36.24</v>
      </c>
      <c r="Q203">
        <v>22.998000000000001</v>
      </c>
      <c r="R203" t="s">
        <v>169</v>
      </c>
      <c r="S203" t="s">
        <v>25</v>
      </c>
      <c r="T203">
        <f>IF(TRIM(Table1[[#This Row],[PitStopLaps]])="",0,
LEN(Table1[[#This Row],[PitStopLaps]])-LEN(SUBSTITUTE(Table1[[#This Row],[PitStopLaps]],",",""))+1)</f>
        <v>2</v>
      </c>
      <c r="U203">
        <f>Table1[[#This Row],[StartPosition]]-Table1[[#This Row],[FinishPosition]]</f>
        <v>0</v>
      </c>
    </row>
    <row r="204" spans="1:21" x14ac:dyDescent="0.3">
      <c r="A204">
        <v>2018</v>
      </c>
      <c r="B204">
        <v>11</v>
      </c>
      <c r="C204" t="s">
        <v>168</v>
      </c>
      <c r="D204" t="s">
        <v>29</v>
      </c>
      <c r="E204" t="s">
        <v>30</v>
      </c>
      <c r="F204" t="s">
        <v>22</v>
      </c>
      <c r="G204">
        <v>3</v>
      </c>
      <c r="H204">
        <v>3</v>
      </c>
      <c r="I204">
        <v>15</v>
      </c>
      <c r="J204" t="s">
        <v>23</v>
      </c>
      <c r="K204" t="s">
        <v>24</v>
      </c>
      <c r="L204">
        <v>67</v>
      </c>
      <c r="M204">
        <v>75.989999999999995</v>
      </c>
      <c r="N204">
        <v>78.645212000000001</v>
      </c>
      <c r="O204">
        <v>16.382999999999999</v>
      </c>
      <c r="P204">
        <v>36.076999999999998</v>
      </c>
      <c r="Q204">
        <v>23.373000000000001</v>
      </c>
      <c r="R204" t="s">
        <v>170</v>
      </c>
      <c r="S204" t="s">
        <v>25</v>
      </c>
      <c r="T204">
        <f>IF(TRIM(Table1[[#This Row],[PitStopLaps]])="",0,
LEN(Table1[[#This Row],[PitStopLaps]])-LEN(SUBSTITUTE(Table1[[#This Row],[PitStopLaps]],",",""))+1)</f>
        <v>2</v>
      </c>
      <c r="U204">
        <f>Table1[[#This Row],[StartPosition]]-Table1[[#This Row],[FinishPosition]]</f>
        <v>0</v>
      </c>
    </row>
    <row r="205" spans="1:21" x14ac:dyDescent="0.3">
      <c r="A205">
        <v>2018</v>
      </c>
      <c r="B205">
        <v>11</v>
      </c>
      <c r="C205" t="s">
        <v>168</v>
      </c>
      <c r="D205" t="s">
        <v>38</v>
      </c>
      <c r="E205" t="s">
        <v>39</v>
      </c>
      <c r="F205" t="s">
        <v>33</v>
      </c>
      <c r="G205">
        <v>4</v>
      </c>
      <c r="H205">
        <v>4</v>
      </c>
      <c r="I205">
        <v>12</v>
      </c>
      <c r="J205" t="s">
        <v>34</v>
      </c>
      <c r="K205" t="s">
        <v>24</v>
      </c>
      <c r="L205">
        <v>67</v>
      </c>
      <c r="M205">
        <v>75.852000000000004</v>
      </c>
      <c r="N205">
        <v>78.202332999999996</v>
      </c>
      <c r="O205">
        <v>16.363</v>
      </c>
      <c r="P205">
        <v>36.127000000000002</v>
      </c>
      <c r="Q205">
        <v>23.135999999999999</v>
      </c>
      <c r="R205" t="s">
        <v>171</v>
      </c>
      <c r="S205" t="s">
        <v>25</v>
      </c>
      <c r="T205">
        <f>IF(TRIM(Table1[[#This Row],[PitStopLaps]])="",0,
LEN(Table1[[#This Row],[PitStopLaps]])-LEN(SUBSTITUTE(Table1[[#This Row],[PitStopLaps]],",",""))+1)</f>
        <v>3</v>
      </c>
      <c r="U205">
        <f>Table1[[#This Row],[StartPosition]]-Table1[[#This Row],[FinishPosition]]</f>
        <v>0</v>
      </c>
    </row>
    <row r="206" spans="1:21" x14ac:dyDescent="0.3">
      <c r="A206">
        <v>2018</v>
      </c>
      <c r="B206">
        <v>11</v>
      </c>
      <c r="C206" t="s">
        <v>168</v>
      </c>
      <c r="D206" t="s">
        <v>40</v>
      </c>
      <c r="E206" t="s">
        <v>41</v>
      </c>
      <c r="F206" t="s">
        <v>42</v>
      </c>
      <c r="G206">
        <v>7</v>
      </c>
      <c r="H206">
        <v>5</v>
      </c>
      <c r="I206">
        <v>10</v>
      </c>
      <c r="J206" t="s">
        <v>34</v>
      </c>
      <c r="K206" t="s">
        <v>24</v>
      </c>
      <c r="L206">
        <v>67</v>
      </c>
      <c r="M206">
        <v>77.91</v>
      </c>
      <c r="N206">
        <v>79.840727000000001</v>
      </c>
      <c r="O206">
        <v>16.779</v>
      </c>
      <c r="P206">
        <v>36.94</v>
      </c>
      <c r="Q206">
        <v>23.962</v>
      </c>
      <c r="R206" t="s">
        <v>172</v>
      </c>
      <c r="S206" t="s">
        <v>25</v>
      </c>
      <c r="T206">
        <f>IF(TRIM(Table1[[#This Row],[PitStopLaps]])="",0,
LEN(Table1[[#This Row],[PitStopLaps]])-LEN(SUBSTITUTE(Table1[[#This Row],[PitStopLaps]],",",""))+1)</f>
        <v>3</v>
      </c>
      <c r="U206">
        <f>Table1[[#This Row],[StartPosition]]-Table1[[#This Row],[FinishPosition]]</f>
        <v>2</v>
      </c>
    </row>
    <row r="207" spans="1:21" x14ac:dyDescent="0.3">
      <c r="A207">
        <v>2018</v>
      </c>
      <c r="B207">
        <v>11</v>
      </c>
      <c r="C207" t="s">
        <v>168</v>
      </c>
      <c r="D207" t="s">
        <v>67</v>
      </c>
      <c r="E207" t="s">
        <v>68</v>
      </c>
      <c r="F207" t="s">
        <v>69</v>
      </c>
      <c r="G207">
        <v>6</v>
      </c>
      <c r="H207">
        <v>6</v>
      </c>
      <c r="I207">
        <v>8</v>
      </c>
      <c r="J207" t="s">
        <v>34</v>
      </c>
      <c r="K207" t="s">
        <v>24</v>
      </c>
      <c r="L207">
        <v>67</v>
      </c>
      <c r="M207">
        <v>76.715999999999994</v>
      </c>
      <c r="N207">
        <v>79.766999999999996</v>
      </c>
      <c r="O207">
        <v>16.640999999999998</v>
      </c>
      <c r="P207">
        <v>35.935000000000002</v>
      </c>
      <c r="Q207">
        <v>23.832999999999998</v>
      </c>
      <c r="R207" t="s">
        <v>173</v>
      </c>
      <c r="S207" t="s">
        <v>25</v>
      </c>
      <c r="T207">
        <f>IF(TRIM(Table1[[#This Row],[PitStopLaps]])="",0,
LEN(Table1[[#This Row],[PitStopLaps]])-LEN(SUBSTITUTE(Table1[[#This Row],[PitStopLaps]],",",""))+1)</f>
        <v>3</v>
      </c>
      <c r="U207">
        <f>Table1[[#This Row],[StartPosition]]-Table1[[#This Row],[FinishPosition]]</f>
        <v>0</v>
      </c>
    </row>
    <row r="208" spans="1:21" x14ac:dyDescent="0.3">
      <c r="A208">
        <v>2018</v>
      </c>
      <c r="B208">
        <v>11</v>
      </c>
      <c r="C208" t="s">
        <v>168</v>
      </c>
      <c r="D208" t="s">
        <v>49</v>
      </c>
      <c r="E208" t="s">
        <v>50</v>
      </c>
      <c r="F208" t="s">
        <v>51</v>
      </c>
      <c r="G208">
        <v>10</v>
      </c>
      <c r="H208">
        <v>7</v>
      </c>
      <c r="I208">
        <v>6</v>
      </c>
      <c r="J208" t="s">
        <v>34</v>
      </c>
      <c r="K208" t="s">
        <v>24</v>
      </c>
      <c r="L208">
        <v>67</v>
      </c>
      <c r="M208">
        <v>77.867000000000004</v>
      </c>
      <c r="N208">
        <v>80.121786999999998</v>
      </c>
      <c r="O208">
        <v>16.962</v>
      </c>
      <c r="P208">
        <v>36.81</v>
      </c>
      <c r="Q208">
        <v>24.094999999999999</v>
      </c>
      <c r="R208">
        <v>22</v>
      </c>
      <c r="S208" t="s">
        <v>25</v>
      </c>
      <c r="T208">
        <f>IF(TRIM(Table1[[#This Row],[PitStopLaps]])="",0,
LEN(Table1[[#This Row],[PitStopLaps]])-LEN(SUBSTITUTE(Table1[[#This Row],[PitStopLaps]],",",""))+1)</f>
        <v>1</v>
      </c>
      <c r="U208">
        <f>Table1[[#This Row],[StartPosition]]-Table1[[#This Row],[FinishPosition]]</f>
        <v>3</v>
      </c>
    </row>
    <row r="209" spans="1:21" x14ac:dyDescent="0.3">
      <c r="A209">
        <v>2018</v>
      </c>
      <c r="B209">
        <v>11</v>
      </c>
      <c r="C209" t="s">
        <v>168</v>
      </c>
      <c r="D209" t="s">
        <v>52</v>
      </c>
      <c r="E209" t="s">
        <v>53</v>
      </c>
      <c r="F209" t="s">
        <v>51</v>
      </c>
      <c r="G209">
        <v>15</v>
      </c>
      <c r="H209">
        <v>8</v>
      </c>
      <c r="I209">
        <v>4</v>
      </c>
      <c r="J209" t="s">
        <v>34</v>
      </c>
      <c r="K209" t="s">
        <v>24</v>
      </c>
      <c r="L209">
        <v>67</v>
      </c>
      <c r="M209">
        <v>77.941000000000003</v>
      </c>
      <c r="N209">
        <v>79.928666000000007</v>
      </c>
      <c r="O209">
        <v>16.922999999999998</v>
      </c>
      <c r="P209">
        <v>36.656999999999996</v>
      </c>
      <c r="Q209">
        <v>24.26</v>
      </c>
      <c r="R209">
        <v>25</v>
      </c>
      <c r="S209" t="s">
        <v>25</v>
      </c>
      <c r="T209">
        <f>IF(TRIM(Table1[[#This Row],[PitStopLaps]])="",0,
LEN(Table1[[#This Row],[PitStopLaps]])-LEN(SUBSTITUTE(Table1[[#This Row],[PitStopLaps]],",",""))+1)</f>
        <v>1</v>
      </c>
      <c r="U209">
        <f>Table1[[#This Row],[StartPosition]]-Table1[[#This Row],[FinishPosition]]</f>
        <v>7</v>
      </c>
    </row>
    <row r="210" spans="1:21" x14ac:dyDescent="0.3">
      <c r="A210">
        <v>2018</v>
      </c>
      <c r="B210">
        <v>11</v>
      </c>
      <c r="C210" t="s">
        <v>168</v>
      </c>
      <c r="D210" t="s">
        <v>76</v>
      </c>
      <c r="E210" t="s">
        <v>77</v>
      </c>
      <c r="F210" t="s">
        <v>56</v>
      </c>
      <c r="G210">
        <v>13</v>
      </c>
      <c r="H210">
        <v>9</v>
      </c>
      <c r="I210">
        <v>2</v>
      </c>
      <c r="J210" t="s">
        <v>34</v>
      </c>
      <c r="K210" t="s">
        <v>24</v>
      </c>
      <c r="L210">
        <v>67</v>
      </c>
      <c r="M210">
        <v>77.745000000000005</v>
      </c>
      <c r="N210">
        <v>80.137870000000007</v>
      </c>
      <c r="O210">
        <v>16.806999999999999</v>
      </c>
      <c r="P210">
        <v>36.593000000000004</v>
      </c>
      <c r="Q210">
        <v>24.2</v>
      </c>
      <c r="R210">
        <v>38</v>
      </c>
      <c r="S210" t="s">
        <v>25</v>
      </c>
      <c r="T210">
        <f>IF(TRIM(Table1[[#This Row],[PitStopLaps]])="",0,
LEN(Table1[[#This Row],[PitStopLaps]])-LEN(SUBSTITUTE(Table1[[#This Row],[PitStopLaps]],",",""))+1)</f>
        <v>1</v>
      </c>
      <c r="U210">
        <f>Table1[[#This Row],[StartPosition]]-Table1[[#This Row],[FinishPosition]]</f>
        <v>4</v>
      </c>
    </row>
    <row r="211" spans="1:21" x14ac:dyDescent="0.3">
      <c r="A211">
        <v>2018</v>
      </c>
      <c r="B211">
        <v>11</v>
      </c>
      <c r="C211" t="s">
        <v>168</v>
      </c>
      <c r="D211" t="s">
        <v>62</v>
      </c>
      <c r="E211" t="s">
        <v>63</v>
      </c>
      <c r="F211" t="s">
        <v>64</v>
      </c>
      <c r="G211">
        <v>17</v>
      </c>
      <c r="H211">
        <v>10</v>
      </c>
      <c r="I211">
        <v>1</v>
      </c>
      <c r="J211" t="s">
        <v>34</v>
      </c>
      <c r="K211" t="s">
        <v>24</v>
      </c>
      <c r="L211">
        <v>67</v>
      </c>
      <c r="M211">
        <v>77.680999999999997</v>
      </c>
      <c r="N211">
        <v>80.455063999999993</v>
      </c>
      <c r="O211">
        <v>16.856000000000002</v>
      </c>
      <c r="P211">
        <v>36.658999999999999</v>
      </c>
      <c r="Q211">
        <v>24.106000000000002</v>
      </c>
      <c r="R211" t="s">
        <v>169</v>
      </c>
      <c r="S211" t="s">
        <v>25</v>
      </c>
      <c r="T211">
        <f>IF(TRIM(Table1[[#This Row],[PitStopLaps]])="",0,
LEN(Table1[[#This Row],[PitStopLaps]])-LEN(SUBSTITUTE(Table1[[#This Row],[PitStopLaps]],",",""))+1)</f>
        <v>2</v>
      </c>
      <c r="U211">
        <f>Table1[[#This Row],[StartPosition]]-Table1[[#This Row],[FinishPosition]]</f>
        <v>7</v>
      </c>
    </row>
    <row r="212" spans="1:21" x14ac:dyDescent="0.3">
      <c r="A212">
        <v>2018</v>
      </c>
      <c r="B212">
        <v>11</v>
      </c>
      <c r="C212" t="s">
        <v>168</v>
      </c>
      <c r="D212" t="s">
        <v>71</v>
      </c>
      <c r="E212" t="s">
        <v>72</v>
      </c>
      <c r="F212" t="s">
        <v>69</v>
      </c>
      <c r="G212">
        <v>5</v>
      </c>
      <c r="H212">
        <v>11</v>
      </c>
      <c r="I212">
        <v>0</v>
      </c>
      <c r="J212" t="s">
        <v>34</v>
      </c>
      <c r="K212" t="s">
        <v>24</v>
      </c>
      <c r="L212">
        <v>67</v>
      </c>
      <c r="M212">
        <v>77.697000000000003</v>
      </c>
      <c r="N212">
        <v>80.157696000000001</v>
      </c>
      <c r="O212">
        <v>16.805</v>
      </c>
      <c r="P212">
        <v>36.521000000000001</v>
      </c>
      <c r="Q212">
        <v>24.035</v>
      </c>
      <c r="R212" t="s">
        <v>174</v>
      </c>
      <c r="S212" t="s">
        <v>25</v>
      </c>
      <c r="T212">
        <f>IF(TRIM(Table1[[#This Row],[PitStopLaps]])="",0,
LEN(Table1[[#This Row],[PitStopLaps]])-LEN(SUBSTITUTE(Table1[[#This Row],[PitStopLaps]],",",""))+1)</f>
        <v>3</v>
      </c>
      <c r="U212">
        <f>Table1[[#This Row],[StartPosition]]-Table1[[#This Row],[FinishPosition]]</f>
        <v>-6</v>
      </c>
    </row>
    <row r="213" spans="1:21" x14ac:dyDescent="0.3">
      <c r="A213">
        <v>2018</v>
      </c>
      <c r="B213">
        <v>11</v>
      </c>
      <c r="C213" t="s">
        <v>168</v>
      </c>
      <c r="D213" t="s">
        <v>47</v>
      </c>
      <c r="E213" t="s">
        <v>48</v>
      </c>
      <c r="F213" t="s">
        <v>42</v>
      </c>
      <c r="G213">
        <v>8</v>
      </c>
      <c r="H213">
        <v>12</v>
      </c>
      <c r="I213">
        <v>0</v>
      </c>
      <c r="J213" t="s">
        <v>34</v>
      </c>
      <c r="K213" t="s">
        <v>24</v>
      </c>
      <c r="L213">
        <v>67</v>
      </c>
      <c r="M213">
        <v>77.430000000000007</v>
      </c>
      <c r="N213">
        <v>79.629593</v>
      </c>
      <c r="O213">
        <v>16.84</v>
      </c>
      <c r="P213">
        <v>36.049999999999997</v>
      </c>
      <c r="Q213">
        <v>24.16</v>
      </c>
      <c r="R213" t="s">
        <v>175</v>
      </c>
      <c r="S213" t="s">
        <v>25</v>
      </c>
      <c r="T213">
        <f>IF(TRIM(Table1[[#This Row],[PitStopLaps]])="",0,
LEN(Table1[[#This Row],[PitStopLaps]])-LEN(SUBSTITUTE(Table1[[#This Row],[PitStopLaps]],",",""))+1)</f>
        <v>3</v>
      </c>
      <c r="U213">
        <f>Table1[[#This Row],[StartPosition]]-Table1[[#This Row],[FinishPosition]]</f>
        <v>-4</v>
      </c>
    </row>
    <row r="214" spans="1:21" x14ac:dyDescent="0.3">
      <c r="A214">
        <v>2018</v>
      </c>
      <c r="B214">
        <v>11</v>
      </c>
      <c r="C214" t="s">
        <v>168</v>
      </c>
      <c r="D214" t="s">
        <v>45</v>
      </c>
      <c r="E214" t="s">
        <v>46</v>
      </c>
      <c r="F214" t="s">
        <v>37</v>
      </c>
      <c r="G214">
        <v>19</v>
      </c>
      <c r="H214">
        <v>13</v>
      </c>
      <c r="I214">
        <v>0</v>
      </c>
      <c r="J214" t="s">
        <v>34</v>
      </c>
      <c r="K214" t="s">
        <v>24</v>
      </c>
      <c r="L214">
        <v>67</v>
      </c>
      <c r="M214">
        <v>77.537000000000006</v>
      </c>
      <c r="N214">
        <v>80.940765999999996</v>
      </c>
      <c r="O214">
        <v>16.869</v>
      </c>
      <c r="P214">
        <v>36.918999999999997</v>
      </c>
      <c r="Q214">
        <v>23.748999999999999</v>
      </c>
      <c r="R214" t="s">
        <v>176</v>
      </c>
      <c r="S214" t="s">
        <v>25</v>
      </c>
      <c r="T214">
        <f>IF(TRIM(Table1[[#This Row],[PitStopLaps]])="",0,
LEN(Table1[[#This Row],[PitStopLaps]])-LEN(SUBSTITUTE(Table1[[#This Row],[PitStopLaps]],",",""))+1)</f>
        <v>2</v>
      </c>
      <c r="U214">
        <f>Table1[[#This Row],[StartPosition]]-Table1[[#This Row],[FinishPosition]]</f>
        <v>6</v>
      </c>
    </row>
    <row r="215" spans="1:21" x14ac:dyDescent="0.3">
      <c r="A215">
        <v>2018</v>
      </c>
      <c r="B215">
        <v>11</v>
      </c>
      <c r="C215" t="s">
        <v>168</v>
      </c>
      <c r="D215" t="s">
        <v>73</v>
      </c>
      <c r="E215" t="s">
        <v>74</v>
      </c>
      <c r="F215" t="s">
        <v>64</v>
      </c>
      <c r="G215">
        <v>16</v>
      </c>
      <c r="H215">
        <v>14</v>
      </c>
      <c r="I215">
        <v>0</v>
      </c>
      <c r="J215" t="s">
        <v>34</v>
      </c>
      <c r="K215" t="s">
        <v>65</v>
      </c>
      <c r="L215">
        <v>66</v>
      </c>
      <c r="M215">
        <v>77.762</v>
      </c>
      <c r="N215">
        <v>81.139464000000004</v>
      </c>
      <c r="O215">
        <v>16.998000000000001</v>
      </c>
      <c r="P215">
        <v>36.631</v>
      </c>
      <c r="Q215">
        <v>24.076000000000001</v>
      </c>
      <c r="R215" t="s">
        <v>177</v>
      </c>
      <c r="S215" t="s">
        <v>25</v>
      </c>
      <c r="T215">
        <f>IF(TRIM(Table1[[#This Row],[PitStopLaps]])="",0,
LEN(Table1[[#This Row],[PitStopLaps]])-LEN(SUBSTITUTE(Table1[[#This Row],[PitStopLaps]],",",""))+1)</f>
        <v>2</v>
      </c>
      <c r="U215">
        <f>Table1[[#This Row],[StartPosition]]-Table1[[#This Row],[FinishPosition]]</f>
        <v>2</v>
      </c>
    </row>
    <row r="216" spans="1:21" x14ac:dyDescent="0.3">
      <c r="A216">
        <v>2018</v>
      </c>
      <c r="B216">
        <v>11</v>
      </c>
      <c r="C216" t="s">
        <v>168</v>
      </c>
      <c r="D216" t="s">
        <v>54</v>
      </c>
      <c r="E216" t="s">
        <v>55</v>
      </c>
      <c r="F216" t="s">
        <v>56</v>
      </c>
      <c r="G216">
        <v>9</v>
      </c>
      <c r="H216">
        <v>15</v>
      </c>
      <c r="I216">
        <v>0</v>
      </c>
      <c r="J216" t="s">
        <v>34</v>
      </c>
      <c r="K216" t="s">
        <v>65</v>
      </c>
      <c r="L216">
        <v>66</v>
      </c>
      <c r="M216">
        <v>77.852000000000004</v>
      </c>
      <c r="N216">
        <v>80.072665999999998</v>
      </c>
      <c r="O216">
        <v>17.093</v>
      </c>
      <c r="P216">
        <v>36.578000000000003</v>
      </c>
      <c r="Q216">
        <v>24.111999999999998</v>
      </c>
      <c r="R216" t="s">
        <v>178</v>
      </c>
      <c r="S216" t="s">
        <v>25</v>
      </c>
      <c r="T216">
        <f>IF(TRIM(Table1[[#This Row],[PitStopLaps]])="",0,
LEN(Table1[[#This Row],[PitStopLaps]])-LEN(SUBSTITUTE(Table1[[#This Row],[PitStopLaps]],",",""))+1)</f>
        <v>3</v>
      </c>
      <c r="U216">
        <f>Table1[[#This Row],[StartPosition]]-Table1[[#This Row],[FinishPosition]]</f>
        <v>-6</v>
      </c>
    </row>
    <row r="217" spans="1:21" x14ac:dyDescent="0.3">
      <c r="A217">
        <v>2018</v>
      </c>
      <c r="B217">
        <v>11</v>
      </c>
      <c r="C217" t="s">
        <v>168</v>
      </c>
      <c r="D217" t="s">
        <v>35</v>
      </c>
      <c r="E217" t="s">
        <v>36</v>
      </c>
      <c r="F217" t="s">
        <v>37</v>
      </c>
      <c r="G217">
        <v>11</v>
      </c>
      <c r="H217">
        <v>16</v>
      </c>
      <c r="I217">
        <v>0</v>
      </c>
      <c r="J217" t="s">
        <v>34</v>
      </c>
      <c r="K217" t="s">
        <v>179</v>
      </c>
      <c r="L217">
        <v>65</v>
      </c>
      <c r="M217">
        <v>77.741</v>
      </c>
      <c r="N217">
        <v>81.206708000000006</v>
      </c>
      <c r="O217">
        <v>16.956</v>
      </c>
      <c r="P217">
        <v>36.634</v>
      </c>
      <c r="Q217">
        <v>23.913</v>
      </c>
      <c r="R217" t="s">
        <v>180</v>
      </c>
      <c r="S217" t="s">
        <v>25</v>
      </c>
      <c r="T217">
        <f>IF(TRIM(Table1[[#This Row],[PitStopLaps]])="",0,
LEN(Table1[[#This Row],[PitStopLaps]])-LEN(SUBSTITUTE(Table1[[#This Row],[PitStopLaps]],",",""))+1)</f>
        <v>4</v>
      </c>
      <c r="U217">
        <f>Table1[[#This Row],[StartPosition]]-Table1[[#This Row],[FinishPosition]]</f>
        <v>-5</v>
      </c>
    </row>
    <row r="218" spans="1:21" x14ac:dyDescent="0.3">
      <c r="A218">
        <v>2018</v>
      </c>
      <c r="B218">
        <v>11</v>
      </c>
      <c r="C218" t="s">
        <v>168</v>
      </c>
      <c r="D218" t="s">
        <v>58</v>
      </c>
      <c r="E218" t="s">
        <v>59</v>
      </c>
      <c r="F218" t="s">
        <v>60</v>
      </c>
      <c r="G218">
        <v>18</v>
      </c>
      <c r="H218">
        <v>17</v>
      </c>
      <c r="I218">
        <v>0</v>
      </c>
      <c r="J218" t="s">
        <v>34</v>
      </c>
      <c r="K218" t="s">
        <v>75</v>
      </c>
      <c r="L218">
        <v>53</v>
      </c>
      <c r="M218">
        <v>78.861000000000004</v>
      </c>
      <c r="N218">
        <v>80.441999999999993</v>
      </c>
      <c r="O218">
        <v>17.233000000000001</v>
      </c>
      <c r="P218">
        <v>36.878999999999998</v>
      </c>
      <c r="Q218">
        <v>24.381</v>
      </c>
      <c r="R218" t="s">
        <v>181</v>
      </c>
      <c r="S218" t="s">
        <v>25</v>
      </c>
      <c r="T218">
        <f>IF(TRIM(Table1[[#This Row],[PitStopLaps]])="",0,
LEN(Table1[[#This Row],[PitStopLaps]])-LEN(SUBSTITUTE(Table1[[#This Row],[PitStopLaps]],",",""))+1)</f>
        <v>3</v>
      </c>
      <c r="U218">
        <f>Table1[[#This Row],[StartPosition]]-Table1[[#This Row],[FinishPosition]]</f>
        <v>1</v>
      </c>
    </row>
    <row r="219" spans="1:21" x14ac:dyDescent="0.3">
      <c r="A219">
        <v>2018</v>
      </c>
      <c r="B219">
        <v>11</v>
      </c>
      <c r="C219" t="s">
        <v>168</v>
      </c>
      <c r="D219" t="s">
        <v>20</v>
      </c>
      <c r="E219" t="s">
        <v>21</v>
      </c>
      <c r="F219" t="s">
        <v>22</v>
      </c>
      <c r="G219">
        <v>1</v>
      </c>
      <c r="H219">
        <v>18</v>
      </c>
      <c r="I219">
        <v>0</v>
      </c>
      <c r="J219" t="s">
        <v>34</v>
      </c>
      <c r="K219" t="s">
        <v>123</v>
      </c>
      <c r="L219">
        <v>52</v>
      </c>
      <c r="M219">
        <v>77.290000000000006</v>
      </c>
      <c r="N219">
        <v>79.078173000000007</v>
      </c>
      <c r="O219">
        <v>16.861999999999998</v>
      </c>
      <c r="P219">
        <v>36.314</v>
      </c>
      <c r="Q219">
        <v>23.792000000000002</v>
      </c>
      <c r="R219">
        <v>25</v>
      </c>
      <c r="S219" t="s">
        <v>25</v>
      </c>
      <c r="T219">
        <f>IF(TRIM(Table1[[#This Row],[PitStopLaps]])="",0,
LEN(Table1[[#This Row],[PitStopLaps]])-LEN(SUBSTITUTE(Table1[[#This Row],[PitStopLaps]],",",""))+1)</f>
        <v>1</v>
      </c>
      <c r="U219">
        <f>Table1[[#This Row],[StartPosition]]-Table1[[#This Row],[FinishPosition]]</f>
        <v>-17</v>
      </c>
    </row>
    <row r="220" spans="1:21" x14ac:dyDescent="0.3">
      <c r="A220">
        <v>2018</v>
      </c>
      <c r="B220">
        <v>11</v>
      </c>
      <c r="C220" t="s">
        <v>168</v>
      </c>
      <c r="D220" t="s">
        <v>79</v>
      </c>
      <c r="E220" t="s">
        <v>80</v>
      </c>
      <c r="F220" t="s">
        <v>60</v>
      </c>
      <c r="G220">
        <v>12</v>
      </c>
      <c r="H220">
        <v>19</v>
      </c>
      <c r="I220">
        <v>0</v>
      </c>
      <c r="J220" t="s">
        <v>34</v>
      </c>
      <c r="K220" t="s">
        <v>75</v>
      </c>
      <c r="L220">
        <v>51</v>
      </c>
      <c r="M220">
        <v>78.933999999999997</v>
      </c>
      <c r="N220">
        <v>81.150761000000003</v>
      </c>
      <c r="O220">
        <v>17.177</v>
      </c>
      <c r="P220">
        <v>37.048000000000002</v>
      </c>
      <c r="Q220">
        <v>24.420999999999999</v>
      </c>
      <c r="R220" t="s">
        <v>182</v>
      </c>
      <c r="S220" t="s">
        <v>25</v>
      </c>
      <c r="T220">
        <f>IF(TRIM(Table1[[#This Row],[PitStopLaps]])="",0,
LEN(Table1[[#This Row],[PitStopLaps]])-LEN(SUBSTITUTE(Table1[[#This Row],[PitStopLaps]],",",""))+1)</f>
        <v>2</v>
      </c>
      <c r="U220">
        <f>Table1[[#This Row],[StartPosition]]-Table1[[#This Row],[FinishPosition]]</f>
        <v>-7</v>
      </c>
    </row>
    <row r="221" spans="1:21" x14ac:dyDescent="0.3">
      <c r="A221">
        <v>2018</v>
      </c>
      <c r="B221">
        <v>11</v>
      </c>
      <c r="C221" t="s">
        <v>168</v>
      </c>
      <c r="D221" t="s">
        <v>31</v>
      </c>
      <c r="E221" t="s">
        <v>32</v>
      </c>
      <c r="F221" t="s">
        <v>33</v>
      </c>
      <c r="G221">
        <v>20</v>
      </c>
      <c r="H221">
        <v>20</v>
      </c>
      <c r="I221">
        <v>0</v>
      </c>
      <c r="J221" t="s">
        <v>34</v>
      </c>
      <c r="K221" t="s">
        <v>75</v>
      </c>
      <c r="L221">
        <v>28</v>
      </c>
      <c r="S221" t="s">
        <v>25</v>
      </c>
      <c r="T221">
        <f>IF(TRIM(Table1[[#This Row],[PitStopLaps]])="",0,
LEN(Table1[[#This Row],[PitStopLaps]])-LEN(SUBSTITUTE(Table1[[#This Row],[PitStopLaps]],",",""))+1)</f>
        <v>0</v>
      </c>
      <c r="U221">
        <f>Table1[[#This Row],[StartPosition]]-Table1[[#This Row],[FinishPosition]]</f>
        <v>0</v>
      </c>
    </row>
    <row r="222" spans="1:21" x14ac:dyDescent="0.3">
      <c r="A222">
        <v>2018</v>
      </c>
      <c r="B222">
        <v>12</v>
      </c>
      <c r="C222" t="s">
        <v>183</v>
      </c>
      <c r="D222" t="s">
        <v>26</v>
      </c>
      <c r="E222" t="s">
        <v>27</v>
      </c>
      <c r="F222" t="s">
        <v>28</v>
      </c>
      <c r="G222">
        <v>1</v>
      </c>
      <c r="H222">
        <v>1</v>
      </c>
      <c r="I222">
        <v>25</v>
      </c>
      <c r="J222" t="s">
        <v>23</v>
      </c>
      <c r="K222" t="s">
        <v>24</v>
      </c>
      <c r="L222">
        <v>70</v>
      </c>
      <c r="M222">
        <v>81.106999999999999</v>
      </c>
      <c r="N222">
        <v>82.383491000000006</v>
      </c>
      <c r="O222">
        <v>28.94</v>
      </c>
      <c r="P222">
        <v>29.1</v>
      </c>
      <c r="Q222">
        <v>22.841000000000001</v>
      </c>
      <c r="R222">
        <v>25</v>
      </c>
      <c r="S222" t="s">
        <v>83</v>
      </c>
      <c r="T222">
        <f>IF(TRIM(Table1[[#This Row],[PitStopLaps]])="",0,
LEN(Table1[[#This Row],[PitStopLaps]])-LEN(SUBSTITUTE(Table1[[#This Row],[PitStopLaps]],",",""))+1)</f>
        <v>1</v>
      </c>
      <c r="U222">
        <f>Table1[[#This Row],[StartPosition]]-Table1[[#This Row],[FinishPosition]]</f>
        <v>0</v>
      </c>
    </row>
    <row r="223" spans="1:21" x14ac:dyDescent="0.3">
      <c r="A223">
        <v>2018</v>
      </c>
      <c r="B223">
        <v>12</v>
      </c>
      <c r="C223" t="s">
        <v>183</v>
      </c>
      <c r="D223" t="s">
        <v>20</v>
      </c>
      <c r="E223" t="s">
        <v>21</v>
      </c>
      <c r="F223" t="s">
        <v>22</v>
      </c>
      <c r="G223">
        <v>4</v>
      </c>
      <c r="H223">
        <v>2</v>
      </c>
      <c r="I223">
        <v>18</v>
      </c>
      <c r="J223" t="s">
        <v>23</v>
      </c>
      <c r="K223" t="s">
        <v>24</v>
      </c>
      <c r="L223">
        <v>70</v>
      </c>
      <c r="M223">
        <v>80.055999999999997</v>
      </c>
      <c r="N223">
        <v>82.578676999999999</v>
      </c>
      <c r="O223">
        <v>28.687999999999999</v>
      </c>
      <c r="P223">
        <v>28.684000000000001</v>
      </c>
      <c r="Q223">
        <v>22.66</v>
      </c>
      <c r="R223">
        <v>39</v>
      </c>
      <c r="S223" t="s">
        <v>83</v>
      </c>
      <c r="T223">
        <f>IF(TRIM(Table1[[#This Row],[PitStopLaps]])="",0,
LEN(Table1[[#This Row],[PitStopLaps]])-LEN(SUBSTITUTE(Table1[[#This Row],[PitStopLaps]],",",""))+1)</f>
        <v>1</v>
      </c>
      <c r="U223">
        <f>Table1[[#This Row],[StartPosition]]-Table1[[#This Row],[FinishPosition]]</f>
        <v>2</v>
      </c>
    </row>
    <row r="224" spans="1:21" x14ac:dyDescent="0.3">
      <c r="A224">
        <v>2018</v>
      </c>
      <c r="B224">
        <v>12</v>
      </c>
      <c r="C224" t="s">
        <v>183</v>
      </c>
      <c r="D224" t="s">
        <v>29</v>
      </c>
      <c r="E224" t="s">
        <v>30</v>
      </c>
      <c r="F224" t="s">
        <v>22</v>
      </c>
      <c r="G224">
        <v>3</v>
      </c>
      <c r="H224">
        <v>3</v>
      </c>
      <c r="I224">
        <v>15</v>
      </c>
      <c r="J224" t="s">
        <v>23</v>
      </c>
      <c r="K224" t="s">
        <v>24</v>
      </c>
      <c r="L224">
        <v>70</v>
      </c>
      <c r="M224">
        <v>80.292000000000002</v>
      </c>
      <c r="N224">
        <v>82.209104999999994</v>
      </c>
      <c r="O224">
        <v>28.712</v>
      </c>
      <c r="P224">
        <v>28.8</v>
      </c>
      <c r="Q224">
        <v>22.602</v>
      </c>
      <c r="R224" t="s">
        <v>184</v>
      </c>
      <c r="S224" t="s">
        <v>83</v>
      </c>
      <c r="T224">
        <f>IF(TRIM(Table1[[#This Row],[PitStopLaps]])="",0,
LEN(Table1[[#This Row],[PitStopLaps]])-LEN(SUBSTITUTE(Table1[[#This Row],[PitStopLaps]],",",""))+1)</f>
        <v>2</v>
      </c>
      <c r="U224">
        <f>Table1[[#This Row],[StartPosition]]-Table1[[#This Row],[FinishPosition]]</f>
        <v>0</v>
      </c>
    </row>
    <row r="225" spans="1:21" x14ac:dyDescent="0.3">
      <c r="A225">
        <v>2018</v>
      </c>
      <c r="B225">
        <v>12</v>
      </c>
      <c r="C225" t="s">
        <v>183</v>
      </c>
      <c r="D225" t="s">
        <v>31</v>
      </c>
      <c r="E225" t="s">
        <v>32</v>
      </c>
      <c r="F225" t="s">
        <v>33</v>
      </c>
      <c r="G225">
        <v>12</v>
      </c>
      <c r="H225">
        <v>4</v>
      </c>
      <c r="I225">
        <v>12</v>
      </c>
      <c r="J225" t="s">
        <v>34</v>
      </c>
      <c r="K225" t="s">
        <v>24</v>
      </c>
      <c r="L225">
        <v>70</v>
      </c>
      <c r="M225">
        <v>80.012</v>
      </c>
      <c r="N225">
        <v>82.663915000000003</v>
      </c>
      <c r="O225">
        <v>28.815000000000001</v>
      </c>
      <c r="P225">
        <v>28.574000000000002</v>
      </c>
      <c r="Q225">
        <v>22.507000000000001</v>
      </c>
      <c r="R225">
        <v>44</v>
      </c>
      <c r="S225" t="s">
        <v>83</v>
      </c>
      <c r="T225">
        <f>IF(TRIM(Table1[[#This Row],[PitStopLaps]])="",0,
LEN(Table1[[#This Row],[PitStopLaps]])-LEN(SUBSTITUTE(Table1[[#This Row],[PitStopLaps]],",",""))+1)</f>
        <v>1</v>
      </c>
      <c r="U225">
        <f>Table1[[#This Row],[StartPosition]]-Table1[[#This Row],[FinishPosition]]</f>
        <v>8</v>
      </c>
    </row>
    <row r="226" spans="1:21" x14ac:dyDescent="0.3">
      <c r="A226">
        <v>2018</v>
      </c>
      <c r="B226">
        <v>12</v>
      </c>
      <c r="C226" t="s">
        <v>183</v>
      </c>
      <c r="D226" t="s">
        <v>43</v>
      </c>
      <c r="E226" t="s">
        <v>44</v>
      </c>
      <c r="F226" t="s">
        <v>28</v>
      </c>
      <c r="G226">
        <v>2</v>
      </c>
      <c r="H226">
        <v>5</v>
      </c>
      <c r="I226">
        <v>10</v>
      </c>
      <c r="J226" t="s">
        <v>34</v>
      </c>
      <c r="K226" t="s">
        <v>24</v>
      </c>
      <c r="L226">
        <v>70</v>
      </c>
      <c r="M226">
        <v>81.736000000000004</v>
      </c>
      <c r="N226">
        <v>83.193898000000004</v>
      </c>
      <c r="O226">
        <v>29.135999999999999</v>
      </c>
      <c r="P226">
        <v>29.332999999999998</v>
      </c>
      <c r="Q226">
        <v>23.204999999999998</v>
      </c>
      <c r="R226">
        <v>15</v>
      </c>
      <c r="S226" t="s">
        <v>83</v>
      </c>
      <c r="T226">
        <f>IF(TRIM(Table1[[#This Row],[PitStopLaps]])="",0,
LEN(Table1[[#This Row],[PitStopLaps]])-LEN(SUBSTITUTE(Table1[[#This Row],[PitStopLaps]],",",""))+1)</f>
        <v>1</v>
      </c>
      <c r="U226">
        <f>Table1[[#This Row],[StartPosition]]-Table1[[#This Row],[FinishPosition]]</f>
        <v>-3</v>
      </c>
    </row>
    <row r="227" spans="1:21" x14ac:dyDescent="0.3">
      <c r="A227">
        <v>2018</v>
      </c>
      <c r="B227">
        <v>12</v>
      </c>
      <c r="C227" t="s">
        <v>183</v>
      </c>
      <c r="D227" t="s">
        <v>73</v>
      </c>
      <c r="E227" t="s">
        <v>74</v>
      </c>
      <c r="F227" t="s">
        <v>64</v>
      </c>
      <c r="G227">
        <v>6</v>
      </c>
      <c r="H227">
        <v>6</v>
      </c>
      <c r="I227">
        <v>8</v>
      </c>
      <c r="J227" t="s">
        <v>34</v>
      </c>
      <c r="K227" t="s">
        <v>24</v>
      </c>
      <c r="L227">
        <v>70</v>
      </c>
      <c r="M227">
        <v>81.685000000000002</v>
      </c>
      <c r="N227">
        <v>83.305813000000001</v>
      </c>
      <c r="O227">
        <v>29.27</v>
      </c>
      <c r="P227">
        <v>29.334</v>
      </c>
      <c r="Q227">
        <v>23.036999999999999</v>
      </c>
      <c r="R227">
        <v>32</v>
      </c>
      <c r="S227" t="s">
        <v>83</v>
      </c>
      <c r="T227">
        <f>IF(TRIM(Table1[[#This Row],[PitStopLaps]])="",0,
LEN(Table1[[#This Row],[PitStopLaps]])-LEN(SUBSTITUTE(Table1[[#This Row],[PitStopLaps]],",",""))+1)</f>
        <v>1</v>
      </c>
      <c r="U227">
        <f>Table1[[#This Row],[StartPosition]]-Table1[[#This Row],[FinishPosition]]</f>
        <v>0</v>
      </c>
    </row>
    <row r="228" spans="1:21" x14ac:dyDescent="0.3">
      <c r="A228">
        <v>2018</v>
      </c>
      <c r="B228">
        <v>12</v>
      </c>
      <c r="C228" t="s">
        <v>183</v>
      </c>
      <c r="D228" t="s">
        <v>71</v>
      </c>
      <c r="E228" t="s">
        <v>72</v>
      </c>
      <c r="F228" t="s">
        <v>69</v>
      </c>
      <c r="G228">
        <v>9</v>
      </c>
      <c r="H228">
        <v>7</v>
      </c>
      <c r="I228">
        <v>6</v>
      </c>
      <c r="J228" t="s">
        <v>34</v>
      </c>
      <c r="K228" t="s">
        <v>65</v>
      </c>
      <c r="L228">
        <v>69</v>
      </c>
      <c r="M228">
        <v>81.302000000000007</v>
      </c>
      <c r="N228">
        <v>83.466826999999995</v>
      </c>
      <c r="O228">
        <v>29.152000000000001</v>
      </c>
      <c r="P228">
        <v>29.1</v>
      </c>
      <c r="Q228">
        <v>23.033000000000001</v>
      </c>
      <c r="R228">
        <v>31</v>
      </c>
      <c r="S228" t="s">
        <v>83</v>
      </c>
      <c r="T228">
        <f>IF(TRIM(Table1[[#This Row],[PitStopLaps]])="",0,
LEN(Table1[[#This Row],[PitStopLaps]])-LEN(SUBSTITUTE(Table1[[#This Row],[PitStopLaps]],",",""))+1)</f>
        <v>1</v>
      </c>
      <c r="U228">
        <f>Table1[[#This Row],[StartPosition]]-Table1[[#This Row],[FinishPosition]]</f>
        <v>2</v>
      </c>
    </row>
    <row r="229" spans="1:21" x14ac:dyDescent="0.3">
      <c r="A229">
        <v>2018</v>
      </c>
      <c r="B229">
        <v>12</v>
      </c>
      <c r="C229" t="s">
        <v>183</v>
      </c>
      <c r="D229" t="s">
        <v>35</v>
      </c>
      <c r="E229" t="s">
        <v>36</v>
      </c>
      <c r="F229" t="s">
        <v>37</v>
      </c>
      <c r="G229">
        <v>11</v>
      </c>
      <c r="H229">
        <v>8</v>
      </c>
      <c r="I229">
        <v>4</v>
      </c>
      <c r="J229" t="s">
        <v>34</v>
      </c>
      <c r="K229" t="s">
        <v>65</v>
      </c>
      <c r="L229">
        <v>69</v>
      </c>
      <c r="M229">
        <v>82.09</v>
      </c>
      <c r="N229">
        <v>83.941568000000004</v>
      </c>
      <c r="O229">
        <v>29.196000000000002</v>
      </c>
      <c r="P229">
        <v>29.381</v>
      </c>
      <c r="Q229">
        <v>23.321999999999999</v>
      </c>
      <c r="R229">
        <v>39</v>
      </c>
      <c r="S229" t="s">
        <v>83</v>
      </c>
      <c r="T229">
        <f>IF(TRIM(Table1[[#This Row],[PitStopLaps]])="",0,
LEN(Table1[[#This Row],[PitStopLaps]])-LEN(SUBSTITUTE(Table1[[#This Row],[PitStopLaps]],",",""))+1)</f>
        <v>1</v>
      </c>
      <c r="U229">
        <f>Table1[[#This Row],[StartPosition]]-Table1[[#This Row],[FinishPosition]]</f>
        <v>3</v>
      </c>
    </row>
    <row r="230" spans="1:21" x14ac:dyDescent="0.3">
      <c r="A230">
        <v>2018</v>
      </c>
      <c r="B230">
        <v>12</v>
      </c>
      <c r="C230" t="s">
        <v>183</v>
      </c>
      <c r="D230" t="s">
        <v>47</v>
      </c>
      <c r="E230" t="s">
        <v>48</v>
      </c>
      <c r="F230" t="s">
        <v>42</v>
      </c>
      <c r="G230">
        <v>5</v>
      </c>
      <c r="H230">
        <v>9</v>
      </c>
      <c r="I230">
        <v>2</v>
      </c>
      <c r="J230" t="s">
        <v>34</v>
      </c>
      <c r="K230" t="s">
        <v>65</v>
      </c>
      <c r="L230">
        <v>69</v>
      </c>
      <c r="M230">
        <v>82.774000000000001</v>
      </c>
      <c r="N230">
        <v>84.297826999999998</v>
      </c>
      <c r="O230">
        <v>29.282</v>
      </c>
      <c r="P230">
        <v>29.873999999999999</v>
      </c>
      <c r="Q230">
        <v>23.439</v>
      </c>
      <c r="R230">
        <v>25</v>
      </c>
      <c r="S230" t="s">
        <v>83</v>
      </c>
      <c r="T230">
        <f>IF(TRIM(Table1[[#This Row],[PitStopLaps]])="",0,
LEN(Table1[[#This Row],[PitStopLaps]])-LEN(SUBSTITUTE(Table1[[#This Row],[PitStopLaps]],",",""))+1)</f>
        <v>1</v>
      </c>
      <c r="U230">
        <f>Table1[[#This Row],[StartPosition]]-Table1[[#This Row],[FinishPosition]]</f>
        <v>-4</v>
      </c>
    </row>
    <row r="231" spans="1:21" x14ac:dyDescent="0.3">
      <c r="A231">
        <v>2018</v>
      </c>
      <c r="B231">
        <v>12</v>
      </c>
      <c r="C231" t="s">
        <v>183</v>
      </c>
      <c r="D231" t="s">
        <v>67</v>
      </c>
      <c r="E231" t="s">
        <v>68</v>
      </c>
      <c r="F231" t="s">
        <v>69</v>
      </c>
      <c r="G231">
        <v>10</v>
      </c>
      <c r="H231">
        <v>10</v>
      </c>
      <c r="I231">
        <v>1</v>
      </c>
      <c r="J231" t="s">
        <v>34</v>
      </c>
      <c r="K231" t="s">
        <v>65</v>
      </c>
      <c r="L231">
        <v>69</v>
      </c>
      <c r="M231">
        <v>82.605999999999995</v>
      </c>
      <c r="N231">
        <v>84.156051000000005</v>
      </c>
      <c r="O231">
        <v>29.306000000000001</v>
      </c>
      <c r="P231">
        <v>29.803000000000001</v>
      </c>
      <c r="Q231">
        <v>23.361000000000001</v>
      </c>
      <c r="R231">
        <v>29</v>
      </c>
      <c r="S231" t="s">
        <v>83</v>
      </c>
      <c r="T231">
        <f>IF(TRIM(Table1[[#This Row],[PitStopLaps]])="",0,
LEN(Table1[[#This Row],[PitStopLaps]])-LEN(SUBSTITUTE(Table1[[#This Row],[PitStopLaps]],",",""))+1)</f>
        <v>1</v>
      </c>
      <c r="U231">
        <f>Table1[[#This Row],[StartPosition]]-Table1[[#This Row],[FinishPosition]]</f>
        <v>0</v>
      </c>
    </row>
    <row r="232" spans="1:21" x14ac:dyDescent="0.3">
      <c r="A232">
        <v>2018</v>
      </c>
      <c r="B232">
        <v>12</v>
      </c>
      <c r="C232" t="s">
        <v>183</v>
      </c>
      <c r="D232" t="s">
        <v>62</v>
      </c>
      <c r="E232" t="s">
        <v>63</v>
      </c>
      <c r="F232" t="s">
        <v>64</v>
      </c>
      <c r="G232">
        <v>8</v>
      </c>
      <c r="H232">
        <v>11</v>
      </c>
      <c r="I232">
        <v>0</v>
      </c>
      <c r="J232" t="s">
        <v>34</v>
      </c>
      <c r="K232" t="s">
        <v>65</v>
      </c>
      <c r="L232">
        <v>69</v>
      </c>
      <c r="M232">
        <v>82.611999999999995</v>
      </c>
      <c r="N232">
        <v>84.283827000000002</v>
      </c>
      <c r="O232">
        <v>29.477</v>
      </c>
      <c r="P232">
        <v>29.745000000000001</v>
      </c>
      <c r="Q232">
        <v>23.234999999999999</v>
      </c>
      <c r="R232">
        <v>24</v>
      </c>
      <c r="S232" t="s">
        <v>83</v>
      </c>
      <c r="T232">
        <f>IF(TRIM(Table1[[#This Row],[PitStopLaps]])="",0,
LEN(Table1[[#This Row],[PitStopLaps]])-LEN(SUBSTITUTE(Table1[[#This Row],[PitStopLaps]],",",""))+1)</f>
        <v>1</v>
      </c>
      <c r="U232">
        <f>Table1[[#This Row],[StartPosition]]-Table1[[#This Row],[FinishPosition]]</f>
        <v>-3</v>
      </c>
    </row>
    <row r="233" spans="1:21" x14ac:dyDescent="0.3">
      <c r="A233">
        <v>2018</v>
      </c>
      <c r="B233">
        <v>12</v>
      </c>
      <c r="C233" t="s">
        <v>183</v>
      </c>
      <c r="D233" t="s">
        <v>40</v>
      </c>
      <c r="E233" t="s">
        <v>41</v>
      </c>
      <c r="F233" t="s">
        <v>42</v>
      </c>
      <c r="G233">
        <v>13</v>
      </c>
      <c r="H233">
        <v>12</v>
      </c>
      <c r="I233">
        <v>0</v>
      </c>
      <c r="J233" t="s">
        <v>34</v>
      </c>
      <c r="K233" t="s">
        <v>65</v>
      </c>
      <c r="L233">
        <v>69</v>
      </c>
      <c r="M233">
        <v>81.260999999999996</v>
      </c>
      <c r="N233">
        <v>84.129517000000007</v>
      </c>
      <c r="O233">
        <v>28.995000000000001</v>
      </c>
      <c r="P233">
        <v>28.97</v>
      </c>
      <c r="Q233">
        <v>22.986999999999998</v>
      </c>
      <c r="R233" t="s">
        <v>185</v>
      </c>
      <c r="S233" t="s">
        <v>83</v>
      </c>
      <c r="T233">
        <f>IF(TRIM(Table1[[#This Row],[PitStopLaps]])="",0,
LEN(Table1[[#This Row],[PitStopLaps]])-LEN(SUBSTITUTE(Table1[[#This Row],[PitStopLaps]],",",""))+1)</f>
        <v>2</v>
      </c>
      <c r="U233">
        <f>Table1[[#This Row],[StartPosition]]-Table1[[#This Row],[FinishPosition]]</f>
        <v>1</v>
      </c>
    </row>
    <row r="234" spans="1:21" x14ac:dyDescent="0.3">
      <c r="A234">
        <v>2018</v>
      </c>
      <c r="B234">
        <v>12</v>
      </c>
      <c r="C234" t="s">
        <v>183</v>
      </c>
      <c r="D234" t="s">
        <v>52</v>
      </c>
      <c r="E234" t="s">
        <v>53</v>
      </c>
      <c r="F234" t="s">
        <v>51</v>
      </c>
      <c r="G234">
        <v>18</v>
      </c>
      <c r="H234">
        <v>13</v>
      </c>
      <c r="I234">
        <v>0</v>
      </c>
      <c r="J234" t="s">
        <v>34</v>
      </c>
      <c r="K234" t="s">
        <v>65</v>
      </c>
      <c r="L234">
        <v>69</v>
      </c>
      <c r="M234">
        <v>82.876000000000005</v>
      </c>
      <c r="N234">
        <v>84.312809999999999</v>
      </c>
      <c r="O234">
        <v>29.222999999999999</v>
      </c>
      <c r="P234">
        <v>30.111000000000001</v>
      </c>
      <c r="Q234">
        <v>23.489000000000001</v>
      </c>
      <c r="R234">
        <v>39</v>
      </c>
      <c r="S234" t="s">
        <v>83</v>
      </c>
      <c r="T234">
        <f>IF(TRIM(Table1[[#This Row],[PitStopLaps]])="",0,
LEN(Table1[[#This Row],[PitStopLaps]])-LEN(SUBSTITUTE(Table1[[#This Row],[PitStopLaps]],",",""))+1)</f>
        <v>1</v>
      </c>
      <c r="U234">
        <f>Table1[[#This Row],[StartPosition]]-Table1[[#This Row],[FinishPosition]]</f>
        <v>5</v>
      </c>
    </row>
    <row r="235" spans="1:21" x14ac:dyDescent="0.3">
      <c r="A235">
        <v>2018</v>
      </c>
      <c r="B235">
        <v>12</v>
      </c>
      <c r="C235" t="s">
        <v>183</v>
      </c>
      <c r="D235" t="s">
        <v>49</v>
      </c>
      <c r="E235" t="s">
        <v>50</v>
      </c>
      <c r="F235" t="s">
        <v>51</v>
      </c>
      <c r="G235">
        <v>19</v>
      </c>
      <c r="H235">
        <v>14</v>
      </c>
      <c r="I235">
        <v>0</v>
      </c>
      <c r="J235" t="s">
        <v>34</v>
      </c>
      <c r="K235" t="s">
        <v>65</v>
      </c>
      <c r="L235">
        <v>69</v>
      </c>
      <c r="M235">
        <v>83.263000000000005</v>
      </c>
      <c r="N235">
        <v>84.491778999999994</v>
      </c>
      <c r="O235">
        <v>29.321999999999999</v>
      </c>
      <c r="P235">
        <v>30.04</v>
      </c>
      <c r="Q235">
        <v>23.623999999999999</v>
      </c>
      <c r="R235">
        <v>22</v>
      </c>
      <c r="S235" t="s">
        <v>83</v>
      </c>
      <c r="T235">
        <f>IF(TRIM(Table1[[#This Row],[PitStopLaps]])="",0,
LEN(Table1[[#This Row],[PitStopLaps]])-LEN(SUBSTITUTE(Table1[[#This Row],[PitStopLaps]],",",""))+1)</f>
        <v>1</v>
      </c>
      <c r="U235">
        <f>Table1[[#This Row],[StartPosition]]-Table1[[#This Row],[FinishPosition]]</f>
        <v>5</v>
      </c>
    </row>
    <row r="236" spans="1:21" x14ac:dyDescent="0.3">
      <c r="A236">
        <v>2018</v>
      </c>
      <c r="B236">
        <v>12</v>
      </c>
      <c r="C236" t="s">
        <v>183</v>
      </c>
      <c r="D236" t="s">
        <v>76</v>
      </c>
      <c r="E236" t="s">
        <v>77</v>
      </c>
      <c r="F236" t="s">
        <v>56</v>
      </c>
      <c r="G236">
        <v>14</v>
      </c>
      <c r="H236">
        <v>15</v>
      </c>
      <c r="I236">
        <v>0</v>
      </c>
      <c r="J236" t="s">
        <v>34</v>
      </c>
      <c r="K236" t="s">
        <v>127</v>
      </c>
      <c r="L236">
        <v>68</v>
      </c>
      <c r="M236">
        <v>83.671000000000006</v>
      </c>
      <c r="N236">
        <v>85.298271</v>
      </c>
      <c r="O236">
        <v>29.623999999999999</v>
      </c>
      <c r="P236">
        <v>30.039000000000001</v>
      </c>
      <c r="Q236">
        <v>23.795000000000002</v>
      </c>
      <c r="R236">
        <v>6</v>
      </c>
      <c r="S236" t="s">
        <v>83</v>
      </c>
      <c r="T236">
        <f>IF(TRIM(Table1[[#This Row],[PitStopLaps]])="",0,
LEN(Table1[[#This Row],[PitStopLaps]])-LEN(SUBSTITUTE(Table1[[#This Row],[PitStopLaps]],",",""))+1)</f>
        <v>1</v>
      </c>
      <c r="U236">
        <f>Table1[[#This Row],[StartPosition]]-Table1[[#This Row],[FinishPosition]]</f>
        <v>-1</v>
      </c>
    </row>
    <row r="237" spans="1:21" x14ac:dyDescent="0.3">
      <c r="A237">
        <v>2018</v>
      </c>
      <c r="B237">
        <v>12</v>
      </c>
      <c r="C237" t="s">
        <v>183</v>
      </c>
      <c r="D237" t="s">
        <v>79</v>
      </c>
      <c r="E237" t="s">
        <v>80</v>
      </c>
      <c r="F237" t="s">
        <v>60</v>
      </c>
      <c r="G237">
        <v>20</v>
      </c>
      <c r="H237">
        <v>16</v>
      </c>
      <c r="I237">
        <v>0</v>
      </c>
      <c r="J237" t="s">
        <v>34</v>
      </c>
      <c r="K237" t="s">
        <v>127</v>
      </c>
      <c r="L237">
        <v>68</v>
      </c>
      <c r="M237">
        <v>83.707999999999998</v>
      </c>
      <c r="N237">
        <v>85.417614</v>
      </c>
      <c r="O237">
        <v>29.699000000000002</v>
      </c>
      <c r="P237">
        <v>30.169</v>
      </c>
      <c r="Q237">
        <v>23.84</v>
      </c>
      <c r="R237">
        <v>31</v>
      </c>
      <c r="S237" t="s">
        <v>83</v>
      </c>
      <c r="T237">
        <f>IF(TRIM(Table1[[#This Row],[PitStopLaps]])="",0,
LEN(Table1[[#This Row],[PitStopLaps]])-LEN(SUBSTITUTE(Table1[[#This Row],[PitStopLaps]],",",""))+1)</f>
        <v>1</v>
      </c>
      <c r="U237">
        <f>Table1[[#This Row],[StartPosition]]-Table1[[#This Row],[FinishPosition]]</f>
        <v>4</v>
      </c>
    </row>
    <row r="238" spans="1:21" x14ac:dyDescent="0.3">
      <c r="A238">
        <v>2018</v>
      </c>
      <c r="B238">
        <v>12</v>
      </c>
      <c r="C238" t="s">
        <v>183</v>
      </c>
      <c r="D238" t="s">
        <v>58</v>
      </c>
      <c r="E238" t="s">
        <v>59</v>
      </c>
      <c r="F238" t="s">
        <v>60</v>
      </c>
      <c r="G238">
        <v>15</v>
      </c>
      <c r="H238">
        <v>17</v>
      </c>
      <c r="I238">
        <v>0</v>
      </c>
      <c r="J238" t="s">
        <v>34</v>
      </c>
      <c r="K238" t="s">
        <v>127</v>
      </c>
      <c r="L238">
        <v>68</v>
      </c>
      <c r="M238">
        <v>82.66</v>
      </c>
      <c r="N238">
        <v>85.413156999999998</v>
      </c>
      <c r="O238">
        <v>29.274999999999999</v>
      </c>
      <c r="P238">
        <v>29.765999999999998</v>
      </c>
      <c r="Q238">
        <v>23.619</v>
      </c>
      <c r="R238">
        <v>47</v>
      </c>
      <c r="S238" t="s">
        <v>83</v>
      </c>
      <c r="T238">
        <f>IF(TRIM(Table1[[#This Row],[PitStopLaps]])="",0,
LEN(Table1[[#This Row],[PitStopLaps]])-LEN(SUBSTITUTE(Table1[[#This Row],[PitStopLaps]],",",""))+1)</f>
        <v>1</v>
      </c>
      <c r="U238">
        <f>Table1[[#This Row],[StartPosition]]-Table1[[#This Row],[FinishPosition]]</f>
        <v>-2</v>
      </c>
    </row>
    <row r="239" spans="1:21" x14ac:dyDescent="0.3">
      <c r="A239">
        <v>2018</v>
      </c>
      <c r="B239">
        <v>12</v>
      </c>
      <c r="C239" t="s">
        <v>183</v>
      </c>
      <c r="D239" t="s">
        <v>45</v>
      </c>
      <c r="E239" t="s">
        <v>46</v>
      </c>
      <c r="F239" t="s">
        <v>37</v>
      </c>
      <c r="G239">
        <v>16</v>
      </c>
      <c r="H239">
        <v>18</v>
      </c>
      <c r="I239">
        <v>0</v>
      </c>
      <c r="J239" t="s">
        <v>34</v>
      </c>
      <c r="K239" t="s">
        <v>132</v>
      </c>
      <c r="L239">
        <v>50</v>
      </c>
      <c r="M239">
        <v>83.076999999999998</v>
      </c>
      <c r="N239">
        <v>84.314149999999998</v>
      </c>
      <c r="O239">
        <v>29.681999999999999</v>
      </c>
      <c r="P239">
        <v>29.805</v>
      </c>
      <c r="Q239">
        <v>23.349</v>
      </c>
      <c r="R239">
        <v>40</v>
      </c>
      <c r="S239" t="s">
        <v>83</v>
      </c>
      <c r="T239">
        <f>IF(TRIM(Table1[[#This Row],[PitStopLaps]])="",0,
LEN(Table1[[#This Row],[PitStopLaps]])-LEN(SUBSTITUTE(Table1[[#This Row],[PitStopLaps]],",",""))+1)</f>
        <v>1</v>
      </c>
      <c r="U239">
        <f>Table1[[#This Row],[StartPosition]]-Table1[[#This Row],[FinishPosition]]</f>
        <v>-2</v>
      </c>
    </row>
    <row r="240" spans="1:21" x14ac:dyDescent="0.3">
      <c r="A240">
        <v>2018</v>
      </c>
      <c r="B240">
        <v>12</v>
      </c>
      <c r="C240" t="s">
        <v>183</v>
      </c>
      <c r="D240" t="s">
        <v>38</v>
      </c>
      <c r="E240" t="s">
        <v>39</v>
      </c>
      <c r="F240" t="s">
        <v>33</v>
      </c>
      <c r="G240">
        <v>7</v>
      </c>
      <c r="H240">
        <v>19</v>
      </c>
      <c r="I240">
        <v>0</v>
      </c>
      <c r="J240" t="s">
        <v>34</v>
      </c>
      <c r="K240" t="s">
        <v>186</v>
      </c>
      <c r="L240">
        <v>6</v>
      </c>
      <c r="S240" t="s">
        <v>83</v>
      </c>
      <c r="T240">
        <f>IF(TRIM(Table1[[#This Row],[PitStopLaps]])="",0,
LEN(Table1[[#This Row],[PitStopLaps]])-LEN(SUBSTITUTE(Table1[[#This Row],[PitStopLaps]],",",""))+1)</f>
        <v>0</v>
      </c>
      <c r="U240">
        <f>Table1[[#This Row],[StartPosition]]-Table1[[#This Row],[FinishPosition]]</f>
        <v>-12</v>
      </c>
    </row>
    <row r="241" spans="1:21" x14ac:dyDescent="0.3">
      <c r="A241">
        <v>2018</v>
      </c>
      <c r="B241">
        <v>12</v>
      </c>
      <c r="C241" t="s">
        <v>183</v>
      </c>
      <c r="D241" t="s">
        <v>54</v>
      </c>
      <c r="E241" t="s">
        <v>55</v>
      </c>
      <c r="F241" t="s">
        <v>56</v>
      </c>
      <c r="G241">
        <v>17</v>
      </c>
      <c r="H241">
        <v>20</v>
      </c>
      <c r="I241">
        <v>0</v>
      </c>
      <c r="J241" t="s">
        <v>34</v>
      </c>
      <c r="K241" t="s">
        <v>187</v>
      </c>
      <c r="L241">
        <v>1</v>
      </c>
      <c r="S241" t="s">
        <v>83</v>
      </c>
      <c r="T241">
        <f>IF(TRIM(Table1[[#This Row],[PitStopLaps]])="",0,
LEN(Table1[[#This Row],[PitStopLaps]])-LEN(SUBSTITUTE(Table1[[#This Row],[PitStopLaps]],",",""))+1)</f>
        <v>0</v>
      </c>
      <c r="U241">
        <f>Table1[[#This Row],[StartPosition]]-Table1[[#This Row],[FinishPosition]]</f>
        <v>-3</v>
      </c>
    </row>
    <row r="242" spans="1:21" x14ac:dyDescent="0.3">
      <c r="A242">
        <v>2018</v>
      </c>
      <c r="B242">
        <v>13</v>
      </c>
      <c r="C242" t="s">
        <v>188</v>
      </c>
      <c r="D242" t="s">
        <v>20</v>
      </c>
      <c r="E242" t="s">
        <v>21</v>
      </c>
      <c r="F242" t="s">
        <v>22</v>
      </c>
      <c r="G242">
        <v>2</v>
      </c>
      <c r="H242">
        <v>1</v>
      </c>
      <c r="I242">
        <v>25</v>
      </c>
      <c r="J242" t="s">
        <v>23</v>
      </c>
      <c r="K242" t="s">
        <v>24</v>
      </c>
      <c r="L242">
        <v>44</v>
      </c>
      <c r="M242">
        <v>106.64400000000001</v>
      </c>
      <c r="N242">
        <v>107.885947</v>
      </c>
      <c r="O242">
        <v>31.062999999999999</v>
      </c>
      <c r="P242">
        <v>46.496000000000002</v>
      </c>
      <c r="Q242">
        <v>28.728000000000002</v>
      </c>
      <c r="R242" t="s">
        <v>66</v>
      </c>
      <c r="S242" t="s">
        <v>83</v>
      </c>
      <c r="T242">
        <f>IF(TRIM(Table1[[#This Row],[PitStopLaps]])="",0,
LEN(Table1[[#This Row],[PitStopLaps]])-LEN(SUBSTITUTE(Table1[[#This Row],[PitStopLaps]],",",""))+1)</f>
        <v>2</v>
      </c>
      <c r="U242">
        <f>Table1[[#This Row],[StartPosition]]-Table1[[#This Row],[FinishPosition]]</f>
        <v>1</v>
      </c>
    </row>
    <row r="243" spans="1:21" x14ac:dyDescent="0.3">
      <c r="A243">
        <v>2018</v>
      </c>
      <c r="B243">
        <v>13</v>
      </c>
      <c r="C243" t="s">
        <v>188</v>
      </c>
      <c r="D243" t="s">
        <v>26</v>
      </c>
      <c r="E243" t="s">
        <v>27</v>
      </c>
      <c r="F243" t="s">
        <v>28</v>
      </c>
      <c r="G243">
        <v>1</v>
      </c>
      <c r="H243">
        <v>2</v>
      </c>
      <c r="I243">
        <v>18</v>
      </c>
      <c r="J243" t="s">
        <v>23</v>
      </c>
      <c r="K243" t="s">
        <v>24</v>
      </c>
      <c r="L243">
        <v>44</v>
      </c>
      <c r="M243">
        <v>106.721</v>
      </c>
      <c r="N243">
        <v>108.142736</v>
      </c>
      <c r="O243">
        <v>30.652999999999999</v>
      </c>
      <c r="P243">
        <v>46.631999999999998</v>
      </c>
      <c r="Q243">
        <v>28.951999999999899</v>
      </c>
      <c r="R243" t="s">
        <v>189</v>
      </c>
      <c r="S243" t="s">
        <v>83</v>
      </c>
      <c r="T243">
        <f>IF(TRIM(Table1[[#This Row],[PitStopLaps]])="",0,
LEN(Table1[[#This Row],[PitStopLaps]])-LEN(SUBSTITUTE(Table1[[#This Row],[PitStopLaps]],",",""))+1)</f>
        <v>2</v>
      </c>
      <c r="U243">
        <f>Table1[[#This Row],[StartPosition]]-Table1[[#This Row],[FinishPosition]]</f>
        <v>-1</v>
      </c>
    </row>
    <row r="244" spans="1:21" x14ac:dyDescent="0.3">
      <c r="A244">
        <v>2018</v>
      </c>
      <c r="B244">
        <v>13</v>
      </c>
      <c r="C244" t="s">
        <v>188</v>
      </c>
      <c r="D244" t="s">
        <v>38</v>
      </c>
      <c r="E244" t="s">
        <v>39</v>
      </c>
      <c r="F244" t="s">
        <v>33</v>
      </c>
      <c r="G244">
        <v>7</v>
      </c>
      <c r="H244">
        <v>3</v>
      </c>
      <c r="I244">
        <v>15</v>
      </c>
      <c r="J244" t="s">
        <v>23</v>
      </c>
      <c r="K244" t="s">
        <v>24</v>
      </c>
      <c r="L244">
        <v>44</v>
      </c>
      <c r="M244">
        <v>106.946</v>
      </c>
      <c r="N244">
        <v>108.62697300000001</v>
      </c>
      <c r="O244">
        <v>30.91</v>
      </c>
      <c r="P244">
        <v>46.741</v>
      </c>
      <c r="Q244">
        <v>28.893000000000001</v>
      </c>
      <c r="R244" t="s">
        <v>190</v>
      </c>
      <c r="S244" t="s">
        <v>83</v>
      </c>
      <c r="T244">
        <f>IF(TRIM(Table1[[#This Row],[PitStopLaps]])="",0,
LEN(Table1[[#This Row],[PitStopLaps]])-LEN(SUBSTITUTE(Table1[[#This Row],[PitStopLaps]],",",""))+1)</f>
        <v>2</v>
      </c>
      <c r="U244">
        <f>Table1[[#This Row],[StartPosition]]-Table1[[#This Row],[FinishPosition]]</f>
        <v>4</v>
      </c>
    </row>
    <row r="245" spans="1:21" x14ac:dyDescent="0.3">
      <c r="A245">
        <v>2018</v>
      </c>
      <c r="B245">
        <v>13</v>
      </c>
      <c r="C245" t="s">
        <v>188</v>
      </c>
      <c r="D245" t="s">
        <v>43</v>
      </c>
      <c r="E245" t="s">
        <v>44</v>
      </c>
      <c r="F245" t="s">
        <v>28</v>
      </c>
      <c r="G245">
        <v>19</v>
      </c>
      <c r="H245">
        <v>4</v>
      </c>
      <c r="I245">
        <v>12</v>
      </c>
      <c r="J245" t="s">
        <v>34</v>
      </c>
      <c r="K245" t="s">
        <v>24</v>
      </c>
      <c r="L245">
        <v>44</v>
      </c>
      <c r="M245">
        <v>106.286</v>
      </c>
      <c r="N245">
        <v>109.350657</v>
      </c>
      <c r="O245">
        <v>30.638999999999999</v>
      </c>
      <c r="P245">
        <v>46.173000000000002</v>
      </c>
      <c r="Q245">
        <v>28.824000000000002</v>
      </c>
      <c r="R245" t="s">
        <v>191</v>
      </c>
      <c r="S245" t="s">
        <v>83</v>
      </c>
      <c r="T245">
        <f>IF(TRIM(Table1[[#This Row],[PitStopLaps]])="",0,
LEN(Table1[[#This Row],[PitStopLaps]])-LEN(SUBSTITUTE(Table1[[#This Row],[PitStopLaps]],",",""))+1)</f>
        <v>3</v>
      </c>
      <c r="U245">
        <f>Table1[[#This Row],[StartPosition]]-Table1[[#This Row],[FinishPosition]]</f>
        <v>15</v>
      </c>
    </row>
    <row r="246" spans="1:21" x14ac:dyDescent="0.3">
      <c r="A246">
        <v>2018</v>
      </c>
      <c r="B246">
        <v>13</v>
      </c>
      <c r="C246" t="s">
        <v>188</v>
      </c>
      <c r="D246" t="s">
        <v>49</v>
      </c>
      <c r="E246" t="s">
        <v>50</v>
      </c>
      <c r="F246" t="s">
        <v>192</v>
      </c>
      <c r="G246">
        <v>4</v>
      </c>
      <c r="H246">
        <v>5</v>
      </c>
      <c r="I246">
        <v>10</v>
      </c>
      <c r="J246" t="s">
        <v>34</v>
      </c>
      <c r="K246" t="s">
        <v>24</v>
      </c>
      <c r="L246">
        <v>44</v>
      </c>
      <c r="M246">
        <v>108.08</v>
      </c>
      <c r="N246">
        <v>109.588447</v>
      </c>
      <c r="O246">
        <v>31.024999999999999</v>
      </c>
      <c r="P246">
        <v>47.593000000000004</v>
      </c>
      <c r="Q246">
        <v>28.966999999999999</v>
      </c>
      <c r="R246" t="s">
        <v>193</v>
      </c>
      <c r="S246" t="s">
        <v>83</v>
      </c>
      <c r="T246">
        <f>IF(TRIM(Table1[[#This Row],[PitStopLaps]])="",0,
LEN(Table1[[#This Row],[PitStopLaps]])-LEN(SUBSTITUTE(Table1[[#This Row],[PitStopLaps]],",",""))+1)</f>
        <v>2</v>
      </c>
      <c r="U246">
        <f>Table1[[#This Row],[StartPosition]]-Table1[[#This Row],[FinishPosition]]</f>
        <v>-1</v>
      </c>
    </row>
    <row r="247" spans="1:21" x14ac:dyDescent="0.3">
      <c r="A247">
        <v>2018</v>
      </c>
      <c r="B247">
        <v>13</v>
      </c>
      <c r="C247" t="s">
        <v>188</v>
      </c>
      <c r="D247" t="s">
        <v>52</v>
      </c>
      <c r="E247" t="s">
        <v>53</v>
      </c>
      <c r="F247" t="s">
        <v>192</v>
      </c>
      <c r="G247">
        <v>3</v>
      </c>
      <c r="H247">
        <v>6</v>
      </c>
      <c r="I247">
        <v>8</v>
      </c>
      <c r="J247" t="s">
        <v>34</v>
      </c>
      <c r="K247" t="s">
        <v>24</v>
      </c>
      <c r="L247">
        <v>44</v>
      </c>
      <c r="M247">
        <v>108.078</v>
      </c>
      <c r="N247">
        <v>109.790868</v>
      </c>
      <c r="O247">
        <v>31.251999999999999</v>
      </c>
      <c r="P247">
        <v>47.670999999999999</v>
      </c>
      <c r="Q247">
        <v>29.010999999999999</v>
      </c>
      <c r="R247" t="s">
        <v>194</v>
      </c>
      <c r="S247" t="s">
        <v>83</v>
      </c>
      <c r="T247">
        <f>IF(TRIM(Table1[[#This Row],[PitStopLaps]])="",0,
LEN(Table1[[#This Row],[PitStopLaps]])-LEN(SUBSTITUTE(Table1[[#This Row],[PitStopLaps]],",",""))+1)</f>
        <v>2</v>
      </c>
      <c r="U247">
        <f>Table1[[#This Row],[StartPosition]]-Table1[[#This Row],[FinishPosition]]</f>
        <v>-3</v>
      </c>
    </row>
    <row r="248" spans="1:21" x14ac:dyDescent="0.3">
      <c r="A248">
        <v>2018</v>
      </c>
      <c r="B248">
        <v>13</v>
      </c>
      <c r="C248" t="s">
        <v>188</v>
      </c>
      <c r="D248" t="s">
        <v>67</v>
      </c>
      <c r="E248" t="s">
        <v>68</v>
      </c>
      <c r="F248" t="s">
        <v>69</v>
      </c>
      <c r="G248">
        <v>5</v>
      </c>
      <c r="H248">
        <v>7</v>
      </c>
      <c r="I248">
        <v>6</v>
      </c>
      <c r="J248" t="s">
        <v>34</v>
      </c>
      <c r="K248" t="s">
        <v>24</v>
      </c>
      <c r="L248">
        <v>44</v>
      </c>
      <c r="M248">
        <v>108.283</v>
      </c>
      <c r="N248">
        <v>109.938394</v>
      </c>
      <c r="O248">
        <v>31.515000000000001</v>
      </c>
      <c r="P248">
        <v>47.12</v>
      </c>
      <c r="Q248">
        <v>29.393999999999998</v>
      </c>
      <c r="R248" t="s">
        <v>195</v>
      </c>
      <c r="S248" t="s">
        <v>83</v>
      </c>
      <c r="T248">
        <f>IF(TRIM(Table1[[#This Row],[PitStopLaps]])="",0,
LEN(Table1[[#This Row],[PitStopLaps]])-LEN(SUBSTITUTE(Table1[[#This Row],[PitStopLaps]],",",""))+1)</f>
        <v>2</v>
      </c>
      <c r="U248">
        <f>Table1[[#This Row],[StartPosition]]-Table1[[#This Row],[FinishPosition]]</f>
        <v>-2</v>
      </c>
    </row>
    <row r="249" spans="1:21" x14ac:dyDescent="0.3">
      <c r="A249">
        <v>2018</v>
      </c>
      <c r="B249">
        <v>13</v>
      </c>
      <c r="C249" t="s">
        <v>188</v>
      </c>
      <c r="D249" t="s">
        <v>71</v>
      </c>
      <c r="E249" t="s">
        <v>72</v>
      </c>
      <c r="F249" t="s">
        <v>69</v>
      </c>
      <c r="G249">
        <v>9</v>
      </c>
      <c r="H249">
        <v>8</v>
      </c>
      <c r="I249">
        <v>4</v>
      </c>
      <c r="J249" t="s">
        <v>34</v>
      </c>
      <c r="K249" t="s">
        <v>24</v>
      </c>
      <c r="L249">
        <v>44</v>
      </c>
      <c r="M249">
        <v>107.937</v>
      </c>
      <c r="N249">
        <v>109.953157</v>
      </c>
      <c r="O249">
        <v>31.460999999999999</v>
      </c>
      <c r="P249">
        <v>46.838000000000001</v>
      </c>
      <c r="Q249">
        <v>29.248999999999999</v>
      </c>
      <c r="R249" t="s">
        <v>190</v>
      </c>
      <c r="S249" t="s">
        <v>83</v>
      </c>
      <c r="T249">
        <f>IF(TRIM(Table1[[#This Row],[PitStopLaps]])="",0,
LEN(Table1[[#This Row],[PitStopLaps]])-LEN(SUBSTITUTE(Table1[[#This Row],[PitStopLaps]],",",""))+1)</f>
        <v>2</v>
      </c>
      <c r="U249">
        <f>Table1[[#This Row],[StartPosition]]-Table1[[#This Row],[FinishPosition]]</f>
        <v>1</v>
      </c>
    </row>
    <row r="250" spans="1:21" x14ac:dyDescent="0.3">
      <c r="A250">
        <v>2018</v>
      </c>
      <c r="B250">
        <v>13</v>
      </c>
      <c r="C250" t="s">
        <v>188</v>
      </c>
      <c r="D250" t="s">
        <v>73</v>
      </c>
      <c r="E250" t="s">
        <v>74</v>
      </c>
      <c r="F250" t="s">
        <v>64</v>
      </c>
      <c r="G250">
        <v>10</v>
      </c>
      <c r="H250">
        <v>9</v>
      </c>
      <c r="I250">
        <v>2</v>
      </c>
      <c r="J250" t="s">
        <v>34</v>
      </c>
      <c r="K250" t="s">
        <v>24</v>
      </c>
      <c r="L250">
        <v>44</v>
      </c>
      <c r="M250">
        <v>108.58799999999999</v>
      </c>
      <c r="N250">
        <v>110.416026</v>
      </c>
      <c r="O250">
        <v>31.32</v>
      </c>
      <c r="P250">
        <v>47.401000000000003</v>
      </c>
      <c r="Q250">
        <v>29.379000000000001</v>
      </c>
      <c r="R250" t="s">
        <v>193</v>
      </c>
      <c r="S250" t="s">
        <v>83</v>
      </c>
      <c r="T250">
        <f>IF(TRIM(Table1[[#This Row],[PitStopLaps]])="",0,
LEN(Table1[[#This Row],[PitStopLaps]])-LEN(SUBSTITUTE(Table1[[#This Row],[PitStopLaps]],",",""))+1)</f>
        <v>2</v>
      </c>
      <c r="U250">
        <f>Table1[[#This Row],[StartPosition]]-Table1[[#This Row],[FinishPosition]]</f>
        <v>1</v>
      </c>
    </row>
    <row r="251" spans="1:21" x14ac:dyDescent="0.3">
      <c r="A251">
        <v>2018</v>
      </c>
      <c r="B251">
        <v>13</v>
      </c>
      <c r="C251" t="s">
        <v>188</v>
      </c>
      <c r="D251" t="s">
        <v>76</v>
      </c>
      <c r="E251" t="s">
        <v>77</v>
      </c>
      <c r="F251" t="s">
        <v>56</v>
      </c>
      <c r="G251">
        <v>13</v>
      </c>
      <c r="H251">
        <v>10</v>
      </c>
      <c r="I251">
        <v>1</v>
      </c>
      <c r="J251" t="s">
        <v>34</v>
      </c>
      <c r="K251" t="s">
        <v>65</v>
      </c>
      <c r="L251">
        <v>43</v>
      </c>
      <c r="M251">
        <v>108.694</v>
      </c>
      <c r="N251">
        <v>110.647621</v>
      </c>
      <c r="O251">
        <v>31.591999999999999</v>
      </c>
      <c r="P251">
        <v>47.161000000000001</v>
      </c>
      <c r="Q251">
        <v>29.408999999999999</v>
      </c>
      <c r="R251" t="s">
        <v>190</v>
      </c>
      <c r="S251" t="s">
        <v>83</v>
      </c>
      <c r="T251">
        <f>IF(TRIM(Table1[[#This Row],[PitStopLaps]])="",0,
LEN(Table1[[#This Row],[PitStopLaps]])-LEN(SUBSTITUTE(Table1[[#This Row],[PitStopLaps]],",",""))+1)</f>
        <v>2</v>
      </c>
      <c r="U251">
        <f>Table1[[#This Row],[StartPosition]]-Table1[[#This Row],[FinishPosition]]</f>
        <v>3</v>
      </c>
    </row>
    <row r="252" spans="1:21" x14ac:dyDescent="0.3">
      <c r="A252">
        <v>2018</v>
      </c>
      <c r="B252">
        <v>13</v>
      </c>
      <c r="C252" t="s">
        <v>188</v>
      </c>
      <c r="D252" t="s">
        <v>47</v>
      </c>
      <c r="E252" t="s">
        <v>48</v>
      </c>
      <c r="F252" t="s">
        <v>42</v>
      </c>
      <c r="G252">
        <v>14</v>
      </c>
      <c r="H252">
        <v>11</v>
      </c>
      <c r="I252">
        <v>0</v>
      </c>
      <c r="J252" t="s">
        <v>34</v>
      </c>
      <c r="K252" t="s">
        <v>65</v>
      </c>
      <c r="L252">
        <v>43</v>
      </c>
      <c r="M252">
        <v>108.67</v>
      </c>
      <c r="N252">
        <v>110.924243</v>
      </c>
      <c r="O252">
        <v>30.811</v>
      </c>
      <c r="P252">
        <v>48.151000000000003</v>
      </c>
      <c r="Q252">
        <v>29.295000000000002</v>
      </c>
      <c r="R252" t="s">
        <v>66</v>
      </c>
      <c r="S252" t="s">
        <v>83</v>
      </c>
      <c r="T252">
        <f>IF(TRIM(Table1[[#This Row],[PitStopLaps]])="",0,
LEN(Table1[[#This Row],[PitStopLaps]])-LEN(SUBSTITUTE(Table1[[#This Row],[PitStopLaps]],",",""))+1)</f>
        <v>2</v>
      </c>
      <c r="U252">
        <f>Table1[[#This Row],[StartPosition]]-Table1[[#This Row],[FinishPosition]]</f>
        <v>3</v>
      </c>
    </row>
    <row r="253" spans="1:21" x14ac:dyDescent="0.3">
      <c r="A253">
        <v>2018</v>
      </c>
      <c r="B253">
        <v>13</v>
      </c>
      <c r="C253" t="s">
        <v>188</v>
      </c>
      <c r="D253" t="s">
        <v>79</v>
      </c>
      <c r="E253" t="s">
        <v>80</v>
      </c>
      <c r="F253" t="s">
        <v>60</v>
      </c>
      <c r="G253">
        <v>16</v>
      </c>
      <c r="H253">
        <v>12</v>
      </c>
      <c r="I253">
        <v>0</v>
      </c>
      <c r="J253" t="s">
        <v>34</v>
      </c>
      <c r="K253" t="s">
        <v>65</v>
      </c>
      <c r="L253">
        <v>43</v>
      </c>
      <c r="M253">
        <v>109.113</v>
      </c>
      <c r="N253">
        <v>111.05081</v>
      </c>
      <c r="O253">
        <v>31.154</v>
      </c>
      <c r="P253">
        <v>47.639000000000003</v>
      </c>
      <c r="Q253">
        <v>29.356000000000002</v>
      </c>
      <c r="R253" t="s">
        <v>194</v>
      </c>
      <c r="S253" t="s">
        <v>83</v>
      </c>
      <c r="T253">
        <f>IF(TRIM(Table1[[#This Row],[PitStopLaps]])="",0,
LEN(Table1[[#This Row],[PitStopLaps]])-LEN(SUBSTITUTE(Table1[[#This Row],[PitStopLaps]],",",""))+1)</f>
        <v>2</v>
      </c>
      <c r="U253">
        <f>Table1[[#This Row],[StartPosition]]-Table1[[#This Row],[FinishPosition]]</f>
        <v>4</v>
      </c>
    </row>
    <row r="254" spans="1:21" x14ac:dyDescent="0.3">
      <c r="A254">
        <v>2018</v>
      </c>
      <c r="B254">
        <v>13</v>
      </c>
      <c r="C254" t="s">
        <v>188</v>
      </c>
      <c r="D254" t="s">
        <v>58</v>
      </c>
      <c r="E254" t="s">
        <v>59</v>
      </c>
      <c r="F254" t="s">
        <v>60</v>
      </c>
      <c r="G254">
        <v>17</v>
      </c>
      <c r="H254">
        <v>13</v>
      </c>
      <c r="I254">
        <v>0</v>
      </c>
      <c r="J254" t="s">
        <v>34</v>
      </c>
      <c r="K254" t="s">
        <v>65</v>
      </c>
      <c r="L254">
        <v>43</v>
      </c>
      <c r="M254">
        <v>109.28700000000001</v>
      </c>
      <c r="N254">
        <v>111.062648</v>
      </c>
      <c r="O254">
        <v>31.076000000000001</v>
      </c>
      <c r="P254">
        <v>48.338999999999999</v>
      </c>
      <c r="Q254">
        <v>29.318000000000001</v>
      </c>
      <c r="R254" t="s">
        <v>195</v>
      </c>
      <c r="S254" t="s">
        <v>83</v>
      </c>
      <c r="T254">
        <f>IF(TRIM(Table1[[#This Row],[PitStopLaps]])="",0,
LEN(Table1[[#This Row],[PitStopLaps]])-LEN(SUBSTITUTE(Table1[[#This Row],[PitStopLaps]],",",""))+1)</f>
        <v>2</v>
      </c>
      <c r="U254">
        <f>Table1[[#This Row],[StartPosition]]-Table1[[#This Row],[FinishPosition]]</f>
        <v>4</v>
      </c>
    </row>
    <row r="255" spans="1:21" x14ac:dyDescent="0.3">
      <c r="A255">
        <v>2018</v>
      </c>
      <c r="B255">
        <v>13</v>
      </c>
      <c r="C255" t="s">
        <v>188</v>
      </c>
      <c r="D255" t="s">
        <v>62</v>
      </c>
      <c r="E255" t="s">
        <v>63</v>
      </c>
      <c r="F255" t="s">
        <v>64</v>
      </c>
      <c r="G255">
        <v>11</v>
      </c>
      <c r="H255">
        <v>14</v>
      </c>
      <c r="I255">
        <v>0</v>
      </c>
      <c r="J255" t="s">
        <v>34</v>
      </c>
      <c r="K255" t="s">
        <v>65</v>
      </c>
      <c r="L255">
        <v>43</v>
      </c>
      <c r="M255">
        <v>108.756</v>
      </c>
      <c r="N255">
        <v>111.339054</v>
      </c>
      <c r="O255">
        <v>31.309000000000001</v>
      </c>
      <c r="P255">
        <v>47.408999999999999</v>
      </c>
      <c r="Q255">
        <v>29.390999999999998</v>
      </c>
      <c r="R255" t="s">
        <v>196</v>
      </c>
      <c r="S255" t="s">
        <v>83</v>
      </c>
      <c r="T255">
        <f>IF(TRIM(Table1[[#This Row],[PitStopLaps]])="",0,
LEN(Table1[[#This Row],[PitStopLaps]])-LEN(SUBSTITUTE(Table1[[#This Row],[PitStopLaps]],",",""))+1)</f>
        <v>2</v>
      </c>
      <c r="U255">
        <f>Table1[[#This Row],[StartPosition]]-Table1[[#This Row],[FinishPosition]]</f>
        <v>-3</v>
      </c>
    </row>
    <row r="256" spans="1:21" x14ac:dyDescent="0.3">
      <c r="A256">
        <v>2018</v>
      </c>
      <c r="B256">
        <v>13</v>
      </c>
      <c r="C256" t="s">
        <v>188</v>
      </c>
      <c r="D256" t="s">
        <v>45</v>
      </c>
      <c r="E256" t="s">
        <v>46</v>
      </c>
      <c r="F256" t="s">
        <v>37</v>
      </c>
      <c r="G256">
        <v>18</v>
      </c>
      <c r="H256">
        <v>15</v>
      </c>
      <c r="I256">
        <v>0</v>
      </c>
      <c r="J256" t="s">
        <v>34</v>
      </c>
      <c r="K256" t="s">
        <v>65</v>
      </c>
      <c r="L256">
        <v>43</v>
      </c>
      <c r="M256">
        <v>108.956</v>
      </c>
      <c r="N256">
        <v>111.61627</v>
      </c>
      <c r="O256">
        <v>31.753</v>
      </c>
      <c r="P256">
        <v>47.601999999999997</v>
      </c>
      <c r="Q256">
        <v>29.456</v>
      </c>
      <c r="R256" t="s">
        <v>197</v>
      </c>
      <c r="S256" t="s">
        <v>83</v>
      </c>
      <c r="T256">
        <f>IF(TRIM(Table1[[#This Row],[PitStopLaps]])="",0,
LEN(Table1[[#This Row],[PitStopLaps]])-LEN(SUBSTITUTE(Table1[[#This Row],[PitStopLaps]],",",""))+1)</f>
        <v>3</v>
      </c>
      <c r="U256">
        <f>Table1[[#This Row],[StartPosition]]-Table1[[#This Row],[FinishPosition]]</f>
        <v>3</v>
      </c>
    </row>
    <row r="257" spans="1:21" x14ac:dyDescent="0.3">
      <c r="A257">
        <v>2018</v>
      </c>
      <c r="B257">
        <v>13</v>
      </c>
      <c r="C257" t="s">
        <v>188</v>
      </c>
      <c r="D257" t="s">
        <v>31</v>
      </c>
      <c r="E257" t="s">
        <v>32</v>
      </c>
      <c r="F257" t="s">
        <v>33</v>
      </c>
      <c r="G257">
        <v>8</v>
      </c>
      <c r="H257">
        <v>16</v>
      </c>
      <c r="I257">
        <v>0</v>
      </c>
      <c r="J257" t="s">
        <v>34</v>
      </c>
      <c r="K257" t="s">
        <v>179</v>
      </c>
      <c r="L257">
        <v>28</v>
      </c>
      <c r="M257">
        <v>109.242</v>
      </c>
      <c r="N257">
        <v>110.854</v>
      </c>
      <c r="O257">
        <v>30.986000000000001</v>
      </c>
      <c r="P257">
        <v>48.298000000000002</v>
      </c>
      <c r="Q257">
        <v>29.277999999999999</v>
      </c>
      <c r="R257" t="s">
        <v>198</v>
      </c>
      <c r="S257" t="s">
        <v>83</v>
      </c>
      <c r="T257">
        <f>IF(TRIM(Table1[[#This Row],[PitStopLaps]])="",0,
LEN(Table1[[#This Row],[PitStopLaps]])-LEN(SUBSTITUTE(Table1[[#This Row],[PitStopLaps]],",",""))+1)</f>
        <v>2</v>
      </c>
      <c r="U257">
        <f>Table1[[#This Row],[StartPosition]]-Table1[[#This Row],[FinishPosition]]</f>
        <v>-8</v>
      </c>
    </row>
    <row r="258" spans="1:21" x14ac:dyDescent="0.3">
      <c r="A258">
        <v>2018</v>
      </c>
      <c r="B258">
        <v>13</v>
      </c>
      <c r="C258" t="s">
        <v>188</v>
      </c>
      <c r="D258" t="s">
        <v>29</v>
      </c>
      <c r="E258" t="s">
        <v>30</v>
      </c>
      <c r="F258" t="s">
        <v>22</v>
      </c>
      <c r="G258">
        <v>6</v>
      </c>
      <c r="H258">
        <v>17</v>
      </c>
      <c r="I258">
        <v>0</v>
      </c>
      <c r="J258" t="s">
        <v>34</v>
      </c>
      <c r="K258" t="s">
        <v>81</v>
      </c>
      <c r="L258">
        <v>8</v>
      </c>
      <c r="M258">
        <v>114.32</v>
      </c>
      <c r="N258">
        <v>114.848</v>
      </c>
      <c r="O258">
        <v>31.876999999999999</v>
      </c>
      <c r="P258">
        <v>52.039000000000001</v>
      </c>
      <c r="Q258">
        <v>29.832999999999998</v>
      </c>
      <c r="R258" t="s">
        <v>199</v>
      </c>
      <c r="S258" t="s">
        <v>83</v>
      </c>
      <c r="T258">
        <f>IF(TRIM(Table1[[#This Row],[PitStopLaps]])="",0,
LEN(Table1[[#This Row],[PitStopLaps]])-LEN(SUBSTITUTE(Table1[[#This Row],[PitStopLaps]],",",""))+1)</f>
        <v>3</v>
      </c>
      <c r="U258">
        <f>Table1[[#This Row],[StartPosition]]-Table1[[#This Row],[FinishPosition]]</f>
        <v>-11</v>
      </c>
    </row>
    <row r="259" spans="1:21" x14ac:dyDescent="0.3">
      <c r="A259">
        <v>2018</v>
      </c>
      <c r="B259">
        <v>13</v>
      </c>
      <c r="C259" t="s">
        <v>188</v>
      </c>
      <c r="D259" t="s">
        <v>54</v>
      </c>
      <c r="E259" t="s">
        <v>55</v>
      </c>
      <c r="F259" t="s">
        <v>56</v>
      </c>
      <c r="G259">
        <v>12</v>
      </c>
      <c r="H259">
        <v>18</v>
      </c>
      <c r="I259">
        <v>0</v>
      </c>
      <c r="J259" t="s">
        <v>34</v>
      </c>
      <c r="K259" t="s">
        <v>123</v>
      </c>
      <c r="L259">
        <v>1</v>
      </c>
      <c r="S259" t="s">
        <v>83</v>
      </c>
      <c r="T259">
        <f>IF(TRIM(Table1[[#This Row],[PitStopLaps]])="",0,
LEN(Table1[[#This Row],[PitStopLaps]])-LEN(SUBSTITUTE(Table1[[#This Row],[PitStopLaps]],",",""))+1)</f>
        <v>0</v>
      </c>
      <c r="U259">
        <f>Table1[[#This Row],[StartPosition]]-Table1[[#This Row],[FinishPosition]]</f>
        <v>-6</v>
      </c>
    </row>
    <row r="260" spans="1:21" x14ac:dyDescent="0.3">
      <c r="A260">
        <v>2018</v>
      </c>
      <c r="B260">
        <v>13</v>
      </c>
      <c r="C260" t="s">
        <v>188</v>
      </c>
      <c r="D260" t="s">
        <v>35</v>
      </c>
      <c r="E260" t="s">
        <v>36</v>
      </c>
      <c r="F260" t="s">
        <v>37</v>
      </c>
      <c r="G260">
        <v>15</v>
      </c>
      <c r="H260">
        <v>19</v>
      </c>
      <c r="I260">
        <v>0</v>
      </c>
      <c r="J260" t="s">
        <v>34</v>
      </c>
      <c r="K260" t="s">
        <v>123</v>
      </c>
      <c r="L260">
        <v>1</v>
      </c>
      <c r="S260" t="s">
        <v>83</v>
      </c>
      <c r="T260">
        <f>IF(TRIM(Table1[[#This Row],[PitStopLaps]])="",0,
LEN(Table1[[#This Row],[PitStopLaps]])-LEN(SUBSTITUTE(Table1[[#This Row],[PitStopLaps]],",",""))+1)</f>
        <v>0</v>
      </c>
      <c r="U260">
        <f>Table1[[#This Row],[StartPosition]]-Table1[[#This Row],[FinishPosition]]</f>
        <v>-4</v>
      </c>
    </row>
    <row r="261" spans="1:21" x14ac:dyDescent="0.3">
      <c r="A261">
        <v>2018</v>
      </c>
      <c r="B261">
        <v>13</v>
      </c>
      <c r="C261" t="s">
        <v>188</v>
      </c>
      <c r="D261" t="s">
        <v>40</v>
      </c>
      <c r="E261" t="s">
        <v>41</v>
      </c>
      <c r="F261" t="s">
        <v>42</v>
      </c>
      <c r="G261">
        <v>20</v>
      </c>
      <c r="H261">
        <v>20</v>
      </c>
      <c r="I261">
        <v>0</v>
      </c>
      <c r="J261" t="s">
        <v>34</v>
      </c>
      <c r="K261" t="s">
        <v>123</v>
      </c>
      <c r="L261">
        <v>1</v>
      </c>
      <c r="S261" t="s">
        <v>83</v>
      </c>
      <c r="T261">
        <f>IF(TRIM(Table1[[#This Row],[PitStopLaps]])="",0,
LEN(Table1[[#This Row],[PitStopLaps]])-LEN(SUBSTITUTE(Table1[[#This Row],[PitStopLaps]],",",""))+1)</f>
        <v>0</v>
      </c>
      <c r="U261">
        <f>Table1[[#This Row],[StartPosition]]-Table1[[#This Row],[FinishPosition]]</f>
        <v>0</v>
      </c>
    </row>
    <row r="262" spans="1:21" x14ac:dyDescent="0.3">
      <c r="A262">
        <v>2018</v>
      </c>
      <c r="B262">
        <v>15</v>
      </c>
      <c r="C262" t="s">
        <v>200</v>
      </c>
      <c r="D262" t="s">
        <v>26</v>
      </c>
      <c r="E262" t="s">
        <v>27</v>
      </c>
      <c r="F262" t="s">
        <v>28</v>
      </c>
      <c r="G262">
        <v>1</v>
      </c>
      <c r="H262">
        <v>1</v>
      </c>
      <c r="I262">
        <v>25</v>
      </c>
      <c r="J262" t="s">
        <v>23</v>
      </c>
      <c r="K262" t="s">
        <v>24</v>
      </c>
      <c r="L262">
        <v>61</v>
      </c>
      <c r="M262">
        <v>102.913</v>
      </c>
      <c r="N262">
        <v>105.42729</v>
      </c>
      <c r="O262">
        <v>28.085000000000001</v>
      </c>
      <c r="P262">
        <v>39.878999999999998</v>
      </c>
      <c r="Q262">
        <v>34.94</v>
      </c>
      <c r="R262">
        <v>15</v>
      </c>
      <c r="S262" t="s">
        <v>83</v>
      </c>
      <c r="T262">
        <f>IF(TRIM(Table1[[#This Row],[PitStopLaps]])="",0,
LEN(Table1[[#This Row],[PitStopLaps]])-LEN(SUBSTITUTE(Table1[[#This Row],[PitStopLaps]],",",""))+1)</f>
        <v>1</v>
      </c>
      <c r="U262">
        <f>Table1[[#This Row],[StartPosition]]-Table1[[#This Row],[FinishPosition]]</f>
        <v>0</v>
      </c>
    </row>
    <row r="263" spans="1:21" x14ac:dyDescent="0.3">
      <c r="A263">
        <v>2018</v>
      </c>
      <c r="B263">
        <v>15</v>
      </c>
      <c r="C263" t="s">
        <v>200</v>
      </c>
      <c r="D263" t="s">
        <v>38</v>
      </c>
      <c r="E263" t="s">
        <v>39</v>
      </c>
      <c r="F263" t="s">
        <v>33</v>
      </c>
      <c r="G263">
        <v>2</v>
      </c>
      <c r="H263">
        <v>2</v>
      </c>
      <c r="I263">
        <v>18</v>
      </c>
      <c r="J263" t="s">
        <v>23</v>
      </c>
      <c r="K263" t="s">
        <v>24</v>
      </c>
      <c r="L263">
        <v>61</v>
      </c>
      <c r="M263">
        <v>103.345</v>
      </c>
      <c r="N263">
        <v>105.57</v>
      </c>
      <c r="O263">
        <v>28.164000000000001</v>
      </c>
      <c r="P263">
        <v>39.874000000000002</v>
      </c>
      <c r="Q263">
        <v>35.283000000000001</v>
      </c>
      <c r="R263">
        <v>17</v>
      </c>
      <c r="S263" t="s">
        <v>83</v>
      </c>
      <c r="T263">
        <f>IF(TRIM(Table1[[#This Row],[PitStopLaps]])="",0,
LEN(Table1[[#This Row],[PitStopLaps]])-LEN(SUBSTITUTE(Table1[[#This Row],[PitStopLaps]],",",""))+1)</f>
        <v>1</v>
      </c>
      <c r="U263">
        <f>Table1[[#This Row],[StartPosition]]-Table1[[#This Row],[FinishPosition]]</f>
        <v>0</v>
      </c>
    </row>
    <row r="264" spans="1:21" x14ac:dyDescent="0.3">
      <c r="A264">
        <v>2018</v>
      </c>
      <c r="B264">
        <v>15</v>
      </c>
      <c r="C264" t="s">
        <v>200</v>
      </c>
      <c r="D264" t="s">
        <v>20</v>
      </c>
      <c r="E264" t="s">
        <v>21</v>
      </c>
      <c r="F264" t="s">
        <v>22</v>
      </c>
      <c r="G264">
        <v>3</v>
      </c>
      <c r="H264">
        <v>3</v>
      </c>
      <c r="I264">
        <v>15</v>
      </c>
      <c r="J264" t="s">
        <v>23</v>
      </c>
      <c r="K264" t="s">
        <v>24</v>
      </c>
      <c r="L264">
        <v>61</v>
      </c>
      <c r="M264">
        <v>104.669</v>
      </c>
      <c r="N264">
        <v>106.185818</v>
      </c>
      <c r="O264">
        <v>28.303999999999998</v>
      </c>
      <c r="P264">
        <v>40.805999999999997</v>
      </c>
      <c r="Q264">
        <v>35.558999999999997</v>
      </c>
      <c r="R264">
        <v>14</v>
      </c>
      <c r="S264" t="s">
        <v>83</v>
      </c>
      <c r="T264">
        <f>IF(TRIM(Table1[[#This Row],[PitStopLaps]])="",0,
LEN(Table1[[#This Row],[PitStopLaps]])-LEN(SUBSTITUTE(Table1[[#This Row],[PitStopLaps]],",",""))+1)</f>
        <v>1</v>
      </c>
      <c r="U264">
        <f>Table1[[#This Row],[StartPosition]]-Table1[[#This Row],[FinishPosition]]</f>
        <v>0</v>
      </c>
    </row>
    <row r="265" spans="1:21" x14ac:dyDescent="0.3">
      <c r="A265">
        <v>2018</v>
      </c>
      <c r="B265">
        <v>15</v>
      </c>
      <c r="C265" t="s">
        <v>200</v>
      </c>
      <c r="D265" t="s">
        <v>43</v>
      </c>
      <c r="E265" t="s">
        <v>44</v>
      </c>
      <c r="F265" t="s">
        <v>28</v>
      </c>
      <c r="G265">
        <v>4</v>
      </c>
      <c r="H265">
        <v>4</v>
      </c>
      <c r="I265">
        <v>12</v>
      </c>
      <c r="J265" t="s">
        <v>34</v>
      </c>
      <c r="K265" t="s">
        <v>24</v>
      </c>
      <c r="L265">
        <v>61</v>
      </c>
      <c r="M265">
        <v>104.72</v>
      </c>
      <c r="N265">
        <v>106.330472</v>
      </c>
      <c r="O265">
        <v>28.465</v>
      </c>
      <c r="P265">
        <v>40.630000000000003</v>
      </c>
      <c r="Q265">
        <v>35.508000000000003</v>
      </c>
      <c r="R265">
        <v>16</v>
      </c>
      <c r="S265" t="s">
        <v>83</v>
      </c>
      <c r="T265">
        <f>IF(TRIM(Table1[[#This Row],[PitStopLaps]])="",0,
LEN(Table1[[#This Row],[PitStopLaps]])-LEN(SUBSTITUTE(Table1[[#This Row],[PitStopLaps]],",",""))+1)</f>
        <v>1</v>
      </c>
      <c r="U265">
        <f>Table1[[#This Row],[StartPosition]]-Table1[[#This Row],[FinishPosition]]</f>
        <v>0</v>
      </c>
    </row>
    <row r="266" spans="1:21" x14ac:dyDescent="0.3">
      <c r="A266">
        <v>2018</v>
      </c>
      <c r="B266">
        <v>15</v>
      </c>
      <c r="C266" t="s">
        <v>200</v>
      </c>
      <c r="D266" t="s">
        <v>29</v>
      </c>
      <c r="E266" t="s">
        <v>30</v>
      </c>
      <c r="F266" t="s">
        <v>22</v>
      </c>
      <c r="G266">
        <v>5</v>
      </c>
      <c r="H266">
        <v>5</v>
      </c>
      <c r="I266">
        <v>10</v>
      </c>
      <c r="J266" t="s">
        <v>34</v>
      </c>
      <c r="K266" t="s">
        <v>24</v>
      </c>
      <c r="L266">
        <v>61</v>
      </c>
      <c r="M266">
        <v>104.715</v>
      </c>
      <c r="N266">
        <v>106.320527</v>
      </c>
      <c r="O266">
        <v>28.170999999999999</v>
      </c>
      <c r="P266">
        <v>40.409999999999997</v>
      </c>
      <c r="Q266">
        <v>35.805999999999997</v>
      </c>
      <c r="R266">
        <v>22</v>
      </c>
      <c r="S266" t="s">
        <v>83</v>
      </c>
      <c r="T266">
        <f>IF(TRIM(Table1[[#This Row],[PitStopLaps]])="",0,
LEN(Table1[[#This Row],[PitStopLaps]])-LEN(SUBSTITUTE(Table1[[#This Row],[PitStopLaps]],",",""))+1)</f>
        <v>1</v>
      </c>
      <c r="U266">
        <f>Table1[[#This Row],[StartPosition]]-Table1[[#This Row],[FinishPosition]]</f>
        <v>0</v>
      </c>
    </row>
    <row r="267" spans="1:21" x14ac:dyDescent="0.3">
      <c r="A267">
        <v>2018</v>
      </c>
      <c r="B267">
        <v>15</v>
      </c>
      <c r="C267" t="s">
        <v>200</v>
      </c>
      <c r="D267" t="s">
        <v>31</v>
      </c>
      <c r="E267" t="s">
        <v>32</v>
      </c>
      <c r="F267" t="s">
        <v>33</v>
      </c>
      <c r="G267">
        <v>6</v>
      </c>
      <c r="H267">
        <v>6</v>
      </c>
      <c r="I267">
        <v>8</v>
      </c>
      <c r="J267" t="s">
        <v>34</v>
      </c>
      <c r="K267" t="s">
        <v>24</v>
      </c>
      <c r="L267">
        <v>61</v>
      </c>
      <c r="M267">
        <v>103.12</v>
      </c>
      <c r="N267">
        <v>106.2634</v>
      </c>
      <c r="O267">
        <v>27.981000000000002</v>
      </c>
      <c r="P267">
        <v>39.840000000000003</v>
      </c>
      <c r="Q267">
        <v>35.276000000000003</v>
      </c>
      <c r="R267">
        <v>27</v>
      </c>
      <c r="S267" t="s">
        <v>83</v>
      </c>
      <c r="T267">
        <f>IF(TRIM(Table1[[#This Row],[PitStopLaps]])="",0,
LEN(Table1[[#This Row],[PitStopLaps]])-LEN(SUBSTITUTE(Table1[[#This Row],[PitStopLaps]],",",""))+1)</f>
        <v>1</v>
      </c>
      <c r="U267">
        <f>Table1[[#This Row],[StartPosition]]-Table1[[#This Row],[FinishPosition]]</f>
        <v>0</v>
      </c>
    </row>
    <row r="268" spans="1:21" x14ac:dyDescent="0.3">
      <c r="A268">
        <v>2018</v>
      </c>
      <c r="B268">
        <v>15</v>
      </c>
      <c r="C268" t="s">
        <v>200</v>
      </c>
      <c r="D268" t="s">
        <v>35</v>
      </c>
      <c r="E268" t="s">
        <v>36</v>
      </c>
      <c r="F268" t="s">
        <v>37</v>
      </c>
      <c r="G268">
        <v>11</v>
      </c>
      <c r="H268">
        <v>7</v>
      </c>
      <c r="I268">
        <v>6</v>
      </c>
      <c r="J268" t="s">
        <v>34</v>
      </c>
      <c r="K268" t="s">
        <v>24</v>
      </c>
      <c r="L268">
        <v>61</v>
      </c>
      <c r="M268">
        <v>103.164</v>
      </c>
      <c r="N268">
        <v>107.103418</v>
      </c>
      <c r="O268">
        <v>28.303999999999998</v>
      </c>
      <c r="P268">
        <v>39.738</v>
      </c>
      <c r="Q268">
        <v>35.103999999999999</v>
      </c>
      <c r="R268">
        <v>38</v>
      </c>
      <c r="S268" t="s">
        <v>83</v>
      </c>
      <c r="T268">
        <f>IF(TRIM(Table1[[#This Row],[PitStopLaps]])="",0,
LEN(Table1[[#This Row],[PitStopLaps]])-LEN(SUBSTITUTE(Table1[[#This Row],[PitStopLaps]],",",""))+1)</f>
        <v>1</v>
      </c>
      <c r="U268">
        <f>Table1[[#This Row],[StartPosition]]-Table1[[#This Row],[FinishPosition]]</f>
        <v>4</v>
      </c>
    </row>
    <row r="269" spans="1:21" x14ac:dyDescent="0.3">
      <c r="A269">
        <v>2018</v>
      </c>
      <c r="B269">
        <v>15</v>
      </c>
      <c r="C269" t="s">
        <v>200</v>
      </c>
      <c r="D269" t="s">
        <v>47</v>
      </c>
      <c r="E269" t="s">
        <v>48</v>
      </c>
      <c r="F269" t="s">
        <v>42</v>
      </c>
      <c r="G269">
        <v>12</v>
      </c>
      <c r="H269">
        <v>8</v>
      </c>
      <c r="I269">
        <v>4</v>
      </c>
      <c r="J269" t="s">
        <v>34</v>
      </c>
      <c r="K269" t="s">
        <v>65</v>
      </c>
      <c r="L269">
        <v>60</v>
      </c>
      <c r="M269">
        <v>105.211</v>
      </c>
      <c r="N269">
        <v>107.569444</v>
      </c>
      <c r="O269">
        <v>28.693999999999999</v>
      </c>
      <c r="P269">
        <v>40.529000000000003</v>
      </c>
      <c r="Q269">
        <v>35.853000000000002</v>
      </c>
      <c r="R269">
        <v>37</v>
      </c>
      <c r="S269" t="s">
        <v>83</v>
      </c>
      <c r="T269">
        <f>IF(TRIM(Table1[[#This Row],[PitStopLaps]])="",0,
LEN(Table1[[#This Row],[PitStopLaps]])-LEN(SUBSTITUTE(Table1[[#This Row],[PitStopLaps]],",",""))+1)</f>
        <v>1</v>
      </c>
      <c r="U269">
        <f>Table1[[#This Row],[StartPosition]]-Table1[[#This Row],[FinishPosition]]</f>
        <v>4</v>
      </c>
    </row>
    <row r="270" spans="1:21" x14ac:dyDescent="0.3">
      <c r="A270">
        <v>2018</v>
      </c>
      <c r="B270">
        <v>15</v>
      </c>
      <c r="C270" t="s">
        <v>200</v>
      </c>
      <c r="D270" t="s">
        <v>54</v>
      </c>
      <c r="E270" t="s">
        <v>55</v>
      </c>
      <c r="F270" t="s">
        <v>56</v>
      </c>
      <c r="G270">
        <v>13</v>
      </c>
      <c r="H270">
        <v>9</v>
      </c>
      <c r="I270">
        <v>2</v>
      </c>
      <c r="J270" t="s">
        <v>34</v>
      </c>
      <c r="K270" t="s">
        <v>65</v>
      </c>
      <c r="L270">
        <v>60</v>
      </c>
      <c r="M270">
        <v>105.203</v>
      </c>
      <c r="N270">
        <v>107.8325</v>
      </c>
      <c r="O270">
        <v>28.506</v>
      </c>
      <c r="P270">
        <v>40.511000000000003</v>
      </c>
      <c r="Q270">
        <v>35.747999999999998</v>
      </c>
      <c r="R270">
        <v>38</v>
      </c>
      <c r="S270" t="s">
        <v>83</v>
      </c>
      <c r="T270">
        <f>IF(TRIM(Table1[[#This Row],[PitStopLaps]])="",0,
LEN(Table1[[#This Row],[PitStopLaps]])-LEN(SUBSTITUTE(Table1[[#This Row],[PitStopLaps]],",",""))+1)</f>
        <v>1</v>
      </c>
      <c r="U270">
        <f>Table1[[#This Row],[StartPosition]]-Table1[[#This Row],[FinishPosition]]</f>
        <v>4</v>
      </c>
    </row>
    <row r="271" spans="1:21" x14ac:dyDescent="0.3">
      <c r="A271">
        <v>2018</v>
      </c>
      <c r="B271">
        <v>15</v>
      </c>
      <c r="C271" t="s">
        <v>200</v>
      </c>
      <c r="D271" t="s">
        <v>40</v>
      </c>
      <c r="E271" t="s">
        <v>41</v>
      </c>
      <c r="F271" t="s">
        <v>42</v>
      </c>
      <c r="G271">
        <v>10</v>
      </c>
      <c r="H271">
        <v>10</v>
      </c>
      <c r="I271">
        <v>1</v>
      </c>
      <c r="J271" t="s">
        <v>34</v>
      </c>
      <c r="K271" t="s">
        <v>65</v>
      </c>
      <c r="L271">
        <v>60</v>
      </c>
      <c r="M271">
        <v>106.093</v>
      </c>
      <c r="N271">
        <v>108.029185</v>
      </c>
      <c r="O271">
        <v>28.812999999999999</v>
      </c>
      <c r="P271">
        <v>40.93</v>
      </c>
      <c r="Q271">
        <v>35.985999999999997</v>
      </c>
      <c r="R271">
        <v>15</v>
      </c>
      <c r="S271" t="s">
        <v>83</v>
      </c>
      <c r="T271">
        <f>IF(TRIM(Table1[[#This Row],[PitStopLaps]])="",0,
LEN(Table1[[#This Row],[PitStopLaps]])-LEN(SUBSTITUTE(Table1[[#This Row],[PitStopLaps]],",",""))+1)</f>
        <v>1</v>
      </c>
      <c r="U271">
        <f>Table1[[#This Row],[StartPosition]]-Table1[[#This Row],[FinishPosition]]</f>
        <v>0</v>
      </c>
    </row>
    <row r="272" spans="1:21" x14ac:dyDescent="0.3">
      <c r="A272">
        <v>2018</v>
      </c>
      <c r="B272">
        <v>15</v>
      </c>
      <c r="C272" t="s">
        <v>200</v>
      </c>
      <c r="D272" t="s">
        <v>76</v>
      </c>
      <c r="E272" t="s">
        <v>77</v>
      </c>
      <c r="F272" t="s">
        <v>56</v>
      </c>
      <c r="G272">
        <v>14</v>
      </c>
      <c r="H272">
        <v>11</v>
      </c>
      <c r="I272">
        <v>0</v>
      </c>
      <c r="J272" t="s">
        <v>34</v>
      </c>
      <c r="K272" t="s">
        <v>65</v>
      </c>
      <c r="L272">
        <v>60</v>
      </c>
      <c r="M272">
        <v>105.169</v>
      </c>
      <c r="N272">
        <v>108.28329600000001</v>
      </c>
      <c r="O272">
        <v>28.300999999999998</v>
      </c>
      <c r="P272">
        <v>40.427999999999997</v>
      </c>
      <c r="Q272">
        <v>36.125</v>
      </c>
      <c r="R272">
        <v>44</v>
      </c>
      <c r="S272" t="s">
        <v>83</v>
      </c>
      <c r="T272">
        <f>IF(TRIM(Table1[[#This Row],[PitStopLaps]])="",0,
LEN(Table1[[#This Row],[PitStopLaps]])-LEN(SUBSTITUTE(Table1[[#This Row],[PitStopLaps]],",",""))+1)</f>
        <v>1</v>
      </c>
      <c r="U272">
        <f>Table1[[#This Row],[StartPosition]]-Table1[[#This Row],[FinishPosition]]</f>
        <v>3</v>
      </c>
    </row>
    <row r="273" spans="1:21" x14ac:dyDescent="0.3">
      <c r="A273">
        <v>2018</v>
      </c>
      <c r="B273">
        <v>15</v>
      </c>
      <c r="C273" t="s">
        <v>200</v>
      </c>
      <c r="D273" t="s">
        <v>45</v>
      </c>
      <c r="E273" t="s">
        <v>46</v>
      </c>
      <c r="F273" t="s">
        <v>37</v>
      </c>
      <c r="G273">
        <v>18</v>
      </c>
      <c r="H273">
        <v>12</v>
      </c>
      <c r="I273">
        <v>0</v>
      </c>
      <c r="J273" t="s">
        <v>34</v>
      </c>
      <c r="K273" t="s">
        <v>65</v>
      </c>
      <c r="L273">
        <v>60</v>
      </c>
      <c r="M273">
        <v>105.55500000000001</v>
      </c>
      <c r="N273">
        <v>108.245203</v>
      </c>
      <c r="O273">
        <v>28.652999999999999</v>
      </c>
      <c r="P273">
        <v>40.808</v>
      </c>
      <c r="Q273">
        <v>36.054000000000002</v>
      </c>
      <c r="R273">
        <v>43</v>
      </c>
      <c r="S273" t="s">
        <v>83</v>
      </c>
      <c r="T273">
        <f>IF(TRIM(Table1[[#This Row],[PitStopLaps]])="",0,
LEN(Table1[[#This Row],[PitStopLaps]])-LEN(SUBSTITUTE(Table1[[#This Row],[PitStopLaps]],",",""))+1)</f>
        <v>1</v>
      </c>
      <c r="U273">
        <f>Table1[[#This Row],[StartPosition]]-Table1[[#This Row],[FinishPosition]]</f>
        <v>6</v>
      </c>
    </row>
    <row r="274" spans="1:21" x14ac:dyDescent="0.3">
      <c r="A274">
        <v>2018</v>
      </c>
      <c r="B274">
        <v>15</v>
      </c>
      <c r="C274" t="s">
        <v>200</v>
      </c>
      <c r="D274" t="s">
        <v>73</v>
      </c>
      <c r="E274" t="s">
        <v>74</v>
      </c>
      <c r="F274" t="s">
        <v>64</v>
      </c>
      <c r="G274">
        <v>15</v>
      </c>
      <c r="H274">
        <v>13</v>
      </c>
      <c r="I274">
        <v>0</v>
      </c>
      <c r="J274" t="s">
        <v>34</v>
      </c>
      <c r="K274" t="s">
        <v>65</v>
      </c>
      <c r="L274">
        <v>60</v>
      </c>
      <c r="M274">
        <v>106.063</v>
      </c>
      <c r="N274">
        <v>108.417092</v>
      </c>
      <c r="O274">
        <v>28.785</v>
      </c>
      <c r="P274">
        <v>41.036999999999999</v>
      </c>
      <c r="Q274">
        <v>35.933999999999997</v>
      </c>
      <c r="R274">
        <v>26</v>
      </c>
      <c r="S274" t="s">
        <v>83</v>
      </c>
      <c r="T274">
        <f>IF(TRIM(Table1[[#This Row],[PitStopLaps]])="",0,
LEN(Table1[[#This Row],[PitStopLaps]])-LEN(SUBSTITUTE(Table1[[#This Row],[PitStopLaps]],",",""))+1)</f>
        <v>1</v>
      </c>
      <c r="U274">
        <f>Table1[[#This Row],[StartPosition]]-Table1[[#This Row],[FinishPosition]]</f>
        <v>2</v>
      </c>
    </row>
    <row r="275" spans="1:21" x14ac:dyDescent="0.3">
      <c r="A275">
        <v>2018</v>
      </c>
      <c r="B275">
        <v>15</v>
      </c>
      <c r="C275" t="s">
        <v>200</v>
      </c>
      <c r="D275" t="s">
        <v>58</v>
      </c>
      <c r="E275" t="s">
        <v>59</v>
      </c>
      <c r="F275" t="s">
        <v>60</v>
      </c>
      <c r="G275">
        <v>20</v>
      </c>
      <c r="H275">
        <v>14</v>
      </c>
      <c r="I275">
        <v>0</v>
      </c>
      <c r="J275" t="s">
        <v>34</v>
      </c>
      <c r="K275" t="s">
        <v>65</v>
      </c>
      <c r="L275">
        <v>60</v>
      </c>
      <c r="M275">
        <v>106.033</v>
      </c>
      <c r="N275">
        <v>108.44423999999999</v>
      </c>
      <c r="O275">
        <v>28.713000000000001</v>
      </c>
      <c r="P275">
        <v>40.939</v>
      </c>
      <c r="Q275">
        <v>36.198999999999998</v>
      </c>
      <c r="R275">
        <v>40</v>
      </c>
      <c r="S275" t="s">
        <v>83</v>
      </c>
      <c r="T275">
        <f>IF(TRIM(Table1[[#This Row],[PitStopLaps]])="",0,
LEN(Table1[[#This Row],[PitStopLaps]])-LEN(SUBSTITUTE(Table1[[#This Row],[PitStopLaps]],",",""))+1)</f>
        <v>1</v>
      </c>
      <c r="U275">
        <f>Table1[[#This Row],[StartPosition]]-Table1[[#This Row],[FinishPosition]]</f>
        <v>6</v>
      </c>
    </row>
    <row r="276" spans="1:21" x14ac:dyDescent="0.3">
      <c r="A276">
        <v>2018</v>
      </c>
      <c r="B276">
        <v>15</v>
      </c>
      <c r="C276" t="s">
        <v>200</v>
      </c>
      <c r="D276" t="s">
        <v>67</v>
      </c>
      <c r="E276" t="s">
        <v>68</v>
      </c>
      <c r="F276" t="s">
        <v>69</v>
      </c>
      <c r="G276">
        <v>8</v>
      </c>
      <c r="H276">
        <v>15</v>
      </c>
      <c r="I276">
        <v>0</v>
      </c>
      <c r="J276" t="s">
        <v>34</v>
      </c>
      <c r="K276" t="s">
        <v>65</v>
      </c>
      <c r="L276">
        <v>60</v>
      </c>
      <c r="M276">
        <v>105.904</v>
      </c>
      <c r="N276">
        <v>108.40987</v>
      </c>
      <c r="O276">
        <v>28.85</v>
      </c>
      <c r="P276">
        <v>41.029000000000003</v>
      </c>
      <c r="Q276">
        <v>35.886000000000003</v>
      </c>
      <c r="R276">
        <v>16</v>
      </c>
      <c r="S276" t="s">
        <v>83</v>
      </c>
      <c r="T276">
        <f>IF(TRIM(Table1[[#This Row],[PitStopLaps]])="",0,
LEN(Table1[[#This Row],[PitStopLaps]])-LEN(SUBSTITUTE(Table1[[#This Row],[PitStopLaps]],",",""))+1)</f>
        <v>1</v>
      </c>
      <c r="U276">
        <f>Table1[[#This Row],[StartPosition]]-Table1[[#This Row],[FinishPosition]]</f>
        <v>-7</v>
      </c>
    </row>
    <row r="277" spans="1:21" x14ac:dyDescent="0.3">
      <c r="A277">
        <v>2018</v>
      </c>
      <c r="B277">
        <v>15</v>
      </c>
      <c r="C277" t="s">
        <v>200</v>
      </c>
      <c r="D277" t="s">
        <v>49</v>
      </c>
      <c r="E277" t="s">
        <v>50</v>
      </c>
      <c r="F277" t="s">
        <v>192</v>
      </c>
      <c r="G277">
        <v>7</v>
      </c>
      <c r="H277">
        <v>16</v>
      </c>
      <c r="I277">
        <v>0</v>
      </c>
      <c r="J277" t="s">
        <v>34</v>
      </c>
      <c r="K277" t="s">
        <v>65</v>
      </c>
      <c r="L277">
        <v>60</v>
      </c>
      <c r="M277">
        <v>105.389</v>
      </c>
      <c r="N277">
        <v>107.77970000000001</v>
      </c>
      <c r="O277">
        <v>28.672999999999998</v>
      </c>
      <c r="P277">
        <v>40.759</v>
      </c>
      <c r="Q277">
        <v>35.883000000000003</v>
      </c>
      <c r="R277" t="s">
        <v>201</v>
      </c>
      <c r="S277" t="s">
        <v>83</v>
      </c>
      <c r="T277">
        <f>IF(TRIM(Table1[[#This Row],[PitStopLaps]])="",0,
LEN(Table1[[#This Row],[PitStopLaps]])-LEN(SUBSTITUTE(Table1[[#This Row],[PitStopLaps]],",",""))+1)</f>
        <v>3</v>
      </c>
      <c r="U277">
        <f>Table1[[#This Row],[StartPosition]]-Table1[[#This Row],[FinishPosition]]</f>
        <v>-9</v>
      </c>
    </row>
    <row r="278" spans="1:21" x14ac:dyDescent="0.3">
      <c r="A278">
        <v>2018</v>
      </c>
      <c r="B278">
        <v>15</v>
      </c>
      <c r="C278" t="s">
        <v>200</v>
      </c>
      <c r="D278" t="s">
        <v>62</v>
      </c>
      <c r="E278" t="s">
        <v>63</v>
      </c>
      <c r="F278" t="s">
        <v>64</v>
      </c>
      <c r="G278">
        <v>17</v>
      </c>
      <c r="H278">
        <v>17</v>
      </c>
      <c r="I278">
        <v>0</v>
      </c>
      <c r="J278" t="s">
        <v>34</v>
      </c>
      <c r="K278" t="s">
        <v>65</v>
      </c>
      <c r="L278">
        <v>60</v>
      </c>
      <c r="M278">
        <v>104.889</v>
      </c>
      <c r="N278">
        <v>108.66674999999999</v>
      </c>
      <c r="O278">
        <v>28.6</v>
      </c>
      <c r="P278">
        <v>40.357999999999997</v>
      </c>
      <c r="Q278">
        <v>35.680999999999997</v>
      </c>
      <c r="R278" t="s">
        <v>202</v>
      </c>
      <c r="S278" t="s">
        <v>83</v>
      </c>
      <c r="T278">
        <f>IF(TRIM(Table1[[#This Row],[PitStopLaps]])="",0,
LEN(Table1[[#This Row],[PitStopLaps]])-LEN(SUBSTITUTE(Table1[[#This Row],[PitStopLaps]],",",""))+1)</f>
        <v>2</v>
      </c>
      <c r="U278">
        <f>Table1[[#This Row],[StartPosition]]-Table1[[#This Row],[FinishPosition]]</f>
        <v>0</v>
      </c>
    </row>
    <row r="279" spans="1:21" x14ac:dyDescent="0.3">
      <c r="A279">
        <v>2018</v>
      </c>
      <c r="B279">
        <v>15</v>
      </c>
      <c r="C279" t="s">
        <v>200</v>
      </c>
      <c r="D279" t="s">
        <v>71</v>
      </c>
      <c r="E279" t="s">
        <v>72</v>
      </c>
      <c r="F279" t="s">
        <v>69</v>
      </c>
      <c r="G279">
        <v>16</v>
      </c>
      <c r="H279">
        <v>18</v>
      </c>
      <c r="I279">
        <v>0</v>
      </c>
      <c r="J279" t="s">
        <v>34</v>
      </c>
      <c r="K279" t="s">
        <v>127</v>
      </c>
      <c r="L279">
        <v>59</v>
      </c>
      <c r="M279">
        <v>101.905</v>
      </c>
      <c r="N279">
        <v>108.511897</v>
      </c>
      <c r="O279">
        <v>27.992999999999999</v>
      </c>
      <c r="P279">
        <v>39.012</v>
      </c>
      <c r="Q279">
        <v>34.9</v>
      </c>
      <c r="R279" t="s">
        <v>203</v>
      </c>
      <c r="S279" t="s">
        <v>83</v>
      </c>
      <c r="T279">
        <f>IF(TRIM(Table1[[#This Row],[PitStopLaps]])="",0,
LEN(Table1[[#This Row],[PitStopLaps]])-LEN(SUBSTITUTE(Table1[[#This Row],[PitStopLaps]],",",""))+1)</f>
        <v>3</v>
      </c>
      <c r="U279">
        <f>Table1[[#This Row],[StartPosition]]-Table1[[#This Row],[FinishPosition]]</f>
        <v>-2</v>
      </c>
    </row>
    <row r="280" spans="1:21" x14ac:dyDescent="0.3">
      <c r="A280">
        <v>2018</v>
      </c>
      <c r="B280">
        <v>15</v>
      </c>
      <c r="C280" t="s">
        <v>200</v>
      </c>
      <c r="D280" t="s">
        <v>79</v>
      </c>
      <c r="E280" t="s">
        <v>80</v>
      </c>
      <c r="F280" t="s">
        <v>60</v>
      </c>
      <c r="G280">
        <v>19</v>
      </c>
      <c r="H280">
        <v>19</v>
      </c>
      <c r="I280">
        <v>0</v>
      </c>
      <c r="J280" t="s">
        <v>34</v>
      </c>
      <c r="K280" t="s">
        <v>127</v>
      </c>
      <c r="L280">
        <v>59</v>
      </c>
      <c r="M280">
        <v>105.902</v>
      </c>
      <c r="N280">
        <v>110.400547</v>
      </c>
      <c r="O280">
        <v>28.748000000000001</v>
      </c>
      <c r="P280">
        <v>40.99</v>
      </c>
      <c r="Q280">
        <v>36.01</v>
      </c>
      <c r="R280" t="s">
        <v>204</v>
      </c>
      <c r="S280" t="s">
        <v>83</v>
      </c>
      <c r="T280">
        <f>IF(TRIM(Table1[[#This Row],[PitStopLaps]])="",0,
LEN(Table1[[#This Row],[PitStopLaps]])-LEN(SUBSTITUTE(Table1[[#This Row],[PitStopLaps]],",",""))+1)</f>
        <v>2</v>
      </c>
      <c r="U280">
        <f>Table1[[#This Row],[StartPosition]]-Table1[[#This Row],[FinishPosition]]</f>
        <v>0</v>
      </c>
    </row>
    <row r="281" spans="1:21" x14ac:dyDescent="0.3">
      <c r="A281">
        <v>2018</v>
      </c>
      <c r="B281">
        <v>15</v>
      </c>
      <c r="C281" t="s">
        <v>200</v>
      </c>
      <c r="D281" t="s">
        <v>52</v>
      </c>
      <c r="E281" t="s">
        <v>53</v>
      </c>
      <c r="F281" t="s">
        <v>192</v>
      </c>
      <c r="G281">
        <v>9</v>
      </c>
      <c r="H281">
        <v>20</v>
      </c>
      <c r="I281">
        <v>0</v>
      </c>
      <c r="J281" t="s">
        <v>34</v>
      </c>
      <c r="K281" t="s">
        <v>124</v>
      </c>
      <c r="L281">
        <v>1</v>
      </c>
      <c r="S281" t="s">
        <v>83</v>
      </c>
      <c r="T281">
        <f>IF(TRIM(Table1[[#This Row],[PitStopLaps]])="",0,
LEN(Table1[[#This Row],[PitStopLaps]])-LEN(SUBSTITUTE(Table1[[#This Row],[PitStopLaps]],",",""))+1)</f>
        <v>0</v>
      </c>
      <c r="U281">
        <f>Table1[[#This Row],[StartPosition]]-Table1[[#This Row],[FinishPosition]]</f>
        <v>-11</v>
      </c>
    </row>
    <row r="282" spans="1:21" x14ac:dyDescent="0.3">
      <c r="A282">
        <v>2018</v>
      </c>
      <c r="B282">
        <v>16</v>
      </c>
      <c r="C282" t="s">
        <v>205</v>
      </c>
      <c r="D282" t="s">
        <v>26</v>
      </c>
      <c r="E282" t="s">
        <v>27</v>
      </c>
      <c r="F282" t="s">
        <v>28</v>
      </c>
      <c r="G282">
        <v>2</v>
      </c>
      <c r="H282">
        <v>1</v>
      </c>
      <c r="I282">
        <v>25</v>
      </c>
      <c r="J282" t="s">
        <v>23</v>
      </c>
      <c r="K282" t="s">
        <v>24</v>
      </c>
      <c r="L282">
        <v>53</v>
      </c>
      <c r="M282">
        <v>95.915999999999997</v>
      </c>
      <c r="N282">
        <v>98.383840000000006</v>
      </c>
      <c r="O282">
        <v>34.406999999999996</v>
      </c>
      <c r="P282">
        <v>32.947000000000003</v>
      </c>
      <c r="Q282">
        <v>28.187999999999999</v>
      </c>
      <c r="R282">
        <v>14</v>
      </c>
      <c r="S282" t="s">
        <v>25</v>
      </c>
      <c r="T282">
        <f>IF(TRIM(Table1[[#This Row],[PitStopLaps]])="",0,
LEN(Table1[[#This Row],[PitStopLaps]])-LEN(SUBSTITUTE(Table1[[#This Row],[PitStopLaps]],",",""))+1)</f>
        <v>1</v>
      </c>
      <c r="U282">
        <f>Table1[[#This Row],[StartPosition]]-Table1[[#This Row],[FinishPosition]]</f>
        <v>1</v>
      </c>
    </row>
    <row r="283" spans="1:21" x14ac:dyDescent="0.3">
      <c r="A283">
        <v>2018</v>
      </c>
      <c r="B283">
        <v>16</v>
      </c>
      <c r="C283" t="s">
        <v>205</v>
      </c>
      <c r="D283" t="s">
        <v>43</v>
      </c>
      <c r="E283" t="s">
        <v>44</v>
      </c>
      <c r="F283" t="s">
        <v>28</v>
      </c>
      <c r="G283">
        <v>1</v>
      </c>
      <c r="H283">
        <v>2</v>
      </c>
      <c r="I283">
        <v>18</v>
      </c>
      <c r="J283" t="s">
        <v>23</v>
      </c>
      <c r="K283" t="s">
        <v>24</v>
      </c>
      <c r="L283">
        <v>53</v>
      </c>
      <c r="M283">
        <v>95.861000000000004</v>
      </c>
      <c r="N283">
        <v>98.476960000000005</v>
      </c>
      <c r="O283">
        <v>34.499000000000002</v>
      </c>
      <c r="P283">
        <v>32.829000000000001</v>
      </c>
      <c r="Q283">
        <v>28.376000000000001</v>
      </c>
      <c r="R283">
        <v>12</v>
      </c>
      <c r="S283" t="s">
        <v>25</v>
      </c>
      <c r="T283">
        <f>IF(TRIM(Table1[[#This Row],[PitStopLaps]])="",0,
LEN(Table1[[#This Row],[PitStopLaps]])-LEN(SUBSTITUTE(Table1[[#This Row],[PitStopLaps]],",",""))+1)</f>
        <v>1</v>
      </c>
      <c r="U283">
        <f>Table1[[#This Row],[StartPosition]]-Table1[[#This Row],[FinishPosition]]</f>
        <v>-1</v>
      </c>
    </row>
    <row r="284" spans="1:21" x14ac:dyDescent="0.3">
      <c r="A284">
        <v>2018</v>
      </c>
      <c r="B284">
        <v>16</v>
      </c>
      <c r="C284" t="s">
        <v>205</v>
      </c>
      <c r="D284" t="s">
        <v>20</v>
      </c>
      <c r="E284" t="s">
        <v>21</v>
      </c>
      <c r="F284" t="s">
        <v>22</v>
      </c>
      <c r="G284">
        <v>3</v>
      </c>
      <c r="H284">
        <v>3</v>
      </c>
      <c r="I284">
        <v>15</v>
      </c>
      <c r="J284" t="s">
        <v>23</v>
      </c>
      <c r="K284" t="s">
        <v>24</v>
      </c>
      <c r="L284">
        <v>53</v>
      </c>
      <c r="M284">
        <v>95.99</v>
      </c>
      <c r="N284">
        <v>98.553960000000004</v>
      </c>
      <c r="O284">
        <v>34.656999999999996</v>
      </c>
      <c r="P284">
        <v>32.948999999999998</v>
      </c>
      <c r="Q284">
        <v>28.350999999999999</v>
      </c>
      <c r="R284">
        <v>13</v>
      </c>
      <c r="S284" t="s">
        <v>25</v>
      </c>
      <c r="T284">
        <f>IF(TRIM(Table1[[#This Row],[PitStopLaps]])="",0,
LEN(Table1[[#This Row],[PitStopLaps]])-LEN(SUBSTITUTE(Table1[[#This Row],[PitStopLaps]],",",""))+1)</f>
        <v>1</v>
      </c>
      <c r="U284">
        <f>Table1[[#This Row],[StartPosition]]-Table1[[#This Row],[FinishPosition]]</f>
        <v>0</v>
      </c>
    </row>
    <row r="285" spans="1:21" x14ac:dyDescent="0.3">
      <c r="A285">
        <v>2018</v>
      </c>
      <c r="B285">
        <v>16</v>
      </c>
      <c r="C285" t="s">
        <v>205</v>
      </c>
      <c r="D285" t="s">
        <v>29</v>
      </c>
      <c r="E285" t="s">
        <v>30</v>
      </c>
      <c r="F285" t="s">
        <v>22</v>
      </c>
      <c r="G285">
        <v>4</v>
      </c>
      <c r="H285">
        <v>4</v>
      </c>
      <c r="I285">
        <v>12</v>
      </c>
      <c r="J285" t="s">
        <v>34</v>
      </c>
      <c r="K285" t="s">
        <v>24</v>
      </c>
      <c r="L285">
        <v>53</v>
      </c>
      <c r="M285">
        <v>96.611000000000004</v>
      </c>
      <c r="N285">
        <v>98.693460000000002</v>
      </c>
      <c r="O285">
        <v>34.732999999999997</v>
      </c>
      <c r="P285">
        <v>33.145000000000003</v>
      </c>
      <c r="Q285">
        <v>28.614999999999998</v>
      </c>
      <c r="R285">
        <v>18</v>
      </c>
      <c r="S285" t="s">
        <v>25</v>
      </c>
      <c r="T285">
        <f>IF(TRIM(Table1[[#This Row],[PitStopLaps]])="",0,
LEN(Table1[[#This Row],[PitStopLaps]])-LEN(SUBSTITUTE(Table1[[#This Row],[PitStopLaps]],",",""))+1)</f>
        <v>1</v>
      </c>
      <c r="U285">
        <f>Table1[[#This Row],[StartPosition]]-Table1[[#This Row],[FinishPosition]]</f>
        <v>0</v>
      </c>
    </row>
    <row r="286" spans="1:21" x14ac:dyDescent="0.3">
      <c r="A286">
        <v>2018</v>
      </c>
      <c r="B286">
        <v>16</v>
      </c>
      <c r="C286" t="s">
        <v>205</v>
      </c>
      <c r="D286" t="s">
        <v>38</v>
      </c>
      <c r="E286" t="s">
        <v>39</v>
      </c>
      <c r="F286" t="s">
        <v>33</v>
      </c>
      <c r="G286">
        <v>19</v>
      </c>
      <c r="H286">
        <v>5</v>
      </c>
      <c r="I286">
        <v>10</v>
      </c>
      <c r="J286" t="s">
        <v>34</v>
      </c>
      <c r="K286" t="s">
        <v>24</v>
      </c>
      <c r="L286">
        <v>53</v>
      </c>
      <c r="M286">
        <v>96.283000000000001</v>
      </c>
      <c r="N286">
        <v>98.819000000000003</v>
      </c>
      <c r="O286">
        <v>34.954000000000001</v>
      </c>
      <c r="P286">
        <v>33.247</v>
      </c>
      <c r="Q286">
        <v>27.895</v>
      </c>
      <c r="R286">
        <v>43</v>
      </c>
      <c r="S286" t="s">
        <v>25</v>
      </c>
      <c r="T286">
        <f>IF(TRIM(Table1[[#This Row],[PitStopLaps]])="",0,
LEN(Table1[[#This Row],[PitStopLaps]])-LEN(SUBSTITUTE(Table1[[#This Row],[PitStopLaps]],",",""))+1)</f>
        <v>1</v>
      </c>
      <c r="U286">
        <f>Table1[[#This Row],[StartPosition]]-Table1[[#This Row],[FinishPosition]]</f>
        <v>14</v>
      </c>
    </row>
    <row r="287" spans="1:21" x14ac:dyDescent="0.3">
      <c r="A287">
        <v>2018</v>
      </c>
      <c r="B287">
        <v>16</v>
      </c>
      <c r="C287" t="s">
        <v>205</v>
      </c>
      <c r="D287" t="s">
        <v>31</v>
      </c>
      <c r="E287" t="s">
        <v>32</v>
      </c>
      <c r="F287" t="s">
        <v>33</v>
      </c>
      <c r="G287">
        <v>18</v>
      </c>
      <c r="H287">
        <v>6</v>
      </c>
      <c r="I287">
        <v>8</v>
      </c>
      <c r="J287" t="s">
        <v>34</v>
      </c>
      <c r="K287" t="s">
        <v>24</v>
      </c>
      <c r="L287">
        <v>53</v>
      </c>
      <c r="M287">
        <v>96.344999999999999</v>
      </c>
      <c r="N287">
        <v>99.621880000000004</v>
      </c>
      <c r="O287">
        <v>34.832999999999998</v>
      </c>
      <c r="P287">
        <v>33.136000000000003</v>
      </c>
      <c r="Q287">
        <v>28.122</v>
      </c>
      <c r="R287">
        <v>39</v>
      </c>
      <c r="S287" t="s">
        <v>25</v>
      </c>
      <c r="T287">
        <f>IF(TRIM(Table1[[#This Row],[PitStopLaps]])="",0,
LEN(Table1[[#This Row],[PitStopLaps]])-LEN(SUBSTITUTE(Table1[[#This Row],[PitStopLaps]],",",""))+1)</f>
        <v>1</v>
      </c>
      <c r="U287">
        <f>Table1[[#This Row],[StartPosition]]-Table1[[#This Row],[FinishPosition]]</f>
        <v>12</v>
      </c>
    </row>
    <row r="288" spans="1:21" x14ac:dyDescent="0.3">
      <c r="A288">
        <v>2018</v>
      </c>
      <c r="B288">
        <v>16</v>
      </c>
      <c r="C288" t="s">
        <v>205</v>
      </c>
      <c r="D288" t="s">
        <v>54</v>
      </c>
      <c r="E288" t="s">
        <v>55</v>
      </c>
      <c r="F288" t="s">
        <v>56</v>
      </c>
      <c r="G288">
        <v>7</v>
      </c>
      <c r="H288">
        <v>7</v>
      </c>
      <c r="I288">
        <v>6</v>
      </c>
      <c r="J288" t="s">
        <v>34</v>
      </c>
      <c r="K288" t="s">
        <v>24</v>
      </c>
      <c r="L288">
        <v>53</v>
      </c>
      <c r="M288">
        <v>98.106999999999999</v>
      </c>
      <c r="N288">
        <v>100.19996</v>
      </c>
      <c r="O288">
        <v>34.981999999999999</v>
      </c>
      <c r="P288">
        <v>33.786999999999999</v>
      </c>
      <c r="Q288">
        <v>28.870999999999999</v>
      </c>
      <c r="R288">
        <v>10</v>
      </c>
      <c r="S288" t="s">
        <v>25</v>
      </c>
      <c r="T288">
        <f>IF(TRIM(Table1[[#This Row],[PitStopLaps]])="",0,
LEN(Table1[[#This Row],[PitStopLaps]])-LEN(SUBSTITUTE(Table1[[#This Row],[PitStopLaps]],",",""))+1)</f>
        <v>1</v>
      </c>
      <c r="U288">
        <f>Table1[[#This Row],[StartPosition]]-Table1[[#This Row],[FinishPosition]]</f>
        <v>0</v>
      </c>
    </row>
    <row r="289" spans="1:21" x14ac:dyDescent="0.3">
      <c r="A289">
        <v>2018</v>
      </c>
      <c r="B289">
        <v>16</v>
      </c>
      <c r="C289" t="s">
        <v>205</v>
      </c>
      <c r="D289" t="s">
        <v>71</v>
      </c>
      <c r="E289" t="s">
        <v>72</v>
      </c>
      <c r="F289" t="s">
        <v>69</v>
      </c>
      <c r="G289">
        <v>5</v>
      </c>
      <c r="H289">
        <v>8</v>
      </c>
      <c r="I289">
        <v>4</v>
      </c>
      <c r="J289" t="s">
        <v>34</v>
      </c>
      <c r="K289" t="s">
        <v>65</v>
      </c>
      <c r="L289">
        <v>52</v>
      </c>
      <c r="M289">
        <v>98.015000000000001</v>
      </c>
      <c r="N289">
        <v>100.518428</v>
      </c>
      <c r="O289">
        <v>35.360999999999997</v>
      </c>
      <c r="P289">
        <v>33.802</v>
      </c>
      <c r="Q289">
        <v>28.782</v>
      </c>
      <c r="R289">
        <v>9</v>
      </c>
      <c r="S289" t="s">
        <v>25</v>
      </c>
      <c r="T289">
        <f>IF(TRIM(Table1[[#This Row],[PitStopLaps]])="",0,
LEN(Table1[[#This Row],[PitStopLaps]])-LEN(SUBSTITUTE(Table1[[#This Row],[PitStopLaps]],",",""))+1)</f>
        <v>1</v>
      </c>
      <c r="U289">
        <f>Table1[[#This Row],[StartPosition]]-Table1[[#This Row],[FinishPosition]]</f>
        <v>-3</v>
      </c>
    </row>
    <row r="290" spans="1:21" x14ac:dyDescent="0.3">
      <c r="A290">
        <v>2018</v>
      </c>
      <c r="B290">
        <v>16</v>
      </c>
      <c r="C290" t="s">
        <v>205</v>
      </c>
      <c r="D290" t="s">
        <v>52</v>
      </c>
      <c r="E290" t="s">
        <v>53</v>
      </c>
      <c r="F290" t="s">
        <v>192</v>
      </c>
      <c r="G290">
        <v>6</v>
      </c>
      <c r="H290">
        <v>9</v>
      </c>
      <c r="I290">
        <v>2</v>
      </c>
      <c r="J290" t="s">
        <v>34</v>
      </c>
      <c r="K290" t="s">
        <v>65</v>
      </c>
      <c r="L290">
        <v>52</v>
      </c>
      <c r="M290">
        <v>98.366</v>
      </c>
      <c r="N290">
        <v>100.589979</v>
      </c>
      <c r="O290">
        <v>35.052999999999997</v>
      </c>
      <c r="P290">
        <v>33.926000000000002</v>
      </c>
      <c r="Q290">
        <v>29.145</v>
      </c>
      <c r="R290">
        <v>10</v>
      </c>
      <c r="S290" t="s">
        <v>25</v>
      </c>
      <c r="T290">
        <f>IF(TRIM(Table1[[#This Row],[PitStopLaps]])="",0,
LEN(Table1[[#This Row],[PitStopLaps]])-LEN(SUBSTITUTE(Table1[[#This Row],[PitStopLaps]],",",""))+1)</f>
        <v>1</v>
      </c>
      <c r="U290">
        <f>Table1[[#This Row],[StartPosition]]-Table1[[#This Row],[FinishPosition]]</f>
        <v>-3</v>
      </c>
    </row>
    <row r="291" spans="1:21" x14ac:dyDescent="0.3">
      <c r="A291">
        <v>2018</v>
      </c>
      <c r="B291">
        <v>16</v>
      </c>
      <c r="C291" t="s">
        <v>205</v>
      </c>
      <c r="D291" t="s">
        <v>49</v>
      </c>
      <c r="E291" t="s">
        <v>50</v>
      </c>
      <c r="F291" t="s">
        <v>192</v>
      </c>
      <c r="G291">
        <v>8</v>
      </c>
      <c r="H291">
        <v>10</v>
      </c>
      <c r="I291">
        <v>1</v>
      </c>
      <c r="J291" t="s">
        <v>34</v>
      </c>
      <c r="K291" t="s">
        <v>65</v>
      </c>
      <c r="L291">
        <v>52</v>
      </c>
      <c r="M291">
        <v>98.3</v>
      </c>
      <c r="N291">
        <v>100.655632</v>
      </c>
      <c r="O291">
        <v>35.095999999999997</v>
      </c>
      <c r="P291">
        <v>33.893999999999998</v>
      </c>
      <c r="Q291">
        <v>29.038</v>
      </c>
      <c r="R291">
        <v>12</v>
      </c>
      <c r="S291" t="s">
        <v>25</v>
      </c>
      <c r="T291">
        <f>IF(TRIM(Table1[[#This Row],[PitStopLaps]])="",0,
LEN(Table1[[#This Row],[PitStopLaps]])-LEN(SUBSTITUTE(Table1[[#This Row],[PitStopLaps]],",",""))+1)</f>
        <v>1</v>
      </c>
      <c r="U291">
        <f>Table1[[#This Row],[StartPosition]]-Table1[[#This Row],[FinishPosition]]</f>
        <v>-2</v>
      </c>
    </row>
    <row r="292" spans="1:21" x14ac:dyDescent="0.3">
      <c r="A292">
        <v>2018</v>
      </c>
      <c r="B292">
        <v>16</v>
      </c>
      <c r="C292" t="s">
        <v>205</v>
      </c>
      <c r="D292" t="s">
        <v>67</v>
      </c>
      <c r="E292" t="s">
        <v>68</v>
      </c>
      <c r="F292" t="s">
        <v>69</v>
      </c>
      <c r="G292">
        <v>9</v>
      </c>
      <c r="H292">
        <v>11</v>
      </c>
      <c r="I292">
        <v>0</v>
      </c>
      <c r="J292" t="s">
        <v>34</v>
      </c>
      <c r="K292" t="s">
        <v>65</v>
      </c>
      <c r="L292">
        <v>52</v>
      </c>
      <c r="M292">
        <v>98.244</v>
      </c>
      <c r="N292">
        <v>100.80444799999999</v>
      </c>
      <c r="O292">
        <v>35.061</v>
      </c>
      <c r="P292">
        <v>33.743000000000002</v>
      </c>
      <c r="Q292">
        <v>28.945</v>
      </c>
      <c r="R292">
        <v>8</v>
      </c>
      <c r="S292" t="s">
        <v>25</v>
      </c>
      <c r="T292">
        <f>IF(TRIM(Table1[[#This Row],[PitStopLaps]])="",0,
LEN(Table1[[#This Row],[PitStopLaps]])-LEN(SUBSTITUTE(Table1[[#This Row],[PitStopLaps]],",",""))+1)</f>
        <v>1</v>
      </c>
      <c r="U292">
        <f>Table1[[#This Row],[StartPosition]]-Table1[[#This Row],[FinishPosition]]</f>
        <v>-2</v>
      </c>
    </row>
    <row r="293" spans="1:21" x14ac:dyDescent="0.3">
      <c r="A293">
        <v>2018</v>
      </c>
      <c r="B293">
        <v>16</v>
      </c>
      <c r="C293" t="s">
        <v>205</v>
      </c>
      <c r="D293" t="s">
        <v>40</v>
      </c>
      <c r="E293" t="s">
        <v>41</v>
      </c>
      <c r="F293" t="s">
        <v>42</v>
      </c>
      <c r="G293">
        <v>12</v>
      </c>
      <c r="H293">
        <v>12</v>
      </c>
      <c r="I293">
        <v>0</v>
      </c>
      <c r="J293" t="s">
        <v>34</v>
      </c>
      <c r="K293" t="s">
        <v>65</v>
      </c>
      <c r="L293">
        <v>52</v>
      </c>
      <c r="M293">
        <v>99.108000000000004</v>
      </c>
      <c r="N293">
        <v>101.037102</v>
      </c>
      <c r="O293">
        <v>35.579000000000001</v>
      </c>
      <c r="P293">
        <v>34.106999999999999</v>
      </c>
      <c r="Q293">
        <v>29.161000000000001</v>
      </c>
      <c r="R293">
        <v>35</v>
      </c>
      <c r="S293" t="s">
        <v>25</v>
      </c>
      <c r="T293">
        <f>IF(TRIM(Table1[[#This Row],[PitStopLaps]])="",0,
LEN(Table1[[#This Row],[PitStopLaps]])-LEN(SUBSTITUTE(Table1[[#This Row],[PitStopLaps]],",",""))+1)</f>
        <v>1</v>
      </c>
      <c r="U293">
        <f>Table1[[#This Row],[StartPosition]]-Table1[[#This Row],[FinishPosition]]</f>
        <v>0</v>
      </c>
    </row>
    <row r="294" spans="1:21" x14ac:dyDescent="0.3">
      <c r="A294">
        <v>2018</v>
      </c>
      <c r="B294">
        <v>16</v>
      </c>
      <c r="C294" t="s">
        <v>205</v>
      </c>
      <c r="D294" t="s">
        <v>76</v>
      </c>
      <c r="E294" t="s">
        <v>77</v>
      </c>
      <c r="F294" t="s">
        <v>56</v>
      </c>
      <c r="G294">
        <v>10</v>
      </c>
      <c r="H294">
        <v>13</v>
      </c>
      <c r="I294">
        <v>0</v>
      </c>
      <c r="J294" t="s">
        <v>34</v>
      </c>
      <c r="K294" t="s">
        <v>65</v>
      </c>
      <c r="L294">
        <v>52</v>
      </c>
      <c r="M294">
        <v>97.930999999999997</v>
      </c>
      <c r="N294">
        <v>100.938361</v>
      </c>
      <c r="O294">
        <v>35.36</v>
      </c>
      <c r="P294">
        <v>33.616999999999997</v>
      </c>
      <c r="Q294">
        <v>28.954000000000001</v>
      </c>
      <c r="R294" t="s">
        <v>206</v>
      </c>
      <c r="S294" t="s">
        <v>25</v>
      </c>
      <c r="T294">
        <f>IF(TRIM(Table1[[#This Row],[PitStopLaps]])="",0,
LEN(Table1[[#This Row],[PitStopLaps]])-LEN(SUBSTITUTE(Table1[[#This Row],[PitStopLaps]],",",""))+1)</f>
        <v>2</v>
      </c>
      <c r="U294">
        <f>Table1[[#This Row],[StartPosition]]-Table1[[#This Row],[FinishPosition]]</f>
        <v>-3</v>
      </c>
    </row>
    <row r="295" spans="1:21" x14ac:dyDescent="0.3">
      <c r="A295">
        <v>2018</v>
      </c>
      <c r="B295">
        <v>16</v>
      </c>
      <c r="C295" t="s">
        <v>205</v>
      </c>
      <c r="D295" t="s">
        <v>35</v>
      </c>
      <c r="E295" t="s">
        <v>36</v>
      </c>
      <c r="F295" t="s">
        <v>37</v>
      </c>
      <c r="G295">
        <v>16</v>
      </c>
      <c r="H295">
        <v>14</v>
      </c>
      <c r="I295">
        <v>0</v>
      </c>
      <c r="J295" t="s">
        <v>34</v>
      </c>
      <c r="K295" t="s">
        <v>65</v>
      </c>
      <c r="L295">
        <v>52</v>
      </c>
      <c r="M295">
        <v>99.59</v>
      </c>
      <c r="N295">
        <v>101.608959</v>
      </c>
      <c r="O295">
        <v>36.006999999999998</v>
      </c>
      <c r="P295">
        <v>34.243000000000002</v>
      </c>
      <c r="Q295">
        <v>29.34</v>
      </c>
      <c r="R295">
        <v>5</v>
      </c>
      <c r="S295" t="s">
        <v>25</v>
      </c>
      <c r="T295">
        <f>IF(TRIM(Table1[[#This Row],[PitStopLaps]])="",0,
LEN(Table1[[#This Row],[PitStopLaps]])-LEN(SUBSTITUTE(Table1[[#This Row],[PitStopLaps]],",",""))+1)</f>
        <v>1</v>
      </c>
      <c r="U295">
        <f>Table1[[#This Row],[StartPosition]]-Table1[[#This Row],[FinishPosition]]</f>
        <v>2</v>
      </c>
    </row>
    <row r="296" spans="1:21" x14ac:dyDescent="0.3">
      <c r="A296">
        <v>2018</v>
      </c>
      <c r="B296">
        <v>16</v>
      </c>
      <c r="C296" t="s">
        <v>205</v>
      </c>
      <c r="D296" t="s">
        <v>58</v>
      </c>
      <c r="E296" t="s">
        <v>59</v>
      </c>
      <c r="F296" t="s">
        <v>60</v>
      </c>
      <c r="G296">
        <v>14</v>
      </c>
      <c r="H296">
        <v>15</v>
      </c>
      <c r="I296">
        <v>0</v>
      </c>
      <c r="J296" t="s">
        <v>34</v>
      </c>
      <c r="K296" t="s">
        <v>65</v>
      </c>
      <c r="L296">
        <v>52</v>
      </c>
      <c r="M296">
        <v>99.435000000000002</v>
      </c>
      <c r="N296">
        <v>101.599326</v>
      </c>
      <c r="O296">
        <v>35.335000000000001</v>
      </c>
      <c r="P296">
        <v>34.375999999999998</v>
      </c>
      <c r="Q296">
        <v>29.716000000000001</v>
      </c>
      <c r="R296">
        <v>7</v>
      </c>
      <c r="S296" t="s">
        <v>25</v>
      </c>
      <c r="T296">
        <f>IF(TRIM(Table1[[#This Row],[PitStopLaps]])="",0,
LEN(Table1[[#This Row],[PitStopLaps]])-LEN(SUBSTITUTE(Table1[[#This Row],[PitStopLaps]],",",""))+1)</f>
        <v>1</v>
      </c>
      <c r="U296">
        <f>Table1[[#This Row],[StartPosition]]-Table1[[#This Row],[FinishPosition]]</f>
        <v>-1</v>
      </c>
    </row>
    <row r="297" spans="1:21" x14ac:dyDescent="0.3">
      <c r="A297">
        <v>2018</v>
      </c>
      <c r="B297">
        <v>16</v>
      </c>
      <c r="C297" t="s">
        <v>205</v>
      </c>
      <c r="D297" t="s">
        <v>45</v>
      </c>
      <c r="E297" t="s">
        <v>46</v>
      </c>
      <c r="F297" t="s">
        <v>37</v>
      </c>
      <c r="G297">
        <v>15</v>
      </c>
      <c r="H297">
        <v>16</v>
      </c>
      <c r="I297">
        <v>0</v>
      </c>
      <c r="J297" t="s">
        <v>34</v>
      </c>
      <c r="K297" t="s">
        <v>127</v>
      </c>
      <c r="L297">
        <v>51</v>
      </c>
      <c r="M297">
        <v>99.921999999999997</v>
      </c>
      <c r="N297">
        <v>102.17281199999999</v>
      </c>
      <c r="O297">
        <v>35.764000000000003</v>
      </c>
      <c r="P297">
        <v>34.363999999999997</v>
      </c>
      <c r="Q297">
        <v>29.419</v>
      </c>
      <c r="R297">
        <v>11</v>
      </c>
      <c r="S297" t="s">
        <v>25</v>
      </c>
      <c r="T297">
        <f>IF(TRIM(Table1[[#This Row],[PitStopLaps]])="",0,
LEN(Table1[[#This Row],[PitStopLaps]])-LEN(SUBSTITUTE(Table1[[#This Row],[PitStopLaps]],",",""))+1)</f>
        <v>1</v>
      </c>
      <c r="U297">
        <f>Table1[[#This Row],[StartPosition]]-Table1[[#This Row],[FinishPosition]]</f>
        <v>-1</v>
      </c>
    </row>
    <row r="298" spans="1:21" x14ac:dyDescent="0.3">
      <c r="A298">
        <v>2018</v>
      </c>
      <c r="B298">
        <v>16</v>
      </c>
      <c r="C298" t="s">
        <v>205</v>
      </c>
      <c r="D298" t="s">
        <v>47</v>
      </c>
      <c r="E298" t="s">
        <v>48</v>
      </c>
      <c r="F298" t="s">
        <v>42</v>
      </c>
      <c r="G298">
        <v>11</v>
      </c>
      <c r="H298">
        <v>17</v>
      </c>
      <c r="I298">
        <v>0</v>
      </c>
      <c r="J298" t="s">
        <v>34</v>
      </c>
      <c r="K298" t="s">
        <v>127</v>
      </c>
      <c r="L298">
        <v>51</v>
      </c>
      <c r="M298">
        <v>99.730999999999995</v>
      </c>
      <c r="N298">
        <v>102.414125</v>
      </c>
      <c r="O298">
        <v>35.771000000000001</v>
      </c>
      <c r="P298">
        <v>34.451999999999998</v>
      </c>
      <c r="Q298">
        <v>29.507999999999999</v>
      </c>
      <c r="R298">
        <v>32</v>
      </c>
      <c r="S298" t="s">
        <v>25</v>
      </c>
      <c r="T298">
        <f>IF(TRIM(Table1[[#This Row],[PitStopLaps]])="",0,
LEN(Table1[[#This Row],[PitStopLaps]])-LEN(SUBSTITUTE(Table1[[#This Row],[PitStopLaps]],",",""))+1)</f>
        <v>1</v>
      </c>
      <c r="U298">
        <f>Table1[[#This Row],[StartPosition]]-Table1[[#This Row],[FinishPosition]]</f>
        <v>-6</v>
      </c>
    </row>
    <row r="299" spans="1:21" x14ac:dyDescent="0.3">
      <c r="A299">
        <v>2018</v>
      </c>
      <c r="B299">
        <v>16</v>
      </c>
      <c r="C299" t="s">
        <v>205</v>
      </c>
      <c r="D299" t="s">
        <v>79</v>
      </c>
      <c r="E299" t="s">
        <v>80</v>
      </c>
      <c r="F299" t="s">
        <v>60</v>
      </c>
      <c r="G299">
        <v>13</v>
      </c>
      <c r="H299">
        <v>18</v>
      </c>
      <c r="I299">
        <v>0</v>
      </c>
      <c r="J299" t="s">
        <v>34</v>
      </c>
      <c r="K299" t="s">
        <v>127</v>
      </c>
      <c r="L299">
        <v>51</v>
      </c>
      <c r="M299">
        <v>99.837999999999994</v>
      </c>
      <c r="N299">
        <v>102.24477</v>
      </c>
      <c r="O299">
        <v>35.412999999999997</v>
      </c>
      <c r="P299">
        <v>34.491</v>
      </c>
      <c r="Q299">
        <v>29.734999999999999</v>
      </c>
      <c r="R299">
        <v>10</v>
      </c>
      <c r="S299" t="s">
        <v>25</v>
      </c>
      <c r="T299">
        <f>IF(TRIM(Table1[[#This Row],[PitStopLaps]])="",0,
LEN(Table1[[#This Row],[PitStopLaps]])-LEN(SUBSTITUTE(Table1[[#This Row],[PitStopLaps]],",",""))+1)</f>
        <v>1</v>
      </c>
      <c r="U299">
        <f>Table1[[#This Row],[StartPosition]]-Table1[[#This Row],[FinishPosition]]</f>
        <v>-5</v>
      </c>
    </row>
    <row r="300" spans="1:21" x14ac:dyDescent="0.3">
      <c r="A300">
        <v>2018</v>
      </c>
      <c r="B300">
        <v>16</v>
      </c>
      <c r="C300" t="s">
        <v>205</v>
      </c>
      <c r="D300" t="s">
        <v>73</v>
      </c>
      <c r="E300" t="s">
        <v>74</v>
      </c>
      <c r="F300" t="s">
        <v>64</v>
      </c>
      <c r="G300">
        <v>17</v>
      </c>
      <c r="H300">
        <v>19</v>
      </c>
      <c r="I300">
        <v>0</v>
      </c>
      <c r="J300" t="s">
        <v>34</v>
      </c>
      <c r="K300" t="s">
        <v>81</v>
      </c>
      <c r="L300">
        <v>4</v>
      </c>
      <c r="M300">
        <v>104.071</v>
      </c>
      <c r="N300">
        <v>104.977</v>
      </c>
      <c r="O300">
        <v>36.392000000000003</v>
      </c>
      <c r="P300">
        <v>36.271000000000001</v>
      </c>
      <c r="Q300">
        <v>31.408000000000001</v>
      </c>
      <c r="R300">
        <v>4</v>
      </c>
      <c r="S300" t="s">
        <v>25</v>
      </c>
      <c r="T300">
        <f>IF(TRIM(Table1[[#This Row],[PitStopLaps]])="",0,
LEN(Table1[[#This Row],[PitStopLaps]])-LEN(SUBSTITUTE(Table1[[#This Row],[PitStopLaps]],",",""))+1)</f>
        <v>1</v>
      </c>
      <c r="U300">
        <f>Table1[[#This Row],[StartPosition]]-Table1[[#This Row],[FinishPosition]]</f>
        <v>-2</v>
      </c>
    </row>
    <row r="301" spans="1:21" x14ac:dyDescent="0.3">
      <c r="A301">
        <v>2018</v>
      </c>
      <c r="B301">
        <v>16</v>
      </c>
      <c r="C301" t="s">
        <v>205</v>
      </c>
      <c r="D301" t="s">
        <v>62</v>
      </c>
      <c r="E301" t="s">
        <v>63</v>
      </c>
      <c r="F301" t="s">
        <v>64</v>
      </c>
      <c r="G301">
        <v>20</v>
      </c>
      <c r="H301">
        <v>20</v>
      </c>
      <c r="I301">
        <v>0</v>
      </c>
      <c r="J301" t="s">
        <v>34</v>
      </c>
      <c r="K301" t="s">
        <v>81</v>
      </c>
      <c r="L301">
        <v>4</v>
      </c>
      <c r="M301">
        <v>105.852</v>
      </c>
      <c r="N301">
        <v>105.852</v>
      </c>
      <c r="O301">
        <v>36.783999999999999</v>
      </c>
      <c r="P301">
        <v>37.134</v>
      </c>
      <c r="Q301">
        <v>31.934000000000001</v>
      </c>
      <c r="R301" t="s">
        <v>207</v>
      </c>
      <c r="S301" t="s">
        <v>25</v>
      </c>
      <c r="T301">
        <f>IF(TRIM(Table1[[#This Row],[PitStopLaps]])="",0,
LEN(Table1[[#This Row],[PitStopLaps]])-LEN(SUBSTITUTE(Table1[[#This Row],[PitStopLaps]],",",""))+1)</f>
        <v>2</v>
      </c>
      <c r="U301">
        <f>Table1[[#This Row],[StartPosition]]-Table1[[#This Row],[FinishPosition]]</f>
        <v>0</v>
      </c>
    </row>
    <row r="302" spans="1:21" x14ac:dyDescent="0.3">
      <c r="A302">
        <v>2018</v>
      </c>
      <c r="B302">
        <v>17</v>
      </c>
      <c r="C302" t="s">
        <v>208</v>
      </c>
      <c r="D302" t="s">
        <v>26</v>
      </c>
      <c r="E302" t="s">
        <v>27</v>
      </c>
      <c r="F302" t="s">
        <v>28</v>
      </c>
      <c r="G302">
        <v>1</v>
      </c>
      <c r="H302">
        <v>1</v>
      </c>
      <c r="I302">
        <v>25</v>
      </c>
      <c r="J302" t="s">
        <v>23</v>
      </c>
      <c r="K302" t="s">
        <v>24</v>
      </c>
      <c r="L302">
        <v>53</v>
      </c>
      <c r="M302">
        <v>92.784999999999997</v>
      </c>
      <c r="N302">
        <v>94.350658999999993</v>
      </c>
      <c r="O302">
        <v>33.021999999999998</v>
      </c>
      <c r="P302">
        <v>41.765999999999998</v>
      </c>
      <c r="Q302">
        <v>17.917999999999999</v>
      </c>
      <c r="R302">
        <v>24</v>
      </c>
      <c r="S302" t="s">
        <v>83</v>
      </c>
      <c r="T302">
        <f>IF(TRIM(Table1[[#This Row],[PitStopLaps]])="",0,
LEN(Table1[[#This Row],[PitStopLaps]])-LEN(SUBSTITUTE(Table1[[#This Row],[PitStopLaps]],",",""))+1)</f>
        <v>1</v>
      </c>
      <c r="U302">
        <f>Table1[[#This Row],[StartPosition]]-Table1[[#This Row],[FinishPosition]]</f>
        <v>0</v>
      </c>
    </row>
    <row r="303" spans="1:21" x14ac:dyDescent="0.3">
      <c r="A303">
        <v>2018</v>
      </c>
      <c r="B303">
        <v>17</v>
      </c>
      <c r="C303" t="s">
        <v>208</v>
      </c>
      <c r="D303" t="s">
        <v>43</v>
      </c>
      <c r="E303" t="s">
        <v>44</v>
      </c>
      <c r="F303" t="s">
        <v>28</v>
      </c>
      <c r="G303">
        <v>2</v>
      </c>
      <c r="H303">
        <v>2</v>
      </c>
      <c r="I303">
        <v>18</v>
      </c>
      <c r="J303" t="s">
        <v>23</v>
      </c>
      <c r="K303" t="s">
        <v>24</v>
      </c>
      <c r="L303">
        <v>53</v>
      </c>
      <c r="M303">
        <v>93.11</v>
      </c>
      <c r="N303">
        <v>94.642863000000006</v>
      </c>
      <c r="O303">
        <v>33.042000000000002</v>
      </c>
      <c r="P303">
        <v>41.951999999999998</v>
      </c>
      <c r="Q303">
        <v>17.95</v>
      </c>
      <c r="R303">
        <v>23</v>
      </c>
      <c r="S303" t="s">
        <v>83</v>
      </c>
      <c r="T303">
        <f>IF(TRIM(Table1[[#This Row],[PitStopLaps]])="",0,
LEN(Table1[[#This Row],[PitStopLaps]])-LEN(SUBSTITUTE(Table1[[#This Row],[PitStopLaps]],",",""))+1)</f>
        <v>1</v>
      </c>
      <c r="U303">
        <f>Table1[[#This Row],[StartPosition]]-Table1[[#This Row],[FinishPosition]]</f>
        <v>0</v>
      </c>
    </row>
    <row r="304" spans="1:21" x14ac:dyDescent="0.3">
      <c r="A304">
        <v>2018</v>
      </c>
      <c r="B304">
        <v>17</v>
      </c>
      <c r="C304" t="s">
        <v>208</v>
      </c>
      <c r="D304" t="s">
        <v>38</v>
      </c>
      <c r="E304" t="s">
        <v>39</v>
      </c>
      <c r="F304" t="s">
        <v>33</v>
      </c>
      <c r="G304">
        <v>3</v>
      </c>
      <c r="H304">
        <v>3</v>
      </c>
      <c r="I304">
        <v>15</v>
      </c>
      <c r="J304" t="s">
        <v>23</v>
      </c>
      <c r="K304" t="s">
        <v>24</v>
      </c>
      <c r="L304">
        <v>53</v>
      </c>
      <c r="M304">
        <v>93.367000000000004</v>
      </c>
      <c r="N304">
        <v>94.501476999999994</v>
      </c>
      <c r="O304">
        <v>33.261000000000003</v>
      </c>
      <c r="P304">
        <v>41.954999999999998</v>
      </c>
      <c r="Q304">
        <v>18.033999999999999</v>
      </c>
      <c r="R304">
        <v>21</v>
      </c>
      <c r="S304" t="s">
        <v>83</v>
      </c>
      <c r="T304">
        <f>IF(TRIM(Table1[[#This Row],[PitStopLaps]])="",0,
LEN(Table1[[#This Row],[PitStopLaps]])-LEN(SUBSTITUTE(Table1[[#This Row],[PitStopLaps]],",",""))+1)</f>
        <v>1</v>
      </c>
      <c r="U304">
        <f>Table1[[#This Row],[StartPosition]]-Table1[[#This Row],[FinishPosition]]</f>
        <v>0</v>
      </c>
    </row>
    <row r="305" spans="1:21" x14ac:dyDescent="0.3">
      <c r="A305">
        <v>2018</v>
      </c>
      <c r="B305">
        <v>17</v>
      </c>
      <c r="C305" t="s">
        <v>208</v>
      </c>
      <c r="D305" t="s">
        <v>31</v>
      </c>
      <c r="E305" t="s">
        <v>32</v>
      </c>
      <c r="F305" t="s">
        <v>33</v>
      </c>
      <c r="G305">
        <v>15</v>
      </c>
      <c r="H305">
        <v>4</v>
      </c>
      <c r="I305">
        <v>12</v>
      </c>
      <c r="J305" t="s">
        <v>34</v>
      </c>
      <c r="K305" t="s">
        <v>24</v>
      </c>
      <c r="L305">
        <v>53</v>
      </c>
      <c r="M305">
        <v>93.186999999999998</v>
      </c>
      <c r="N305">
        <v>94.770465999999999</v>
      </c>
      <c r="O305">
        <v>33.091999999999999</v>
      </c>
      <c r="P305">
        <v>41.845999999999997</v>
      </c>
      <c r="Q305">
        <v>18.027000000000001</v>
      </c>
      <c r="R305">
        <v>23</v>
      </c>
      <c r="S305" t="s">
        <v>83</v>
      </c>
      <c r="T305">
        <f>IF(TRIM(Table1[[#This Row],[PitStopLaps]])="",0,
LEN(Table1[[#This Row],[PitStopLaps]])-LEN(SUBSTITUTE(Table1[[#This Row],[PitStopLaps]],",",""))+1)</f>
        <v>1</v>
      </c>
      <c r="U305">
        <f>Table1[[#This Row],[StartPosition]]-Table1[[#This Row],[FinishPosition]]</f>
        <v>11</v>
      </c>
    </row>
    <row r="306" spans="1:21" x14ac:dyDescent="0.3">
      <c r="A306">
        <v>2018</v>
      </c>
      <c r="B306">
        <v>17</v>
      </c>
      <c r="C306" t="s">
        <v>208</v>
      </c>
      <c r="D306" t="s">
        <v>29</v>
      </c>
      <c r="E306" t="s">
        <v>30</v>
      </c>
      <c r="F306" t="s">
        <v>22</v>
      </c>
      <c r="G306">
        <v>4</v>
      </c>
      <c r="H306">
        <v>5</v>
      </c>
      <c r="I306">
        <v>10</v>
      </c>
      <c r="J306" t="s">
        <v>34</v>
      </c>
      <c r="K306" t="s">
        <v>24</v>
      </c>
      <c r="L306">
        <v>53</v>
      </c>
      <c r="M306">
        <v>94.222999999999999</v>
      </c>
      <c r="N306">
        <v>95.433021999999994</v>
      </c>
      <c r="O306">
        <v>33.664999999999999</v>
      </c>
      <c r="P306">
        <v>42.222000000000001</v>
      </c>
      <c r="Q306">
        <v>18.131</v>
      </c>
      <c r="R306">
        <v>17</v>
      </c>
      <c r="S306" t="s">
        <v>83</v>
      </c>
      <c r="T306">
        <f>IF(TRIM(Table1[[#This Row],[PitStopLaps]])="",0,
LEN(Table1[[#This Row],[PitStopLaps]])-LEN(SUBSTITUTE(Table1[[#This Row],[PitStopLaps]],",",""))+1)</f>
        <v>1</v>
      </c>
      <c r="U306">
        <f>Table1[[#This Row],[StartPosition]]-Table1[[#This Row],[FinishPosition]]</f>
        <v>-1</v>
      </c>
    </row>
    <row r="307" spans="1:21" x14ac:dyDescent="0.3">
      <c r="A307">
        <v>2018</v>
      </c>
      <c r="B307">
        <v>17</v>
      </c>
      <c r="C307" t="s">
        <v>208</v>
      </c>
      <c r="D307" t="s">
        <v>20</v>
      </c>
      <c r="E307" t="s">
        <v>21</v>
      </c>
      <c r="F307" t="s">
        <v>22</v>
      </c>
      <c r="G307">
        <v>8</v>
      </c>
      <c r="H307">
        <v>6</v>
      </c>
      <c r="I307">
        <v>8</v>
      </c>
      <c r="J307" t="s">
        <v>34</v>
      </c>
      <c r="K307" t="s">
        <v>24</v>
      </c>
      <c r="L307">
        <v>53</v>
      </c>
      <c r="M307">
        <v>92.317999999999998</v>
      </c>
      <c r="N307">
        <v>95.831613000000004</v>
      </c>
      <c r="O307">
        <v>32.959000000000003</v>
      </c>
      <c r="P307">
        <v>41.338999999999999</v>
      </c>
      <c r="Q307">
        <v>18.02</v>
      </c>
      <c r="R307">
        <v>26</v>
      </c>
      <c r="S307" t="s">
        <v>83</v>
      </c>
      <c r="T307">
        <f>IF(TRIM(Table1[[#This Row],[PitStopLaps]])="",0,
LEN(Table1[[#This Row],[PitStopLaps]])-LEN(SUBSTITUTE(Table1[[#This Row],[PitStopLaps]],",",""))+1)</f>
        <v>1</v>
      </c>
      <c r="U307">
        <f>Table1[[#This Row],[StartPosition]]-Table1[[#This Row],[FinishPosition]]</f>
        <v>2</v>
      </c>
    </row>
    <row r="308" spans="1:21" x14ac:dyDescent="0.3">
      <c r="A308">
        <v>2018</v>
      </c>
      <c r="B308">
        <v>17</v>
      </c>
      <c r="C308" t="s">
        <v>208</v>
      </c>
      <c r="D308" t="s">
        <v>49</v>
      </c>
      <c r="E308" t="s">
        <v>50</v>
      </c>
      <c r="F308" t="s">
        <v>192</v>
      </c>
      <c r="G308">
        <v>9</v>
      </c>
      <c r="H308">
        <v>7</v>
      </c>
      <c r="I308">
        <v>6</v>
      </c>
      <c r="J308" t="s">
        <v>34</v>
      </c>
      <c r="K308" t="s">
        <v>24</v>
      </c>
      <c r="L308">
        <v>53</v>
      </c>
      <c r="M308">
        <v>94.072999999999993</v>
      </c>
      <c r="N308">
        <v>96.056272000000007</v>
      </c>
      <c r="O308">
        <v>33.665999999999997</v>
      </c>
      <c r="P308">
        <v>42.225999999999999</v>
      </c>
      <c r="Q308">
        <v>18.106000000000002</v>
      </c>
      <c r="R308">
        <v>24</v>
      </c>
      <c r="S308" t="s">
        <v>83</v>
      </c>
      <c r="T308">
        <f>IF(TRIM(Table1[[#This Row],[PitStopLaps]])="",0,
LEN(Table1[[#This Row],[PitStopLaps]])-LEN(SUBSTITUTE(Table1[[#This Row],[PitStopLaps]],",",""))+1)</f>
        <v>1</v>
      </c>
      <c r="U308">
        <f>Table1[[#This Row],[StartPosition]]-Table1[[#This Row],[FinishPosition]]</f>
        <v>2</v>
      </c>
    </row>
    <row r="309" spans="1:21" x14ac:dyDescent="0.3">
      <c r="A309">
        <v>2018</v>
      </c>
      <c r="B309">
        <v>17</v>
      </c>
      <c r="C309" t="s">
        <v>208</v>
      </c>
      <c r="D309" t="s">
        <v>67</v>
      </c>
      <c r="E309" t="s">
        <v>68</v>
      </c>
      <c r="F309" t="s">
        <v>69</v>
      </c>
      <c r="G309">
        <v>5</v>
      </c>
      <c r="H309">
        <v>8</v>
      </c>
      <c r="I309">
        <v>4</v>
      </c>
      <c r="J309" t="s">
        <v>34</v>
      </c>
      <c r="K309" t="s">
        <v>24</v>
      </c>
      <c r="L309">
        <v>53</v>
      </c>
      <c r="M309">
        <v>94.786000000000001</v>
      </c>
      <c r="N309">
        <v>96.192136000000005</v>
      </c>
      <c r="O309">
        <v>33.496000000000002</v>
      </c>
      <c r="P309">
        <v>42.484999999999999</v>
      </c>
      <c r="Q309">
        <v>18.396999999999998</v>
      </c>
      <c r="R309">
        <v>29</v>
      </c>
      <c r="S309" t="s">
        <v>83</v>
      </c>
      <c r="T309">
        <f>IF(TRIM(Table1[[#This Row],[PitStopLaps]])="",0,
LEN(Table1[[#This Row],[PitStopLaps]])-LEN(SUBSTITUTE(Table1[[#This Row],[PitStopLaps]],",",""))+1)</f>
        <v>1</v>
      </c>
      <c r="U309">
        <f>Table1[[#This Row],[StartPosition]]-Table1[[#This Row],[FinishPosition]]</f>
        <v>-3</v>
      </c>
    </row>
    <row r="310" spans="1:21" x14ac:dyDescent="0.3">
      <c r="A310">
        <v>2018</v>
      </c>
      <c r="B310">
        <v>17</v>
      </c>
      <c r="C310" t="s">
        <v>208</v>
      </c>
      <c r="D310" t="s">
        <v>52</v>
      </c>
      <c r="E310" t="s">
        <v>53</v>
      </c>
      <c r="F310" t="s">
        <v>192</v>
      </c>
      <c r="G310">
        <v>11</v>
      </c>
      <c r="H310">
        <v>9</v>
      </c>
      <c r="I310">
        <v>2</v>
      </c>
      <c r="J310" t="s">
        <v>34</v>
      </c>
      <c r="K310" t="s">
        <v>24</v>
      </c>
      <c r="L310">
        <v>53</v>
      </c>
      <c r="M310">
        <v>94.67</v>
      </c>
      <c r="N310">
        <v>96.243954000000002</v>
      </c>
      <c r="O310">
        <v>33.837000000000003</v>
      </c>
      <c r="P310">
        <v>42.353999999999999</v>
      </c>
      <c r="Q310">
        <v>18.239999999999998</v>
      </c>
      <c r="R310">
        <v>26</v>
      </c>
      <c r="S310" t="s">
        <v>83</v>
      </c>
      <c r="T310">
        <f>IF(TRIM(Table1[[#This Row],[PitStopLaps]])="",0,
LEN(Table1[[#This Row],[PitStopLaps]])-LEN(SUBSTITUTE(Table1[[#This Row],[PitStopLaps]],",",""))+1)</f>
        <v>1</v>
      </c>
      <c r="U310">
        <f>Table1[[#This Row],[StartPosition]]-Table1[[#This Row],[FinishPosition]]</f>
        <v>2</v>
      </c>
    </row>
    <row r="311" spans="1:21" x14ac:dyDescent="0.3">
      <c r="A311">
        <v>2018</v>
      </c>
      <c r="B311">
        <v>17</v>
      </c>
      <c r="C311" t="s">
        <v>208</v>
      </c>
      <c r="D311" t="s">
        <v>47</v>
      </c>
      <c r="E311" t="s">
        <v>48</v>
      </c>
      <c r="F311" t="s">
        <v>42</v>
      </c>
      <c r="G311">
        <v>13</v>
      </c>
      <c r="H311">
        <v>10</v>
      </c>
      <c r="I311">
        <v>1</v>
      </c>
      <c r="J311" t="s">
        <v>34</v>
      </c>
      <c r="K311" t="s">
        <v>65</v>
      </c>
      <c r="L311">
        <v>52</v>
      </c>
      <c r="M311">
        <v>94.197000000000003</v>
      </c>
      <c r="N311">
        <v>96.608581000000001</v>
      </c>
      <c r="O311">
        <v>33.393000000000001</v>
      </c>
      <c r="P311">
        <v>42.430999999999997</v>
      </c>
      <c r="Q311">
        <v>18.295000000000002</v>
      </c>
      <c r="R311">
        <v>32</v>
      </c>
      <c r="S311" t="s">
        <v>83</v>
      </c>
      <c r="T311">
        <f>IF(TRIM(Table1[[#This Row],[PitStopLaps]])="",0,
LEN(Table1[[#This Row],[PitStopLaps]])-LEN(SUBSTITUTE(Table1[[#This Row],[PitStopLaps]],",",""))+1)</f>
        <v>1</v>
      </c>
      <c r="U311">
        <f>Table1[[#This Row],[StartPosition]]-Table1[[#This Row],[FinishPosition]]</f>
        <v>3</v>
      </c>
    </row>
    <row r="312" spans="1:21" x14ac:dyDescent="0.3">
      <c r="A312">
        <v>2018</v>
      </c>
      <c r="B312">
        <v>17</v>
      </c>
      <c r="C312" t="s">
        <v>208</v>
      </c>
      <c r="D312" t="s">
        <v>73</v>
      </c>
      <c r="E312" t="s">
        <v>74</v>
      </c>
      <c r="F312" t="s">
        <v>64</v>
      </c>
      <c r="G312">
        <v>7</v>
      </c>
      <c r="H312">
        <v>11</v>
      </c>
      <c r="I312">
        <v>0</v>
      </c>
      <c r="J312" t="s">
        <v>34</v>
      </c>
      <c r="K312" t="s">
        <v>65</v>
      </c>
      <c r="L312">
        <v>52</v>
      </c>
      <c r="M312">
        <v>94.132999999999996</v>
      </c>
      <c r="N312">
        <v>96.886441000000005</v>
      </c>
      <c r="O312">
        <v>33.317</v>
      </c>
      <c r="P312">
        <v>42.393000000000001</v>
      </c>
      <c r="Q312">
        <v>18.396000000000001</v>
      </c>
      <c r="R312">
        <v>29</v>
      </c>
      <c r="S312" t="s">
        <v>83</v>
      </c>
      <c r="T312">
        <f>IF(TRIM(Table1[[#This Row],[PitStopLaps]])="",0,
LEN(Table1[[#This Row],[PitStopLaps]])-LEN(SUBSTITUTE(Table1[[#This Row],[PitStopLaps]],",",""))+1)</f>
        <v>1</v>
      </c>
      <c r="U312">
        <f>Table1[[#This Row],[StartPosition]]-Table1[[#This Row],[FinishPosition]]</f>
        <v>-4</v>
      </c>
    </row>
    <row r="313" spans="1:21" x14ac:dyDescent="0.3">
      <c r="A313">
        <v>2018</v>
      </c>
      <c r="B313">
        <v>17</v>
      </c>
      <c r="C313" t="s">
        <v>208</v>
      </c>
      <c r="D313" t="s">
        <v>76</v>
      </c>
      <c r="E313" t="s">
        <v>77</v>
      </c>
      <c r="F313" t="s">
        <v>56</v>
      </c>
      <c r="G313">
        <v>20</v>
      </c>
      <c r="H313">
        <v>12</v>
      </c>
      <c r="I313">
        <v>0</v>
      </c>
      <c r="J313" t="s">
        <v>34</v>
      </c>
      <c r="K313" t="s">
        <v>65</v>
      </c>
      <c r="L313">
        <v>52</v>
      </c>
      <c r="M313">
        <v>96.293999999999997</v>
      </c>
      <c r="N313">
        <v>97.667287999999999</v>
      </c>
      <c r="O313">
        <v>34.469000000000001</v>
      </c>
      <c r="P313">
        <v>43.247</v>
      </c>
      <c r="Q313">
        <v>18.427</v>
      </c>
      <c r="R313">
        <v>5</v>
      </c>
      <c r="S313" t="s">
        <v>83</v>
      </c>
      <c r="T313">
        <f>IF(TRIM(Table1[[#This Row],[PitStopLaps]])="",0,
LEN(Table1[[#This Row],[PitStopLaps]])-LEN(SUBSTITUTE(Table1[[#This Row],[PitStopLaps]],",",""))+1)</f>
        <v>1</v>
      </c>
      <c r="U313">
        <f>Table1[[#This Row],[StartPosition]]-Table1[[#This Row],[FinishPosition]]</f>
        <v>8</v>
      </c>
    </row>
    <row r="314" spans="1:21" x14ac:dyDescent="0.3">
      <c r="A314">
        <v>2018</v>
      </c>
      <c r="B314">
        <v>17</v>
      </c>
      <c r="C314" t="s">
        <v>208</v>
      </c>
      <c r="D314" t="s">
        <v>62</v>
      </c>
      <c r="E314" t="s">
        <v>63</v>
      </c>
      <c r="F314" t="s">
        <v>64</v>
      </c>
      <c r="G314">
        <v>6</v>
      </c>
      <c r="H314">
        <v>13</v>
      </c>
      <c r="I314">
        <v>0</v>
      </c>
      <c r="J314" t="s">
        <v>34</v>
      </c>
      <c r="K314" t="s">
        <v>65</v>
      </c>
      <c r="L314">
        <v>52</v>
      </c>
      <c r="M314">
        <v>94.856999999999999</v>
      </c>
      <c r="N314">
        <v>97.405254999999997</v>
      </c>
      <c r="O314">
        <v>33.863999999999997</v>
      </c>
      <c r="P314">
        <v>42.325000000000003</v>
      </c>
      <c r="Q314">
        <v>18.367000000000001</v>
      </c>
      <c r="R314">
        <v>28</v>
      </c>
      <c r="S314" t="s">
        <v>83</v>
      </c>
      <c r="T314">
        <f>IF(TRIM(Table1[[#This Row],[PitStopLaps]])="",0,
LEN(Table1[[#This Row],[PitStopLaps]])-LEN(SUBSTITUTE(Table1[[#This Row],[PitStopLaps]],",",""))+1)</f>
        <v>1</v>
      </c>
      <c r="U314">
        <f>Table1[[#This Row],[StartPosition]]-Table1[[#This Row],[FinishPosition]]</f>
        <v>-7</v>
      </c>
    </row>
    <row r="315" spans="1:21" x14ac:dyDescent="0.3">
      <c r="A315">
        <v>2018</v>
      </c>
      <c r="B315">
        <v>17</v>
      </c>
      <c r="C315" t="s">
        <v>208</v>
      </c>
      <c r="D315" t="s">
        <v>35</v>
      </c>
      <c r="E315" t="s">
        <v>36</v>
      </c>
      <c r="F315" t="s">
        <v>37</v>
      </c>
      <c r="G315">
        <v>18</v>
      </c>
      <c r="H315">
        <v>14</v>
      </c>
      <c r="I315">
        <v>0</v>
      </c>
      <c r="J315" t="s">
        <v>34</v>
      </c>
      <c r="K315" t="s">
        <v>65</v>
      </c>
      <c r="L315">
        <v>52</v>
      </c>
      <c r="M315">
        <v>93.942999999999998</v>
      </c>
      <c r="N315">
        <v>97.327116000000004</v>
      </c>
      <c r="O315">
        <v>33.448999999999998</v>
      </c>
      <c r="P315">
        <v>42.225000000000001</v>
      </c>
      <c r="Q315">
        <v>18.036000000000001</v>
      </c>
      <c r="R315">
        <v>26</v>
      </c>
      <c r="S315" t="s">
        <v>83</v>
      </c>
      <c r="T315">
        <f>IF(TRIM(Table1[[#This Row],[PitStopLaps]])="",0,
LEN(Table1[[#This Row],[PitStopLaps]])-LEN(SUBSTITUTE(Table1[[#This Row],[PitStopLaps]],",",""))+1)</f>
        <v>1</v>
      </c>
      <c r="U315">
        <f>Table1[[#This Row],[StartPosition]]-Table1[[#This Row],[FinishPosition]]</f>
        <v>4</v>
      </c>
    </row>
    <row r="316" spans="1:21" x14ac:dyDescent="0.3">
      <c r="A316">
        <v>2018</v>
      </c>
      <c r="B316">
        <v>17</v>
      </c>
      <c r="C316" t="s">
        <v>208</v>
      </c>
      <c r="D316" t="s">
        <v>45</v>
      </c>
      <c r="E316" t="s">
        <v>46</v>
      </c>
      <c r="F316" t="s">
        <v>37</v>
      </c>
      <c r="G316">
        <v>19</v>
      </c>
      <c r="H316">
        <v>15</v>
      </c>
      <c r="I316">
        <v>0</v>
      </c>
      <c r="J316" t="s">
        <v>34</v>
      </c>
      <c r="K316" t="s">
        <v>65</v>
      </c>
      <c r="L316">
        <v>52</v>
      </c>
      <c r="M316">
        <v>95.022999999999996</v>
      </c>
      <c r="N316">
        <v>97.368204000000006</v>
      </c>
      <c r="O316">
        <v>33.826000000000001</v>
      </c>
      <c r="P316">
        <v>42.662999999999997</v>
      </c>
      <c r="Q316">
        <v>18.437000000000001</v>
      </c>
      <c r="R316">
        <v>23</v>
      </c>
      <c r="S316" t="s">
        <v>83</v>
      </c>
      <c r="T316">
        <f>IF(TRIM(Table1[[#This Row],[PitStopLaps]])="",0,
LEN(Table1[[#This Row],[PitStopLaps]])-LEN(SUBSTITUTE(Table1[[#This Row],[PitStopLaps]],",",""))+1)</f>
        <v>1</v>
      </c>
      <c r="U316">
        <f>Table1[[#This Row],[StartPosition]]-Table1[[#This Row],[FinishPosition]]</f>
        <v>4</v>
      </c>
    </row>
    <row r="317" spans="1:21" x14ac:dyDescent="0.3">
      <c r="A317">
        <v>2018</v>
      </c>
      <c r="B317">
        <v>17</v>
      </c>
      <c r="C317" t="s">
        <v>208</v>
      </c>
      <c r="D317" t="s">
        <v>79</v>
      </c>
      <c r="E317" t="s">
        <v>80</v>
      </c>
      <c r="F317" t="s">
        <v>60</v>
      </c>
      <c r="G317">
        <v>17</v>
      </c>
      <c r="H317">
        <v>16</v>
      </c>
      <c r="I317">
        <v>0</v>
      </c>
      <c r="J317" t="s">
        <v>34</v>
      </c>
      <c r="K317" t="s">
        <v>65</v>
      </c>
      <c r="L317">
        <v>52</v>
      </c>
      <c r="M317">
        <v>93.984999999999999</v>
      </c>
      <c r="N317">
        <v>97.361181000000002</v>
      </c>
      <c r="O317">
        <v>33.356999999999999</v>
      </c>
      <c r="P317">
        <v>42.137</v>
      </c>
      <c r="Q317">
        <v>18.105</v>
      </c>
      <c r="R317" t="s">
        <v>209</v>
      </c>
      <c r="S317" t="s">
        <v>83</v>
      </c>
      <c r="T317">
        <f>IF(TRIM(Table1[[#This Row],[PitStopLaps]])="",0,
LEN(Table1[[#This Row],[PitStopLaps]])-LEN(SUBSTITUTE(Table1[[#This Row],[PitStopLaps]],",",""))+1)</f>
        <v>2</v>
      </c>
      <c r="U317">
        <f>Table1[[#This Row],[StartPosition]]-Table1[[#This Row],[FinishPosition]]</f>
        <v>1</v>
      </c>
    </row>
    <row r="318" spans="1:21" x14ac:dyDescent="0.3">
      <c r="A318">
        <v>2018</v>
      </c>
      <c r="B318">
        <v>17</v>
      </c>
      <c r="C318" t="s">
        <v>208</v>
      </c>
      <c r="D318" t="s">
        <v>58</v>
      </c>
      <c r="E318" t="s">
        <v>59</v>
      </c>
      <c r="F318" t="s">
        <v>60</v>
      </c>
      <c r="G318">
        <v>14</v>
      </c>
      <c r="H318">
        <v>17</v>
      </c>
      <c r="I318">
        <v>0</v>
      </c>
      <c r="J318" t="s">
        <v>34</v>
      </c>
      <c r="K318" t="s">
        <v>65</v>
      </c>
      <c r="L318">
        <v>52</v>
      </c>
      <c r="M318">
        <v>93.353999999999999</v>
      </c>
      <c r="N318">
        <v>96.846720000000005</v>
      </c>
      <c r="O318">
        <v>33.244</v>
      </c>
      <c r="P318">
        <v>41.948</v>
      </c>
      <c r="Q318">
        <v>18.161999999999999</v>
      </c>
      <c r="R318" t="s">
        <v>87</v>
      </c>
      <c r="S318" t="s">
        <v>83</v>
      </c>
      <c r="T318">
        <f>IF(TRIM(Table1[[#This Row],[PitStopLaps]])="",0,
LEN(Table1[[#This Row],[PitStopLaps]])-LEN(SUBSTITUTE(Table1[[#This Row],[PitStopLaps]],",",""))+1)</f>
        <v>2</v>
      </c>
      <c r="U318">
        <f>Table1[[#This Row],[StartPosition]]-Table1[[#This Row],[FinishPosition]]</f>
        <v>-3</v>
      </c>
    </row>
    <row r="319" spans="1:21" x14ac:dyDescent="0.3">
      <c r="A319">
        <v>2018</v>
      </c>
      <c r="B319">
        <v>17</v>
      </c>
      <c r="C319" t="s">
        <v>208</v>
      </c>
      <c r="D319" t="s">
        <v>54</v>
      </c>
      <c r="E319" t="s">
        <v>55</v>
      </c>
      <c r="F319" t="s">
        <v>56</v>
      </c>
      <c r="G319">
        <v>10</v>
      </c>
      <c r="H319">
        <v>18</v>
      </c>
      <c r="I319">
        <v>0</v>
      </c>
      <c r="J319" t="s">
        <v>34</v>
      </c>
      <c r="K319" t="s">
        <v>210</v>
      </c>
      <c r="L319">
        <v>39</v>
      </c>
      <c r="M319">
        <v>94.515000000000001</v>
      </c>
      <c r="N319">
        <v>97.720387000000002</v>
      </c>
      <c r="O319">
        <v>33.941000000000003</v>
      </c>
      <c r="P319">
        <v>42.14</v>
      </c>
      <c r="Q319">
        <v>18.384</v>
      </c>
      <c r="R319" t="s">
        <v>211</v>
      </c>
      <c r="S319" t="s">
        <v>83</v>
      </c>
      <c r="T319">
        <f>IF(TRIM(Table1[[#This Row],[PitStopLaps]])="",0,
LEN(Table1[[#This Row],[PitStopLaps]])-LEN(SUBSTITUTE(Table1[[#This Row],[PitStopLaps]],",",""))+1)</f>
        <v>2</v>
      </c>
      <c r="U319">
        <f>Table1[[#This Row],[StartPosition]]-Table1[[#This Row],[FinishPosition]]</f>
        <v>-8</v>
      </c>
    </row>
    <row r="320" spans="1:21" x14ac:dyDescent="0.3">
      <c r="A320">
        <v>2018</v>
      </c>
      <c r="B320">
        <v>17</v>
      </c>
      <c r="C320" t="s">
        <v>208</v>
      </c>
      <c r="D320" t="s">
        <v>40</v>
      </c>
      <c r="E320" t="s">
        <v>41</v>
      </c>
      <c r="F320" t="s">
        <v>42</v>
      </c>
      <c r="G320">
        <v>16</v>
      </c>
      <c r="H320">
        <v>19</v>
      </c>
      <c r="I320">
        <v>0</v>
      </c>
      <c r="J320" t="s">
        <v>34</v>
      </c>
      <c r="K320" t="s">
        <v>75</v>
      </c>
      <c r="L320">
        <v>37</v>
      </c>
      <c r="M320">
        <v>94.933999999999997</v>
      </c>
      <c r="N320">
        <v>97.762793000000002</v>
      </c>
      <c r="O320">
        <v>34.276000000000003</v>
      </c>
      <c r="P320">
        <v>42.363999999999997</v>
      </c>
      <c r="Q320">
        <v>18.146999999999998</v>
      </c>
      <c r="R320" t="s">
        <v>212</v>
      </c>
      <c r="S320" t="s">
        <v>83</v>
      </c>
      <c r="T320">
        <f>IF(TRIM(Table1[[#This Row],[PitStopLaps]])="",0,
LEN(Table1[[#This Row],[PitStopLaps]])-LEN(SUBSTITUTE(Table1[[#This Row],[PitStopLaps]],",",""))+1)</f>
        <v>2</v>
      </c>
      <c r="U320">
        <f>Table1[[#This Row],[StartPosition]]-Table1[[#This Row],[FinishPosition]]</f>
        <v>-3</v>
      </c>
    </row>
    <row r="321" spans="1:21" x14ac:dyDescent="0.3">
      <c r="A321">
        <v>2018</v>
      </c>
      <c r="B321">
        <v>17</v>
      </c>
      <c r="C321" t="s">
        <v>208</v>
      </c>
      <c r="D321" t="s">
        <v>71</v>
      </c>
      <c r="E321" t="s">
        <v>72</v>
      </c>
      <c r="F321" t="s">
        <v>69</v>
      </c>
      <c r="G321">
        <v>12</v>
      </c>
      <c r="H321">
        <v>20</v>
      </c>
      <c r="I321">
        <v>0</v>
      </c>
      <c r="J321" t="s">
        <v>34</v>
      </c>
      <c r="K321" t="s">
        <v>109</v>
      </c>
      <c r="L321">
        <v>8</v>
      </c>
      <c r="R321" t="s">
        <v>213</v>
      </c>
      <c r="S321" t="s">
        <v>83</v>
      </c>
      <c r="T321">
        <f>IF(TRIM(Table1[[#This Row],[PitStopLaps]])="",0,
LEN(Table1[[#This Row],[PitStopLaps]])-LEN(SUBSTITUTE(Table1[[#This Row],[PitStopLaps]],",",""))+1)</f>
        <v>2</v>
      </c>
      <c r="U321">
        <f>Table1[[#This Row],[StartPosition]]-Table1[[#This Row],[FinishPosition]]</f>
        <v>-8</v>
      </c>
    </row>
    <row r="322" spans="1:21" x14ac:dyDescent="0.3">
      <c r="A322">
        <v>2018</v>
      </c>
      <c r="B322">
        <v>18</v>
      </c>
      <c r="C322" t="s">
        <v>214</v>
      </c>
      <c r="D322" t="s">
        <v>29</v>
      </c>
      <c r="E322" t="s">
        <v>30</v>
      </c>
      <c r="F322" t="s">
        <v>22</v>
      </c>
      <c r="G322">
        <v>2</v>
      </c>
      <c r="H322">
        <v>1</v>
      </c>
      <c r="I322">
        <v>25</v>
      </c>
      <c r="J322" t="s">
        <v>23</v>
      </c>
      <c r="K322" t="s">
        <v>24</v>
      </c>
      <c r="L322">
        <v>56</v>
      </c>
      <c r="M322">
        <v>98.481999999999999</v>
      </c>
      <c r="N322">
        <v>99.755509000000004</v>
      </c>
      <c r="O322">
        <v>26.061</v>
      </c>
      <c r="P322">
        <v>39</v>
      </c>
      <c r="Q322">
        <v>32.905000000000001</v>
      </c>
      <c r="R322">
        <v>21</v>
      </c>
      <c r="S322" t="s">
        <v>83</v>
      </c>
      <c r="T322">
        <f>IF(TRIM(Table1[[#This Row],[PitStopLaps]])="",0,
LEN(Table1[[#This Row],[PitStopLaps]])-LEN(SUBSTITUTE(Table1[[#This Row],[PitStopLaps]],",",""))+1)</f>
        <v>1</v>
      </c>
      <c r="U322">
        <f>Table1[[#This Row],[StartPosition]]-Table1[[#This Row],[FinishPosition]]</f>
        <v>1</v>
      </c>
    </row>
    <row r="323" spans="1:21" x14ac:dyDescent="0.3">
      <c r="A323">
        <v>2018</v>
      </c>
      <c r="B323">
        <v>18</v>
      </c>
      <c r="C323" t="s">
        <v>214</v>
      </c>
      <c r="D323" t="s">
        <v>38</v>
      </c>
      <c r="E323" t="s">
        <v>39</v>
      </c>
      <c r="F323" t="s">
        <v>33</v>
      </c>
      <c r="G323">
        <v>18</v>
      </c>
      <c r="H323">
        <v>2</v>
      </c>
      <c r="I323">
        <v>18</v>
      </c>
      <c r="J323" t="s">
        <v>23</v>
      </c>
      <c r="K323" t="s">
        <v>24</v>
      </c>
      <c r="L323">
        <v>56</v>
      </c>
      <c r="M323">
        <v>98.245999999999995</v>
      </c>
      <c r="N323">
        <v>99.694220000000001</v>
      </c>
      <c r="O323">
        <v>26.059000000000001</v>
      </c>
      <c r="P323">
        <v>39.098999999999997</v>
      </c>
      <c r="Q323">
        <v>32.744</v>
      </c>
      <c r="R323">
        <v>22</v>
      </c>
      <c r="S323" t="s">
        <v>83</v>
      </c>
      <c r="T323">
        <f>IF(TRIM(Table1[[#This Row],[PitStopLaps]])="",0,
LEN(Table1[[#This Row],[PitStopLaps]])-LEN(SUBSTITUTE(Table1[[#This Row],[PitStopLaps]],",",""))+1)</f>
        <v>1</v>
      </c>
      <c r="U323">
        <f>Table1[[#This Row],[StartPosition]]-Table1[[#This Row],[FinishPosition]]</f>
        <v>16</v>
      </c>
    </row>
    <row r="324" spans="1:21" x14ac:dyDescent="0.3">
      <c r="A324">
        <v>2018</v>
      </c>
      <c r="B324">
        <v>18</v>
      </c>
      <c r="C324" t="s">
        <v>214</v>
      </c>
      <c r="D324" t="s">
        <v>26</v>
      </c>
      <c r="E324" t="s">
        <v>27</v>
      </c>
      <c r="F324" t="s">
        <v>28</v>
      </c>
      <c r="G324">
        <v>1</v>
      </c>
      <c r="H324">
        <v>3</v>
      </c>
      <c r="I324">
        <v>15</v>
      </c>
      <c r="J324" t="s">
        <v>23</v>
      </c>
      <c r="K324" t="s">
        <v>24</v>
      </c>
      <c r="L324">
        <v>56</v>
      </c>
      <c r="M324">
        <v>97.391999999999996</v>
      </c>
      <c r="N324">
        <v>99.635580000000004</v>
      </c>
      <c r="O324">
        <v>25.925000000000001</v>
      </c>
      <c r="P324">
        <v>38.790999999999997</v>
      </c>
      <c r="Q324">
        <v>32.317</v>
      </c>
      <c r="R324" t="s">
        <v>206</v>
      </c>
      <c r="S324" t="s">
        <v>83</v>
      </c>
      <c r="T324">
        <f>IF(TRIM(Table1[[#This Row],[PitStopLaps]])="",0,
LEN(Table1[[#This Row],[PitStopLaps]])-LEN(SUBSTITUTE(Table1[[#This Row],[PitStopLaps]],",",""))+1)</f>
        <v>2</v>
      </c>
      <c r="U324">
        <f>Table1[[#This Row],[StartPosition]]-Table1[[#This Row],[FinishPosition]]</f>
        <v>-2</v>
      </c>
    </row>
    <row r="325" spans="1:21" x14ac:dyDescent="0.3">
      <c r="A325">
        <v>2018</v>
      </c>
      <c r="B325">
        <v>18</v>
      </c>
      <c r="C325" t="s">
        <v>214</v>
      </c>
      <c r="D325" t="s">
        <v>20</v>
      </c>
      <c r="E325" t="s">
        <v>21</v>
      </c>
      <c r="F325" t="s">
        <v>22</v>
      </c>
      <c r="G325">
        <v>5</v>
      </c>
      <c r="H325">
        <v>4</v>
      </c>
      <c r="I325">
        <v>12</v>
      </c>
      <c r="J325" t="s">
        <v>34</v>
      </c>
      <c r="K325" t="s">
        <v>24</v>
      </c>
      <c r="L325">
        <v>56</v>
      </c>
      <c r="M325">
        <v>98.28</v>
      </c>
      <c r="N325">
        <v>99.858819999999994</v>
      </c>
      <c r="O325">
        <v>26.215</v>
      </c>
      <c r="P325">
        <v>38.988999999999997</v>
      </c>
      <c r="Q325">
        <v>32.759</v>
      </c>
      <c r="R325">
        <v>26</v>
      </c>
      <c r="S325" t="s">
        <v>83</v>
      </c>
      <c r="T325">
        <f>IF(TRIM(Table1[[#This Row],[PitStopLaps]])="",0,
LEN(Table1[[#This Row],[PitStopLaps]])-LEN(SUBSTITUTE(Table1[[#This Row],[PitStopLaps]],",",""))+1)</f>
        <v>1</v>
      </c>
      <c r="U325">
        <f>Table1[[#This Row],[StartPosition]]-Table1[[#This Row],[FinishPosition]]</f>
        <v>1</v>
      </c>
    </row>
    <row r="326" spans="1:21" x14ac:dyDescent="0.3">
      <c r="A326">
        <v>2018</v>
      </c>
      <c r="B326">
        <v>18</v>
      </c>
      <c r="C326" t="s">
        <v>214</v>
      </c>
      <c r="D326" t="s">
        <v>43</v>
      </c>
      <c r="E326" t="s">
        <v>44</v>
      </c>
      <c r="F326" t="s">
        <v>28</v>
      </c>
      <c r="G326">
        <v>3</v>
      </c>
      <c r="H326">
        <v>5</v>
      </c>
      <c r="I326">
        <v>10</v>
      </c>
      <c r="J326" t="s">
        <v>34</v>
      </c>
      <c r="K326" t="s">
        <v>24</v>
      </c>
      <c r="L326">
        <v>56</v>
      </c>
      <c r="M326">
        <v>98.47</v>
      </c>
      <c r="N326">
        <v>100.23287999999999</v>
      </c>
      <c r="O326">
        <v>26.113</v>
      </c>
      <c r="P326">
        <v>39.369</v>
      </c>
      <c r="Q326">
        <v>32.929000000000002</v>
      </c>
      <c r="R326">
        <v>23</v>
      </c>
      <c r="S326" t="s">
        <v>83</v>
      </c>
      <c r="T326">
        <f>IF(TRIM(Table1[[#This Row],[PitStopLaps]])="",0,
LEN(Table1[[#This Row],[PitStopLaps]])-LEN(SUBSTITUTE(Table1[[#This Row],[PitStopLaps]],",",""))+1)</f>
        <v>1</v>
      </c>
      <c r="U326">
        <f>Table1[[#This Row],[StartPosition]]-Table1[[#This Row],[FinishPosition]]</f>
        <v>-2</v>
      </c>
    </row>
    <row r="327" spans="1:21" x14ac:dyDescent="0.3">
      <c r="A327">
        <v>2018</v>
      </c>
      <c r="B327">
        <v>18</v>
      </c>
      <c r="C327" t="s">
        <v>214</v>
      </c>
      <c r="D327" t="s">
        <v>40</v>
      </c>
      <c r="E327" t="s">
        <v>41</v>
      </c>
      <c r="F327" t="s">
        <v>42</v>
      </c>
      <c r="G327">
        <v>7</v>
      </c>
      <c r="H327">
        <v>6</v>
      </c>
      <c r="I327">
        <v>8</v>
      </c>
      <c r="J327" t="s">
        <v>34</v>
      </c>
      <c r="K327" t="s">
        <v>24</v>
      </c>
      <c r="L327">
        <v>56</v>
      </c>
      <c r="M327">
        <v>99.548000000000002</v>
      </c>
      <c r="N327">
        <v>101.2351</v>
      </c>
      <c r="O327">
        <v>26.661999999999999</v>
      </c>
      <c r="P327">
        <v>39.552</v>
      </c>
      <c r="Q327">
        <v>33.192999999999998</v>
      </c>
      <c r="R327">
        <v>23</v>
      </c>
      <c r="S327" t="s">
        <v>83</v>
      </c>
      <c r="T327">
        <f>IF(TRIM(Table1[[#This Row],[PitStopLaps]])="",0,
LEN(Table1[[#This Row],[PitStopLaps]])-LEN(SUBSTITUTE(Table1[[#This Row],[PitStopLaps]],",",""))+1)</f>
        <v>1</v>
      </c>
      <c r="U327">
        <f>Table1[[#This Row],[StartPosition]]-Table1[[#This Row],[FinishPosition]]</f>
        <v>1</v>
      </c>
    </row>
    <row r="328" spans="1:21" x14ac:dyDescent="0.3">
      <c r="A328">
        <v>2018</v>
      </c>
      <c r="B328">
        <v>18</v>
      </c>
      <c r="C328" t="s">
        <v>214</v>
      </c>
      <c r="D328" t="s">
        <v>47</v>
      </c>
      <c r="E328" t="s">
        <v>48</v>
      </c>
      <c r="F328" t="s">
        <v>42</v>
      </c>
      <c r="G328">
        <v>11</v>
      </c>
      <c r="H328">
        <v>7</v>
      </c>
      <c r="I328">
        <v>6</v>
      </c>
      <c r="J328" t="s">
        <v>34</v>
      </c>
      <c r="K328" t="s">
        <v>24</v>
      </c>
      <c r="L328">
        <v>56</v>
      </c>
      <c r="M328">
        <v>99.858000000000004</v>
      </c>
      <c r="N328">
        <v>101.32404</v>
      </c>
      <c r="O328">
        <v>26.759</v>
      </c>
      <c r="P328">
        <v>39.573</v>
      </c>
      <c r="Q328">
        <v>33.398000000000003</v>
      </c>
      <c r="R328">
        <v>24</v>
      </c>
      <c r="S328" t="s">
        <v>83</v>
      </c>
      <c r="T328">
        <f>IF(TRIM(Table1[[#This Row],[PitStopLaps]])="",0,
LEN(Table1[[#This Row],[PitStopLaps]])-LEN(SUBSTITUTE(Table1[[#This Row],[PitStopLaps]],",",""))+1)</f>
        <v>1</v>
      </c>
      <c r="U328">
        <f>Table1[[#This Row],[StartPosition]]-Table1[[#This Row],[FinishPosition]]</f>
        <v>4</v>
      </c>
    </row>
    <row r="329" spans="1:21" x14ac:dyDescent="0.3">
      <c r="A329">
        <v>2018</v>
      </c>
      <c r="B329">
        <v>18</v>
      </c>
      <c r="C329" t="s">
        <v>214</v>
      </c>
      <c r="D329" t="s">
        <v>49</v>
      </c>
      <c r="E329" t="s">
        <v>50</v>
      </c>
      <c r="F329" t="s">
        <v>192</v>
      </c>
      <c r="G329">
        <v>10</v>
      </c>
      <c r="H329">
        <v>8</v>
      </c>
      <c r="I329">
        <v>4</v>
      </c>
      <c r="J329" t="s">
        <v>34</v>
      </c>
      <c r="K329" t="s">
        <v>24</v>
      </c>
      <c r="L329">
        <v>56</v>
      </c>
      <c r="M329">
        <v>99.569000000000003</v>
      </c>
      <c r="N329">
        <v>101.504</v>
      </c>
      <c r="O329">
        <v>26.44</v>
      </c>
      <c r="P329">
        <v>39.414999999999999</v>
      </c>
      <c r="Q329">
        <v>33.423999999999999</v>
      </c>
      <c r="R329">
        <v>25</v>
      </c>
      <c r="S329" t="s">
        <v>83</v>
      </c>
      <c r="T329">
        <f>IF(TRIM(Table1[[#This Row],[PitStopLaps]])="",0,
LEN(Table1[[#This Row],[PitStopLaps]])-LEN(SUBSTITUTE(Table1[[#This Row],[PitStopLaps]],",",""))+1)</f>
        <v>1</v>
      </c>
      <c r="U329">
        <f>Table1[[#This Row],[StartPosition]]-Table1[[#This Row],[FinishPosition]]</f>
        <v>2</v>
      </c>
    </row>
    <row r="330" spans="1:21" x14ac:dyDescent="0.3">
      <c r="A330">
        <v>2018</v>
      </c>
      <c r="B330">
        <v>18</v>
      </c>
      <c r="C330" t="s">
        <v>214</v>
      </c>
      <c r="D330" t="s">
        <v>62</v>
      </c>
      <c r="E330" t="s">
        <v>63</v>
      </c>
      <c r="F330" t="s">
        <v>64</v>
      </c>
      <c r="G330">
        <v>20</v>
      </c>
      <c r="H330">
        <v>9</v>
      </c>
      <c r="I330">
        <v>2</v>
      </c>
      <c r="J330" t="s">
        <v>34</v>
      </c>
      <c r="K330" t="s">
        <v>65</v>
      </c>
      <c r="L330">
        <v>55</v>
      </c>
      <c r="M330">
        <v>99.915000000000006</v>
      </c>
      <c r="N330">
        <v>102.0642</v>
      </c>
      <c r="O330">
        <v>26.707000000000001</v>
      </c>
      <c r="P330">
        <v>39.749000000000002</v>
      </c>
      <c r="Q330">
        <v>33.423000000000002</v>
      </c>
      <c r="R330">
        <v>27</v>
      </c>
      <c r="S330" t="s">
        <v>83</v>
      </c>
      <c r="T330">
        <f>IF(TRIM(Table1[[#This Row],[PitStopLaps]])="",0,
LEN(Table1[[#This Row],[PitStopLaps]])-LEN(SUBSTITUTE(Table1[[#This Row],[PitStopLaps]],",",""))+1)</f>
        <v>1</v>
      </c>
      <c r="U330">
        <f>Table1[[#This Row],[StartPosition]]-Table1[[#This Row],[FinishPosition]]</f>
        <v>11</v>
      </c>
    </row>
    <row r="331" spans="1:21" x14ac:dyDescent="0.3">
      <c r="A331">
        <v>2018</v>
      </c>
      <c r="B331">
        <v>18</v>
      </c>
      <c r="C331" t="s">
        <v>214</v>
      </c>
      <c r="D331" t="s">
        <v>76</v>
      </c>
      <c r="E331" t="s">
        <v>77</v>
      </c>
      <c r="F331" t="s">
        <v>56</v>
      </c>
      <c r="G331">
        <v>16</v>
      </c>
      <c r="H331">
        <v>10</v>
      </c>
      <c r="I331">
        <v>1</v>
      </c>
      <c r="J331" t="s">
        <v>34</v>
      </c>
      <c r="K331" t="s">
        <v>65</v>
      </c>
      <c r="L331">
        <v>55</v>
      </c>
      <c r="M331">
        <v>100.098</v>
      </c>
      <c r="N331">
        <v>102.06088</v>
      </c>
      <c r="O331">
        <v>26.417999999999999</v>
      </c>
      <c r="P331">
        <v>39.680999999999997</v>
      </c>
      <c r="Q331">
        <v>33.466999999999999</v>
      </c>
      <c r="R331">
        <v>30</v>
      </c>
      <c r="S331" t="s">
        <v>83</v>
      </c>
      <c r="T331">
        <f>IF(TRIM(Table1[[#This Row],[PitStopLaps]])="",0,
LEN(Table1[[#This Row],[PitStopLaps]])-LEN(SUBSTITUTE(Table1[[#This Row],[PitStopLaps]],",",""))+1)</f>
        <v>1</v>
      </c>
      <c r="U331">
        <f>Table1[[#This Row],[StartPosition]]-Table1[[#This Row],[FinishPosition]]</f>
        <v>6</v>
      </c>
    </row>
    <row r="332" spans="1:21" x14ac:dyDescent="0.3">
      <c r="A332">
        <v>2018</v>
      </c>
      <c r="B332">
        <v>18</v>
      </c>
      <c r="C332" t="s">
        <v>214</v>
      </c>
      <c r="D332" t="s">
        <v>45</v>
      </c>
      <c r="E332" t="s">
        <v>46</v>
      </c>
      <c r="F332" t="s">
        <v>37</v>
      </c>
      <c r="G332">
        <v>17</v>
      </c>
      <c r="H332">
        <v>11</v>
      </c>
      <c r="I332">
        <v>0</v>
      </c>
      <c r="J332" t="s">
        <v>34</v>
      </c>
      <c r="K332" t="s">
        <v>65</v>
      </c>
      <c r="L332">
        <v>55</v>
      </c>
      <c r="M332">
        <v>99.24</v>
      </c>
      <c r="N332">
        <v>101.97304</v>
      </c>
      <c r="O332">
        <v>26.437999999999999</v>
      </c>
      <c r="P332">
        <v>39.445</v>
      </c>
      <c r="Q332">
        <v>33.255000000000003</v>
      </c>
      <c r="R332" t="s">
        <v>215</v>
      </c>
      <c r="S332" t="s">
        <v>83</v>
      </c>
      <c r="T332">
        <f>IF(TRIM(Table1[[#This Row],[PitStopLaps]])="",0,
LEN(Table1[[#This Row],[PitStopLaps]])-LEN(SUBSTITUTE(Table1[[#This Row],[PitStopLaps]],",",""))+1)</f>
        <v>2</v>
      </c>
      <c r="U332">
        <f>Table1[[#This Row],[StartPosition]]-Table1[[#This Row],[FinishPosition]]</f>
        <v>6</v>
      </c>
    </row>
    <row r="333" spans="1:21" x14ac:dyDescent="0.3">
      <c r="A333">
        <v>2018</v>
      </c>
      <c r="B333">
        <v>18</v>
      </c>
      <c r="C333" t="s">
        <v>214</v>
      </c>
      <c r="D333" t="s">
        <v>73</v>
      </c>
      <c r="E333" t="s">
        <v>74</v>
      </c>
      <c r="F333" t="s">
        <v>64</v>
      </c>
      <c r="G333">
        <v>19</v>
      </c>
      <c r="H333">
        <v>12</v>
      </c>
      <c r="I333">
        <v>0</v>
      </c>
      <c r="J333" t="s">
        <v>34</v>
      </c>
      <c r="K333" t="s">
        <v>65</v>
      </c>
      <c r="L333">
        <v>55</v>
      </c>
      <c r="M333">
        <v>99.646000000000001</v>
      </c>
      <c r="N333">
        <v>102.3533</v>
      </c>
      <c r="O333">
        <v>26.571999999999999</v>
      </c>
      <c r="P333">
        <v>39.831000000000003</v>
      </c>
      <c r="Q333">
        <v>33.232999999999997</v>
      </c>
      <c r="R333" t="s">
        <v>216</v>
      </c>
      <c r="S333" t="s">
        <v>83</v>
      </c>
      <c r="T333">
        <f>IF(TRIM(Table1[[#This Row],[PitStopLaps]])="",0,
LEN(Table1[[#This Row],[PitStopLaps]])-LEN(SUBSTITUTE(Table1[[#This Row],[PitStopLaps]],",",""))+1)</f>
        <v>2</v>
      </c>
      <c r="U333">
        <f>Table1[[#This Row],[StartPosition]]-Table1[[#This Row],[FinishPosition]]</f>
        <v>7</v>
      </c>
    </row>
    <row r="334" spans="1:21" x14ac:dyDescent="0.3">
      <c r="A334">
        <v>2018</v>
      </c>
      <c r="B334">
        <v>18</v>
      </c>
      <c r="C334" t="s">
        <v>214</v>
      </c>
      <c r="D334" t="s">
        <v>79</v>
      </c>
      <c r="E334" t="s">
        <v>80</v>
      </c>
      <c r="F334" t="s">
        <v>60</v>
      </c>
      <c r="G334">
        <v>14</v>
      </c>
      <c r="H334">
        <v>13</v>
      </c>
      <c r="I334">
        <v>0</v>
      </c>
      <c r="J334" t="s">
        <v>34</v>
      </c>
      <c r="K334" t="s">
        <v>65</v>
      </c>
      <c r="L334">
        <v>55</v>
      </c>
      <c r="M334">
        <v>100.52200000000001</v>
      </c>
      <c r="N334">
        <v>102.68164</v>
      </c>
      <c r="O334">
        <v>26.678999999999998</v>
      </c>
      <c r="P334">
        <v>39.917999999999999</v>
      </c>
      <c r="Q334">
        <v>33.512</v>
      </c>
      <c r="R334" t="s">
        <v>93</v>
      </c>
      <c r="S334" t="s">
        <v>83</v>
      </c>
      <c r="T334">
        <f>IF(TRIM(Table1[[#This Row],[PitStopLaps]])="",0,
LEN(Table1[[#This Row],[PitStopLaps]])-LEN(SUBSTITUTE(Table1[[#This Row],[PitStopLaps]],",",""))+1)</f>
        <v>2</v>
      </c>
      <c r="U334">
        <f>Table1[[#This Row],[StartPosition]]-Table1[[#This Row],[FinishPosition]]</f>
        <v>1</v>
      </c>
    </row>
    <row r="335" spans="1:21" x14ac:dyDescent="0.3">
      <c r="A335">
        <v>2018</v>
      </c>
      <c r="B335">
        <v>18</v>
      </c>
      <c r="C335" t="s">
        <v>214</v>
      </c>
      <c r="D335" t="s">
        <v>58</v>
      </c>
      <c r="E335" t="s">
        <v>59</v>
      </c>
      <c r="F335" t="s">
        <v>60</v>
      </c>
      <c r="G335">
        <v>15</v>
      </c>
      <c r="H335">
        <v>14</v>
      </c>
      <c r="I335">
        <v>0</v>
      </c>
      <c r="J335" t="s">
        <v>34</v>
      </c>
      <c r="K335" t="s">
        <v>127</v>
      </c>
      <c r="L335">
        <v>54</v>
      </c>
      <c r="M335">
        <v>100.43300000000001</v>
      </c>
      <c r="N335">
        <v>102.687521</v>
      </c>
      <c r="O335">
        <v>26.76</v>
      </c>
      <c r="P335">
        <v>39.802</v>
      </c>
      <c r="Q335">
        <v>33.804000000000002</v>
      </c>
      <c r="R335" t="s">
        <v>217</v>
      </c>
      <c r="S335" t="s">
        <v>83</v>
      </c>
      <c r="T335">
        <f>IF(TRIM(Table1[[#This Row],[PitStopLaps]])="",0,
LEN(Table1[[#This Row],[PitStopLaps]])-LEN(SUBSTITUTE(Table1[[#This Row],[PitStopLaps]],",",""))+1)</f>
        <v>3</v>
      </c>
      <c r="U335">
        <f>Table1[[#This Row],[StartPosition]]-Table1[[#This Row],[FinishPosition]]</f>
        <v>1</v>
      </c>
    </row>
    <row r="336" spans="1:21" x14ac:dyDescent="0.3">
      <c r="A336">
        <v>2018</v>
      </c>
      <c r="B336">
        <v>18</v>
      </c>
      <c r="C336" t="s">
        <v>214</v>
      </c>
      <c r="D336" t="s">
        <v>54</v>
      </c>
      <c r="E336" t="s">
        <v>55</v>
      </c>
      <c r="F336" t="s">
        <v>56</v>
      </c>
      <c r="G336">
        <v>9</v>
      </c>
      <c r="H336">
        <v>15</v>
      </c>
      <c r="I336">
        <v>0</v>
      </c>
      <c r="J336" t="s">
        <v>34</v>
      </c>
      <c r="K336" t="s">
        <v>109</v>
      </c>
      <c r="L336">
        <v>31</v>
      </c>
      <c r="M336">
        <v>101.982</v>
      </c>
      <c r="N336">
        <v>103.11469200000001</v>
      </c>
      <c r="O336">
        <v>27.202999999999999</v>
      </c>
      <c r="P336">
        <v>40.506</v>
      </c>
      <c r="Q336">
        <v>34.055</v>
      </c>
      <c r="R336" t="s">
        <v>196</v>
      </c>
      <c r="S336" t="s">
        <v>83</v>
      </c>
      <c r="T336">
        <f>IF(TRIM(Table1[[#This Row],[PitStopLaps]])="",0,
LEN(Table1[[#This Row],[PitStopLaps]])-LEN(SUBSTITUTE(Table1[[#This Row],[PitStopLaps]],",",""))+1)</f>
        <v>2</v>
      </c>
      <c r="U336">
        <f>Table1[[#This Row],[StartPosition]]-Table1[[#This Row],[FinishPosition]]</f>
        <v>-6</v>
      </c>
    </row>
    <row r="337" spans="1:21" x14ac:dyDescent="0.3">
      <c r="A337">
        <v>2018</v>
      </c>
      <c r="B337">
        <v>18</v>
      </c>
      <c r="C337" t="s">
        <v>214</v>
      </c>
      <c r="D337" t="s">
        <v>31</v>
      </c>
      <c r="E337" t="s">
        <v>32</v>
      </c>
      <c r="F337" t="s">
        <v>33</v>
      </c>
      <c r="G337">
        <v>4</v>
      </c>
      <c r="H337">
        <v>16</v>
      </c>
      <c r="I337">
        <v>0</v>
      </c>
      <c r="J337" t="s">
        <v>34</v>
      </c>
      <c r="K337" t="s">
        <v>218</v>
      </c>
      <c r="L337">
        <v>9</v>
      </c>
      <c r="M337">
        <v>100.93300000000001</v>
      </c>
      <c r="N337">
        <v>101.313714</v>
      </c>
      <c r="O337">
        <v>26.933</v>
      </c>
      <c r="P337">
        <v>40.145000000000003</v>
      </c>
      <c r="Q337">
        <v>33.590000000000003</v>
      </c>
      <c r="S337" t="s">
        <v>83</v>
      </c>
      <c r="T337">
        <f>IF(TRIM(Table1[[#This Row],[PitStopLaps]])="",0,
LEN(Table1[[#This Row],[PitStopLaps]])-LEN(SUBSTITUTE(Table1[[#This Row],[PitStopLaps]],",",""))+1)</f>
        <v>0</v>
      </c>
      <c r="U337">
        <f>Table1[[#This Row],[StartPosition]]-Table1[[#This Row],[FinishPosition]]</f>
        <v>-12</v>
      </c>
    </row>
    <row r="338" spans="1:21" x14ac:dyDescent="0.3">
      <c r="A338">
        <v>2018</v>
      </c>
      <c r="B338">
        <v>18</v>
      </c>
      <c r="C338" t="s">
        <v>214</v>
      </c>
      <c r="D338" t="s">
        <v>67</v>
      </c>
      <c r="E338" t="s">
        <v>68</v>
      </c>
      <c r="F338" t="s">
        <v>69</v>
      </c>
      <c r="G338">
        <v>8</v>
      </c>
      <c r="H338">
        <v>17</v>
      </c>
      <c r="I338">
        <v>0</v>
      </c>
      <c r="J338" t="s">
        <v>34</v>
      </c>
      <c r="K338" t="s">
        <v>109</v>
      </c>
      <c r="L338">
        <v>2</v>
      </c>
      <c r="R338" t="s">
        <v>219</v>
      </c>
      <c r="S338" t="s">
        <v>83</v>
      </c>
      <c r="T338">
        <f>IF(TRIM(Table1[[#This Row],[PitStopLaps]])="",0,
LEN(Table1[[#This Row],[PitStopLaps]])-LEN(SUBSTITUTE(Table1[[#This Row],[PitStopLaps]],",",""))+1)</f>
        <v>2</v>
      </c>
      <c r="U338">
        <f>Table1[[#This Row],[StartPosition]]-Table1[[#This Row],[FinishPosition]]</f>
        <v>-9</v>
      </c>
    </row>
    <row r="339" spans="1:21" x14ac:dyDescent="0.3">
      <c r="A339">
        <v>2018</v>
      </c>
      <c r="B339">
        <v>18</v>
      </c>
      <c r="C339" t="s">
        <v>214</v>
      </c>
      <c r="D339" t="s">
        <v>35</v>
      </c>
      <c r="E339" t="s">
        <v>36</v>
      </c>
      <c r="F339" t="s">
        <v>37</v>
      </c>
      <c r="G339">
        <v>13</v>
      </c>
      <c r="H339">
        <v>18</v>
      </c>
      <c r="I339">
        <v>0</v>
      </c>
      <c r="J339" t="s">
        <v>34</v>
      </c>
      <c r="K339" t="s">
        <v>124</v>
      </c>
      <c r="L339">
        <v>1</v>
      </c>
      <c r="R339">
        <v>1</v>
      </c>
      <c r="S339" t="s">
        <v>83</v>
      </c>
      <c r="T339">
        <f>IF(TRIM(Table1[[#This Row],[PitStopLaps]])="",0,
LEN(Table1[[#This Row],[PitStopLaps]])-LEN(SUBSTITUTE(Table1[[#This Row],[PitStopLaps]],",",""))+1)</f>
        <v>1</v>
      </c>
      <c r="U339">
        <f>Table1[[#This Row],[StartPosition]]-Table1[[#This Row],[FinishPosition]]</f>
        <v>-5</v>
      </c>
    </row>
    <row r="340" spans="1:21" x14ac:dyDescent="0.3">
      <c r="A340">
        <v>2018</v>
      </c>
      <c r="B340">
        <v>18</v>
      </c>
      <c r="C340" t="s">
        <v>214</v>
      </c>
      <c r="D340" t="s">
        <v>52</v>
      </c>
      <c r="E340" t="s">
        <v>53</v>
      </c>
      <c r="F340" t="s">
        <v>192</v>
      </c>
      <c r="G340">
        <v>6</v>
      </c>
      <c r="H340">
        <v>19</v>
      </c>
      <c r="I340">
        <v>0</v>
      </c>
      <c r="J340" t="s">
        <v>34</v>
      </c>
      <c r="K340" t="s">
        <v>220</v>
      </c>
      <c r="L340">
        <v>56</v>
      </c>
      <c r="M340">
        <v>99.992000000000004</v>
      </c>
      <c r="N340">
        <v>101.46321500000001</v>
      </c>
      <c r="O340">
        <v>26.521999999999998</v>
      </c>
      <c r="P340">
        <v>39.65</v>
      </c>
      <c r="Q340">
        <v>33.667999999999999</v>
      </c>
      <c r="R340">
        <v>22</v>
      </c>
      <c r="S340" t="s">
        <v>83</v>
      </c>
      <c r="T340">
        <f>IF(TRIM(Table1[[#This Row],[PitStopLaps]])="",0,
LEN(Table1[[#This Row],[PitStopLaps]])-LEN(SUBSTITUTE(Table1[[#This Row],[PitStopLaps]],",",""))+1)</f>
        <v>1</v>
      </c>
      <c r="U340">
        <f>Table1[[#This Row],[StartPosition]]-Table1[[#This Row],[FinishPosition]]</f>
        <v>-13</v>
      </c>
    </row>
    <row r="341" spans="1:21" x14ac:dyDescent="0.3">
      <c r="A341">
        <v>2018</v>
      </c>
      <c r="B341">
        <v>18</v>
      </c>
      <c r="C341" t="s">
        <v>214</v>
      </c>
      <c r="D341" t="s">
        <v>71</v>
      </c>
      <c r="E341" t="s">
        <v>72</v>
      </c>
      <c r="F341" t="s">
        <v>69</v>
      </c>
      <c r="G341">
        <v>12</v>
      </c>
      <c r="H341">
        <v>20</v>
      </c>
      <c r="I341">
        <v>0</v>
      </c>
      <c r="J341" t="s">
        <v>34</v>
      </c>
      <c r="K341" t="s">
        <v>220</v>
      </c>
      <c r="L341">
        <v>56</v>
      </c>
      <c r="M341">
        <v>98.962999999999994</v>
      </c>
      <c r="N341">
        <v>101.499686</v>
      </c>
      <c r="O341">
        <v>26.411000000000001</v>
      </c>
      <c r="P341">
        <v>39.484999999999999</v>
      </c>
      <c r="Q341">
        <v>32.972000000000001</v>
      </c>
      <c r="R341">
        <v>30</v>
      </c>
      <c r="S341" t="s">
        <v>83</v>
      </c>
      <c r="T341">
        <f>IF(TRIM(Table1[[#This Row],[PitStopLaps]])="",0,
LEN(Table1[[#This Row],[PitStopLaps]])-LEN(SUBSTITUTE(Table1[[#This Row],[PitStopLaps]],",",""))+1)</f>
        <v>1</v>
      </c>
      <c r="U341">
        <f>Table1[[#This Row],[StartPosition]]-Table1[[#This Row],[FinishPosition]]</f>
        <v>-8</v>
      </c>
    </row>
    <row r="342" spans="1:21" x14ac:dyDescent="0.3">
      <c r="A342">
        <v>2018</v>
      </c>
      <c r="B342">
        <v>19</v>
      </c>
      <c r="C342" t="s">
        <v>221</v>
      </c>
      <c r="D342" t="s">
        <v>38</v>
      </c>
      <c r="E342" t="s">
        <v>39</v>
      </c>
      <c r="F342" t="s">
        <v>33</v>
      </c>
      <c r="G342">
        <v>2</v>
      </c>
      <c r="H342">
        <v>1</v>
      </c>
      <c r="I342">
        <v>25</v>
      </c>
      <c r="J342" t="s">
        <v>23</v>
      </c>
      <c r="K342" t="s">
        <v>24</v>
      </c>
      <c r="L342">
        <v>71</v>
      </c>
      <c r="M342">
        <v>79.186000000000007</v>
      </c>
      <c r="N342">
        <v>80.914169000000001</v>
      </c>
      <c r="O342">
        <v>28.01</v>
      </c>
      <c r="P342">
        <v>30.433</v>
      </c>
      <c r="Q342">
        <v>20.248000000000001</v>
      </c>
      <c r="R342" t="s">
        <v>222</v>
      </c>
      <c r="S342" t="s">
        <v>83</v>
      </c>
      <c r="T342">
        <f>IF(TRIM(Table1[[#This Row],[PitStopLaps]])="",0,
LEN(Table1[[#This Row],[PitStopLaps]])-LEN(SUBSTITUTE(Table1[[#This Row],[PitStopLaps]],",",""))+1)</f>
        <v>2</v>
      </c>
      <c r="U342">
        <f>Table1[[#This Row],[StartPosition]]-Table1[[#This Row],[FinishPosition]]</f>
        <v>1</v>
      </c>
    </row>
    <row r="343" spans="1:21" x14ac:dyDescent="0.3">
      <c r="A343">
        <v>2018</v>
      </c>
      <c r="B343">
        <v>19</v>
      </c>
      <c r="C343" t="s">
        <v>221</v>
      </c>
      <c r="D343" t="s">
        <v>20</v>
      </c>
      <c r="E343" t="s">
        <v>21</v>
      </c>
      <c r="F343" t="s">
        <v>22</v>
      </c>
      <c r="G343">
        <v>4</v>
      </c>
      <c r="H343">
        <v>2</v>
      </c>
      <c r="I343">
        <v>18</v>
      </c>
      <c r="J343" t="s">
        <v>23</v>
      </c>
      <c r="K343" t="s">
        <v>24</v>
      </c>
      <c r="L343">
        <v>71</v>
      </c>
      <c r="M343">
        <v>79.522000000000006</v>
      </c>
      <c r="N343">
        <v>81.151212999999998</v>
      </c>
      <c r="O343">
        <v>27.904</v>
      </c>
      <c r="P343">
        <v>30.852</v>
      </c>
      <c r="Q343">
        <v>20.53</v>
      </c>
      <c r="R343" t="s">
        <v>223</v>
      </c>
      <c r="S343" t="s">
        <v>83</v>
      </c>
      <c r="T343">
        <f>IF(TRIM(Table1[[#This Row],[PitStopLaps]])="",0,
LEN(Table1[[#This Row],[PitStopLaps]])-LEN(SUBSTITUTE(Table1[[#This Row],[PitStopLaps]],",",""))+1)</f>
        <v>2</v>
      </c>
      <c r="U343">
        <f>Table1[[#This Row],[StartPosition]]-Table1[[#This Row],[FinishPosition]]</f>
        <v>2</v>
      </c>
    </row>
    <row r="344" spans="1:21" x14ac:dyDescent="0.3">
      <c r="A344">
        <v>2018</v>
      </c>
      <c r="B344">
        <v>19</v>
      </c>
      <c r="C344" t="s">
        <v>221</v>
      </c>
      <c r="D344" t="s">
        <v>29</v>
      </c>
      <c r="E344" t="s">
        <v>30</v>
      </c>
      <c r="F344" t="s">
        <v>22</v>
      </c>
      <c r="G344">
        <v>6</v>
      </c>
      <c r="H344">
        <v>3</v>
      </c>
      <c r="I344">
        <v>15</v>
      </c>
      <c r="J344" t="s">
        <v>23</v>
      </c>
      <c r="K344" t="s">
        <v>24</v>
      </c>
      <c r="L344">
        <v>71</v>
      </c>
      <c r="M344">
        <v>80.334000000000003</v>
      </c>
      <c r="N344">
        <v>81.849644999999995</v>
      </c>
      <c r="O344">
        <v>27.79</v>
      </c>
      <c r="P344">
        <v>31.34</v>
      </c>
      <c r="Q344">
        <v>20.701000000000001</v>
      </c>
      <c r="R344">
        <v>17</v>
      </c>
      <c r="S344" t="s">
        <v>83</v>
      </c>
      <c r="T344">
        <f>IF(TRIM(Table1[[#This Row],[PitStopLaps]])="",0,
LEN(Table1[[#This Row],[PitStopLaps]])-LEN(SUBSTITUTE(Table1[[#This Row],[PitStopLaps]],",",""))+1)</f>
        <v>1</v>
      </c>
      <c r="U344">
        <f>Table1[[#This Row],[StartPosition]]-Table1[[#This Row],[FinishPosition]]</f>
        <v>3</v>
      </c>
    </row>
    <row r="345" spans="1:21" x14ac:dyDescent="0.3">
      <c r="A345">
        <v>2018</v>
      </c>
      <c r="B345">
        <v>19</v>
      </c>
      <c r="C345" t="s">
        <v>221</v>
      </c>
      <c r="D345" t="s">
        <v>26</v>
      </c>
      <c r="E345" t="s">
        <v>27</v>
      </c>
      <c r="F345" t="s">
        <v>28</v>
      </c>
      <c r="G345">
        <v>3</v>
      </c>
      <c r="H345">
        <v>4</v>
      </c>
      <c r="I345">
        <v>12</v>
      </c>
      <c r="J345" t="s">
        <v>34</v>
      </c>
      <c r="K345" t="s">
        <v>24</v>
      </c>
      <c r="L345">
        <v>71</v>
      </c>
      <c r="M345">
        <v>80.727999999999994</v>
      </c>
      <c r="N345">
        <v>82.098639000000006</v>
      </c>
      <c r="O345">
        <v>28.306999999999999</v>
      </c>
      <c r="P345">
        <v>31.291</v>
      </c>
      <c r="Q345">
        <v>20.707000000000001</v>
      </c>
      <c r="R345" t="s">
        <v>224</v>
      </c>
      <c r="S345" t="s">
        <v>83</v>
      </c>
      <c r="T345">
        <f>IF(TRIM(Table1[[#This Row],[PitStopLaps]])="",0,
LEN(Table1[[#This Row],[PitStopLaps]])-LEN(SUBSTITUTE(Table1[[#This Row],[PitStopLaps]],",",""))+1)</f>
        <v>2</v>
      </c>
      <c r="U345">
        <f>Table1[[#This Row],[StartPosition]]-Table1[[#This Row],[FinishPosition]]</f>
        <v>-1</v>
      </c>
    </row>
    <row r="346" spans="1:21" x14ac:dyDescent="0.3">
      <c r="A346">
        <v>2018</v>
      </c>
      <c r="B346">
        <v>19</v>
      </c>
      <c r="C346" t="s">
        <v>221</v>
      </c>
      <c r="D346" t="s">
        <v>43</v>
      </c>
      <c r="E346" t="s">
        <v>44</v>
      </c>
      <c r="F346" t="s">
        <v>28</v>
      </c>
      <c r="G346">
        <v>5</v>
      </c>
      <c r="H346">
        <v>5</v>
      </c>
      <c r="I346">
        <v>10</v>
      </c>
      <c r="J346" t="s">
        <v>34</v>
      </c>
      <c r="K346" t="s">
        <v>65</v>
      </c>
      <c r="L346">
        <v>70</v>
      </c>
      <c r="M346">
        <v>78.741</v>
      </c>
      <c r="N346">
        <v>81.924327000000005</v>
      </c>
      <c r="O346">
        <v>28.282</v>
      </c>
      <c r="P346">
        <v>30.053999999999998</v>
      </c>
      <c r="Q346">
        <v>20.221</v>
      </c>
      <c r="R346" t="s">
        <v>225</v>
      </c>
      <c r="S346" t="s">
        <v>83</v>
      </c>
      <c r="T346">
        <f>IF(TRIM(Table1[[#This Row],[PitStopLaps]])="",0,
LEN(Table1[[#This Row],[PitStopLaps]])-LEN(SUBSTITUTE(Table1[[#This Row],[PitStopLaps]],",",""))+1)</f>
        <v>3</v>
      </c>
      <c r="U346">
        <f>Table1[[#This Row],[StartPosition]]-Table1[[#This Row],[FinishPosition]]</f>
        <v>0</v>
      </c>
    </row>
    <row r="347" spans="1:21" x14ac:dyDescent="0.3">
      <c r="A347">
        <v>2018</v>
      </c>
      <c r="B347">
        <v>19</v>
      </c>
      <c r="C347" t="s">
        <v>221</v>
      </c>
      <c r="D347" t="s">
        <v>40</v>
      </c>
      <c r="E347" t="s">
        <v>41</v>
      </c>
      <c r="F347" t="s">
        <v>42</v>
      </c>
      <c r="G347">
        <v>7</v>
      </c>
      <c r="H347">
        <v>6</v>
      </c>
      <c r="I347">
        <v>8</v>
      </c>
      <c r="J347" t="s">
        <v>34</v>
      </c>
      <c r="K347" t="s">
        <v>127</v>
      </c>
      <c r="L347">
        <v>69</v>
      </c>
      <c r="M347">
        <v>80.637</v>
      </c>
      <c r="N347">
        <v>84.005166000000003</v>
      </c>
      <c r="O347">
        <v>28.309000000000001</v>
      </c>
      <c r="P347">
        <v>31.189</v>
      </c>
      <c r="Q347">
        <v>20.736000000000001</v>
      </c>
      <c r="R347">
        <v>12</v>
      </c>
      <c r="S347" t="s">
        <v>83</v>
      </c>
      <c r="T347">
        <f>IF(TRIM(Table1[[#This Row],[PitStopLaps]])="",0,
LEN(Table1[[#This Row],[PitStopLaps]])-LEN(SUBSTITUTE(Table1[[#This Row],[PitStopLaps]],",",""))+1)</f>
        <v>1</v>
      </c>
      <c r="U347">
        <f>Table1[[#This Row],[StartPosition]]-Table1[[#This Row],[FinishPosition]]</f>
        <v>1</v>
      </c>
    </row>
    <row r="348" spans="1:21" x14ac:dyDescent="0.3">
      <c r="A348">
        <v>2018</v>
      </c>
      <c r="B348">
        <v>19</v>
      </c>
      <c r="C348" t="s">
        <v>221</v>
      </c>
      <c r="D348" t="s">
        <v>54</v>
      </c>
      <c r="E348" t="s">
        <v>55</v>
      </c>
      <c r="F348" t="s">
        <v>56</v>
      </c>
      <c r="G348">
        <v>9</v>
      </c>
      <c r="H348">
        <v>7</v>
      </c>
      <c r="I348">
        <v>6</v>
      </c>
      <c r="J348" t="s">
        <v>34</v>
      </c>
      <c r="K348" t="s">
        <v>127</v>
      </c>
      <c r="L348">
        <v>69</v>
      </c>
      <c r="M348">
        <v>80.537000000000006</v>
      </c>
      <c r="N348">
        <v>84.175015999999999</v>
      </c>
      <c r="O348">
        <v>28.256</v>
      </c>
      <c r="P348">
        <v>31.244</v>
      </c>
      <c r="Q348">
        <v>20.771999999999998</v>
      </c>
      <c r="R348">
        <v>13</v>
      </c>
      <c r="S348" t="s">
        <v>83</v>
      </c>
      <c r="T348">
        <f>IF(TRIM(Table1[[#This Row],[PitStopLaps]])="",0,
LEN(Table1[[#This Row],[PitStopLaps]])-LEN(SUBSTITUTE(Table1[[#This Row],[PitStopLaps]],",",""))+1)</f>
        <v>1</v>
      </c>
      <c r="U348">
        <f>Table1[[#This Row],[StartPosition]]-Table1[[#This Row],[FinishPosition]]</f>
        <v>2</v>
      </c>
    </row>
    <row r="349" spans="1:21" x14ac:dyDescent="0.3">
      <c r="A349">
        <v>2018</v>
      </c>
      <c r="B349">
        <v>19</v>
      </c>
      <c r="C349" t="s">
        <v>221</v>
      </c>
      <c r="D349" t="s">
        <v>45</v>
      </c>
      <c r="E349" t="s">
        <v>46</v>
      </c>
      <c r="F349" t="s">
        <v>37</v>
      </c>
      <c r="G349">
        <v>15</v>
      </c>
      <c r="H349">
        <v>8</v>
      </c>
      <c r="I349">
        <v>4</v>
      </c>
      <c r="J349" t="s">
        <v>34</v>
      </c>
      <c r="K349" t="s">
        <v>127</v>
      </c>
      <c r="L349">
        <v>69</v>
      </c>
      <c r="M349">
        <v>81.921000000000006</v>
      </c>
      <c r="N349">
        <v>84.348416</v>
      </c>
      <c r="O349">
        <v>28.390999999999998</v>
      </c>
      <c r="P349">
        <v>31.858000000000001</v>
      </c>
      <c r="Q349">
        <v>21.209</v>
      </c>
      <c r="R349">
        <v>12</v>
      </c>
      <c r="S349" t="s">
        <v>83</v>
      </c>
      <c r="T349">
        <f>IF(TRIM(Table1[[#This Row],[PitStopLaps]])="",0,
LEN(Table1[[#This Row],[PitStopLaps]])-LEN(SUBSTITUTE(Table1[[#This Row],[PitStopLaps]],",",""))+1)</f>
        <v>1</v>
      </c>
      <c r="U349">
        <f>Table1[[#This Row],[StartPosition]]-Table1[[#This Row],[FinishPosition]]</f>
        <v>7</v>
      </c>
    </row>
    <row r="350" spans="1:21" x14ac:dyDescent="0.3">
      <c r="A350">
        <v>2018</v>
      </c>
      <c r="B350">
        <v>19</v>
      </c>
      <c r="C350" t="s">
        <v>221</v>
      </c>
      <c r="D350" t="s">
        <v>76</v>
      </c>
      <c r="E350" t="s">
        <v>77</v>
      </c>
      <c r="F350" t="s">
        <v>56</v>
      </c>
      <c r="G350">
        <v>10</v>
      </c>
      <c r="H350">
        <v>9</v>
      </c>
      <c r="I350">
        <v>2</v>
      </c>
      <c r="J350" t="s">
        <v>34</v>
      </c>
      <c r="K350" t="s">
        <v>127</v>
      </c>
      <c r="L350">
        <v>69</v>
      </c>
      <c r="M350">
        <v>82.44</v>
      </c>
      <c r="N350">
        <v>84.490049999999997</v>
      </c>
      <c r="O350">
        <v>28.472999999999999</v>
      </c>
      <c r="P350">
        <v>32.273000000000003</v>
      </c>
      <c r="Q350">
        <v>21.221</v>
      </c>
      <c r="R350">
        <v>16</v>
      </c>
      <c r="S350" t="s">
        <v>83</v>
      </c>
      <c r="T350">
        <f>IF(TRIM(Table1[[#This Row],[PitStopLaps]])="",0,
LEN(Table1[[#This Row],[PitStopLaps]])-LEN(SUBSTITUTE(Table1[[#This Row],[PitStopLaps]],",",""))+1)</f>
        <v>1</v>
      </c>
      <c r="U350">
        <f>Table1[[#This Row],[StartPosition]]-Table1[[#This Row],[FinishPosition]]</f>
        <v>1</v>
      </c>
    </row>
    <row r="351" spans="1:21" x14ac:dyDescent="0.3">
      <c r="A351">
        <v>2018</v>
      </c>
      <c r="B351">
        <v>19</v>
      </c>
      <c r="C351" t="s">
        <v>221</v>
      </c>
      <c r="D351" t="s">
        <v>73</v>
      </c>
      <c r="E351" t="s">
        <v>74</v>
      </c>
      <c r="F351" t="s">
        <v>64</v>
      </c>
      <c r="G351">
        <v>20</v>
      </c>
      <c r="H351">
        <v>10</v>
      </c>
      <c r="I351">
        <v>1</v>
      </c>
      <c r="J351" t="s">
        <v>34</v>
      </c>
      <c r="K351" t="s">
        <v>127</v>
      </c>
      <c r="L351">
        <v>69</v>
      </c>
      <c r="M351">
        <v>82.754999999999995</v>
      </c>
      <c r="N351">
        <v>84.235812999999993</v>
      </c>
      <c r="O351">
        <v>28.593</v>
      </c>
      <c r="P351">
        <v>32.286000000000001</v>
      </c>
      <c r="Q351">
        <v>21.259</v>
      </c>
      <c r="R351" t="s">
        <v>226</v>
      </c>
      <c r="S351" t="s">
        <v>83</v>
      </c>
      <c r="T351">
        <f>IF(TRIM(Table1[[#This Row],[PitStopLaps]])="",0,
LEN(Table1[[#This Row],[PitStopLaps]])-LEN(SUBSTITUTE(Table1[[#This Row],[PitStopLaps]],",",""))+1)</f>
        <v>2</v>
      </c>
      <c r="U351">
        <f>Table1[[#This Row],[StartPosition]]-Table1[[#This Row],[FinishPosition]]</f>
        <v>10</v>
      </c>
    </row>
    <row r="352" spans="1:21" x14ac:dyDescent="0.3">
      <c r="A352">
        <v>2018</v>
      </c>
      <c r="B352">
        <v>19</v>
      </c>
      <c r="C352" t="s">
        <v>221</v>
      </c>
      <c r="D352" t="s">
        <v>52</v>
      </c>
      <c r="E352" t="s">
        <v>53</v>
      </c>
      <c r="F352" t="s">
        <v>192</v>
      </c>
      <c r="G352">
        <v>11</v>
      </c>
      <c r="H352">
        <v>11</v>
      </c>
      <c r="I352">
        <v>0</v>
      </c>
      <c r="J352" t="s">
        <v>34</v>
      </c>
      <c r="K352" t="s">
        <v>127</v>
      </c>
      <c r="L352">
        <v>69</v>
      </c>
      <c r="M352">
        <v>82.629000000000005</v>
      </c>
      <c r="N352">
        <v>84.490183000000002</v>
      </c>
      <c r="O352">
        <v>28.686</v>
      </c>
      <c r="P352">
        <v>32.357999999999997</v>
      </c>
      <c r="Q352">
        <v>21.283999999999999</v>
      </c>
      <c r="R352" t="s">
        <v>227</v>
      </c>
      <c r="S352" t="s">
        <v>83</v>
      </c>
      <c r="T352">
        <f>IF(TRIM(Table1[[#This Row],[PitStopLaps]])="",0,
LEN(Table1[[#This Row],[PitStopLaps]])-LEN(SUBSTITUTE(Table1[[#This Row],[PitStopLaps]],",",""))+1)</f>
        <v>2</v>
      </c>
      <c r="U352">
        <f>Table1[[#This Row],[StartPosition]]-Table1[[#This Row],[FinishPosition]]</f>
        <v>0</v>
      </c>
    </row>
    <row r="353" spans="1:21" x14ac:dyDescent="0.3">
      <c r="A353">
        <v>2018</v>
      </c>
      <c r="B353">
        <v>19</v>
      </c>
      <c r="C353" t="s">
        <v>221</v>
      </c>
      <c r="D353" t="s">
        <v>58</v>
      </c>
      <c r="E353" t="s">
        <v>59</v>
      </c>
      <c r="F353" t="s">
        <v>60</v>
      </c>
      <c r="G353">
        <v>17</v>
      </c>
      <c r="H353">
        <v>12</v>
      </c>
      <c r="I353">
        <v>0</v>
      </c>
      <c r="J353" t="s">
        <v>34</v>
      </c>
      <c r="K353" t="s">
        <v>127</v>
      </c>
      <c r="L353">
        <v>69</v>
      </c>
      <c r="M353">
        <v>82.983000000000004</v>
      </c>
      <c r="N353">
        <v>84.365948000000003</v>
      </c>
      <c r="O353">
        <v>28.847999999999999</v>
      </c>
      <c r="P353">
        <v>32.412999999999997</v>
      </c>
      <c r="Q353">
        <v>21.385999999999999</v>
      </c>
      <c r="R353" t="s">
        <v>228</v>
      </c>
      <c r="S353" t="s">
        <v>83</v>
      </c>
      <c r="T353">
        <f>IF(TRIM(Table1[[#This Row],[PitStopLaps]])="",0,
LEN(Table1[[#This Row],[PitStopLaps]])-LEN(SUBSTITUTE(Table1[[#This Row],[PitStopLaps]],",",""))+1)</f>
        <v>2</v>
      </c>
      <c r="U353">
        <f>Table1[[#This Row],[StartPosition]]-Table1[[#This Row],[FinishPosition]]</f>
        <v>5</v>
      </c>
    </row>
    <row r="354" spans="1:21" x14ac:dyDescent="0.3">
      <c r="A354">
        <v>2018</v>
      </c>
      <c r="B354">
        <v>19</v>
      </c>
      <c r="C354" t="s">
        <v>221</v>
      </c>
      <c r="D354" t="s">
        <v>79</v>
      </c>
      <c r="E354" t="s">
        <v>80</v>
      </c>
      <c r="F354" t="s">
        <v>60</v>
      </c>
      <c r="G354">
        <v>19</v>
      </c>
      <c r="H354">
        <v>13</v>
      </c>
      <c r="I354">
        <v>0</v>
      </c>
      <c r="J354" t="s">
        <v>34</v>
      </c>
      <c r="K354" t="s">
        <v>127</v>
      </c>
      <c r="L354">
        <v>69</v>
      </c>
      <c r="M354">
        <v>82.64</v>
      </c>
      <c r="N354">
        <v>84.693650000000005</v>
      </c>
      <c r="O354">
        <v>28.788</v>
      </c>
      <c r="P354">
        <v>32.448</v>
      </c>
      <c r="Q354">
        <v>21.404</v>
      </c>
      <c r="R354">
        <v>11</v>
      </c>
      <c r="S354" t="s">
        <v>83</v>
      </c>
      <c r="T354">
        <f>IF(TRIM(Table1[[#This Row],[PitStopLaps]])="",0,
LEN(Table1[[#This Row],[PitStopLaps]])-LEN(SUBSTITUTE(Table1[[#This Row],[PitStopLaps]],",",""))+1)</f>
        <v>1</v>
      </c>
      <c r="U354">
        <f>Table1[[#This Row],[StartPosition]]-Table1[[#This Row],[FinishPosition]]</f>
        <v>6</v>
      </c>
    </row>
    <row r="355" spans="1:21" x14ac:dyDescent="0.3">
      <c r="A355">
        <v>2018</v>
      </c>
      <c r="B355">
        <v>19</v>
      </c>
      <c r="C355" t="s">
        <v>221</v>
      </c>
      <c r="D355" t="s">
        <v>62</v>
      </c>
      <c r="E355" t="s">
        <v>63</v>
      </c>
      <c r="F355" t="s">
        <v>64</v>
      </c>
      <c r="G355">
        <v>14</v>
      </c>
      <c r="H355">
        <v>14</v>
      </c>
      <c r="I355">
        <v>0</v>
      </c>
      <c r="J355" t="s">
        <v>34</v>
      </c>
      <c r="K355" t="s">
        <v>127</v>
      </c>
      <c r="L355">
        <v>69</v>
      </c>
      <c r="M355">
        <v>82.438000000000002</v>
      </c>
      <c r="N355">
        <v>84.400999999999996</v>
      </c>
      <c r="O355">
        <v>28.82</v>
      </c>
      <c r="P355">
        <v>32.082000000000001</v>
      </c>
      <c r="Q355">
        <v>21.091999999999999</v>
      </c>
      <c r="R355" t="s">
        <v>194</v>
      </c>
      <c r="S355" t="s">
        <v>83</v>
      </c>
      <c r="T355">
        <f>IF(TRIM(Table1[[#This Row],[PitStopLaps]])="",0,
LEN(Table1[[#This Row],[PitStopLaps]])-LEN(SUBSTITUTE(Table1[[#This Row],[PitStopLaps]],",",""))+1)</f>
        <v>2</v>
      </c>
      <c r="U355">
        <f>Table1[[#This Row],[StartPosition]]-Table1[[#This Row],[FinishPosition]]</f>
        <v>0</v>
      </c>
    </row>
    <row r="356" spans="1:21" x14ac:dyDescent="0.3">
      <c r="A356">
        <v>2018</v>
      </c>
      <c r="B356">
        <v>19</v>
      </c>
      <c r="C356" t="s">
        <v>221</v>
      </c>
      <c r="D356" t="s">
        <v>71</v>
      </c>
      <c r="E356" t="s">
        <v>72</v>
      </c>
      <c r="F356" t="s">
        <v>69</v>
      </c>
      <c r="G356">
        <v>16</v>
      </c>
      <c r="H356">
        <v>15</v>
      </c>
      <c r="I356">
        <v>0</v>
      </c>
      <c r="J356" t="s">
        <v>34</v>
      </c>
      <c r="K356" t="s">
        <v>127</v>
      </c>
      <c r="L356">
        <v>69</v>
      </c>
      <c r="M356">
        <v>81.873999999999995</v>
      </c>
      <c r="N356">
        <v>84.902687999999998</v>
      </c>
      <c r="O356">
        <v>28.556000000000001</v>
      </c>
      <c r="P356">
        <v>31.937999999999999</v>
      </c>
      <c r="Q356">
        <v>21.257000000000001</v>
      </c>
      <c r="R356">
        <v>43</v>
      </c>
      <c r="S356" t="s">
        <v>83</v>
      </c>
      <c r="T356">
        <f>IF(TRIM(Table1[[#This Row],[PitStopLaps]])="",0,
LEN(Table1[[#This Row],[PitStopLaps]])-LEN(SUBSTITUTE(Table1[[#This Row],[PitStopLaps]],",",""))+1)</f>
        <v>1</v>
      </c>
      <c r="U356">
        <f>Table1[[#This Row],[StartPosition]]-Table1[[#This Row],[FinishPosition]]</f>
        <v>1</v>
      </c>
    </row>
    <row r="357" spans="1:21" x14ac:dyDescent="0.3">
      <c r="A357">
        <v>2018</v>
      </c>
      <c r="B357">
        <v>19</v>
      </c>
      <c r="C357" t="s">
        <v>221</v>
      </c>
      <c r="D357" t="s">
        <v>67</v>
      </c>
      <c r="E357" t="s">
        <v>68</v>
      </c>
      <c r="F357" t="s">
        <v>69</v>
      </c>
      <c r="G357">
        <v>18</v>
      </c>
      <c r="H357">
        <v>16</v>
      </c>
      <c r="I357">
        <v>0</v>
      </c>
      <c r="J357" t="s">
        <v>34</v>
      </c>
      <c r="K357" t="s">
        <v>130</v>
      </c>
      <c r="L357">
        <v>68</v>
      </c>
      <c r="M357">
        <v>81.37</v>
      </c>
      <c r="N357">
        <v>84.699166000000005</v>
      </c>
      <c r="O357">
        <v>28.652000000000001</v>
      </c>
      <c r="P357">
        <v>31.614000000000001</v>
      </c>
      <c r="Q357">
        <v>20.991</v>
      </c>
      <c r="R357" t="s">
        <v>229</v>
      </c>
      <c r="S357" t="s">
        <v>83</v>
      </c>
      <c r="T357">
        <f>IF(TRIM(Table1[[#This Row],[PitStopLaps]])="",0,
LEN(Table1[[#This Row],[PitStopLaps]])-LEN(SUBSTITUTE(Table1[[#This Row],[PitStopLaps]],",",""))+1)</f>
        <v>2</v>
      </c>
      <c r="U357">
        <f>Table1[[#This Row],[StartPosition]]-Table1[[#This Row],[FinishPosition]]</f>
        <v>2</v>
      </c>
    </row>
    <row r="358" spans="1:21" x14ac:dyDescent="0.3">
      <c r="A358">
        <v>2018</v>
      </c>
      <c r="B358">
        <v>19</v>
      </c>
      <c r="C358" t="s">
        <v>221</v>
      </c>
      <c r="D358" t="s">
        <v>31</v>
      </c>
      <c r="E358" t="s">
        <v>32</v>
      </c>
      <c r="F358" t="s">
        <v>33</v>
      </c>
      <c r="G358">
        <v>1</v>
      </c>
      <c r="H358">
        <v>17</v>
      </c>
      <c r="I358">
        <v>0</v>
      </c>
      <c r="J358" t="s">
        <v>34</v>
      </c>
      <c r="K358" t="s">
        <v>75</v>
      </c>
      <c r="L358">
        <v>62</v>
      </c>
      <c r="M358">
        <v>79.462000000000003</v>
      </c>
      <c r="N358">
        <v>81.596689999999995</v>
      </c>
      <c r="O358">
        <v>27.943000000000001</v>
      </c>
      <c r="P358">
        <v>30.919</v>
      </c>
      <c r="Q358">
        <v>20.594999999999999</v>
      </c>
      <c r="R358">
        <v>12</v>
      </c>
      <c r="S358" t="s">
        <v>83</v>
      </c>
      <c r="T358">
        <f>IF(TRIM(Table1[[#This Row],[PitStopLaps]])="",0,
LEN(Table1[[#This Row],[PitStopLaps]])-LEN(SUBSTITUTE(Table1[[#This Row],[PitStopLaps]],",",""))+1)</f>
        <v>1</v>
      </c>
      <c r="U358">
        <f>Table1[[#This Row],[StartPosition]]-Table1[[#This Row],[FinishPosition]]</f>
        <v>-16</v>
      </c>
    </row>
    <row r="359" spans="1:21" x14ac:dyDescent="0.3">
      <c r="A359">
        <v>2018</v>
      </c>
      <c r="B359">
        <v>19</v>
      </c>
      <c r="C359" t="s">
        <v>221</v>
      </c>
      <c r="D359" t="s">
        <v>49</v>
      </c>
      <c r="E359" t="s">
        <v>50</v>
      </c>
      <c r="F359" t="s">
        <v>192</v>
      </c>
      <c r="G359">
        <v>13</v>
      </c>
      <c r="H359">
        <v>18</v>
      </c>
      <c r="I359">
        <v>0</v>
      </c>
      <c r="J359" t="s">
        <v>34</v>
      </c>
      <c r="K359" t="s">
        <v>81</v>
      </c>
      <c r="L359">
        <v>38</v>
      </c>
      <c r="M359">
        <v>83.545000000000002</v>
      </c>
      <c r="N359">
        <v>84.774636000000001</v>
      </c>
      <c r="O359">
        <v>28.395</v>
      </c>
      <c r="P359">
        <v>32.674999999999997</v>
      </c>
      <c r="Q359">
        <v>21.436</v>
      </c>
      <c r="R359" t="s">
        <v>230</v>
      </c>
      <c r="S359" t="s">
        <v>83</v>
      </c>
      <c r="T359">
        <f>IF(TRIM(Table1[[#This Row],[PitStopLaps]])="",0,
LEN(Table1[[#This Row],[PitStopLaps]])-LEN(SUBSTITUTE(Table1[[#This Row],[PitStopLaps]],",",""))+1)</f>
        <v>2</v>
      </c>
      <c r="U359">
        <f>Table1[[#This Row],[StartPosition]]-Table1[[#This Row],[FinishPosition]]</f>
        <v>-5</v>
      </c>
    </row>
    <row r="360" spans="1:21" x14ac:dyDescent="0.3">
      <c r="A360">
        <v>2018</v>
      </c>
      <c r="B360">
        <v>19</v>
      </c>
      <c r="C360" t="s">
        <v>221</v>
      </c>
      <c r="D360" t="s">
        <v>47</v>
      </c>
      <c r="E360" t="s">
        <v>48</v>
      </c>
      <c r="F360" t="s">
        <v>42</v>
      </c>
      <c r="G360">
        <v>8</v>
      </c>
      <c r="H360">
        <v>19</v>
      </c>
      <c r="I360">
        <v>0</v>
      </c>
      <c r="J360" t="s">
        <v>34</v>
      </c>
      <c r="K360" t="s">
        <v>187</v>
      </c>
      <c r="L360">
        <v>29</v>
      </c>
      <c r="M360">
        <v>82.385999999999996</v>
      </c>
      <c r="N360">
        <v>84.141790999999998</v>
      </c>
      <c r="O360">
        <v>28.798999999999999</v>
      </c>
      <c r="P360">
        <v>32.271000000000001</v>
      </c>
      <c r="Q360">
        <v>21.13</v>
      </c>
      <c r="R360">
        <v>11</v>
      </c>
      <c r="S360" t="s">
        <v>83</v>
      </c>
      <c r="T360">
        <f>IF(TRIM(Table1[[#This Row],[PitStopLaps]])="",0,
LEN(Table1[[#This Row],[PitStopLaps]])-LEN(SUBSTITUTE(Table1[[#This Row],[PitStopLaps]],",",""))+1)</f>
        <v>1</v>
      </c>
      <c r="U360">
        <f>Table1[[#This Row],[StartPosition]]-Table1[[#This Row],[FinishPosition]]</f>
        <v>-11</v>
      </c>
    </row>
    <row r="361" spans="1:21" x14ac:dyDescent="0.3">
      <c r="A361">
        <v>2018</v>
      </c>
      <c r="B361">
        <v>19</v>
      </c>
      <c r="C361" t="s">
        <v>221</v>
      </c>
      <c r="D361" t="s">
        <v>35</v>
      </c>
      <c r="E361" t="s">
        <v>36</v>
      </c>
      <c r="F361" t="s">
        <v>37</v>
      </c>
      <c r="G361">
        <v>12</v>
      </c>
      <c r="H361">
        <v>20</v>
      </c>
      <c r="I361">
        <v>0</v>
      </c>
      <c r="J361" t="s">
        <v>34</v>
      </c>
      <c r="K361" t="s">
        <v>75</v>
      </c>
      <c r="L361">
        <v>4</v>
      </c>
      <c r="M361">
        <v>84.197000000000003</v>
      </c>
      <c r="N361">
        <v>84.620500000000007</v>
      </c>
      <c r="O361">
        <v>29.51</v>
      </c>
      <c r="P361">
        <v>32.859000000000002</v>
      </c>
      <c r="Q361">
        <v>21.731000000000002</v>
      </c>
      <c r="S361" t="s">
        <v>83</v>
      </c>
      <c r="T361">
        <f>IF(TRIM(Table1[[#This Row],[PitStopLaps]])="",0,
LEN(Table1[[#This Row],[PitStopLaps]])-LEN(SUBSTITUTE(Table1[[#This Row],[PitStopLaps]],",",""))+1)</f>
        <v>0</v>
      </c>
      <c r="U361">
        <f>Table1[[#This Row],[StartPosition]]-Table1[[#This Row],[FinishPosition]]</f>
        <v>-8</v>
      </c>
    </row>
    <row r="362" spans="1:21" x14ac:dyDescent="0.3">
      <c r="A362">
        <v>2018</v>
      </c>
      <c r="B362">
        <v>20</v>
      </c>
      <c r="C362" t="s">
        <v>231</v>
      </c>
      <c r="D362" t="s">
        <v>26</v>
      </c>
      <c r="E362" t="s">
        <v>27</v>
      </c>
      <c r="F362" t="s">
        <v>28</v>
      </c>
      <c r="G362">
        <v>1</v>
      </c>
      <c r="H362">
        <v>1</v>
      </c>
      <c r="I362">
        <v>25</v>
      </c>
      <c r="J362" t="s">
        <v>23</v>
      </c>
      <c r="K362" t="s">
        <v>24</v>
      </c>
      <c r="L362">
        <v>71</v>
      </c>
      <c r="M362">
        <v>71.795000000000002</v>
      </c>
      <c r="N362">
        <v>73.304778999999996</v>
      </c>
      <c r="O362">
        <v>18.38</v>
      </c>
      <c r="P362">
        <v>36.713000000000001</v>
      </c>
      <c r="Q362">
        <v>16.315999999999999</v>
      </c>
      <c r="R362">
        <v>19</v>
      </c>
      <c r="S362" t="s">
        <v>83</v>
      </c>
      <c r="T362">
        <f>IF(TRIM(Table1[[#This Row],[PitStopLaps]])="",0,
LEN(Table1[[#This Row],[PitStopLaps]])-LEN(SUBSTITUTE(Table1[[#This Row],[PitStopLaps]],",",""))+1)</f>
        <v>1</v>
      </c>
      <c r="U362">
        <f>Table1[[#This Row],[StartPosition]]-Table1[[#This Row],[FinishPosition]]</f>
        <v>0</v>
      </c>
    </row>
    <row r="363" spans="1:21" x14ac:dyDescent="0.3">
      <c r="A363">
        <v>2018</v>
      </c>
      <c r="B363">
        <v>20</v>
      </c>
      <c r="C363" t="s">
        <v>231</v>
      </c>
      <c r="D363" t="s">
        <v>38</v>
      </c>
      <c r="E363" t="s">
        <v>39</v>
      </c>
      <c r="F363" t="s">
        <v>33</v>
      </c>
      <c r="G363">
        <v>5</v>
      </c>
      <c r="H363">
        <v>2</v>
      </c>
      <c r="I363">
        <v>18</v>
      </c>
      <c r="J363" t="s">
        <v>23</v>
      </c>
      <c r="K363" t="s">
        <v>24</v>
      </c>
      <c r="L363">
        <v>71</v>
      </c>
      <c r="M363">
        <v>71.578000000000003</v>
      </c>
      <c r="N363">
        <v>73.261279000000002</v>
      </c>
      <c r="O363">
        <v>18.529</v>
      </c>
      <c r="P363">
        <v>36.472000000000001</v>
      </c>
      <c r="Q363">
        <v>16.387</v>
      </c>
      <c r="R363">
        <v>35</v>
      </c>
      <c r="S363" t="s">
        <v>83</v>
      </c>
      <c r="T363">
        <f>IF(TRIM(Table1[[#This Row],[PitStopLaps]])="",0,
LEN(Table1[[#This Row],[PitStopLaps]])-LEN(SUBSTITUTE(Table1[[#This Row],[PitStopLaps]],",",""))+1)</f>
        <v>1</v>
      </c>
      <c r="U363">
        <f>Table1[[#This Row],[StartPosition]]-Table1[[#This Row],[FinishPosition]]</f>
        <v>3</v>
      </c>
    </row>
    <row r="364" spans="1:21" x14ac:dyDescent="0.3">
      <c r="A364">
        <v>2018</v>
      </c>
      <c r="B364">
        <v>20</v>
      </c>
      <c r="C364" t="s">
        <v>231</v>
      </c>
      <c r="D364" t="s">
        <v>29</v>
      </c>
      <c r="E364" t="s">
        <v>30</v>
      </c>
      <c r="F364" t="s">
        <v>22</v>
      </c>
      <c r="G364">
        <v>4</v>
      </c>
      <c r="H364">
        <v>3</v>
      </c>
      <c r="I364">
        <v>15</v>
      </c>
      <c r="J364" t="s">
        <v>23</v>
      </c>
      <c r="K364" t="s">
        <v>24</v>
      </c>
      <c r="L364">
        <v>71</v>
      </c>
      <c r="M364">
        <v>71.769000000000005</v>
      </c>
      <c r="N364">
        <v>73.330175999999994</v>
      </c>
      <c r="O364">
        <v>18.419</v>
      </c>
      <c r="P364">
        <v>36.832999999999998</v>
      </c>
      <c r="Q364">
        <v>16.327000000000002</v>
      </c>
      <c r="R364">
        <v>31</v>
      </c>
      <c r="S364" t="s">
        <v>83</v>
      </c>
      <c r="T364">
        <f>IF(TRIM(Table1[[#This Row],[PitStopLaps]])="",0,
LEN(Table1[[#This Row],[PitStopLaps]])-LEN(SUBSTITUTE(Table1[[#This Row],[PitStopLaps]],",",""))+1)</f>
        <v>1</v>
      </c>
      <c r="U364">
        <f>Table1[[#This Row],[StartPosition]]-Table1[[#This Row],[FinishPosition]]</f>
        <v>1</v>
      </c>
    </row>
    <row r="365" spans="1:21" x14ac:dyDescent="0.3">
      <c r="A365">
        <v>2018</v>
      </c>
      <c r="B365">
        <v>20</v>
      </c>
      <c r="C365" t="s">
        <v>231</v>
      </c>
      <c r="D365" t="s">
        <v>31</v>
      </c>
      <c r="E365" t="s">
        <v>32</v>
      </c>
      <c r="F365" t="s">
        <v>33</v>
      </c>
      <c r="G365">
        <v>11</v>
      </c>
      <c r="H365">
        <v>4</v>
      </c>
      <c r="I365">
        <v>12</v>
      </c>
      <c r="J365" t="s">
        <v>34</v>
      </c>
      <c r="K365" t="s">
        <v>24</v>
      </c>
      <c r="L365">
        <v>71</v>
      </c>
      <c r="M365">
        <v>71.343000000000004</v>
      </c>
      <c r="N365">
        <v>73.282572999999999</v>
      </c>
      <c r="O365">
        <v>18.242999999999999</v>
      </c>
      <c r="P365">
        <v>36.356999999999999</v>
      </c>
      <c r="Q365">
        <v>16.295000000000002</v>
      </c>
      <c r="R365">
        <v>39</v>
      </c>
      <c r="S365" t="s">
        <v>83</v>
      </c>
      <c r="T365">
        <f>IF(TRIM(Table1[[#This Row],[PitStopLaps]])="",0,
LEN(Table1[[#This Row],[PitStopLaps]])-LEN(SUBSTITUTE(Table1[[#This Row],[PitStopLaps]],",",""))+1)</f>
        <v>1</v>
      </c>
      <c r="U365">
        <f>Table1[[#This Row],[StartPosition]]-Table1[[#This Row],[FinishPosition]]</f>
        <v>7</v>
      </c>
    </row>
    <row r="366" spans="1:21" x14ac:dyDescent="0.3">
      <c r="A366">
        <v>2018</v>
      </c>
      <c r="B366">
        <v>20</v>
      </c>
      <c r="C366" t="s">
        <v>231</v>
      </c>
      <c r="D366" t="s">
        <v>43</v>
      </c>
      <c r="E366" t="s">
        <v>44</v>
      </c>
      <c r="F366" t="s">
        <v>28</v>
      </c>
      <c r="G366">
        <v>3</v>
      </c>
      <c r="H366">
        <v>5</v>
      </c>
      <c r="I366">
        <v>10</v>
      </c>
      <c r="J366" t="s">
        <v>34</v>
      </c>
      <c r="K366" t="s">
        <v>24</v>
      </c>
      <c r="L366">
        <v>71</v>
      </c>
      <c r="M366">
        <v>70.540000000000006</v>
      </c>
      <c r="N366">
        <v>73.331181000000001</v>
      </c>
      <c r="O366">
        <v>18.187000000000001</v>
      </c>
      <c r="P366">
        <v>36.052</v>
      </c>
      <c r="Q366">
        <v>16.242000000000001</v>
      </c>
      <c r="R366" t="s">
        <v>232</v>
      </c>
      <c r="S366" t="s">
        <v>83</v>
      </c>
      <c r="T366">
        <f>IF(TRIM(Table1[[#This Row],[PitStopLaps]])="",0,
LEN(Table1[[#This Row],[PitStopLaps]])-LEN(SUBSTITUTE(Table1[[#This Row],[PitStopLaps]],",",""))+1)</f>
        <v>2</v>
      </c>
      <c r="U366">
        <f>Table1[[#This Row],[StartPosition]]-Table1[[#This Row],[FinishPosition]]</f>
        <v>-2</v>
      </c>
    </row>
    <row r="367" spans="1:21" x14ac:dyDescent="0.3">
      <c r="A367">
        <v>2018</v>
      </c>
      <c r="B367">
        <v>20</v>
      </c>
      <c r="C367" t="s">
        <v>231</v>
      </c>
      <c r="D367" t="s">
        <v>20</v>
      </c>
      <c r="E367" t="s">
        <v>21</v>
      </c>
      <c r="F367" t="s">
        <v>22</v>
      </c>
      <c r="G367">
        <v>2</v>
      </c>
      <c r="H367">
        <v>6</v>
      </c>
      <c r="I367">
        <v>8</v>
      </c>
      <c r="J367" t="s">
        <v>34</v>
      </c>
      <c r="K367" t="s">
        <v>24</v>
      </c>
      <c r="L367">
        <v>71</v>
      </c>
      <c r="M367">
        <v>70.831000000000003</v>
      </c>
      <c r="N367">
        <v>73.391636000000005</v>
      </c>
      <c r="O367">
        <v>18.373999999999999</v>
      </c>
      <c r="P367">
        <v>36.029000000000003</v>
      </c>
      <c r="Q367">
        <v>16.23</v>
      </c>
      <c r="R367" t="s">
        <v>233</v>
      </c>
      <c r="S367" t="s">
        <v>83</v>
      </c>
      <c r="T367">
        <f>IF(TRIM(Table1[[#This Row],[PitStopLaps]])="",0,
LEN(Table1[[#This Row],[PitStopLaps]])-LEN(SUBSTITUTE(Table1[[#This Row],[PitStopLaps]],",",""))+1)</f>
        <v>2</v>
      </c>
      <c r="U367">
        <f>Table1[[#This Row],[StartPosition]]-Table1[[#This Row],[FinishPosition]]</f>
        <v>-4</v>
      </c>
    </row>
    <row r="368" spans="1:21" x14ac:dyDescent="0.3">
      <c r="A368">
        <v>2018</v>
      </c>
      <c r="B368">
        <v>20</v>
      </c>
      <c r="C368" t="s">
        <v>231</v>
      </c>
      <c r="D368" t="s">
        <v>54</v>
      </c>
      <c r="E368" t="s">
        <v>55</v>
      </c>
      <c r="F368" t="s">
        <v>56</v>
      </c>
      <c r="G368">
        <v>7</v>
      </c>
      <c r="H368">
        <v>7</v>
      </c>
      <c r="I368">
        <v>6</v>
      </c>
      <c r="J368" t="s">
        <v>34</v>
      </c>
      <c r="K368" t="s">
        <v>24</v>
      </c>
      <c r="L368">
        <v>71</v>
      </c>
      <c r="M368">
        <v>72.081999999999994</v>
      </c>
      <c r="N368">
        <v>73.854249999999993</v>
      </c>
      <c r="O368">
        <v>18.613</v>
      </c>
      <c r="P368">
        <v>36.927999999999997</v>
      </c>
      <c r="Q368">
        <v>16.478999999999999</v>
      </c>
      <c r="R368">
        <v>35</v>
      </c>
      <c r="S368" t="s">
        <v>83</v>
      </c>
      <c r="T368">
        <f>IF(TRIM(Table1[[#This Row],[PitStopLaps]])="",0,
LEN(Table1[[#This Row],[PitStopLaps]])-LEN(SUBSTITUTE(Table1[[#This Row],[PitStopLaps]],",",""))+1)</f>
        <v>1</v>
      </c>
      <c r="U368">
        <f>Table1[[#This Row],[StartPosition]]-Table1[[#This Row],[FinishPosition]]</f>
        <v>0</v>
      </c>
    </row>
    <row r="369" spans="1:21" x14ac:dyDescent="0.3">
      <c r="A369">
        <v>2018</v>
      </c>
      <c r="B369">
        <v>20</v>
      </c>
      <c r="C369" t="s">
        <v>231</v>
      </c>
      <c r="D369" t="s">
        <v>67</v>
      </c>
      <c r="E369" t="s">
        <v>68</v>
      </c>
      <c r="F369" t="s">
        <v>69</v>
      </c>
      <c r="G369">
        <v>8</v>
      </c>
      <c r="H369">
        <v>8</v>
      </c>
      <c r="I369">
        <v>4</v>
      </c>
      <c r="J369" t="s">
        <v>34</v>
      </c>
      <c r="K369" t="s">
        <v>24</v>
      </c>
      <c r="L369">
        <v>71</v>
      </c>
      <c r="M369">
        <v>72.361999999999995</v>
      </c>
      <c r="N369">
        <v>73.964822999999996</v>
      </c>
      <c r="O369">
        <v>18.661000000000001</v>
      </c>
      <c r="P369">
        <v>37.023000000000003</v>
      </c>
      <c r="Q369">
        <v>16.492000000000001</v>
      </c>
      <c r="R369">
        <v>32</v>
      </c>
      <c r="S369" t="s">
        <v>83</v>
      </c>
      <c r="T369">
        <f>IF(TRIM(Table1[[#This Row],[PitStopLaps]])="",0,
LEN(Table1[[#This Row],[PitStopLaps]])-LEN(SUBSTITUTE(Table1[[#This Row],[PitStopLaps]],",",""))+1)</f>
        <v>1</v>
      </c>
      <c r="U369">
        <f>Table1[[#This Row],[StartPosition]]-Table1[[#This Row],[FinishPosition]]</f>
        <v>0</v>
      </c>
    </row>
    <row r="370" spans="1:21" x14ac:dyDescent="0.3">
      <c r="A370">
        <v>2018</v>
      </c>
      <c r="B370">
        <v>20</v>
      </c>
      <c r="C370" t="s">
        <v>231</v>
      </c>
      <c r="D370" t="s">
        <v>71</v>
      </c>
      <c r="E370" t="s">
        <v>72</v>
      </c>
      <c r="F370" t="s">
        <v>69</v>
      </c>
      <c r="G370">
        <v>10</v>
      </c>
      <c r="H370">
        <v>9</v>
      </c>
      <c r="I370">
        <v>2</v>
      </c>
      <c r="J370" t="s">
        <v>34</v>
      </c>
      <c r="K370" t="s">
        <v>24</v>
      </c>
      <c r="L370">
        <v>71</v>
      </c>
      <c r="M370">
        <v>72.206000000000003</v>
      </c>
      <c r="N370">
        <v>73.964969999999994</v>
      </c>
      <c r="O370">
        <v>18.579000000000001</v>
      </c>
      <c r="P370">
        <v>36.889000000000003</v>
      </c>
      <c r="Q370">
        <v>16.484999999999999</v>
      </c>
      <c r="R370">
        <v>41</v>
      </c>
      <c r="S370" t="s">
        <v>83</v>
      </c>
      <c r="T370">
        <f>IF(TRIM(Table1[[#This Row],[PitStopLaps]])="",0,
LEN(Table1[[#This Row],[PitStopLaps]])-LEN(SUBSTITUTE(Table1[[#This Row],[PitStopLaps]],",",""))+1)</f>
        <v>1</v>
      </c>
      <c r="U370">
        <f>Table1[[#This Row],[StartPosition]]-Table1[[#This Row],[FinishPosition]]</f>
        <v>1</v>
      </c>
    </row>
    <row r="371" spans="1:21" x14ac:dyDescent="0.3">
      <c r="A371">
        <v>2018</v>
      </c>
      <c r="B371">
        <v>20</v>
      </c>
      <c r="C371" t="s">
        <v>231</v>
      </c>
      <c r="D371" t="s">
        <v>49</v>
      </c>
      <c r="E371" t="s">
        <v>50</v>
      </c>
      <c r="F371" t="s">
        <v>192</v>
      </c>
      <c r="G371">
        <v>12</v>
      </c>
      <c r="H371">
        <v>10</v>
      </c>
      <c r="I371">
        <v>1</v>
      </c>
      <c r="J371" t="s">
        <v>34</v>
      </c>
      <c r="K371" t="s">
        <v>65</v>
      </c>
      <c r="L371">
        <v>70</v>
      </c>
      <c r="M371">
        <v>72.471999999999994</v>
      </c>
      <c r="N371">
        <v>74.371238000000005</v>
      </c>
      <c r="O371">
        <v>18.61</v>
      </c>
      <c r="P371">
        <v>37.15</v>
      </c>
      <c r="Q371">
        <v>16.541</v>
      </c>
      <c r="R371">
        <v>39</v>
      </c>
      <c r="S371" t="s">
        <v>83</v>
      </c>
      <c r="T371">
        <f>IF(TRIM(Table1[[#This Row],[PitStopLaps]])="",0,
LEN(Table1[[#This Row],[PitStopLaps]])-LEN(SUBSTITUTE(Table1[[#This Row],[PitStopLaps]],",",""))+1)</f>
        <v>1</v>
      </c>
      <c r="U371">
        <f>Table1[[#This Row],[StartPosition]]-Table1[[#This Row],[FinishPosition]]</f>
        <v>2</v>
      </c>
    </row>
    <row r="372" spans="1:21" x14ac:dyDescent="0.3">
      <c r="A372">
        <v>2018</v>
      </c>
      <c r="B372">
        <v>20</v>
      </c>
      <c r="C372" t="s">
        <v>231</v>
      </c>
      <c r="D372" t="s">
        <v>62</v>
      </c>
      <c r="E372" t="s">
        <v>63</v>
      </c>
      <c r="F372" t="s">
        <v>64</v>
      </c>
      <c r="G372">
        <v>16</v>
      </c>
      <c r="H372">
        <v>11</v>
      </c>
      <c r="I372">
        <v>0</v>
      </c>
      <c r="J372" t="s">
        <v>34</v>
      </c>
      <c r="K372" t="s">
        <v>65</v>
      </c>
      <c r="L372">
        <v>70</v>
      </c>
      <c r="M372">
        <v>72.948999999999998</v>
      </c>
      <c r="N372">
        <v>75.107760999999996</v>
      </c>
      <c r="O372">
        <v>18.736999999999998</v>
      </c>
      <c r="P372">
        <v>37.392000000000003</v>
      </c>
      <c r="Q372">
        <v>16.542999999999999</v>
      </c>
      <c r="R372">
        <v>49</v>
      </c>
      <c r="S372" t="s">
        <v>83</v>
      </c>
      <c r="T372">
        <f>IF(TRIM(Table1[[#This Row],[PitStopLaps]])="",0,
LEN(Table1[[#This Row],[PitStopLaps]])-LEN(SUBSTITUTE(Table1[[#This Row],[PitStopLaps]],",",""))+1)</f>
        <v>1</v>
      </c>
      <c r="U372">
        <f>Table1[[#This Row],[StartPosition]]-Table1[[#This Row],[FinishPosition]]</f>
        <v>5</v>
      </c>
    </row>
    <row r="373" spans="1:21" x14ac:dyDescent="0.3">
      <c r="A373">
        <v>2018</v>
      </c>
      <c r="B373">
        <v>20</v>
      </c>
      <c r="C373" t="s">
        <v>231</v>
      </c>
      <c r="D373" t="s">
        <v>47</v>
      </c>
      <c r="E373" t="s">
        <v>48</v>
      </c>
      <c r="F373" t="s">
        <v>42</v>
      </c>
      <c r="G373">
        <v>15</v>
      </c>
      <c r="H373">
        <v>12</v>
      </c>
      <c r="I373">
        <v>0</v>
      </c>
      <c r="J373" t="s">
        <v>34</v>
      </c>
      <c r="K373" t="s">
        <v>65</v>
      </c>
      <c r="L373">
        <v>70</v>
      </c>
      <c r="M373">
        <v>72.168999999999997</v>
      </c>
      <c r="N373">
        <v>74.812737999999996</v>
      </c>
      <c r="O373">
        <v>18.579999999999998</v>
      </c>
      <c r="P373">
        <v>36.921999999999997</v>
      </c>
      <c r="Q373">
        <v>16.469000000000001</v>
      </c>
      <c r="R373" t="s">
        <v>234</v>
      </c>
      <c r="S373" t="s">
        <v>83</v>
      </c>
      <c r="T373">
        <f>IF(TRIM(Table1[[#This Row],[PitStopLaps]])="",0,
LEN(Table1[[#This Row],[PitStopLaps]])-LEN(SUBSTITUTE(Table1[[#This Row],[PitStopLaps]],",",""))+1)</f>
        <v>2</v>
      </c>
      <c r="U373">
        <f>Table1[[#This Row],[StartPosition]]-Table1[[#This Row],[FinishPosition]]</f>
        <v>3</v>
      </c>
    </row>
    <row r="374" spans="1:21" x14ac:dyDescent="0.3">
      <c r="A374">
        <v>2018</v>
      </c>
      <c r="B374">
        <v>20</v>
      </c>
      <c r="C374" t="s">
        <v>231</v>
      </c>
      <c r="D374" t="s">
        <v>73</v>
      </c>
      <c r="E374" t="s">
        <v>74</v>
      </c>
      <c r="F374" t="s">
        <v>64</v>
      </c>
      <c r="G374">
        <v>9</v>
      </c>
      <c r="H374">
        <v>13</v>
      </c>
      <c r="I374">
        <v>0</v>
      </c>
      <c r="J374" t="s">
        <v>34</v>
      </c>
      <c r="K374" t="s">
        <v>65</v>
      </c>
      <c r="L374">
        <v>70</v>
      </c>
      <c r="M374">
        <v>73.822000000000003</v>
      </c>
      <c r="N374">
        <v>75.193179000000001</v>
      </c>
      <c r="O374">
        <v>19.045000000000002</v>
      </c>
      <c r="P374">
        <v>38.024999999999999</v>
      </c>
      <c r="Q374">
        <v>16.713999999999999</v>
      </c>
      <c r="R374">
        <v>22</v>
      </c>
      <c r="S374" t="s">
        <v>83</v>
      </c>
      <c r="T374">
        <f>IF(TRIM(Table1[[#This Row],[PitStopLaps]])="",0,
LEN(Table1[[#This Row],[PitStopLaps]])-LEN(SUBSTITUTE(Table1[[#This Row],[PitStopLaps]],",",""))+1)</f>
        <v>1</v>
      </c>
      <c r="U374">
        <f>Table1[[#This Row],[StartPosition]]-Table1[[#This Row],[FinishPosition]]</f>
        <v>-4</v>
      </c>
    </row>
    <row r="375" spans="1:21" x14ac:dyDescent="0.3">
      <c r="A375">
        <v>2018</v>
      </c>
      <c r="B375">
        <v>20</v>
      </c>
      <c r="C375" t="s">
        <v>231</v>
      </c>
      <c r="D375" t="s">
        <v>45</v>
      </c>
      <c r="E375" t="s">
        <v>46</v>
      </c>
      <c r="F375" t="s">
        <v>37</v>
      </c>
      <c r="G375">
        <v>20</v>
      </c>
      <c r="H375">
        <v>14</v>
      </c>
      <c r="I375">
        <v>0</v>
      </c>
      <c r="J375" t="s">
        <v>34</v>
      </c>
      <c r="K375" t="s">
        <v>65</v>
      </c>
      <c r="L375">
        <v>70</v>
      </c>
      <c r="M375">
        <v>72.968000000000004</v>
      </c>
      <c r="N375">
        <v>75.168402</v>
      </c>
      <c r="O375">
        <v>18.768999999999998</v>
      </c>
      <c r="P375">
        <v>37.241</v>
      </c>
      <c r="Q375">
        <v>16.684000000000001</v>
      </c>
      <c r="R375">
        <v>28</v>
      </c>
      <c r="S375" t="s">
        <v>83</v>
      </c>
      <c r="T375">
        <f>IF(TRIM(Table1[[#This Row],[PitStopLaps]])="",0,
LEN(Table1[[#This Row],[PitStopLaps]])-LEN(SUBSTITUTE(Table1[[#This Row],[PitStopLaps]],",",""))+1)</f>
        <v>1</v>
      </c>
      <c r="U375">
        <f>Table1[[#This Row],[StartPosition]]-Table1[[#This Row],[FinishPosition]]</f>
        <v>6</v>
      </c>
    </row>
    <row r="376" spans="1:21" x14ac:dyDescent="0.3">
      <c r="A376">
        <v>2018</v>
      </c>
      <c r="B376">
        <v>20</v>
      </c>
      <c r="C376" t="s">
        <v>231</v>
      </c>
      <c r="D376" t="s">
        <v>52</v>
      </c>
      <c r="E376" t="s">
        <v>53</v>
      </c>
      <c r="F376" t="s">
        <v>192</v>
      </c>
      <c r="G376">
        <v>18</v>
      </c>
      <c r="H376">
        <v>15</v>
      </c>
      <c r="I376">
        <v>0</v>
      </c>
      <c r="J376" t="s">
        <v>34</v>
      </c>
      <c r="K376" t="s">
        <v>65</v>
      </c>
      <c r="L376">
        <v>70</v>
      </c>
      <c r="M376">
        <v>72.352000000000004</v>
      </c>
      <c r="N376">
        <v>74.733569000000003</v>
      </c>
      <c r="O376">
        <v>18.425999999999998</v>
      </c>
      <c r="P376">
        <v>37.204999999999998</v>
      </c>
      <c r="Q376">
        <v>16.309999999999999</v>
      </c>
      <c r="R376" t="s">
        <v>235</v>
      </c>
      <c r="S376" t="s">
        <v>83</v>
      </c>
      <c r="T376">
        <f>IF(TRIM(Table1[[#This Row],[PitStopLaps]])="",0,
LEN(Table1[[#This Row],[PitStopLaps]])-LEN(SUBSTITUTE(Table1[[#This Row],[PitStopLaps]],",",""))+1)</f>
        <v>2</v>
      </c>
      <c r="U376">
        <f>Table1[[#This Row],[StartPosition]]-Table1[[#This Row],[FinishPosition]]</f>
        <v>3</v>
      </c>
    </row>
    <row r="377" spans="1:21" x14ac:dyDescent="0.3">
      <c r="A377">
        <v>2018</v>
      </c>
      <c r="B377">
        <v>20</v>
      </c>
      <c r="C377" t="s">
        <v>231</v>
      </c>
      <c r="D377" t="s">
        <v>79</v>
      </c>
      <c r="E377" t="s">
        <v>80</v>
      </c>
      <c r="F377" t="s">
        <v>60</v>
      </c>
      <c r="G377">
        <v>14</v>
      </c>
      <c r="H377">
        <v>16</v>
      </c>
      <c r="I377">
        <v>0</v>
      </c>
      <c r="J377" t="s">
        <v>34</v>
      </c>
      <c r="K377" t="s">
        <v>127</v>
      </c>
      <c r="L377">
        <v>69</v>
      </c>
      <c r="M377">
        <v>74.262</v>
      </c>
      <c r="N377">
        <v>75.550787</v>
      </c>
      <c r="O377">
        <v>18.940999999999999</v>
      </c>
      <c r="P377">
        <v>38.19</v>
      </c>
      <c r="Q377">
        <v>16.811</v>
      </c>
      <c r="R377">
        <v>16</v>
      </c>
      <c r="S377" t="s">
        <v>83</v>
      </c>
      <c r="T377">
        <f>IF(TRIM(Table1[[#This Row],[PitStopLaps]])="",0,
LEN(Table1[[#This Row],[PitStopLaps]])-LEN(SUBSTITUTE(Table1[[#This Row],[PitStopLaps]],",",""))+1)</f>
        <v>1</v>
      </c>
      <c r="U377">
        <f>Table1[[#This Row],[StartPosition]]-Table1[[#This Row],[FinishPosition]]</f>
        <v>-2</v>
      </c>
    </row>
    <row r="378" spans="1:21" x14ac:dyDescent="0.3">
      <c r="A378">
        <v>2018</v>
      </c>
      <c r="B378">
        <v>20</v>
      </c>
      <c r="C378" t="s">
        <v>231</v>
      </c>
      <c r="D378" t="s">
        <v>35</v>
      </c>
      <c r="E378" t="s">
        <v>36</v>
      </c>
      <c r="F378" t="s">
        <v>37</v>
      </c>
      <c r="G378">
        <v>17</v>
      </c>
      <c r="H378">
        <v>17</v>
      </c>
      <c r="I378">
        <v>0</v>
      </c>
      <c r="J378" t="s">
        <v>34</v>
      </c>
      <c r="K378" t="s">
        <v>127</v>
      </c>
      <c r="L378">
        <v>69</v>
      </c>
      <c r="M378">
        <v>72.643000000000001</v>
      </c>
      <c r="N378">
        <v>75.083608999999996</v>
      </c>
      <c r="O378">
        <v>18.515999999999998</v>
      </c>
      <c r="P378">
        <v>37.177999999999997</v>
      </c>
      <c r="Q378">
        <v>16.571999999999999</v>
      </c>
      <c r="R378" t="s">
        <v>236</v>
      </c>
      <c r="S378" t="s">
        <v>83</v>
      </c>
      <c r="T378">
        <f>IF(TRIM(Table1[[#This Row],[PitStopLaps]])="",0,
LEN(Table1[[#This Row],[PitStopLaps]])-LEN(SUBSTITUTE(Table1[[#This Row],[PitStopLaps]],",",""))+1)</f>
        <v>2</v>
      </c>
      <c r="U378">
        <f>Table1[[#This Row],[StartPosition]]-Table1[[#This Row],[FinishPosition]]</f>
        <v>0</v>
      </c>
    </row>
    <row r="379" spans="1:21" x14ac:dyDescent="0.3">
      <c r="A379">
        <v>2018</v>
      </c>
      <c r="B379">
        <v>20</v>
      </c>
      <c r="C379" t="s">
        <v>231</v>
      </c>
      <c r="D379" t="s">
        <v>58</v>
      </c>
      <c r="E379" t="s">
        <v>59</v>
      </c>
      <c r="F379" t="s">
        <v>60</v>
      </c>
      <c r="G379">
        <v>19</v>
      </c>
      <c r="H379">
        <v>18</v>
      </c>
      <c r="I379">
        <v>0</v>
      </c>
      <c r="J379" t="s">
        <v>34</v>
      </c>
      <c r="K379" t="s">
        <v>127</v>
      </c>
      <c r="L379">
        <v>69</v>
      </c>
      <c r="M379">
        <v>71.751000000000005</v>
      </c>
      <c r="N379">
        <v>75.487077999999997</v>
      </c>
      <c r="O379">
        <v>18.515999999999998</v>
      </c>
      <c r="P379">
        <v>36.567999999999998</v>
      </c>
      <c r="Q379">
        <v>16.596</v>
      </c>
      <c r="R379" t="s">
        <v>237</v>
      </c>
      <c r="S379" t="s">
        <v>83</v>
      </c>
      <c r="T379">
        <f>IF(TRIM(Table1[[#This Row],[PitStopLaps]])="",0,
LEN(Table1[[#This Row],[PitStopLaps]])-LEN(SUBSTITUTE(Table1[[#This Row],[PitStopLaps]],",",""))+1)</f>
        <v>2</v>
      </c>
      <c r="U379">
        <f>Table1[[#This Row],[StartPosition]]-Table1[[#This Row],[FinishPosition]]</f>
        <v>1</v>
      </c>
    </row>
    <row r="380" spans="1:21" x14ac:dyDescent="0.3">
      <c r="A380">
        <v>2018</v>
      </c>
      <c r="B380">
        <v>20</v>
      </c>
      <c r="C380" t="s">
        <v>231</v>
      </c>
      <c r="D380" t="s">
        <v>40</v>
      </c>
      <c r="E380" t="s">
        <v>41</v>
      </c>
      <c r="F380" t="s">
        <v>42</v>
      </c>
      <c r="G380">
        <v>13</v>
      </c>
      <c r="H380">
        <v>19</v>
      </c>
      <c r="I380">
        <v>0</v>
      </c>
      <c r="J380" t="s">
        <v>34</v>
      </c>
      <c r="K380" t="s">
        <v>238</v>
      </c>
      <c r="L380">
        <v>32</v>
      </c>
      <c r="M380">
        <v>74.028999999999996</v>
      </c>
      <c r="N380">
        <v>75.366928000000001</v>
      </c>
      <c r="O380">
        <v>18.951000000000001</v>
      </c>
      <c r="P380">
        <v>37.872999999999998</v>
      </c>
      <c r="Q380">
        <v>16.986000000000001</v>
      </c>
      <c r="R380">
        <v>32</v>
      </c>
      <c r="S380" t="s">
        <v>83</v>
      </c>
      <c r="T380">
        <f>IF(TRIM(Table1[[#This Row],[PitStopLaps]])="",0,
LEN(Table1[[#This Row],[PitStopLaps]])-LEN(SUBSTITUTE(Table1[[#This Row],[PitStopLaps]],",",""))+1)</f>
        <v>1</v>
      </c>
      <c r="U380">
        <f>Table1[[#This Row],[StartPosition]]-Table1[[#This Row],[FinishPosition]]</f>
        <v>-6</v>
      </c>
    </row>
    <row r="381" spans="1:21" x14ac:dyDescent="0.3">
      <c r="A381">
        <v>2018</v>
      </c>
      <c r="B381">
        <v>20</v>
      </c>
      <c r="C381" t="s">
        <v>231</v>
      </c>
      <c r="D381" t="s">
        <v>76</v>
      </c>
      <c r="E381" t="s">
        <v>77</v>
      </c>
      <c r="F381" t="s">
        <v>56</v>
      </c>
      <c r="G381">
        <v>6</v>
      </c>
      <c r="H381">
        <v>20</v>
      </c>
      <c r="I381">
        <v>0</v>
      </c>
      <c r="J381" t="s">
        <v>34</v>
      </c>
      <c r="K381" t="s">
        <v>124</v>
      </c>
      <c r="L381">
        <v>20</v>
      </c>
      <c r="M381">
        <v>75.281000000000006</v>
      </c>
      <c r="N381">
        <v>76.489311999999998</v>
      </c>
      <c r="O381">
        <v>19.184999999999999</v>
      </c>
      <c r="P381">
        <v>39.195999999999998</v>
      </c>
      <c r="Q381">
        <v>16.763999999999999</v>
      </c>
      <c r="R381" t="s">
        <v>239</v>
      </c>
      <c r="S381" t="s">
        <v>83</v>
      </c>
      <c r="T381">
        <f>IF(TRIM(Table1[[#This Row],[PitStopLaps]])="",0,
LEN(Table1[[#This Row],[PitStopLaps]])-LEN(SUBSTITUTE(Table1[[#This Row],[PitStopLaps]],",",""))+1)</f>
        <v>2</v>
      </c>
      <c r="U381">
        <f>Table1[[#This Row],[StartPosition]]-Table1[[#This Row],[FinishPosition]]</f>
        <v>-14</v>
      </c>
    </row>
    <row r="382" spans="1:21" x14ac:dyDescent="0.3">
      <c r="A382">
        <v>2018</v>
      </c>
      <c r="B382">
        <v>21</v>
      </c>
      <c r="C382" t="s">
        <v>240</v>
      </c>
      <c r="D382" t="s">
        <v>26</v>
      </c>
      <c r="E382" t="s">
        <v>27</v>
      </c>
      <c r="F382" t="s">
        <v>28</v>
      </c>
      <c r="G382">
        <v>1</v>
      </c>
      <c r="H382">
        <v>1</v>
      </c>
      <c r="I382">
        <v>25</v>
      </c>
      <c r="J382" t="s">
        <v>23</v>
      </c>
      <c r="K382" t="s">
        <v>24</v>
      </c>
      <c r="L382">
        <v>55</v>
      </c>
      <c r="M382">
        <v>101.357</v>
      </c>
      <c r="N382">
        <v>103.699775</v>
      </c>
      <c r="O382">
        <v>17.488</v>
      </c>
      <c r="P382">
        <v>43.494</v>
      </c>
      <c r="Q382">
        <v>40.131</v>
      </c>
      <c r="R382">
        <v>7</v>
      </c>
      <c r="S382" t="s">
        <v>25</v>
      </c>
      <c r="T382">
        <f>IF(TRIM(Table1[[#This Row],[PitStopLaps]])="",0,
LEN(Table1[[#This Row],[PitStopLaps]])-LEN(SUBSTITUTE(Table1[[#This Row],[PitStopLaps]],",",""))+1)</f>
        <v>1</v>
      </c>
      <c r="U382">
        <f>Table1[[#This Row],[StartPosition]]-Table1[[#This Row],[FinishPosition]]</f>
        <v>0</v>
      </c>
    </row>
    <row r="383" spans="1:21" x14ac:dyDescent="0.3">
      <c r="A383">
        <v>2018</v>
      </c>
      <c r="B383">
        <v>21</v>
      </c>
      <c r="C383" t="s">
        <v>240</v>
      </c>
      <c r="D383" t="s">
        <v>20</v>
      </c>
      <c r="E383" t="s">
        <v>21</v>
      </c>
      <c r="F383" t="s">
        <v>22</v>
      </c>
      <c r="G383">
        <v>3</v>
      </c>
      <c r="H383">
        <v>2</v>
      </c>
      <c r="I383">
        <v>18</v>
      </c>
      <c r="J383" t="s">
        <v>23</v>
      </c>
      <c r="K383" t="s">
        <v>24</v>
      </c>
      <c r="L383">
        <v>55</v>
      </c>
      <c r="M383">
        <v>100.867</v>
      </c>
      <c r="N383">
        <v>103.410319</v>
      </c>
      <c r="O383">
        <v>17.562000000000001</v>
      </c>
      <c r="P383">
        <v>43.247999999999998</v>
      </c>
      <c r="Q383">
        <v>40.057000000000002</v>
      </c>
      <c r="R383">
        <v>15</v>
      </c>
      <c r="S383" t="s">
        <v>25</v>
      </c>
      <c r="T383">
        <f>IF(TRIM(Table1[[#This Row],[PitStopLaps]])="",0,
LEN(Table1[[#This Row],[PitStopLaps]])-LEN(SUBSTITUTE(Table1[[#This Row],[PitStopLaps]],",",""))+1)</f>
        <v>1</v>
      </c>
      <c r="U383">
        <f>Table1[[#This Row],[StartPosition]]-Table1[[#This Row],[FinishPosition]]</f>
        <v>1</v>
      </c>
    </row>
    <row r="384" spans="1:21" x14ac:dyDescent="0.3">
      <c r="A384">
        <v>2018</v>
      </c>
      <c r="B384">
        <v>21</v>
      </c>
      <c r="C384" t="s">
        <v>240</v>
      </c>
      <c r="D384" t="s">
        <v>38</v>
      </c>
      <c r="E384" t="s">
        <v>39</v>
      </c>
      <c r="F384" t="s">
        <v>33</v>
      </c>
      <c r="G384">
        <v>6</v>
      </c>
      <c r="H384">
        <v>3</v>
      </c>
      <c r="I384">
        <v>15</v>
      </c>
      <c r="J384" t="s">
        <v>23</v>
      </c>
      <c r="K384" t="s">
        <v>24</v>
      </c>
      <c r="L384">
        <v>55</v>
      </c>
      <c r="M384">
        <v>101.90900000000001</v>
      </c>
      <c r="N384">
        <v>103.65831900000001</v>
      </c>
      <c r="O384">
        <v>17.658000000000001</v>
      </c>
      <c r="P384">
        <v>43.424999999999997</v>
      </c>
      <c r="Q384">
        <v>40.378</v>
      </c>
      <c r="R384">
        <v>17</v>
      </c>
      <c r="S384" t="s">
        <v>25</v>
      </c>
      <c r="T384">
        <f>IF(TRIM(Table1[[#This Row],[PitStopLaps]])="",0,
LEN(Table1[[#This Row],[PitStopLaps]])-LEN(SUBSTITUTE(Table1[[#This Row],[PitStopLaps]],",",""))+1)</f>
        <v>1</v>
      </c>
      <c r="U384">
        <f>Table1[[#This Row],[StartPosition]]-Table1[[#This Row],[FinishPosition]]</f>
        <v>3</v>
      </c>
    </row>
    <row r="385" spans="1:21" x14ac:dyDescent="0.3">
      <c r="A385">
        <v>2018</v>
      </c>
      <c r="B385">
        <v>21</v>
      </c>
      <c r="C385" t="s">
        <v>240</v>
      </c>
      <c r="D385" t="s">
        <v>31</v>
      </c>
      <c r="E385" t="s">
        <v>32</v>
      </c>
      <c r="F385" t="s">
        <v>33</v>
      </c>
      <c r="G385">
        <v>5</v>
      </c>
      <c r="H385">
        <v>4</v>
      </c>
      <c r="I385">
        <v>12</v>
      </c>
      <c r="J385" t="s">
        <v>34</v>
      </c>
      <c r="K385" t="s">
        <v>24</v>
      </c>
      <c r="L385">
        <v>55</v>
      </c>
      <c r="M385">
        <v>101.249</v>
      </c>
      <c r="N385">
        <v>103.787808</v>
      </c>
      <c r="O385">
        <v>17.637</v>
      </c>
      <c r="P385">
        <v>43.316000000000003</v>
      </c>
      <c r="Q385">
        <v>40.247</v>
      </c>
      <c r="R385">
        <v>33</v>
      </c>
      <c r="S385" t="s">
        <v>25</v>
      </c>
      <c r="T385">
        <f>IF(TRIM(Table1[[#This Row],[PitStopLaps]])="",0,
LEN(Table1[[#This Row],[PitStopLaps]])-LEN(SUBSTITUTE(Table1[[#This Row],[PitStopLaps]],",",""))+1)</f>
        <v>1</v>
      </c>
      <c r="U385">
        <f>Table1[[#This Row],[StartPosition]]-Table1[[#This Row],[FinishPosition]]</f>
        <v>1</v>
      </c>
    </row>
    <row r="386" spans="1:21" x14ac:dyDescent="0.3">
      <c r="A386">
        <v>2018</v>
      </c>
      <c r="B386">
        <v>21</v>
      </c>
      <c r="C386" t="s">
        <v>240</v>
      </c>
      <c r="D386" t="s">
        <v>43</v>
      </c>
      <c r="E386" t="s">
        <v>44</v>
      </c>
      <c r="F386" t="s">
        <v>28</v>
      </c>
      <c r="G386">
        <v>2</v>
      </c>
      <c r="H386">
        <v>5</v>
      </c>
      <c r="I386">
        <v>10</v>
      </c>
      <c r="J386" t="s">
        <v>34</v>
      </c>
      <c r="K386" t="s">
        <v>24</v>
      </c>
      <c r="L386">
        <v>55</v>
      </c>
      <c r="M386">
        <v>100.953</v>
      </c>
      <c r="N386">
        <v>104.03348800000001</v>
      </c>
      <c r="O386">
        <v>17.506</v>
      </c>
      <c r="P386">
        <v>43.167999999999999</v>
      </c>
      <c r="Q386">
        <v>40.279000000000003</v>
      </c>
      <c r="R386" t="s">
        <v>241</v>
      </c>
      <c r="S386" t="s">
        <v>25</v>
      </c>
      <c r="T386">
        <f>IF(TRIM(Table1[[#This Row],[PitStopLaps]])="",0,
LEN(Table1[[#This Row],[PitStopLaps]])-LEN(SUBSTITUTE(Table1[[#This Row],[PitStopLaps]],",",""))+1)</f>
        <v>2</v>
      </c>
      <c r="U386">
        <f>Table1[[#This Row],[StartPosition]]-Table1[[#This Row],[FinishPosition]]</f>
        <v>-3</v>
      </c>
    </row>
    <row r="387" spans="1:21" x14ac:dyDescent="0.3">
      <c r="A387">
        <v>2018</v>
      </c>
      <c r="B387">
        <v>21</v>
      </c>
      <c r="C387" t="s">
        <v>240</v>
      </c>
      <c r="D387" t="s">
        <v>47</v>
      </c>
      <c r="E387" t="s">
        <v>48</v>
      </c>
      <c r="F387" t="s">
        <v>42</v>
      </c>
      <c r="G387">
        <v>11</v>
      </c>
      <c r="H387">
        <v>6</v>
      </c>
      <c r="I387">
        <v>8</v>
      </c>
      <c r="J387" t="s">
        <v>34</v>
      </c>
      <c r="K387" t="s">
        <v>24</v>
      </c>
      <c r="L387">
        <v>55</v>
      </c>
      <c r="M387">
        <v>101.351</v>
      </c>
      <c r="N387">
        <v>104.83634000000001</v>
      </c>
      <c r="O387">
        <v>17.760000000000002</v>
      </c>
      <c r="P387">
        <v>43.337000000000003</v>
      </c>
      <c r="Q387">
        <v>40.210999999999999</v>
      </c>
      <c r="R387">
        <v>37</v>
      </c>
      <c r="S387" t="s">
        <v>25</v>
      </c>
      <c r="T387">
        <f>IF(TRIM(Table1[[#This Row],[PitStopLaps]])="",0,
LEN(Table1[[#This Row],[PitStopLaps]])-LEN(SUBSTITUTE(Table1[[#This Row],[PitStopLaps]],",",""))+1)</f>
        <v>1</v>
      </c>
      <c r="U387">
        <f>Table1[[#This Row],[StartPosition]]-Table1[[#This Row],[FinishPosition]]</f>
        <v>5</v>
      </c>
    </row>
    <row r="388" spans="1:21" x14ac:dyDescent="0.3">
      <c r="A388">
        <v>2018</v>
      </c>
      <c r="B388">
        <v>21</v>
      </c>
      <c r="C388" t="s">
        <v>240</v>
      </c>
      <c r="D388" t="s">
        <v>54</v>
      </c>
      <c r="E388" t="s">
        <v>55</v>
      </c>
      <c r="F388" t="s">
        <v>56</v>
      </c>
      <c r="G388">
        <v>8</v>
      </c>
      <c r="H388">
        <v>7</v>
      </c>
      <c r="I388">
        <v>6</v>
      </c>
      <c r="J388" t="s">
        <v>34</v>
      </c>
      <c r="K388" t="s">
        <v>24</v>
      </c>
      <c r="L388">
        <v>55</v>
      </c>
      <c r="M388">
        <v>102.876</v>
      </c>
      <c r="N388">
        <v>105.449693</v>
      </c>
      <c r="O388">
        <v>17.722999999999999</v>
      </c>
      <c r="P388">
        <v>43.499000000000002</v>
      </c>
      <c r="Q388">
        <v>41.576000000000001</v>
      </c>
      <c r="R388">
        <v>7</v>
      </c>
      <c r="S388" t="s">
        <v>25</v>
      </c>
      <c r="T388">
        <f>IF(TRIM(Table1[[#This Row],[PitStopLaps]])="",0,
LEN(Table1[[#This Row],[PitStopLaps]])-LEN(SUBSTITUTE(Table1[[#This Row],[PitStopLaps]],",",""))+1)</f>
        <v>1</v>
      </c>
      <c r="U388">
        <f>Table1[[#This Row],[StartPosition]]-Table1[[#This Row],[FinishPosition]]</f>
        <v>1</v>
      </c>
    </row>
    <row r="389" spans="1:21" x14ac:dyDescent="0.3">
      <c r="A389">
        <v>2018</v>
      </c>
      <c r="B389">
        <v>21</v>
      </c>
      <c r="C389" t="s">
        <v>240</v>
      </c>
      <c r="D389" t="s">
        <v>49</v>
      </c>
      <c r="E389" t="s">
        <v>50</v>
      </c>
      <c r="F389" t="s">
        <v>192</v>
      </c>
      <c r="G389">
        <v>14</v>
      </c>
      <c r="H389">
        <v>8</v>
      </c>
      <c r="I389">
        <v>4</v>
      </c>
      <c r="J389" t="s">
        <v>34</v>
      </c>
      <c r="K389" t="s">
        <v>24</v>
      </c>
      <c r="L389">
        <v>55</v>
      </c>
      <c r="M389">
        <v>102.816</v>
      </c>
      <c r="N389">
        <v>105.18027600000001</v>
      </c>
      <c r="O389">
        <v>17.725000000000001</v>
      </c>
      <c r="P389">
        <v>43.179000000000002</v>
      </c>
      <c r="Q389">
        <v>41.283999999999999</v>
      </c>
      <c r="R389">
        <v>26</v>
      </c>
      <c r="S389" t="s">
        <v>25</v>
      </c>
      <c r="T389">
        <f>IF(TRIM(Table1[[#This Row],[PitStopLaps]])="",0,
LEN(Table1[[#This Row],[PitStopLaps]])-LEN(SUBSTITUTE(Table1[[#This Row],[PitStopLaps]],",",""))+1)</f>
        <v>1</v>
      </c>
      <c r="U389">
        <f>Table1[[#This Row],[StartPosition]]-Table1[[#This Row],[FinishPosition]]</f>
        <v>6</v>
      </c>
    </row>
    <row r="390" spans="1:21" x14ac:dyDescent="0.3">
      <c r="A390">
        <v>2018</v>
      </c>
      <c r="B390">
        <v>21</v>
      </c>
      <c r="C390" t="s">
        <v>240</v>
      </c>
      <c r="D390" t="s">
        <v>67</v>
      </c>
      <c r="E390" t="s">
        <v>68</v>
      </c>
      <c r="F390" t="s">
        <v>69</v>
      </c>
      <c r="G390">
        <v>7</v>
      </c>
      <c r="H390">
        <v>9</v>
      </c>
      <c r="I390">
        <v>2</v>
      </c>
      <c r="J390" t="s">
        <v>34</v>
      </c>
      <c r="K390" t="s">
        <v>65</v>
      </c>
      <c r="L390">
        <v>54</v>
      </c>
      <c r="M390">
        <v>103.19499999999999</v>
      </c>
      <c r="N390">
        <v>106.204458</v>
      </c>
      <c r="O390">
        <v>17.643000000000001</v>
      </c>
      <c r="P390">
        <v>43.572000000000003</v>
      </c>
      <c r="Q390">
        <v>41.357999999999997</v>
      </c>
      <c r="R390">
        <v>7</v>
      </c>
      <c r="S390" t="s">
        <v>25</v>
      </c>
      <c r="T390">
        <f>IF(TRIM(Table1[[#This Row],[PitStopLaps]])="",0,
LEN(Table1[[#This Row],[PitStopLaps]])-LEN(SUBSTITUTE(Table1[[#This Row],[PitStopLaps]],",",""))+1)</f>
        <v>1</v>
      </c>
      <c r="U390">
        <f>Table1[[#This Row],[StartPosition]]-Table1[[#This Row],[FinishPosition]]</f>
        <v>-2</v>
      </c>
    </row>
    <row r="391" spans="1:21" x14ac:dyDescent="0.3">
      <c r="A391">
        <v>2018</v>
      </c>
      <c r="B391">
        <v>21</v>
      </c>
      <c r="C391" t="s">
        <v>240</v>
      </c>
      <c r="D391" t="s">
        <v>71</v>
      </c>
      <c r="E391" t="s">
        <v>72</v>
      </c>
      <c r="F391" t="s">
        <v>69</v>
      </c>
      <c r="G391">
        <v>13</v>
      </c>
      <c r="H391">
        <v>10</v>
      </c>
      <c r="I391">
        <v>1</v>
      </c>
      <c r="J391" t="s">
        <v>34</v>
      </c>
      <c r="K391" t="s">
        <v>65</v>
      </c>
      <c r="L391">
        <v>54</v>
      </c>
      <c r="M391">
        <v>102.822</v>
      </c>
      <c r="N391">
        <v>106.046434</v>
      </c>
      <c r="O391">
        <v>17.513999999999999</v>
      </c>
      <c r="P391">
        <v>43.762</v>
      </c>
      <c r="Q391">
        <v>41.420999999999999</v>
      </c>
      <c r="R391">
        <v>41</v>
      </c>
      <c r="S391" t="s">
        <v>25</v>
      </c>
      <c r="T391">
        <f>IF(TRIM(Table1[[#This Row],[PitStopLaps]])="",0,
LEN(Table1[[#This Row],[PitStopLaps]])-LEN(SUBSTITUTE(Table1[[#This Row],[PitStopLaps]],",",""))+1)</f>
        <v>1</v>
      </c>
      <c r="U391">
        <f>Table1[[#This Row],[StartPosition]]-Table1[[#This Row],[FinishPosition]]</f>
        <v>3</v>
      </c>
    </row>
    <row r="392" spans="1:21" x14ac:dyDescent="0.3">
      <c r="A392">
        <v>2018</v>
      </c>
      <c r="B392">
        <v>21</v>
      </c>
      <c r="C392" t="s">
        <v>240</v>
      </c>
      <c r="D392" t="s">
        <v>35</v>
      </c>
      <c r="E392" t="s">
        <v>36</v>
      </c>
      <c r="F392" t="s">
        <v>37</v>
      </c>
      <c r="G392">
        <v>15</v>
      </c>
      <c r="H392">
        <v>11</v>
      </c>
      <c r="I392">
        <v>0</v>
      </c>
      <c r="J392" t="s">
        <v>34</v>
      </c>
      <c r="K392" t="s">
        <v>65</v>
      </c>
      <c r="L392">
        <v>54</v>
      </c>
      <c r="M392">
        <v>102.393</v>
      </c>
      <c r="N392">
        <v>106.04202100000001</v>
      </c>
      <c r="O392">
        <v>17.693999999999999</v>
      </c>
      <c r="P392">
        <v>42.72</v>
      </c>
      <c r="Q392">
        <v>41.145000000000003</v>
      </c>
      <c r="R392">
        <v>27</v>
      </c>
      <c r="S392" t="s">
        <v>25</v>
      </c>
      <c r="T392">
        <f>IF(TRIM(Table1[[#This Row],[PitStopLaps]])="",0,
LEN(Table1[[#This Row],[PitStopLaps]])-LEN(SUBSTITUTE(Table1[[#This Row],[PitStopLaps]],",",""))+1)</f>
        <v>1</v>
      </c>
      <c r="U392">
        <f>Table1[[#This Row],[StartPosition]]-Table1[[#This Row],[FinishPosition]]</f>
        <v>4</v>
      </c>
    </row>
    <row r="393" spans="1:21" x14ac:dyDescent="0.3">
      <c r="A393">
        <v>2018</v>
      </c>
      <c r="B393">
        <v>21</v>
      </c>
      <c r="C393" t="s">
        <v>240</v>
      </c>
      <c r="D393" t="s">
        <v>62</v>
      </c>
      <c r="E393" t="s">
        <v>63</v>
      </c>
      <c r="F393" t="s">
        <v>64</v>
      </c>
      <c r="G393">
        <v>16</v>
      </c>
      <c r="H393">
        <v>12</v>
      </c>
      <c r="I393">
        <v>0</v>
      </c>
      <c r="J393" t="s">
        <v>34</v>
      </c>
      <c r="K393" t="s">
        <v>65</v>
      </c>
      <c r="L393">
        <v>54</v>
      </c>
      <c r="M393">
        <v>104.17400000000001</v>
      </c>
      <c r="N393">
        <v>106.83262499999999</v>
      </c>
      <c r="O393">
        <v>17.937999999999999</v>
      </c>
      <c r="P393">
        <v>44.220999999999997</v>
      </c>
      <c r="Q393">
        <v>41.954000000000001</v>
      </c>
      <c r="R393">
        <v>1</v>
      </c>
      <c r="S393" t="s">
        <v>25</v>
      </c>
      <c r="T393">
        <f>IF(TRIM(Table1[[#This Row],[PitStopLaps]])="",0,
LEN(Table1[[#This Row],[PitStopLaps]])-LEN(SUBSTITUTE(Table1[[#This Row],[PitStopLaps]],",",""))+1)</f>
        <v>1</v>
      </c>
      <c r="U393">
        <f>Table1[[#This Row],[StartPosition]]-Table1[[#This Row],[FinishPosition]]</f>
        <v>4</v>
      </c>
    </row>
    <row r="394" spans="1:21" x14ac:dyDescent="0.3">
      <c r="A394">
        <v>2018</v>
      </c>
      <c r="B394">
        <v>21</v>
      </c>
      <c r="C394" t="s">
        <v>240</v>
      </c>
      <c r="D394" t="s">
        <v>58</v>
      </c>
      <c r="E394" t="s">
        <v>59</v>
      </c>
      <c r="F394" t="s">
        <v>60</v>
      </c>
      <c r="G394">
        <v>20</v>
      </c>
      <c r="H394">
        <v>13</v>
      </c>
      <c r="I394">
        <v>0</v>
      </c>
      <c r="J394" t="s">
        <v>34</v>
      </c>
      <c r="K394" t="s">
        <v>65</v>
      </c>
      <c r="L394">
        <v>54</v>
      </c>
      <c r="M394">
        <v>104.033</v>
      </c>
      <c r="N394">
        <v>106.52363</v>
      </c>
      <c r="O394">
        <v>17.855</v>
      </c>
      <c r="P394">
        <v>43.595999999999997</v>
      </c>
      <c r="Q394">
        <v>41.776000000000003</v>
      </c>
      <c r="R394">
        <v>40</v>
      </c>
      <c r="S394" t="s">
        <v>25</v>
      </c>
      <c r="T394">
        <f>IF(TRIM(Table1[[#This Row],[PitStopLaps]])="",0,
LEN(Table1[[#This Row],[PitStopLaps]])-LEN(SUBSTITUTE(Table1[[#This Row],[PitStopLaps]],",",""))+1)</f>
        <v>1</v>
      </c>
      <c r="U394">
        <f>Table1[[#This Row],[StartPosition]]-Table1[[#This Row],[FinishPosition]]</f>
        <v>7</v>
      </c>
    </row>
    <row r="395" spans="1:21" x14ac:dyDescent="0.3">
      <c r="A395">
        <v>2018</v>
      </c>
      <c r="B395">
        <v>21</v>
      </c>
      <c r="C395" t="s">
        <v>240</v>
      </c>
      <c r="D395" t="s">
        <v>45</v>
      </c>
      <c r="E395" t="s">
        <v>46</v>
      </c>
      <c r="F395" t="s">
        <v>37</v>
      </c>
      <c r="G395">
        <v>18</v>
      </c>
      <c r="H395">
        <v>14</v>
      </c>
      <c r="I395">
        <v>0</v>
      </c>
      <c r="J395" t="s">
        <v>34</v>
      </c>
      <c r="K395" t="s">
        <v>65</v>
      </c>
      <c r="L395">
        <v>54</v>
      </c>
      <c r="M395">
        <v>103.249</v>
      </c>
      <c r="N395">
        <v>106.460869</v>
      </c>
      <c r="O395">
        <v>17.843</v>
      </c>
      <c r="P395">
        <v>43.817999999999998</v>
      </c>
      <c r="Q395">
        <v>41.485999999999997</v>
      </c>
      <c r="R395">
        <v>35</v>
      </c>
      <c r="S395" t="s">
        <v>25</v>
      </c>
      <c r="T395">
        <f>IF(TRIM(Table1[[#This Row],[PitStopLaps]])="",0,
LEN(Table1[[#This Row],[PitStopLaps]])-LEN(SUBSTITUTE(Table1[[#This Row],[PitStopLaps]],",",""))+1)</f>
        <v>1</v>
      </c>
      <c r="U395">
        <f>Table1[[#This Row],[StartPosition]]-Table1[[#This Row],[FinishPosition]]</f>
        <v>4</v>
      </c>
    </row>
    <row r="396" spans="1:21" x14ac:dyDescent="0.3">
      <c r="A396">
        <v>2018</v>
      </c>
      <c r="B396">
        <v>21</v>
      </c>
      <c r="C396" t="s">
        <v>240</v>
      </c>
      <c r="D396" t="s">
        <v>79</v>
      </c>
      <c r="E396" t="s">
        <v>80</v>
      </c>
      <c r="F396" t="s">
        <v>60</v>
      </c>
      <c r="G396">
        <v>19</v>
      </c>
      <c r="H396">
        <v>15</v>
      </c>
      <c r="I396">
        <v>0</v>
      </c>
      <c r="J396" t="s">
        <v>34</v>
      </c>
      <c r="K396" t="s">
        <v>65</v>
      </c>
      <c r="L396">
        <v>54</v>
      </c>
      <c r="M396">
        <v>103.831</v>
      </c>
      <c r="N396">
        <v>106.767239</v>
      </c>
      <c r="O396">
        <v>17.902000000000001</v>
      </c>
      <c r="P396">
        <v>44.247999999999998</v>
      </c>
      <c r="Q396">
        <v>41.603999999999999</v>
      </c>
      <c r="R396">
        <v>35</v>
      </c>
      <c r="S396" t="s">
        <v>25</v>
      </c>
      <c r="T396">
        <f>IF(TRIM(Table1[[#This Row],[PitStopLaps]])="",0,
LEN(Table1[[#This Row],[PitStopLaps]])-LEN(SUBSTITUTE(Table1[[#This Row],[PitStopLaps]],",",""))+1)</f>
        <v>1</v>
      </c>
      <c r="U396">
        <f>Table1[[#This Row],[StartPosition]]-Table1[[#This Row],[FinishPosition]]</f>
        <v>4</v>
      </c>
    </row>
    <row r="397" spans="1:21" x14ac:dyDescent="0.3">
      <c r="A397">
        <v>2018</v>
      </c>
      <c r="B397">
        <v>21</v>
      </c>
      <c r="C397" t="s">
        <v>240</v>
      </c>
      <c r="D397" t="s">
        <v>73</v>
      </c>
      <c r="E397" t="s">
        <v>74</v>
      </c>
      <c r="F397" t="s">
        <v>64</v>
      </c>
      <c r="G397">
        <v>17</v>
      </c>
      <c r="H397">
        <v>16</v>
      </c>
      <c r="I397">
        <v>0</v>
      </c>
      <c r="J397" t="s">
        <v>34</v>
      </c>
      <c r="K397" t="s">
        <v>75</v>
      </c>
      <c r="L397">
        <v>47</v>
      </c>
      <c r="M397">
        <v>103.988</v>
      </c>
      <c r="N397">
        <v>106.300578</v>
      </c>
      <c r="O397">
        <v>18.007000000000001</v>
      </c>
      <c r="P397">
        <v>43.798000000000002</v>
      </c>
      <c r="Q397">
        <v>41.723999999999997</v>
      </c>
      <c r="R397">
        <v>29</v>
      </c>
      <c r="S397" t="s">
        <v>25</v>
      </c>
      <c r="T397">
        <f>IF(TRIM(Table1[[#This Row],[PitStopLaps]])="",0,
LEN(Table1[[#This Row],[PitStopLaps]])-LEN(SUBSTITUTE(Table1[[#This Row],[PitStopLaps]],",",""))+1)</f>
        <v>1</v>
      </c>
      <c r="U397">
        <f>Table1[[#This Row],[StartPosition]]-Table1[[#This Row],[FinishPosition]]</f>
        <v>1</v>
      </c>
    </row>
    <row r="398" spans="1:21" x14ac:dyDescent="0.3">
      <c r="A398">
        <v>2018</v>
      </c>
      <c r="B398">
        <v>21</v>
      </c>
      <c r="C398" t="s">
        <v>240</v>
      </c>
      <c r="D398" t="s">
        <v>52</v>
      </c>
      <c r="E398" t="s">
        <v>53</v>
      </c>
      <c r="F398" t="s">
        <v>192</v>
      </c>
      <c r="G398">
        <v>9</v>
      </c>
      <c r="H398">
        <v>17</v>
      </c>
      <c r="I398">
        <v>0</v>
      </c>
      <c r="J398" t="s">
        <v>34</v>
      </c>
      <c r="K398" t="s">
        <v>75</v>
      </c>
      <c r="L398">
        <v>45</v>
      </c>
      <c r="M398">
        <v>103.59099999999999</v>
      </c>
      <c r="N398">
        <v>106.069333</v>
      </c>
      <c r="O398">
        <v>17.861000000000001</v>
      </c>
      <c r="P398">
        <v>43.720999999999997</v>
      </c>
      <c r="Q398">
        <v>41.750999999999998</v>
      </c>
      <c r="R398" t="s">
        <v>242</v>
      </c>
      <c r="S398" t="s">
        <v>25</v>
      </c>
      <c r="T398">
        <f>IF(TRIM(Table1[[#This Row],[PitStopLaps]])="",0,
LEN(Table1[[#This Row],[PitStopLaps]])-LEN(SUBSTITUTE(Table1[[#This Row],[PitStopLaps]],",",""))+1)</f>
        <v>2</v>
      </c>
      <c r="U398">
        <f>Table1[[#This Row],[StartPosition]]-Table1[[#This Row],[FinishPosition]]</f>
        <v>-8</v>
      </c>
    </row>
    <row r="399" spans="1:21" x14ac:dyDescent="0.3">
      <c r="A399">
        <v>2018</v>
      </c>
      <c r="B399">
        <v>21</v>
      </c>
      <c r="C399" t="s">
        <v>240</v>
      </c>
      <c r="D399" t="s">
        <v>76</v>
      </c>
      <c r="E399" t="s">
        <v>77</v>
      </c>
      <c r="F399" t="s">
        <v>56</v>
      </c>
      <c r="G399">
        <v>12</v>
      </c>
      <c r="H399">
        <v>18</v>
      </c>
      <c r="I399">
        <v>0</v>
      </c>
      <c r="J399" t="s">
        <v>34</v>
      </c>
      <c r="K399" t="s">
        <v>186</v>
      </c>
      <c r="L399">
        <v>25</v>
      </c>
      <c r="M399">
        <v>106.077</v>
      </c>
      <c r="N399">
        <v>107.282944</v>
      </c>
      <c r="O399">
        <v>18.151</v>
      </c>
      <c r="P399">
        <v>44.262</v>
      </c>
      <c r="Q399">
        <v>43.191000000000003</v>
      </c>
      <c r="S399" t="s">
        <v>25</v>
      </c>
      <c r="T399">
        <f>IF(TRIM(Table1[[#This Row],[PitStopLaps]])="",0,
LEN(Table1[[#This Row],[PitStopLaps]])-LEN(SUBSTITUTE(Table1[[#This Row],[PitStopLaps]],",",""))+1)</f>
        <v>0</v>
      </c>
      <c r="U399">
        <f>Table1[[#This Row],[StartPosition]]-Table1[[#This Row],[FinishPosition]]</f>
        <v>-6</v>
      </c>
    </row>
    <row r="400" spans="1:21" x14ac:dyDescent="0.3">
      <c r="A400">
        <v>2018</v>
      </c>
      <c r="B400">
        <v>21</v>
      </c>
      <c r="C400" t="s">
        <v>240</v>
      </c>
      <c r="D400" t="s">
        <v>29</v>
      </c>
      <c r="E400" t="s">
        <v>30</v>
      </c>
      <c r="F400" t="s">
        <v>22</v>
      </c>
      <c r="G400">
        <v>4</v>
      </c>
      <c r="H400">
        <v>19</v>
      </c>
      <c r="I400">
        <v>0</v>
      </c>
      <c r="J400" t="s">
        <v>34</v>
      </c>
      <c r="K400" t="s">
        <v>186</v>
      </c>
      <c r="L400">
        <v>7</v>
      </c>
      <c r="M400">
        <v>105.19799999999999</v>
      </c>
      <c r="N400">
        <v>110.29</v>
      </c>
      <c r="O400">
        <v>18.265000000000001</v>
      </c>
      <c r="P400">
        <v>43.798000000000002</v>
      </c>
      <c r="Q400">
        <v>43.072000000000003</v>
      </c>
      <c r="R400">
        <v>7</v>
      </c>
      <c r="S400" t="s">
        <v>25</v>
      </c>
      <c r="T400">
        <f>IF(TRIM(Table1[[#This Row],[PitStopLaps]])="",0,
LEN(Table1[[#This Row],[PitStopLaps]])-LEN(SUBSTITUTE(Table1[[#This Row],[PitStopLaps]],",",""))+1)</f>
        <v>1</v>
      </c>
      <c r="U400">
        <f>Table1[[#This Row],[StartPosition]]-Table1[[#This Row],[FinishPosition]]</f>
        <v>-15</v>
      </c>
    </row>
    <row r="401" spans="1:21" x14ac:dyDescent="0.3">
      <c r="A401">
        <v>2018</v>
      </c>
      <c r="B401">
        <v>21</v>
      </c>
      <c r="C401" t="s">
        <v>240</v>
      </c>
      <c r="D401" t="s">
        <v>40</v>
      </c>
      <c r="E401" t="s">
        <v>41</v>
      </c>
      <c r="F401" t="s">
        <v>42</v>
      </c>
      <c r="G401">
        <v>10</v>
      </c>
      <c r="H401">
        <v>20</v>
      </c>
      <c r="I401">
        <v>0</v>
      </c>
      <c r="J401" t="s">
        <v>34</v>
      </c>
      <c r="K401" t="s">
        <v>124</v>
      </c>
      <c r="L401">
        <v>1</v>
      </c>
      <c r="S401" t="s">
        <v>25</v>
      </c>
      <c r="T401">
        <f>IF(TRIM(Table1[[#This Row],[PitStopLaps]])="",0,
LEN(Table1[[#This Row],[PitStopLaps]])-LEN(SUBSTITUTE(Table1[[#This Row],[PitStopLaps]],",",""))+1)</f>
        <v>0</v>
      </c>
      <c r="U401">
        <f>Table1[[#This Row],[StartPosition]]-Table1[[#This Row],[FinishPosition]]</f>
        <v>-10</v>
      </c>
    </row>
    <row r="402" spans="1:21" x14ac:dyDescent="0.3">
      <c r="A402">
        <v>2019</v>
      </c>
      <c r="B402">
        <v>1</v>
      </c>
      <c r="C402" t="s">
        <v>19</v>
      </c>
      <c r="D402" t="s">
        <v>43</v>
      </c>
      <c r="E402" t="s">
        <v>44</v>
      </c>
      <c r="F402" t="s">
        <v>28</v>
      </c>
      <c r="G402">
        <v>2</v>
      </c>
      <c r="H402">
        <v>1</v>
      </c>
      <c r="I402">
        <v>26</v>
      </c>
      <c r="J402" t="s">
        <v>23</v>
      </c>
      <c r="K402" t="s">
        <v>24</v>
      </c>
      <c r="L402">
        <v>58</v>
      </c>
      <c r="M402">
        <v>85.58</v>
      </c>
      <c r="N402">
        <v>87.884671999999995</v>
      </c>
      <c r="O402">
        <v>28.64</v>
      </c>
      <c r="P402">
        <v>22.838999999999999</v>
      </c>
      <c r="Q402">
        <v>34.100999999999999</v>
      </c>
      <c r="R402">
        <v>23</v>
      </c>
      <c r="S402" t="s">
        <v>83</v>
      </c>
      <c r="T402">
        <f>IF(TRIM(Table1[[#This Row],[PitStopLaps]])="",0,
LEN(Table1[[#This Row],[PitStopLaps]])-LEN(SUBSTITUTE(Table1[[#This Row],[PitStopLaps]],",",""))+1)</f>
        <v>1</v>
      </c>
      <c r="U402">
        <f>Table1[[#This Row],[StartPosition]]-Table1[[#This Row],[FinishPosition]]</f>
        <v>1</v>
      </c>
    </row>
    <row r="403" spans="1:21" x14ac:dyDescent="0.3">
      <c r="A403">
        <v>2019</v>
      </c>
      <c r="B403">
        <v>1</v>
      </c>
      <c r="C403" t="s">
        <v>19</v>
      </c>
      <c r="D403" t="s">
        <v>26</v>
      </c>
      <c r="E403" t="s">
        <v>27</v>
      </c>
      <c r="F403" t="s">
        <v>28</v>
      </c>
      <c r="G403">
        <v>1</v>
      </c>
      <c r="H403">
        <v>2</v>
      </c>
      <c r="I403">
        <v>18</v>
      </c>
      <c r="J403" t="s">
        <v>23</v>
      </c>
      <c r="K403" t="s">
        <v>24</v>
      </c>
      <c r="L403">
        <v>58</v>
      </c>
      <c r="M403">
        <v>86.057000000000002</v>
      </c>
      <c r="N403">
        <v>88.210963000000007</v>
      </c>
      <c r="O403">
        <v>28.701000000000001</v>
      </c>
      <c r="P403">
        <v>23.055</v>
      </c>
      <c r="Q403">
        <v>34.268999999999998</v>
      </c>
      <c r="R403">
        <v>15</v>
      </c>
      <c r="S403" t="s">
        <v>83</v>
      </c>
      <c r="T403">
        <f>IF(TRIM(Table1[[#This Row],[PitStopLaps]])="",0,
LEN(Table1[[#This Row],[PitStopLaps]])-LEN(SUBSTITUTE(Table1[[#This Row],[PitStopLaps]],",",""))+1)</f>
        <v>1</v>
      </c>
      <c r="U403">
        <f>Table1[[#This Row],[StartPosition]]-Table1[[#This Row],[FinishPosition]]</f>
        <v>-1</v>
      </c>
    </row>
    <row r="404" spans="1:21" x14ac:dyDescent="0.3">
      <c r="A404">
        <v>2019</v>
      </c>
      <c r="B404">
        <v>1</v>
      </c>
      <c r="C404" t="s">
        <v>19</v>
      </c>
      <c r="D404" t="s">
        <v>38</v>
      </c>
      <c r="E404" t="s">
        <v>39</v>
      </c>
      <c r="F404" t="s">
        <v>33</v>
      </c>
      <c r="G404">
        <v>4</v>
      </c>
      <c r="H404">
        <v>3</v>
      </c>
      <c r="I404">
        <v>15</v>
      </c>
      <c r="J404" t="s">
        <v>23</v>
      </c>
      <c r="K404" t="s">
        <v>24</v>
      </c>
      <c r="L404">
        <v>58</v>
      </c>
      <c r="M404">
        <v>86.256</v>
      </c>
      <c r="N404">
        <v>88.253309000000002</v>
      </c>
      <c r="O404">
        <v>28.85</v>
      </c>
      <c r="P404">
        <v>22.948</v>
      </c>
      <c r="Q404">
        <v>34.363</v>
      </c>
      <c r="R404">
        <v>25</v>
      </c>
      <c r="S404" t="s">
        <v>83</v>
      </c>
      <c r="T404">
        <f>IF(TRIM(Table1[[#This Row],[PitStopLaps]])="",0,
LEN(Table1[[#This Row],[PitStopLaps]])-LEN(SUBSTITUTE(Table1[[#This Row],[PitStopLaps]],",",""))+1)</f>
        <v>1</v>
      </c>
      <c r="U404">
        <f>Table1[[#This Row],[StartPosition]]-Table1[[#This Row],[FinishPosition]]</f>
        <v>1</v>
      </c>
    </row>
    <row r="405" spans="1:21" x14ac:dyDescent="0.3">
      <c r="A405">
        <v>2019</v>
      </c>
      <c r="B405">
        <v>1</v>
      </c>
      <c r="C405" t="s">
        <v>19</v>
      </c>
      <c r="D405" t="s">
        <v>20</v>
      </c>
      <c r="E405" t="s">
        <v>21</v>
      </c>
      <c r="F405" t="s">
        <v>22</v>
      </c>
      <c r="G405">
        <v>3</v>
      </c>
      <c r="H405">
        <v>4</v>
      </c>
      <c r="I405">
        <v>12</v>
      </c>
      <c r="J405" t="s">
        <v>34</v>
      </c>
      <c r="K405" t="s">
        <v>24</v>
      </c>
      <c r="L405">
        <v>58</v>
      </c>
      <c r="M405">
        <v>87.953999999999994</v>
      </c>
      <c r="N405">
        <v>88.881618000000003</v>
      </c>
      <c r="O405">
        <v>29.271000000000001</v>
      </c>
      <c r="P405">
        <v>23.457999999999998</v>
      </c>
      <c r="Q405">
        <v>34.985999999999997</v>
      </c>
      <c r="R405">
        <v>14</v>
      </c>
      <c r="S405" t="s">
        <v>83</v>
      </c>
      <c r="T405">
        <f>IF(TRIM(Table1[[#This Row],[PitStopLaps]])="",0,
LEN(Table1[[#This Row],[PitStopLaps]])-LEN(SUBSTITUTE(Table1[[#This Row],[PitStopLaps]],",",""))+1)</f>
        <v>1</v>
      </c>
      <c r="U405">
        <f>Table1[[#This Row],[StartPosition]]-Table1[[#This Row],[FinishPosition]]</f>
        <v>-1</v>
      </c>
    </row>
    <row r="406" spans="1:21" x14ac:dyDescent="0.3">
      <c r="A406">
        <v>2019</v>
      </c>
      <c r="B406">
        <v>1</v>
      </c>
      <c r="C406" t="s">
        <v>19</v>
      </c>
      <c r="D406" t="s">
        <v>54</v>
      </c>
      <c r="E406" t="s">
        <v>55</v>
      </c>
      <c r="F406" t="s">
        <v>22</v>
      </c>
      <c r="G406">
        <v>5</v>
      </c>
      <c r="H406">
        <v>5</v>
      </c>
      <c r="I406">
        <v>10</v>
      </c>
      <c r="J406" t="s">
        <v>34</v>
      </c>
      <c r="K406" t="s">
        <v>24</v>
      </c>
      <c r="L406">
        <v>58</v>
      </c>
      <c r="M406">
        <v>86.926000000000002</v>
      </c>
      <c r="N406">
        <v>88.842129</v>
      </c>
      <c r="O406">
        <v>29.006</v>
      </c>
      <c r="P406">
        <v>23.138000000000002</v>
      </c>
      <c r="Q406">
        <v>34.753</v>
      </c>
      <c r="R406">
        <v>28</v>
      </c>
      <c r="S406" t="s">
        <v>83</v>
      </c>
      <c r="T406">
        <f>IF(TRIM(Table1[[#This Row],[PitStopLaps]])="",0,
LEN(Table1[[#This Row],[PitStopLaps]])-LEN(SUBSTITUTE(Table1[[#This Row],[PitStopLaps]],",",""))+1)</f>
        <v>1</v>
      </c>
      <c r="U406">
        <f>Table1[[#This Row],[StartPosition]]-Table1[[#This Row],[FinishPosition]]</f>
        <v>0</v>
      </c>
    </row>
    <row r="407" spans="1:21" x14ac:dyDescent="0.3">
      <c r="A407">
        <v>2019</v>
      </c>
      <c r="B407">
        <v>1</v>
      </c>
      <c r="C407" t="s">
        <v>19</v>
      </c>
      <c r="D407" t="s">
        <v>71</v>
      </c>
      <c r="E407" t="s">
        <v>72</v>
      </c>
      <c r="F407" t="s">
        <v>69</v>
      </c>
      <c r="G407">
        <v>7</v>
      </c>
      <c r="H407">
        <v>6</v>
      </c>
      <c r="I407">
        <v>8</v>
      </c>
      <c r="J407" t="s">
        <v>34</v>
      </c>
      <c r="K407" t="s">
        <v>24</v>
      </c>
      <c r="L407">
        <v>58</v>
      </c>
      <c r="M407">
        <v>88.182000000000002</v>
      </c>
      <c r="N407">
        <v>89.318745000000007</v>
      </c>
      <c r="O407">
        <v>29.443999999999999</v>
      </c>
      <c r="P407">
        <v>23.494</v>
      </c>
      <c r="Q407">
        <v>35.084000000000003</v>
      </c>
      <c r="R407">
        <v>14</v>
      </c>
      <c r="S407" t="s">
        <v>83</v>
      </c>
      <c r="T407">
        <f>IF(TRIM(Table1[[#This Row],[PitStopLaps]])="",0,
LEN(Table1[[#This Row],[PitStopLaps]])-LEN(SUBSTITUTE(Table1[[#This Row],[PitStopLaps]],",",""))+1)</f>
        <v>1</v>
      </c>
      <c r="U407">
        <f>Table1[[#This Row],[StartPosition]]-Table1[[#This Row],[FinishPosition]]</f>
        <v>1</v>
      </c>
    </row>
    <row r="408" spans="1:21" x14ac:dyDescent="0.3">
      <c r="A408">
        <v>2019</v>
      </c>
      <c r="B408">
        <v>1</v>
      </c>
      <c r="C408" t="s">
        <v>19</v>
      </c>
      <c r="D408" t="s">
        <v>40</v>
      </c>
      <c r="E408" t="s">
        <v>41</v>
      </c>
      <c r="F408" t="s">
        <v>42</v>
      </c>
      <c r="G408">
        <v>11</v>
      </c>
      <c r="H408">
        <v>7</v>
      </c>
      <c r="I408">
        <v>6</v>
      </c>
      <c r="J408" t="s">
        <v>34</v>
      </c>
      <c r="K408" t="s">
        <v>65</v>
      </c>
      <c r="L408">
        <v>57</v>
      </c>
      <c r="M408">
        <v>88.444000000000003</v>
      </c>
      <c r="N408">
        <v>89.458370000000002</v>
      </c>
      <c r="O408">
        <v>29.475999999999999</v>
      </c>
      <c r="P408">
        <v>23.478999999999999</v>
      </c>
      <c r="Q408">
        <v>35.265999999999998</v>
      </c>
      <c r="R408">
        <v>13</v>
      </c>
      <c r="S408" t="s">
        <v>83</v>
      </c>
      <c r="T408">
        <f>IF(TRIM(Table1[[#This Row],[PitStopLaps]])="",0,
LEN(Table1[[#This Row],[PitStopLaps]])-LEN(SUBSTITUTE(Table1[[#This Row],[PitStopLaps]],",",""))+1)</f>
        <v>1</v>
      </c>
      <c r="U408">
        <f>Table1[[#This Row],[StartPosition]]-Table1[[#This Row],[FinishPosition]]</f>
        <v>4</v>
      </c>
    </row>
    <row r="409" spans="1:21" x14ac:dyDescent="0.3">
      <c r="A409">
        <v>2019</v>
      </c>
      <c r="B409">
        <v>1</v>
      </c>
      <c r="C409" t="s">
        <v>19</v>
      </c>
      <c r="D409" t="s">
        <v>29</v>
      </c>
      <c r="E409" t="s">
        <v>30</v>
      </c>
      <c r="F409" t="s">
        <v>243</v>
      </c>
      <c r="G409">
        <v>9</v>
      </c>
      <c r="H409">
        <v>8</v>
      </c>
      <c r="I409">
        <v>4</v>
      </c>
      <c r="J409" t="s">
        <v>34</v>
      </c>
      <c r="K409" t="s">
        <v>65</v>
      </c>
      <c r="L409">
        <v>57</v>
      </c>
      <c r="M409">
        <v>88.27</v>
      </c>
      <c r="N409">
        <v>89.405462</v>
      </c>
      <c r="O409">
        <v>29.221</v>
      </c>
      <c r="P409">
        <v>23.51</v>
      </c>
      <c r="Q409">
        <v>35.246000000000002</v>
      </c>
      <c r="R409">
        <v>12</v>
      </c>
      <c r="S409" t="s">
        <v>83</v>
      </c>
      <c r="T409">
        <f>IF(TRIM(Table1[[#This Row],[PitStopLaps]])="",0,
LEN(Table1[[#This Row],[PitStopLaps]])-LEN(SUBSTITUTE(Table1[[#This Row],[PitStopLaps]],",",""))+1)</f>
        <v>1</v>
      </c>
      <c r="U409">
        <f>Table1[[#This Row],[StartPosition]]-Table1[[#This Row],[FinishPosition]]</f>
        <v>1</v>
      </c>
    </row>
    <row r="410" spans="1:21" x14ac:dyDescent="0.3">
      <c r="A410">
        <v>2019</v>
      </c>
      <c r="B410">
        <v>1</v>
      </c>
      <c r="C410" t="s">
        <v>19</v>
      </c>
      <c r="D410" t="s">
        <v>58</v>
      </c>
      <c r="E410" t="s">
        <v>59</v>
      </c>
      <c r="F410" t="s">
        <v>192</v>
      </c>
      <c r="G410">
        <v>16</v>
      </c>
      <c r="H410">
        <v>9</v>
      </c>
      <c r="I410">
        <v>2</v>
      </c>
      <c r="J410" t="s">
        <v>34</v>
      </c>
      <c r="K410" t="s">
        <v>65</v>
      </c>
      <c r="L410">
        <v>57</v>
      </c>
      <c r="M410">
        <v>87.567999999999998</v>
      </c>
      <c r="N410">
        <v>89.448074000000005</v>
      </c>
      <c r="O410">
        <v>29.283999999999999</v>
      </c>
      <c r="P410">
        <v>23.311</v>
      </c>
      <c r="Q410">
        <v>34.972999999999999</v>
      </c>
      <c r="R410">
        <v>27</v>
      </c>
      <c r="S410" t="s">
        <v>83</v>
      </c>
      <c r="T410">
        <f>IF(TRIM(Table1[[#This Row],[PitStopLaps]])="",0,
LEN(Table1[[#This Row],[PitStopLaps]])-LEN(SUBSTITUTE(Table1[[#This Row],[PitStopLaps]],",",""))+1)</f>
        <v>1</v>
      </c>
      <c r="U410">
        <f>Table1[[#This Row],[StartPosition]]-Table1[[#This Row],[FinishPosition]]</f>
        <v>7</v>
      </c>
    </row>
    <row r="411" spans="1:21" x14ac:dyDescent="0.3">
      <c r="A411">
        <v>2019</v>
      </c>
      <c r="B411">
        <v>1</v>
      </c>
      <c r="C411" t="s">
        <v>19</v>
      </c>
      <c r="D411" t="s">
        <v>244</v>
      </c>
      <c r="E411" t="s">
        <v>245</v>
      </c>
      <c r="F411" t="s">
        <v>64</v>
      </c>
      <c r="G411">
        <v>15</v>
      </c>
      <c r="H411">
        <v>10</v>
      </c>
      <c r="I411">
        <v>1</v>
      </c>
      <c r="J411" t="s">
        <v>34</v>
      </c>
      <c r="K411" t="s">
        <v>65</v>
      </c>
      <c r="L411">
        <v>57</v>
      </c>
      <c r="M411">
        <v>87.447999999999993</v>
      </c>
      <c r="N411">
        <v>89.418259000000006</v>
      </c>
      <c r="O411">
        <v>29.228999999999999</v>
      </c>
      <c r="P411">
        <v>23.242000000000001</v>
      </c>
      <c r="Q411">
        <v>34.694000000000003</v>
      </c>
      <c r="R411">
        <v>26</v>
      </c>
      <c r="S411" t="s">
        <v>83</v>
      </c>
      <c r="T411">
        <f>IF(TRIM(Table1[[#This Row],[PitStopLaps]])="",0,
LEN(Table1[[#This Row],[PitStopLaps]])-LEN(SUBSTITUTE(Table1[[#This Row],[PitStopLaps]],",",""))+1)</f>
        <v>1</v>
      </c>
      <c r="U411">
        <f>Table1[[#This Row],[StartPosition]]-Table1[[#This Row],[FinishPosition]]</f>
        <v>5</v>
      </c>
    </row>
    <row r="412" spans="1:21" x14ac:dyDescent="0.3">
      <c r="A412">
        <v>2019</v>
      </c>
      <c r="B412">
        <v>1</v>
      </c>
      <c r="C412" t="s">
        <v>19</v>
      </c>
      <c r="D412" t="s">
        <v>73</v>
      </c>
      <c r="E412" t="s">
        <v>74</v>
      </c>
      <c r="F412" t="s">
        <v>33</v>
      </c>
      <c r="G412">
        <v>17</v>
      </c>
      <c r="H412">
        <v>11</v>
      </c>
      <c r="I412">
        <v>0</v>
      </c>
      <c r="J412" t="s">
        <v>34</v>
      </c>
      <c r="K412" t="s">
        <v>65</v>
      </c>
      <c r="L412">
        <v>57</v>
      </c>
      <c r="M412">
        <v>87.228999999999999</v>
      </c>
      <c r="N412">
        <v>89.428906999999995</v>
      </c>
      <c r="O412">
        <v>29.332000000000001</v>
      </c>
      <c r="P412">
        <v>23.285</v>
      </c>
      <c r="Q412">
        <v>34.457000000000001</v>
      </c>
      <c r="R412">
        <v>37</v>
      </c>
      <c r="S412" t="s">
        <v>83</v>
      </c>
      <c r="T412">
        <f>IF(TRIM(Table1[[#This Row],[PitStopLaps]])="",0,
LEN(Table1[[#This Row],[PitStopLaps]])-LEN(SUBSTITUTE(Table1[[#This Row],[PitStopLaps]],",",""))+1)</f>
        <v>1</v>
      </c>
      <c r="U412">
        <f>Table1[[#This Row],[StartPosition]]-Table1[[#This Row],[FinishPosition]]</f>
        <v>6</v>
      </c>
    </row>
    <row r="413" spans="1:21" x14ac:dyDescent="0.3">
      <c r="A413">
        <v>2019</v>
      </c>
      <c r="B413">
        <v>1</v>
      </c>
      <c r="C413" t="s">
        <v>19</v>
      </c>
      <c r="D413" t="s">
        <v>246</v>
      </c>
      <c r="E413" t="s">
        <v>247</v>
      </c>
      <c r="F413" t="s">
        <v>37</v>
      </c>
      <c r="G413">
        <v>8</v>
      </c>
      <c r="H413">
        <v>12</v>
      </c>
      <c r="I413">
        <v>0</v>
      </c>
      <c r="J413" t="s">
        <v>34</v>
      </c>
      <c r="K413" t="s">
        <v>65</v>
      </c>
      <c r="L413">
        <v>57</v>
      </c>
      <c r="M413">
        <v>88.555000000000007</v>
      </c>
      <c r="N413">
        <v>90.190629000000001</v>
      </c>
      <c r="O413">
        <v>29.484999999999999</v>
      </c>
      <c r="P413">
        <v>23.61</v>
      </c>
      <c r="Q413">
        <v>35.344000000000001</v>
      </c>
      <c r="R413">
        <v>15</v>
      </c>
      <c r="S413" t="s">
        <v>83</v>
      </c>
      <c r="T413">
        <f>IF(TRIM(Table1[[#This Row],[PitStopLaps]])="",0,
LEN(Table1[[#This Row],[PitStopLaps]])-LEN(SUBSTITUTE(Table1[[#This Row],[PitStopLaps]],",",""))+1)</f>
        <v>1</v>
      </c>
      <c r="U413">
        <f>Table1[[#This Row],[StartPosition]]-Table1[[#This Row],[FinishPosition]]</f>
        <v>-4</v>
      </c>
    </row>
    <row r="414" spans="1:21" x14ac:dyDescent="0.3">
      <c r="A414">
        <v>2019</v>
      </c>
      <c r="B414">
        <v>1</v>
      </c>
      <c r="C414" t="s">
        <v>19</v>
      </c>
      <c r="D414" t="s">
        <v>49</v>
      </c>
      <c r="E414" t="s">
        <v>50</v>
      </c>
      <c r="F414" t="s">
        <v>192</v>
      </c>
      <c r="G414">
        <v>10</v>
      </c>
      <c r="H414">
        <v>13</v>
      </c>
      <c r="I414">
        <v>0</v>
      </c>
      <c r="J414" t="s">
        <v>34</v>
      </c>
      <c r="K414" t="s">
        <v>65</v>
      </c>
      <c r="L414">
        <v>57</v>
      </c>
      <c r="M414">
        <v>88.484999999999999</v>
      </c>
      <c r="N414">
        <v>90.157240000000002</v>
      </c>
      <c r="O414">
        <v>29.542999999999999</v>
      </c>
      <c r="P414">
        <v>23.565000000000001</v>
      </c>
      <c r="Q414">
        <v>35.314999999999998</v>
      </c>
      <c r="R414">
        <v>13</v>
      </c>
      <c r="S414" t="s">
        <v>83</v>
      </c>
      <c r="T414">
        <f>IF(TRIM(Table1[[#This Row],[PitStopLaps]])="",0,
LEN(Table1[[#This Row],[PitStopLaps]])-LEN(SUBSTITUTE(Table1[[#This Row],[PitStopLaps]],",",""))+1)</f>
        <v>1</v>
      </c>
      <c r="U414">
        <f>Table1[[#This Row],[StartPosition]]-Table1[[#This Row],[FinishPosition]]</f>
        <v>-3</v>
      </c>
    </row>
    <row r="415" spans="1:21" x14ac:dyDescent="0.3">
      <c r="A415">
        <v>2019</v>
      </c>
      <c r="B415">
        <v>1</v>
      </c>
      <c r="C415" t="s">
        <v>19</v>
      </c>
      <c r="D415" t="s">
        <v>248</v>
      </c>
      <c r="E415" t="s">
        <v>249</v>
      </c>
      <c r="F415" t="s">
        <v>64</v>
      </c>
      <c r="G415">
        <v>13</v>
      </c>
      <c r="H415">
        <v>14</v>
      </c>
      <c r="I415">
        <v>0</v>
      </c>
      <c r="J415" t="s">
        <v>34</v>
      </c>
      <c r="K415" t="s">
        <v>65</v>
      </c>
      <c r="L415">
        <v>57</v>
      </c>
      <c r="M415">
        <v>88.188000000000002</v>
      </c>
      <c r="N415">
        <v>90.216517999999994</v>
      </c>
      <c r="O415">
        <v>29.527000000000001</v>
      </c>
      <c r="P415">
        <v>23.420999999999999</v>
      </c>
      <c r="Q415">
        <v>35.24</v>
      </c>
      <c r="R415">
        <v>14</v>
      </c>
      <c r="S415" t="s">
        <v>83</v>
      </c>
      <c r="T415">
        <f>IF(TRIM(Table1[[#This Row],[PitStopLaps]])="",0,
LEN(Table1[[#This Row],[PitStopLaps]])-LEN(SUBSTITUTE(Table1[[#This Row],[PitStopLaps]],",",""))+1)</f>
        <v>1</v>
      </c>
      <c r="U415">
        <f>Table1[[#This Row],[StartPosition]]-Table1[[#This Row],[FinishPosition]]</f>
        <v>-1</v>
      </c>
    </row>
    <row r="416" spans="1:21" x14ac:dyDescent="0.3">
      <c r="A416">
        <v>2019</v>
      </c>
      <c r="B416">
        <v>1</v>
      </c>
      <c r="C416" t="s">
        <v>19</v>
      </c>
      <c r="D416" t="s">
        <v>250</v>
      </c>
      <c r="E416" t="s">
        <v>251</v>
      </c>
      <c r="F416" t="s">
        <v>243</v>
      </c>
      <c r="G416">
        <v>14</v>
      </c>
      <c r="H416">
        <v>15</v>
      </c>
      <c r="I416">
        <v>0</v>
      </c>
      <c r="J416" t="s">
        <v>34</v>
      </c>
      <c r="K416" t="s">
        <v>65</v>
      </c>
      <c r="L416">
        <v>57</v>
      </c>
      <c r="M416">
        <v>88.478999999999999</v>
      </c>
      <c r="N416">
        <v>90.418666000000002</v>
      </c>
      <c r="O416">
        <v>29.594999999999999</v>
      </c>
      <c r="P416">
        <v>23.673999999999999</v>
      </c>
      <c r="Q416">
        <v>35.21</v>
      </c>
      <c r="R416">
        <v>27</v>
      </c>
      <c r="S416" t="s">
        <v>83</v>
      </c>
      <c r="T416">
        <f>IF(TRIM(Table1[[#This Row],[PitStopLaps]])="",0,
LEN(Table1[[#This Row],[PitStopLaps]])-LEN(SUBSTITUTE(Table1[[#This Row],[PitStopLaps]],",",""))+1)</f>
        <v>1</v>
      </c>
      <c r="U416">
        <f>Table1[[#This Row],[StartPosition]]-Table1[[#This Row],[FinishPosition]]</f>
        <v>-1</v>
      </c>
    </row>
    <row r="417" spans="1:21" x14ac:dyDescent="0.3">
      <c r="A417">
        <v>2019</v>
      </c>
      <c r="B417">
        <v>1</v>
      </c>
      <c r="C417" t="s">
        <v>19</v>
      </c>
      <c r="D417" t="s">
        <v>252</v>
      </c>
      <c r="E417" t="s">
        <v>253</v>
      </c>
      <c r="F417" t="s">
        <v>60</v>
      </c>
      <c r="G417">
        <v>19</v>
      </c>
      <c r="H417">
        <v>16</v>
      </c>
      <c r="I417">
        <v>0</v>
      </c>
      <c r="J417" t="s">
        <v>34</v>
      </c>
      <c r="K417" t="s">
        <v>127</v>
      </c>
      <c r="L417">
        <v>56</v>
      </c>
      <c r="M417">
        <v>88.712999999999994</v>
      </c>
      <c r="N417">
        <v>91.304686000000004</v>
      </c>
      <c r="O417">
        <v>29.498000000000001</v>
      </c>
      <c r="P417">
        <v>23.582000000000001</v>
      </c>
      <c r="Q417">
        <v>35.33</v>
      </c>
      <c r="R417" t="s">
        <v>254</v>
      </c>
      <c r="S417" t="s">
        <v>83</v>
      </c>
      <c r="T417">
        <f>IF(TRIM(Table1[[#This Row],[PitStopLaps]])="",0,
LEN(Table1[[#This Row],[PitStopLaps]])-LEN(SUBSTITUTE(Table1[[#This Row],[PitStopLaps]],",",""))+1)</f>
        <v>2</v>
      </c>
      <c r="U417">
        <f>Table1[[#This Row],[StartPosition]]-Table1[[#This Row],[FinishPosition]]</f>
        <v>3</v>
      </c>
    </row>
    <row r="418" spans="1:21" x14ac:dyDescent="0.3">
      <c r="A418">
        <v>2019</v>
      </c>
      <c r="B418">
        <v>1</v>
      </c>
      <c r="C418" t="s">
        <v>19</v>
      </c>
      <c r="D418" t="s">
        <v>255</v>
      </c>
      <c r="E418" t="s">
        <v>256</v>
      </c>
      <c r="F418" t="s">
        <v>60</v>
      </c>
      <c r="G418">
        <v>20</v>
      </c>
      <c r="H418">
        <v>17</v>
      </c>
      <c r="I418">
        <v>0</v>
      </c>
      <c r="J418" t="s">
        <v>34</v>
      </c>
      <c r="K418" t="s">
        <v>130</v>
      </c>
      <c r="L418">
        <v>55</v>
      </c>
      <c r="M418">
        <v>89.284000000000006</v>
      </c>
      <c r="N418">
        <v>92.149979000000002</v>
      </c>
      <c r="O418">
        <v>29.768999999999998</v>
      </c>
      <c r="P418">
        <v>23.943000000000001</v>
      </c>
      <c r="Q418">
        <v>35.488999999999997</v>
      </c>
      <c r="R418" t="s">
        <v>257</v>
      </c>
      <c r="S418" t="s">
        <v>83</v>
      </c>
      <c r="T418">
        <f>IF(TRIM(Table1[[#This Row],[PitStopLaps]])="",0,
LEN(Table1[[#This Row],[PitStopLaps]])-LEN(SUBSTITUTE(Table1[[#This Row],[PitStopLaps]],",",""))+1)</f>
        <v>3</v>
      </c>
      <c r="U418">
        <f>Table1[[#This Row],[StartPosition]]-Table1[[#This Row],[FinishPosition]]</f>
        <v>3</v>
      </c>
    </row>
    <row r="419" spans="1:21" x14ac:dyDescent="0.3">
      <c r="A419">
        <v>2019</v>
      </c>
      <c r="B419">
        <v>1</v>
      </c>
      <c r="C419" t="s">
        <v>19</v>
      </c>
      <c r="D419" t="s">
        <v>67</v>
      </c>
      <c r="E419" t="s">
        <v>68</v>
      </c>
      <c r="F419" t="s">
        <v>69</v>
      </c>
      <c r="G419">
        <v>6</v>
      </c>
      <c r="H419">
        <v>18</v>
      </c>
      <c r="I419">
        <v>0</v>
      </c>
      <c r="J419" t="s">
        <v>34</v>
      </c>
      <c r="K419" t="s">
        <v>70</v>
      </c>
      <c r="L419">
        <v>30</v>
      </c>
      <c r="M419">
        <v>88.462000000000003</v>
      </c>
      <c r="N419">
        <v>90.353307000000001</v>
      </c>
      <c r="O419">
        <v>29.523</v>
      </c>
      <c r="P419">
        <v>23.539000000000001</v>
      </c>
      <c r="Q419">
        <v>35.398000000000003</v>
      </c>
      <c r="R419">
        <v>15</v>
      </c>
      <c r="S419" t="s">
        <v>83</v>
      </c>
      <c r="T419">
        <f>IF(TRIM(Table1[[#This Row],[PitStopLaps]])="",0,
LEN(Table1[[#This Row],[PitStopLaps]])-LEN(SUBSTITUTE(Table1[[#This Row],[PitStopLaps]],",",""))+1)</f>
        <v>1</v>
      </c>
      <c r="U419">
        <f>Table1[[#This Row],[StartPosition]]-Table1[[#This Row],[FinishPosition]]</f>
        <v>-12</v>
      </c>
    </row>
    <row r="420" spans="1:21" x14ac:dyDescent="0.3">
      <c r="A420">
        <v>2019</v>
      </c>
      <c r="B420">
        <v>1</v>
      </c>
      <c r="C420" t="s">
        <v>19</v>
      </c>
      <c r="D420" t="s">
        <v>31</v>
      </c>
      <c r="E420" t="s">
        <v>32</v>
      </c>
      <c r="F420" t="s">
        <v>42</v>
      </c>
      <c r="G420">
        <v>12</v>
      </c>
      <c r="H420">
        <v>19</v>
      </c>
      <c r="I420">
        <v>0</v>
      </c>
      <c r="J420" t="s">
        <v>34</v>
      </c>
      <c r="K420" t="s">
        <v>258</v>
      </c>
      <c r="L420">
        <v>29</v>
      </c>
      <c r="M420">
        <v>89.847999999999999</v>
      </c>
      <c r="N420">
        <v>90.497076000000007</v>
      </c>
      <c r="O420">
        <v>29.989000000000001</v>
      </c>
      <c r="P420">
        <v>23.936</v>
      </c>
      <c r="Q420">
        <v>35.770000000000003</v>
      </c>
      <c r="R420" t="s">
        <v>259</v>
      </c>
      <c r="S420" t="s">
        <v>83</v>
      </c>
      <c r="T420">
        <f>IF(TRIM(Table1[[#This Row],[PitStopLaps]])="",0,
LEN(Table1[[#This Row],[PitStopLaps]])-LEN(SUBSTITUTE(Table1[[#This Row],[PitStopLaps]],",",""))+1)</f>
        <v>2</v>
      </c>
      <c r="U420">
        <f>Table1[[#This Row],[StartPosition]]-Table1[[#This Row],[FinishPosition]]</f>
        <v>-7</v>
      </c>
    </row>
    <row r="421" spans="1:21" x14ac:dyDescent="0.3">
      <c r="A421">
        <v>2019</v>
      </c>
      <c r="B421">
        <v>1</v>
      </c>
      <c r="C421" t="s">
        <v>19</v>
      </c>
      <c r="D421" t="s">
        <v>47</v>
      </c>
      <c r="E421" t="s">
        <v>48</v>
      </c>
      <c r="F421" t="s">
        <v>37</v>
      </c>
      <c r="G421">
        <v>18</v>
      </c>
      <c r="H421">
        <v>20</v>
      </c>
      <c r="I421">
        <v>0</v>
      </c>
      <c r="J421" t="s">
        <v>34</v>
      </c>
      <c r="K421" t="s">
        <v>75</v>
      </c>
      <c r="L421">
        <v>10</v>
      </c>
      <c r="M421">
        <v>90.899000000000001</v>
      </c>
      <c r="N421">
        <v>91.466250000000002</v>
      </c>
      <c r="O421">
        <v>30.446999999999999</v>
      </c>
      <c r="P421">
        <v>24.097999999999999</v>
      </c>
      <c r="Q421">
        <v>36.334000000000003</v>
      </c>
      <c r="S421" t="s">
        <v>83</v>
      </c>
      <c r="T421">
        <f>IF(TRIM(Table1[[#This Row],[PitStopLaps]])="",0,
LEN(Table1[[#This Row],[PitStopLaps]])-LEN(SUBSTITUTE(Table1[[#This Row],[PitStopLaps]],",",""))+1)</f>
        <v>0</v>
      </c>
      <c r="U421">
        <f>Table1[[#This Row],[StartPosition]]-Table1[[#This Row],[FinishPosition]]</f>
        <v>-2</v>
      </c>
    </row>
    <row r="422" spans="1:21" x14ac:dyDescent="0.3">
      <c r="A422">
        <v>2019</v>
      </c>
      <c r="B422">
        <v>2</v>
      </c>
      <c r="C422" t="s">
        <v>82</v>
      </c>
      <c r="D422" t="s">
        <v>26</v>
      </c>
      <c r="E422" t="s">
        <v>27</v>
      </c>
      <c r="F422" t="s">
        <v>28</v>
      </c>
      <c r="G422">
        <v>3</v>
      </c>
      <c r="H422">
        <v>1</v>
      </c>
      <c r="I422">
        <v>25</v>
      </c>
      <c r="J422" t="s">
        <v>23</v>
      </c>
      <c r="K422" t="s">
        <v>24</v>
      </c>
      <c r="L422">
        <v>57</v>
      </c>
      <c r="M422">
        <v>93.528000000000006</v>
      </c>
      <c r="N422">
        <v>96.488243999999995</v>
      </c>
      <c r="O422">
        <v>29.181000000000001</v>
      </c>
      <c r="P422">
        <v>40.716000000000001</v>
      </c>
      <c r="Q422">
        <v>23.036999999999999</v>
      </c>
      <c r="R422" t="s">
        <v>260</v>
      </c>
      <c r="S422" t="s">
        <v>83</v>
      </c>
      <c r="T422">
        <f>IF(TRIM(Table1[[#This Row],[PitStopLaps]])="",0,
LEN(Table1[[#This Row],[PitStopLaps]])-LEN(SUBSTITUTE(Table1[[#This Row],[PitStopLaps]],",",""))+1)</f>
        <v>2</v>
      </c>
      <c r="U422">
        <f>Table1[[#This Row],[StartPosition]]-Table1[[#This Row],[FinishPosition]]</f>
        <v>2</v>
      </c>
    </row>
    <row r="423" spans="1:21" x14ac:dyDescent="0.3">
      <c r="A423">
        <v>2019</v>
      </c>
      <c r="B423">
        <v>2</v>
      </c>
      <c r="C423" t="s">
        <v>82</v>
      </c>
      <c r="D423" t="s">
        <v>43</v>
      </c>
      <c r="E423" t="s">
        <v>44</v>
      </c>
      <c r="F423" t="s">
        <v>28</v>
      </c>
      <c r="G423">
        <v>4</v>
      </c>
      <c r="H423">
        <v>2</v>
      </c>
      <c r="I423">
        <v>18</v>
      </c>
      <c r="J423" t="s">
        <v>23</v>
      </c>
      <c r="K423" t="s">
        <v>24</v>
      </c>
      <c r="L423">
        <v>57</v>
      </c>
      <c r="M423">
        <v>94.209000000000003</v>
      </c>
      <c r="N423">
        <v>96.804122000000007</v>
      </c>
      <c r="O423">
        <v>29.526</v>
      </c>
      <c r="P423">
        <v>41.311999999999998</v>
      </c>
      <c r="Q423">
        <v>23.173999999999999</v>
      </c>
      <c r="R423" t="s">
        <v>261</v>
      </c>
      <c r="S423" t="s">
        <v>83</v>
      </c>
      <c r="T423">
        <f>IF(TRIM(Table1[[#This Row],[PitStopLaps]])="",0,
LEN(Table1[[#This Row],[PitStopLaps]])-LEN(SUBSTITUTE(Table1[[#This Row],[PitStopLaps]],",",""))+1)</f>
        <v>2</v>
      </c>
      <c r="U423">
        <f>Table1[[#This Row],[StartPosition]]-Table1[[#This Row],[FinishPosition]]</f>
        <v>2</v>
      </c>
    </row>
    <row r="424" spans="1:21" x14ac:dyDescent="0.3">
      <c r="A424">
        <v>2019</v>
      </c>
      <c r="B424">
        <v>2</v>
      </c>
      <c r="C424" t="s">
        <v>82</v>
      </c>
      <c r="D424" t="s">
        <v>54</v>
      </c>
      <c r="E424" t="s">
        <v>55</v>
      </c>
      <c r="F424" t="s">
        <v>22</v>
      </c>
      <c r="G424">
        <v>1</v>
      </c>
      <c r="H424">
        <v>3</v>
      </c>
      <c r="I424">
        <v>16</v>
      </c>
      <c r="J424" t="s">
        <v>23</v>
      </c>
      <c r="K424" t="s">
        <v>24</v>
      </c>
      <c r="L424">
        <v>57</v>
      </c>
      <c r="M424">
        <v>93.411000000000001</v>
      </c>
      <c r="N424">
        <v>96.979733999999993</v>
      </c>
      <c r="O424">
        <v>29.65</v>
      </c>
      <c r="P424">
        <v>40.734000000000002</v>
      </c>
      <c r="Q424">
        <v>22.992999999999999</v>
      </c>
      <c r="R424" t="s">
        <v>262</v>
      </c>
      <c r="S424" t="s">
        <v>83</v>
      </c>
      <c r="T424">
        <f>IF(TRIM(Table1[[#This Row],[PitStopLaps]])="",0,
LEN(Table1[[#This Row],[PitStopLaps]])-LEN(SUBSTITUTE(Table1[[#This Row],[PitStopLaps]],",",""))+1)</f>
        <v>2</v>
      </c>
      <c r="U424">
        <f>Table1[[#This Row],[StartPosition]]-Table1[[#This Row],[FinishPosition]]</f>
        <v>-2</v>
      </c>
    </row>
    <row r="425" spans="1:21" x14ac:dyDescent="0.3">
      <c r="A425">
        <v>2019</v>
      </c>
      <c r="B425">
        <v>2</v>
      </c>
      <c r="C425" t="s">
        <v>82</v>
      </c>
      <c r="D425" t="s">
        <v>38</v>
      </c>
      <c r="E425" t="s">
        <v>39</v>
      </c>
      <c r="F425" t="s">
        <v>33</v>
      </c>
      <c r="G425">
        <v>5</v>
      </c>
      <c r="H425">
        <v>4</v>
      </c>
      <c r="I425">
        <v>12</v>
      </c>
      <c r="J425" t="s">
        <v>34</v>
      </c>
      <c r="K425" t="s">
        <v>24</v>
      </c>
      <c r="L425">
        <v>57</v>
      </c>
      <c r="M425">
        <v>95.311000000000007</v>
      </c>
      <c r="N425">
        <v>96.878203999999997</v>
      </c>
      <c r="O425">
        <v>30.085000000000001</v>
      </c>
      <c r="P425">
        <v>41.472000000000001</v>
      </c>
      <c r="Q425">
        <v>23.347999999999999</v>
      </c>
      <c r="R425" t="s">
        <v>263</v>
      </c>
      <c r="S425" t="s">
        <v>83</v>
      </c>
      <c r="T425">
        <f>IF(TRIM(Table1[[#This Row],[PitStopLaps]])="",0,
LEN(Table1[[#This Row],[PitStopLaps]])-LEN(SUBSTITUTE(Table1[[#This Row],[PitStopLaps]],",",""))+1)</f>
        <v>2</v>
      </c>
      <c r="U425">
        <f>Table1[[#This Row],[StartPosition]]-Table1[[#This Row],[FinishPosition]]</f>
        <v>1</v>
      </c>
    </row>
    <row r="426" spans="1:21" x14ac:dyDescent="0.3">
      <c r="A426">
        <v>2019</v>
      </c>
      <c r="B426">
        <v>2</v>
      </c>
      <c r="C426" t="s">
        <v>82</v>
      </c>
      <c r="D426" t="s">
        <v>20</v>
      </c>
      <c r="E426" t="s">
        <v>21</v>
      </c>
      <c r="F426" t="s">
        <v>22</v>
      </c>
      <c r="G426">
        <v>2</v>
      </c>
      <c r="H426">
        <v>5</v>
      </c>
      <c r="I426">
        <v>10</v>
      </c>
      <c r="J426" t="s">
        <v>34</v>
      </c>
      <c r="K426" t="s">
        <v>24</v>
      </c>
      <c r="L426">
        <v>57</v>
      </c>
      <c r="M426">
        <v>94.894999999999996</v>
      </c>
      <c r="N426">
        <v>96.504382000000007</v>
      </c>
      <c r="O426">
        <v>29.817</v>
      </c>
      <c r="P426">
        <v>41.478000000000002</v>
      </c>
      <c r="Q426">
        <v>23.393999999999998</v>
      </c>
      <c r="R426" t="s">
        <v>264</v>
      </c>
      <c r="S426" t="s">
        <v>83</v>
      </c>
      <c r="T426">
        <f>IF(TRIM(Table1[[#This Row],[PitStopLaps]])="",0,
LEN(Table1[[#This Row],[PitStopLaps]])-LEN(SUBSTITUTE(Table1[[#This Row],[PitStopLaps]],",",""))+1)</f>
        <v>3</v>
      </c>
      <c r="U426">
        <f>Table1[[#This Row],[StartPosition]]-Table1[[#This Row],[FinishPosition]]</f>
        <v>-3</v>
      </c>
    </row>
    <row r="427" spans="1:21" x14ac:dyDescent="0.3">
      <c r="A427">
        <v>2019</v>
      </c>
      <c r="B427">
        <v>2</v>
      </c>
      <c r="C427" t="s">
        <v>82</v>
      </c>
      <c r="D427" t="s">
        <v>246</v>
      </c>
      <c r="E427" t="s">
        <v>247</v>
      </c>
      <c r="F427" t="s">
        <v>37</v>
      </c>
      <c r="G427">
        <v>9</v>
      </c>
      <c r="H427">
        <v>6</v>
      </c>
      <c r="I427">
        <v>8</v>
      </c>
      <c r="J427" t="s">
        <v>34</v>
      </c>
      <c r="K427" t="s">
        <v>24</v>
      </c>
      <c r="L427">
        <v>57</v>
      </c>
      <c r="M427">
        <v>95.777000000000001</v>
      </c>
      <c r="N427">
        <v>97.604916000000003</v>
      </c>
      <c r="O427">
        <v>29.832000000000001</v>
      </c>
      <c r="P427">
        <v>41.994</v>
      </c>
      <c r="Q427">
        <v>23.576000000000001</v>
      </c>
      <c r="R427" t="s">
        <v>265</v>
      </c>
      <c r="S427" t="s">
        <v>83</v>
      </c>
      <c r="T427">
        <f>IF(TRIM(Table1[[#This Row],[PitStopLaps]])="",0,
LEN(Table1[[#This Row],[PitStopLaps]])-LEN(SUBSTITUTE(Table1[[#This Row],[PitStopLaps]],",",""))+1)</f>
        <v>2</v>
      </c>
      <c r="U427">
        <f>Table1[[#This Row],[StartPosition]]-Table1[[#This Row],[FinishPosition]]</f>
        <v>3</v>
      </c>
    </row>
    <row r="428" spans="1:21" x14ac:dyDescent="0.3">
      <c r="A428">
        <v>2019</v>
      </c>
      <c r="B428">
        <v>2</v>
      </c>
      <c r="C428" t="s">
        <v>82</v>
      </c>
      <c r="D428" t="s">
        <v>29</v>
      </c>
      <c r="E428" t="s">
        <v>30</v>
      </c>
      <c r="F428" t="s">
        <v>243</v>
      </c>
      <c r="G428">
        <v>8</v>
      </c>
      <c r="H428">
        <v>7</v>
      </c>
      <c r="I428">
        <v>6</v>
      </c>
      <c r="J428" t="s">
        <v>34</v>
      </c>
      <c r="K428" t="s">
        <v>24</v>
      </c>
      <c r="L428">
        <v>57</v>
      </c>
      <c r="M428">
        <v>95.588999999999999</v>
      </c>
      <c r="N428">
        <v>97.617958000000002</v>
      </c>
      <c r="O428">
        <v>29.896999999999998</v>
      </c>
      <c r="P428">
        <v>41.878999999999998</v>
      </c>
      <c r="Q428">
        <v>23.527999999999999</v>
      </c>
      <c r="R428" t="s">
        <v>266</v>
      </c>
      <c r="S428" t="s">
        <v>83</v>
      </c>
      <c r="T428">
        <f>IF(TRIM(Table1[[#This Row],[PitStopLaps]])="",0,
LEN(Table1[[#This Row],[PitStopLaps]])-LEN(SUBSTITUTE(Table1[[#This Row],[PitStopLaps]],",",""))+1)</f>
        <v>2</v>
      </c>
      <c r="U428">
        <f>Table1[[#This Row],[StartPosition]]-Table1[[#This Row],[FinishPosition]]</f>
        <v>1</v>
      </c>
    </row>
    <row r="429" spans="1:21" x14ac:dyDescent="0.3">
      <c r="A429">
        <v>2019</v>
      </c>
      <c r="B429">
        <v>2</v>
      </c>
      <c r="C429" t="s">
        <v>82</v>
      </c>
      <c r="D429" t="s">
        <v>73</v>
      </c>
      <c r="E429" t="s">
        <v>74</v>
      </c>
      <c r="F429" t="s">
        <v>33</v>
      </c>
      <c r="G429">
        <v>13</v>
      </c>
      <c r="H429">
        <v>8</v>
      </c>
      <c r="I429">
        <v>4</v>
      </c>
      <c r="J429" t="s">
        <v>34</v>
      </c>
      <c r="K429" t="s">
        <v>24</v>
      </c>
      <c r="L429">
        <v>57</v>
      </c>
      <c r="M429">
        <v>95.290999999999997</v>
      </c>
      <c r="N429">
        <v>97.616186999999996</v>
      </c>
      <c r="O429">
        <v>30.045000000000002</v>
      </c>
      <c r="P429">
        <v>41.752000000000002</v>
      </c>
      <c r="Q429">
        <v>23.312000000000001</v>
      </c>
      <c r="R429" t="s">
        <v>267</v>
      </c>
      <c r="S429" t="s">
        <v>83</v>
      </c>
      <c r="T429">
        <f>IF(TRIM(Table1[[#This Row],[PitStopLaps]])="",0,
LEN(Table1[[#This Row],[PitStopLaps]])-LEN(SUBSTITUTE(Table1[[#This Row],[PitStopLaps]],",",""))+1)</f>
        <v>2</v>
      </c>
      <c r="U429">
        <f>Table1[[#This Row],[StartPosition]]-Table1[[#This Row],[FinishPosition]]</f>
        <v>5</v>
      </c>
    </row>
    <row r="430" spans="1:21" x14ac:dyDescent="0.3">
      <c r="A430">
        <v>2019</v>
      </c>
      <c r="B430">
        <v>2</v>
      </c>
      <c r="C430" t="s">
        <v>82</v>
      </c>
      <c r="D430" t="s">
        <v>248</v>
      </c>
      <c r="E430" t="s">
        <v>249</v>
      </c>
      <c r="F430" t="s">
        <v>64</v>
      </c>
      <c r="G430">
        <v>12</v>
      </c>
      <c r="H430">
        <v>9</v>
      </c>
      <c r="I430">
        <v>2</v>
      </c>
      <c r="J430" t="s">
        <v>34</v>
      </c>
      <c r="K430" t="s">
        <v>24</v>
      </c>
      <c r="L430">
        <v>57</v>
      </c>
      <c r="M430">
        <v>96.751999999999995</v>
      </c>
      <c r="N430">
        <v>97.911582999999993</v>
      </c>
      <c r="O430">
        <v>30.391999999999999</v>
      </c>
      <c r="P430">
        <v>41.969000000000001</v>
      </c>
      <c r="Q430">
        <v>23.599</v>
      </c>
      <c r="R430" t="s">
        <v>268</v>
      </c>
      <c r="S430" t="s">
        <v>83</v>
      </c>
      <c r="T430">
        <f>IF(TRIM(Table1[[#This Row],[PitStopLaps]])="",0,
LEN(Table1[[#This Row],[PitStopLaps]])-LEN(SUBSTITUTE(Table1[[#This Row],[PitStopLaps]],",",""))+1)</f>
        <v>2</v>
      </c>
      <c r="U430">
        <f>Table1[[#This Row],[StartPosition]]-Table1[[#This Row],[FinishPosition]]</f>
        <v>3</v>
      </c>
    </row>
    <row r="431" spans="1:21" x14ac:dyDescent="0.3">
      <c r="A431">
        <v>2019</v>
      </c>
      <c r="B431">
        <v>2</v>
      </c>
      <c r="C431" t="s">
        <v>82</v>
      </c>
      <c r="D431" t="s">
        <v>49</v>
      </c>
      <c r="E431" t="s">
        <v>50</v>
      </c>
      <c r="F431" t="s">
        <v>192</v>
      </c>
      <c r="G431">
        <v>14</v>
      </c>
      <c r="H431">
        <v>10</v>
      </c>
      <c r="I431">
        <v>1</v>
      </c>
      <c r="J431" t="s">
        <v>34</v>
      </c>
      <c r="K431" t="s">
        <v>24</v>
      </c>
      <c r="L431">
        <v>57</v>
      </c>
      <c r="M431">
        <v>96.33</v>
      </c>
      <c r="N431">
        <v>97.950125</v>
      </c>
      <c r="O431">
        <v>30.273</v>
      </c>
      <c r="P431">
        <v>42.143000000000001</v>
      </c>
      <c r="Q431">
        <v>23.53</v>
      </c>
      <c r="R431" t="s">
        <v>269</v>
      </c>
      <c r="S431" t="s">
        <v>83</v>
      </c>
      <c r="T431">
        <f>IF(TRIM(Table1[[#This Row],[PitStopLaps]])="",0,
LEN(Table1[[#This Row],[PitStopLaps]])-LEN(SUBSTITUTE(Table1[[#This Row],[PitStopLaps]],",",""))+1)</f>
        <v>2</v>
      </c>
      <c r="U431">
        <f>Table1[[#This Row],[StartPosition]]-Table1[[#This Row],[FinishPosition]]</f>
        <v>4</v>
      </c>
    </row>
    <row r="432" spans="1:21" x14ac:dyDescent="0.3">
      <c r="A432">
        <v>2019</v>
      </c>
      <c r="B432">
        <v>2</v>
      </c>
      <c r="C432" t="s">
        <v>82</v>
      </c>
      <c r="D432" t="s">
        <v>250</v>
      </c>
      <c r="E432" t="s">
        <v>251</v>
      </c>
      <c r="F432" t="s">
        <v>243</v>
      </c>
      <c r="G432">
        <v>16</v>
      </c>
      <c r="H432">
        <v>11</v>
      </c>
      <c r="I432">
        <v>0</v>
      </c>
      <c r="J432" t="s">
        <v>34</v>
      </c>
      <c r="K432" t="s">
        <v>24</v>
      </c>
      <c r="L432">
        <v>57</v>
      </c>
      <c r="M432">
        <v>95.236999999999995</v>
      </c>
      <c r="N432">
        <v>98.037979000000007</v>
      </c>
      <c r="O432">
        <v>30.215</v>
      </c>
      <c r="P432">
        <v>41.436999999999998</v>
      </c>
      <c r="Q432">
        <v>23.326000000000001</v>
      </c>
      <c r="R432" t="s">
        <v>241</v>
      </c>
      <c r="S432" t="s">
        <v>83</v>
      </c>
      <c r="T432">
        <f>IF(TRIM(Table1[[#This Row],[PitStopLaps]])="",0,
LEN(Table1[[#This Row],[PitStopLaps]])-LEN(SUBSTITUTE(Table1[[#This Row],[PitStopLaps]],",",""))+1)</f>
        <v>2</v>
      </c>
      <c r="U432">
        <f>Table1[[#This Row],[StartPosition]]-Table1[[#This Row],[FinishPosition]]</f>
        <v>5</v>
      </c>
    </row>
    <row r="433" spans="1:21" x14ac:dyDescent="0.3">
      <c r="A433">
        <v>2019</v>
      </c>
      <c r="B433">
        <v>2</v>
      </c>
      <c r="C433" t="s">
        <v>82</v>
      </c>
      <c r="D433" t="s">
        <v>244</v>
      </c>
      <c r="E433" t="s">
        <v>245</v>
      </c>
      <c r="F433" t="s">
        <v>64</v>
      </c>
      <c r="G433">
        <v>15</v>
      </c>
      <c r="H433">
        <v>12</v>
      </c>
      <c r="I433">
        <v>0</v>
      </c>
      <c r="J433" t="s">
        <v>34</v>
      </c>
      <c r="K433" t="s">
        <v>65</v>
      </c>
      <c r="L433">
        <v>56</v>
      </c>
      <c r="M433">
        <v>94.933999999999997</v>
      </c>
      <c r="N433">
        <v>97.801895000000002</v>
      </c>
      <c r="O433">
        <v>30.042000000000002</v>
      </c>
      <c r="P433">
        <v>41.384</v>
      </c>
      <c r="Q433">
        <v>23.31</v>
      </c>
      <c r="R433" t="s">
        <v>270</v>
      </c>
      <c r="S433" t="s">
        <v>83</v>
      </c>
      <c r="T433">
        <f>IF(TRIM(Table1[[#This Row],[PitStopLaps]])="",0,
LEN(Table1[[#This Row],[PitStopLaps]])-LEN(SUBSTITUTE(Table1[[#This Row],[PitStopLaps]],",",""))+1)</f>
        <v>2</v>
      </c>
      <c r="U433">
        <f>Table1[[#This Row],[StartPosition]]-Table1[[#This Row],[FinishPosition]]</f>
        <v>3</v>
      </c>
    </row>
    <row r="434" spans="1:21" x14ac:dyDescent="0.3">
      <c r="A434">
        <v>2019</v>
      </c>
      <c r="B434">
        <v>2</v>
      </c>
      <c r="C434" t="s">
        <v>82</v>
      </c>
      <c r="D434" t="s">
        <v>71</v>
      </c>
      <c r="E434" t="s">
        <v>72</v>
      </c>
      <c r="F434" t="s">
        <v>69</v>
      </c>
      <c r="G434">
        <v>6</v>
      </c>
      <c r="H434">
        <v>13</v>
      </c>
      <c r="I434">
        <v>0</v>
      </c>
      <c r="J434" t="s">
        <v>34</v>
      </c>
      <c r="K434" t="s">
        <v>65</v>
      </c>
      <c r="L434">
        <v>56</v>
      </c>
      <c r="M434">
        <v>95.891999999999996</v>
      </c>
      <c r="N434">
        <v>98.567228999999998</v>
      </c>
      <c r="O434">
        <v>30.602</v>
      </c>
      <c r="P434">
        <v>41.674999999999997</v>
      </c>
      <c r="Q434">
        <v>23.587</v>
      </c>
      <c r="R434" t="s">
        <v>271</v>
      </c>
      <c r="S434" t="s">
        <v>83</v>
      </c>
      <c r="T434">
        <f>IF(TRIM(Table1[[#This Row],[PitStopLaps]])="",0,
LEN(Table1[[#This Row],[PitStopLaps]])-LEN(SUBSTITUTE(Table1[[#This Row],[PitStopLaps]],",",""))+1)</f>
        <v>2</v>
      </c>
      <c r="U434">
        <f>Table1[[#This Row],[StartPosition]]-Table1[[#This Row],[FinishPosition]]</f>
        <v>-7</v>
      </c>
    </row>
    <row r="435" spans="1:21" x14ac:dyDescent="0.3">
      <c r="A435">
        <v>2019</v>
      </c>
      <c r="B435">
        <v>2</v>
      </c>
      <c r="C435" t="s">
        <v>82</v>
      </c>
      <c r="D435" t="s">
        <v>58</v>
      </c>
      <c r="E435" t="s">
        <v>59</v>
      </c>
      <c r="F435" t="s">
        <v>192</v>
      </c>
      <c r="G435">
        <v>18</v>
      </c>
      <c r="H435">
        <v>14</v>
      </c>
      <c r="I435">
        <v>0</v>
      </c>
      <c r="J435" t="s">
        <v>34</v>
      </c>
      <c r="K435" t="s">
        <v>65</v>
      </c>
      <c r="L435">
        <v>56</v>
      </c>
      <c r="M435">
        <v>97.037000000000006</v>
      </c>
      <c r="N435">
        <v>98.448346000000001</v>
      </c>
      <c r="O435">
        <v>30.277000000000001</v>
      </c>
      <c r="P435">
        <v>42.462000000000003</v>
      </c>
      <c r="Q435">
        <v>23.885999999999999</v>
      </c>
      <c r="R435" t="s">
        <v>195</v>
      </c>
      <c r="S435" t="s">
        <v>83</v>
      </c>
      <c r="T435">
        <f>IF(TRIM(Table1[[#This Row],[PitStopLaps]])="",0,
LEN(Table1[[#This Row],[PitStopLaps]])-LEN(SUBSTITUTE(Table1[[#This Row],[PitStopLaps]],",",""))+1)</f>
        <v>2</v>
      </c>
      <c r="U435">
        <f>Table1[[#This Row],[StartPosition]]-Table1[[#This Row],[FinishPosition]]</f>
        <v>4</v>
      </c>
    </row>
    <row r="436" spans="1:21" x14ac:dyDescent="0.3">
      <c r="A436">
        <v>2019</v>
      </c>
      <c r="B436">
        <v>2</v>
      </c>
      <c r="C436" t="s">
        <v>82</v>
      </c>
      <c r="D436" t="s">
        <v>252</v>
      </c>
      <c r="E436" t="s">
        <v>253</v>
      </c>
      <c r="F436" t="s">
        <v>60</v>
      </c>
      <c r="G436">
        <v>19</v>
      </c>
      <c r="H436">
        <v>15</v>
      </c>
      <c r="I436">
        <v>0</v>
      </c>
      <c r="J436" t="s">
        <v>34</v>
      </c>
      <c r="K436" t="s">
        <v>65</v>
      </c>
      <c r="L436">
        <v>56</v>
      </c>
      <c r="M436">
        <v>97.313000000000002</v>
      </c>
      <c r="N436">
        <v>99.528701999999996</v>
      </c>
      <c r="O436">
        <v>30.53</v>
      </c>
      <c r="P436">
        <v>42.537999999999997</v>
      </c>
      <c r="Q436">
        <v>23.847999999999999</v>
      </c>
      <c r="R436" t="s">
        <v>272</v>
      </c>
      <c r="S436" t="s">
        <v>83</v>
      </c>
      <c r="T436">
        <f>IF(TRIM(Table1[[#This Row],[PitStopLaps]])="",0,
LEN(Table1[[#This Row],[PitStopLaps]])-LEN(SUBSTITUTE(Table1[[#This Row],[PitStopLaps]],",",""))+1)</f>
        <v>2</v>
      </c>
      <c r="U436">
        <f>Table1[[#This Row],[StartPosition]]-Table1[[#This Row],[FinishPosition]]</f>
        <v>4</v>
      </c>
    </row>
    <row r="437" spans="1:21" x14ac:dyDescent="0.3">
      <c r="A437">
        <v>2019</v>
      </c>
      <c r="B437">
        <v>2</v>
      </c>
      <c r="C437" t="s">
        <v>82</v>
      </c>
      <c r="D437" t="s">
        <v>255</v>
      </c>
      <c r="E437" t="s">
        <v>256</v>
      </c>
      <c r="F437" t="s">
        <v>60</v>
      </c>
      <c r="G437">
        <v>20</v>
      </c>
      <c r="H437">
        <v>16</v>
      </c>
      <c r="I437">
        <v>0</v>
      </c>
      <c r="J437" t="s">
        <v>34</v>
      </c>
      <c r="K437" t="s">
        <v>127</v>
      </c>
      <c r="L437">
        <v>55</v>
      </c>
      <c r="M437">
        <v>97.903000000000006</v>
      </c>
      <c r="N437">
        <v>100.148872</v>
      </c>
      <c r="O437">
        <v>30.538</v>
      </c>
      <c r="P437">
        <v>42.575000000000003</v>
      </c>
      <c r="Q437">
        <v>24.172999999999998</v>
      </c>
      <c r="R437" t="s">
        <v>273</v>
      </c>
      <c r="S437" t="s">
        <v>83</v>
      </c>
      <c r="T437">
        <f>IF(TRIM(Table1[[#This Row],[PitStopLaps]])="",0,
LEN(Table1[[#This Row],[PitStopLaps]])-LEN(SUBSTITUTE(Table1[[#This Row],[PitStopLaps]],",",""))+1)</f>
        <v>2</v>
      </c>
      <c r="U437">
        <f>Table1[[#This Row],[StartPosition]]-Table1[[#This Row],[FinishPosition]]</f>
        <v>4</v>
      </c>
    </row>
    <row r="438" spans="1:21" x14ac:dyDescent="0.3">
      <c r="A438">
        <v>2019</v>
      </c>
      <c r="B438">
        <v>2</v>
      </c>
      <c r="C438" t="s">
        <v>82</v>
      </c>
      <c r="D438" t="s">
        <v>40</v>
      </c>
      <c r="E438" t="s">
        <v>41</v>
      </c>
      <c r="F438" t="s">
        <v>42</v>
      </c>
      <c r="G438">
        <v>17</v>
      </c>
      <c r="H438">
        <v>17</v>
      </c>
      <c r="I438">
        <v>0</v>
      </c>
      <c r="J438" t="s">
        <v>34</v>
      </c>
      <c r="K438" t="s">
        <v>75</v>
      </c>
      <c r="L438">
        <v>54</v>
      </c>
      <c r="M438">
        <v>95.215000000000003</v>
      </c>
      <c r="N438">
        <v>97.517478999999994</v>
      </c>
      <c r="O438">
        <v>29.834</v>
      </c>
      <c r="P438">
        <v>41.758000000000003</v>
      </c>
      <c r="Q438">
        <v>23.623000000000001</v>
      </c>
      <c r="R438" t="s">
        <v>105</v>
      </c>
      <c r="S438" t="s">
        <v>83</v>
      </c>
      <c r="T438">
        <f>IF(TRIM(Table1[[#This Row],[PitStopLaps]])="",0,
LEN(Table1[[#This Row],[PitStopLaps]])-LEN(SUBSTITUTE(Table1[[#This Row],[PitStopLaps]],",",""))+1)</f>
        <v>2</v>
      </c>
      <c r="U438">
        <f>Table1[[#This Row],[StartPosition]]-Table1[[#This Row],[FinishPosition]]</f>
        <v>0</v>
      </c>
    </row>
    <row r="439" spans="1:21" x14ac:dyDescent="0.3">
      <c r="A439">
        <v>2019</v>
      </c>
      <c r="B439">
        <v>2</v>
      </c>
      <c r="C439" t="s">
        <v>82</v>
      </c>
      <c r="D439" t="s">
        <v>31</v>
      </c>
      <c r="E439" t="s">
        <v>32</v>
      </c>
      <c r="F439" t="s">
        <v>42</v>
      </c>
      <c r="G439">
        <v>10</v>
      </c>
      <c r="H439">
        <v>18</v>
      </c>
      <c r="I439">
        <v>0</v>
      </c>
      <c r="J439" t="s">
        <v>34</v>
      </c>
      <c r="K439" t="s">
        <v>274</v>
      </c>
      <c r="L439">
        <v>54</v>
      </c>
      <c r="M439">
        <v>96.697000000000003</v>
      </c>
      <c r="N439">
        <v>98.202839999999995</v>
      </c>
      <c r="O439">
        <v>30.425000000000001</v>
      </c>
      <c r="P439">
        <v>42.235999999999997</v>
      </c>
      <c r="Q439">
        <v>23.765000000000001</v>
      </c>
      <c r="R439">
        <v>24</v>
      </c>
      <c r="S439" t="s">
        <v>83</v>
      </c>
      <c r="T439">
        <f>IF(TRIM(Table1[[#This Row],[PitStopLaps]])="",0,
LEN(Table1[[#This Row],[PitStopLaps]])-LEN(SUBSTITUTE(Table1[[#This Row],[PitStopLaps]],",",""))+1)</f>
        <v>1</v>
      </c>
      <c r="U439">
        <f>Table1[[#This Row],[StartPosition]]-Table1[[#This Row],[FinishPosition]]</f>
        <v>-8</v>
      </c>
    </row>
    <row r="440" spans="1:21" x14ac:dyDescent="0.3">
      <c r="A440">
        <v>2019</v>
      </c>
      <c r="B440">
        <v>2</v>
      </c>
      <c r="C440" t="s">
        <v>82</v>
      </c>
      <c r="D440" t="s">
        <v>47</v>
      </c>
      <c r="E440" t="s">
        <v>48</v>
      </c>
      <c r="F440" t="s">
        <v>37</v>
      </c>
      <c r="G440">
        <v>7</v>
      </c>
      <c r="H440">
        <v>19</v>
      </c>
      <c r="I440">
        <v>0</v>
      </c>
      <c r="J440" t="s">
        <v>34</v>
      </c>
      <c r="K440" t="s">
        <v>109</v>
      </c>
      <c r="L440">
        <v>53</v>
      </c>
      <c r="M440">
        <v>95.585999999999999</v>
      </c>
      <c r="N440">
        <v>97.690310999999994</v>
      </c>
      <c r="O440">
        <v>30.263999999999999</v>
      </c>
      <c r="P440">
        <v>41.701999999999998</v>
      </c>
      <c r="Q440">
        <v>23.440999999999999</v>
      </c>
      <c r="R440" t="s">
        <v>275</v>
      </c>
      <c r="S440" t="s">
        <v>83</v>
      </c>
      <c r="T440">
        <f>IF(TRIM(Table1[[#This Row],[PitStopLaps]])="",0,
LEN(Table1[[#This Row],[PitStopLaps]])-LEN(SUBSTITUTE(Table1[[#This Row],[PitStopLaps]],",",""))+1)</f>
        <v>4</v>
      </c>
      <c r="U440">
        <f>Table1[[#This Row],[StartPosition]]-Table1[[#This Row],[FinishPosition]]</f>
        <v>-12</v>
      </c>
    </row>
    <row r="441" spans="1:21" x14ac:dyDescent="0.3">
      <c r="A441">
        <v>2019</v>
      </c>
      <c r="B441">
        <v>2</v>
      </c>
      <c r="C441" t="s">
        <v>82</v>
      </c>
      <c r="D441" t="s">
        <v>67</v>
      </c>
      <c r="E441" t="s">
        <v>68</v>
      </c>
      <c r="F441" t="s">
        <v>69</v>
      </c>
      <c r="G441">
        <v>11</v>
      </c>
      <c r="H441">
        <v>20</v>
      </c>
      <c r="I441">
        <v>0</v>
      </c>
      <c r="J441" t="s">
        <v>34</v>
      </c>
      <c r="K441" t="s">
        <v>179</v>
      </c>
      <c r="L441">
        <v>16</v>
      </c>
      <c r="M441">
        <v>97.262</v>
      </c>
      <c r="N441">
        <v>98.531075999999999</v>
      </c>
      <c r="O441">
        <v>30.869</v>
      </c>
      <c r="P441">
        <v>42.323</v>
      </c>
      <c r="Q441">
        <v>24.07</v>
      </c>
      <c r="R441" t="s">
        <v>276</v>
      </c>
      <c r="S441" t="s">
        <v>83</v>
      </c>
      <c r="T441">
        <f>IF(TRIM(Table1[[#This Row],[PitStopLaps]])="",0,
LEN(Table1[[#This Row],[PitStopLaps]])-LEN(SUBSTITUTE(Table1[[#This Row],[PitStopLaps]],",",""))+1)</f>
        <v>2</v>
      </c>
      <c r="U441">
        <f>Table1[[#This Row],[StartPosition]]-Table1[[#This Row],[FinishPosition]]</f>
        <v>-9</v>
      </c>
    </row>
    <row r="442" spans="1:21" x14ac:dyDescent="0.3">
      <c r="A442">
        <v>2019</v>
      </c>
      <c r="B442">
        <v>3</v>
      </c>
      <c r="C442" t="s">
        <v>100</v>
      </c>
      <c r="D442" t="s">
        <v>26</v>
      </c>
      <c r="E442" t="s">
        <v>27</v>
      </c>
      <c r="F442" t="s">
        <v>28</v>
      </c>
      <c r="G442">
        <v>2</v>
      </c>
      <c r="H442">
        <v>1</v>
      </c>
      <c r="I442">
        <v>25</v>
      </c>
      <c r="J442" t="s">
        <v>23</v>
      </c>
      <c r="K442" t="s">
        <v>24</v>
      </c>
      <c r="L442">
        <v>56</v>
      </c>
      <c r="M442">
        <v>95.891999999999996</v>
      </c>
      <c r="N442">
        <v>97.467100000000002</v>
      </c>
      <c r="O442">
        <v>25.469000000000001</v>
      </c>
      <c r="P442">
        <v>28.417000000000002</v>
      </c>
      <c r="Q442">
        <v>41.878999999999998</v>
      </c>
      <c r="R442" t="s">
        <v>277</v>
      </c>
      <c r="S442" t="s">
        <v>83</v>
      </c>
      <c r="T442">
        <f>IF(TRIM(Table1[[#This Row],[PitStopLaps]])="",0,
LEN(Table1[[#This Row],[PitStopLaps]])-LEN(SUBSTITUTE(Table1[[#This Row],[PitStopLaps]],",",""))+1)</f>
        <v>2</v>
      </c>
      <c r="U442">
        <f>Table1[[#This Row],[StartPosition]]-Table1[[#This Row],[FinishPosition]]</f>
        <v>1</v>
      </c>
    </row>
    <row r="443" spans="1:21" x14ac:dyDescent="0.3">
      <c r="A443">
        <v>2019</v>
      </c>
      <c r="B443">
        <v>3</v>
      </c>
      <c r="C443" t="s">
        <v>100</v>
      </c>
      <c r="D443" t="s">
        <v>43</v>
      </c>
      <c r="E443" t="s">
        <v>44</v>
      </c>
      <c r="F443" t="s">
        <v>28</v>
      </c>
      <c r="G443">
        <v>1</v>
      </c>
      <c r="H443">
        <v>2</v>
      </c>
      <c r="I443">
        <v>18</v>
      </c>
      <c r="J443" t="s">
        <v>23</v>
      </c>
      <c r="K443" t="s">
        <v>24</v>
      </c>
      <c r="L443">
        <v>56</v>
      </c>
      <c r="M443">
        <v>94.872</v>
      </c>
      <c r="N443">
        <v>97.595339999999993</v>
      </c>
      <c r="O443">
        <v>24.933</v>
      </c>
      <c r="P443">
        <v>28.027000000000001</v>
      </c>
      <c r="Q443">
        <v>41.85</v>
      </c>
      <c r="R443" t="s">
        <v>278</v>
      </c>
      <c r="S443" t="s">
        <v>83</v>
      </c>
      <c r="T443">
        <f>IF(TRIM(Table1[[#This Row],[PitStopLaps]])="",0,
LEN(Table1[[#This Row],[PitStopLaps]])-LEN(SUBSTITUTE(Table1[[#This Row],[PitStopLaps]],",",""))+1)</f>
        <v>2</v>
      </c>
      <c r="U443">
        <f>Table1[[#This Row],[StartPosition]]-Table1[[#This Row],[FinishPosition]]</f>
        <v>-1</v>
      </c>
    </row>
    <row r="444" spans="1:21" x14ac:dyDescent="0.3">
      <c r="A444">
        <v>2019</v>
      </c>
      <c r="B444">
        <v>3</v>
      </c>
      <c r="C444" t="s">
        <v>100</v>
      </c>
      <c r="D444" t="s">
        <v>20</v>
      </c>
      <c r="E444" t="s">
        <v>21</v>
      </c>
      <c r="F444" t="s">
        <v>22</v>
      </c>
      <c r="G444">
        <v>3</v>
      </c>
      <c r="H444">
        <v>3</v>
      </c>
      <c r="I444">
        <v>15</v>
      </c>
      <c r="J444" t="s">
        <v>23</v>
      </c>
      <c r="K444" t="s">
        <v>24</v>
      </c>
      <c r="L444">
        <v>56</v>
      </c>
      <c r="M444">
        <v>94.835999999999999</v>
      </c>
      <c r="N444">
        <v>97.650800000000004</v>
      </c>
      <c r="O444">
        <v>25.077999999999999</v>
      </c>
      <c r="P444">
        <v>27.925999999999998</v>
      </c>
      <c r="Q444">
        <v>41.832000000000001</v>
      </c>
      <c r="R444" t="s">
        <v>279</v>
      </c>
      <c r="S444" t="s">
        <v>83</v>
      </c>
      <c r="T444">
        <f>IF(TRIM(Table1[[#This Row],[PitStopLaps]])="",0,
LEN(Table1[[#This Row],[PitStopLaps]])-LEN(SUBSTITUTE(Table1[[#This Row],[PitStopLaps]],",",""))+1)</f>
        <v>2</v>
      </c>
      <c r="U444">
        <f>Table1[[#This Row],[StartPosition]]-Table1[[#This Row],[FinishPosition]]</f>
        <v>0</v>
      </c>
    </row>
    <row r="445" spans="1:21" x14ac:dyDescent="0.3">
      <c r="A445">
        <v>2019</v>
      </c>
      <c r="B445">
        <v>3</v>
      </c>
      <c r="C445" t="s">
        <v>100</v>
      </c>
      <c r="D445" t="s">
        <v>38</v>
      </c>
      <c r="E445" t="s">
        <v>39</v>
      </c>
      <c r="F445" t="s">
        <v>33</v>
      </c>
      <c r="G445">
        <v>5</v>
      </c>
      <c r="H445">
        <v>4</v>
      </c>
      <c r="I445">
        <v>12</v>
      </c>
      <c r="J445" t="s">
        <v>34</v>
      </c>
      <c r="K445" t="s">
        <v>24</v>
      </c>
      <c r="L445">
        <v>56</v>
      </c>
      <c r="M445">
        <v>96.143000000000001</v>
      </c>
      <c r="N445">
        <v>97.895300000000006</v>
      </c>
      <c r="O445">
        <v>25.475999999999999</v>
      </c>
      <c r="P445">
        <v>28.425999999999998</v>
      </c>
      <c r="Q445">
        <v>42.162999999999997</v>
      </c>
      <c r="R445" t="s">
        <v>280</v>
      </c>
      <c r="S445" t="s">
        <v>83</v>
      </c>
      <c r="T445">
        <f>IF(TRIM(Table1[[#This Row],[PitStopLaps]])="",0,
LEN(Table1[[#This Row],[PitStopLaps]])-LEN(SUBSTITUTE(Table1[[#This Row],[PitStopLaps]],",",""))+1)</f>
        <v>2</v>
      </c>
      <c r="U445">
        <f>Table1[[#This Row],[StartPosition]]-Table1[[#This Row],[FinishPosition]]</f>
        <v>1</v>
      </c>
    </row>
    <row r="446" spans="1:21" x14ac:dyDescent="0.3">
      <c r="A446">
        <v>2019</v>
      </c>
      <c r="B446">
        <v>3</v>
      </c>
      <c r="C446" t="s">
        <v>100</v>
      </c>
      <c r="D446" t="s">
        <v>54</v>
      </c>
      <c r="E446" t="s">
        <v>55</v>
      </c>
      <c r="F446" t="s">
        <v>22</v>
      </c>
      <c r="G446">
        <v>4</v>
      </c>
      <c r="H446">
        <v>5</v>
      </c>
      <c r="I446">
        <v>10</v>
      </c>
      <c r="J446" t="s">
        <v>34</v>
      </c>
      <c r="K446" t="s">
        <v>24</v>
      </c>
      <c r="L446">
        <v>56</v>
      </c>
      <c r="M446">
        <v>94.86</v>
      </c>
      <c r="N446">
        <v>97.944180000000003</v>
      </c>
      <c r="O446">
        <v>25.065000000000001</v>
      </c>
      <c r="P446">
        <v>27.901</v>
      </c>
      <c r="Q446">
        <v>41.893999999999998</v>
      </c>
      <c r="R446" t="s">
        <v>281</v>
      </c>
      <c r="S446" t="s">
        <v>83</v>
      </c>
      <c r="T446">
        <f>IF(TRIM(Table1[[#This Row],[PitStopLaps]])="",0,
LEN(Table1[[#This Row],[PitStopLaps]])-LEN(SUBSTITUTE(Table1[[#This Row],[PitStopLaps]],",",""))+1)</f>
        <v>2</v>
      </c>
      <c r="U446">
        <f>Table1[[#This Row],[StartPosition]]-Table1[[#This Row],[FinishPosition]]</f>
        <v>-1</v>
      </c>
    </row>
    <row r="447" spans="1:21" x14ac:dyDescent="0.3">
      <c r="A447">
        <v>2019</v>
      </c>
      <c r="B447">
        <v>3</v>
      </c>
      <c r="C447" t="s">
        <v>100</v>
      </c>
      <c r="D447" t="s">
        <v>73</v>
      </c>
      <c r="E447" t="s">
        <v>74</v>
      </c>
      <c r="F447" t="s">
        <v>33</v>
      </c>
      <c r="G447">
        <v>6</v>
      </c>
      <c r="H447">
        <v>6</v>
      </c>
      <c r="I447">
        <v>9</v>
      </c>
      <c r="J447" t="s">
        <v>34</v>
      </c>
      <c r="K447" t="s">
        <v>24</v>
      </c>
      <c r="L447">
        <v>56</v>
      </c>
      <c r="M447">
        <v>94.742000000000004</v>
      </c>
      <c r="N447">
        <v>98.616874999999993</v>
      </c>
      <c r="O447">
        <v>25.012</v>
      </c>
      <c r="P447">
        <v>27.997</v>
      </c>
      <c r="Q447">
        <v>41.732999999999997</v>
      </c>
      <c r="R447" t="s">
        <v>282</v>
      </c>
      <c r="S447" t="s">
        <v>83</v>
      </c>
      <c r="T447">
        <f>IF(TRIM(Table1[[#This Row],[PitStopLaps]])="",0,
LEN(Table1[[#This Row],[PitStopLaps]])-LEN(SUBSTITUTE(Table1[[#This Row],[PitStopLaps]],",",""))+1)</f>
        <v>3</v>
      </c>
      <c r="U447">
        <f>Table1[[#This Row],[StartPosition]]-Table1[[#This Row],[FinishPosition]]</f>
        <v>0</v>
      </c>
    </row>
    <row r="448" spans="1:21" x14ac:dyDescent="0.3">
      <c r="A448">
        <v>2019</v>
      </c>
      <c r="B448">
        <v>3</v>
      </c>
      <c r="C448" t="s">
        <v>100</v>
      </c>
      <c r="D448" t="s">
        <v>31</v>
      </c>
      <c r="E448" t="s">
        <v>32</v>
      </c>
      <c r="F448" t="s">
        <v>42</v>
      </c>
      <c r="G448">
        <v>7</v>
      </c>
      <c r="H448">
        <v>7</v>
      </c>
      <c r="I448">
        <v>6</v>
      </c>
      <c r="J448" t="s">
        <v>34</v>
      </c>
      <c r="K448" t="s">
        <v>65</v>
      </c>
      <c r="L448">
        <v>55</v>
      </c>
      <c r="M448">
        <v>98.632000000000005</v>
      </c>
      <c r="N448">
        <v>99.837273999999994</v>
      </c>
      <c r="O448">
        <v>26.047999999999998</v>
      </c>
      <c r="P448">
        <v>29.382999999999999</v>
      </c>
      <c r="Q448">
        <v>43.127000000000002</v>
      </c>
      <c r="R448">
        <v>18</v>
      </c>
      <c r="S448" t="s">
        <v>83</v>
      </c>
      <c r="T448">
        <f>IF(TRIM(Table1[[#This Row],[PitStopLaps]])="",0,
LEN(Table1[[#This Row],[PitStopLaps]])-LEN(SUBSTITUTE(Table1[[#This Row],[PitStopLaps]],",",""))+1)</f>
        <v>1</v>
      </c>
      <c r="U448">
        <f>Table1[[#This Row],[StartPosition]]-Table1[[#This Row],[FinishPosition]]</f>
        <v>0</v>
      </c>
    </row>
    <row r="449" spans="1:21" x14ac:dyDescent="0.3">
      <c r="A449">
        <v>2019</v>
      </c>
      <c r="B449">
        <v>3</v>
      </c>
      <c r="C449" t="s">
        <v>100</v>
      </c>
      <c r="D449" t="s">
        <v>49</v>
      </c>
      <c r="E449" t="s">
        <v>50</v>
      </c>
      <c r="F449" t="s">
        <v>192</v>
      </c>
      <c r="G449">
        <v>12</v>
      </c>
      <c r="H449">
        <v>8</v>
      </c>
      <c r="I449">
        <v>4</v>
      </c>
      <c r="J449" t="s">
        <v>34</v>
      </c>
      <c r="K449" t="s">
        <v>65</v>
      </c>
      <c r="L449">
        <v>55</v>
      </c>
      <c r="M449">
        <v>98.701999999999998</v>
      </c>
      <c r="N449">
        <v>99.842607000000001</v>
      </c>
      <c r="O449">
        <v>26.175000000000001</v>
      </c>
      <c r="P449">
        <v>29.356000000000002</v>
      </c>
      <c r="Q449">
        <v>43.048999999999999</v>
      </c>
      <c r="R449">
        <v>20</v>
      </c>
      <c r="S449" t="s">
        <v>83</v>
      </c>
      <c r="T449">
        <f>IF(TRIM(Table1[[#This Row],[PitStopLaps]])="",0,
LEN(Table1[[#This Row],[PitStopLaps]])-LEN(SUBSTITUTE(Table1[[#This Row],[PitStopLaps]],",",""))+1)</f>
        <v>1</v>
      </c>
      <c r="U449">
        <f>Table1[[#This Row],[StartPosition]]-Table1[[#This Row],[FinishPosition]]</f>
        <v>4</v>
      </c>
    </row>
    <row r="450" spans="1:21" x14ac:dyDescent="0.3">
      <c r="A450">
        <v>2019</v>
      </c>
      <c r="B450">
        <v>3</v>
      </c>
      <c r="C450" t="s">
        <v>100</v>
      </c>
      <c r="D450" t="s">
        <v>29</v>
      </c>
      <c r="E450" t="s">
        <v>30</v>
      </c>
      <c r="F450" t="s">
        <v>243</v>
      </c>
      <c r="G450">
        <v>13</v>
      </c>
      <c r="H450">
        <v>9</v>
      </c>
      <c r="I450">
        <v>2</v>
      </c>
      <c r="J450" t="s">
        <v>34</v>
      </c>
      <c r="K450" t="s">
        <v>65</v>
      </c>
      <c r="L450">
        <v>55</v>
      </c>
      <c r="M450">
        <v>97.811999999999998</v>
      </c>
      <c r="N450">
        <v>99.925822999999994</v>
      </c>
      <c r="O450">
        <v>25.841999999999999</v>
      </c>
      <c r="P450">
        <v>29.016999999999999</v>
      </c>
      <c r="Q450">
        <v>42.857999999999997</v>
      </c>
      <c r="R450">
        <v>25</v>
      </c>
      <c r="S450" t="s">
        <v>83</v>
      </c>
      <c r="T450">
        <f>IF(TRIM(Table1[[#This Row],[PitStopLaps]])="",0,
LEN(Table1[[#This Row],[PitStopLaps]])-LEN(SUBSTITUTE(Table1[[#This Row],[PitStopLaps]],",",""))+1)</f>
        <v>1</v>
      </c>
      <c r="U450">
        <f>Table1[[#This Row],[StartPosition]]-Table1[[#This Row],[FinishPosition]]</f>
        <v>4</v>
      </c>
    </row>
    <row r="451" spans="1:21" x14ac:dyDescent="0.3">
      <c r="A451">
        <v>2019</v>
      </c>
      <c r="B451">
        <v>3</v>
      </c>
      <c r="C451" t="s">
        <v>100</v>
      </c>
      <c r="D451" t="s">
        <v>248</v>
      </c>
      <c r="E451" t="s">
        <v>249</v>
      </c>
      <c r="F451" t="s">
        <v>64</v>
      </c>
      <c r="G451">
        <v>0</v>
      </c>
      <c r="H451">
        <v>10</v>
      </c>
      <c r="I451">
        <v>1</v>
      </c>
      <c r="J451" t="s">
        <v>34</v>
      </c>
      <c r="K451" t="s">
        <v>65</v>
      </c>
      <c r="L451">
        <v>55</v>
      </c>
      <c r="M451">
        <v>98.900999999999996</v>
      </c>
      <c r="N451">
        <v>100.10086200000001</v>
      </c>
      <c r="O451">
        <v>25.917999999999999</v>
      </c>
      <c r="P451">
        <v>29.54</v>
      </c>
      <c r="Q451">
        <v>42.954999999999998</v>
      </c>
      <c r="R451">
        <v>19</v>
      </c>
      <c r="S451" t="s">
        <v>83</v>
      </c>
      <c r="T451">
        <f>IF(TRIM(Table1[[#This Row],[PitStopLaps]])="",0,
LEN(Table1[[#This Row],[PitStopLaps]])-LEN(SUBSTITUTE(Table1[[#This Row],[PitStopLaps]],",",""))+1)</f>
        <v>1</v>
      </c>
      <c r="U451">
        <f>Table1[[#This Row],[StartPosition]]-Table1[[#This Row],[FinishPosition]]</f>
        <v>-10</v>
      </c>
    </row>
    <row r="452" spans="1:21" x14ac:dyDescent="0.3">
      <c r="A452">
        <v>2019</v>
      </c>
      <c r="B452">
        <v>3</v>
      </c>
      <c r="C452" t="s">
        <v>100</v>
      </c>
      <c r="D452" t="s">
        <v>67</v>
      </c>
      <c r="E452" t="s">
        <v>68</v>
      </c>
      <c r="F452" t="s">
        <v>69</v>
      </c>
      <c r="G452">
        <v>10</v>
      </c>
      <c r="H452">
        <v>11</v>
      </c>
      <c r="I452">
        <v>0</v>
      </c>
      <c r="J452" t="s">
        <v>34</v>
      </c>
      <c r="K452" t="s">
        <v>65</v>
      </c>
      <c r="L452">
        <v>55</v>
      </c>
      <c r="M452">
        <v>96.873000000000005</v>
      </c>
      <c r="N452">
        <v>99.753305999999995</v>
      </c>
      <c r="O452">
        <v>25.439</v>
      </c>
      <c r="P452">
        <v>28.771000000000001</v>
      </c>
      <c r="Q452">
        <v>42.662999999999997</v>
      </c>
      <c r="R452" t="s">
        <v>283</v>
      </c>
      <c r="S452" t="s">
        <v>83</v>
      </c>
      <c r="T452">
        <f>IF(TRIM(Table1[[#This Row],[PitStopLaps]])="",0,
LEN(Table1[[#This Row],[PitStopLaps]])-LEN(SUBSTITUTE(Table1[[#This Row],[PitStopLaps]],",",""))+1)</f>
        <v>2</v>
      </c>
      <c r="U452">
        <f>Table1[[#This Row],[StartPosition]]-Table1[[#This Row],[FinishPosition]]</f>
        <v>-1</v>
      </c>
    </row>
    <row r="453" spans="1:21" x14ac:dyDescent="0.3">
      <c r="A453">
        <v>2019</v>
      </c>
      <c r="B453">
        <v>3</v>
      </c>
      <c r="C453" t="s">
        <v>100</v>
      </c>
      <c r="D453" t="s">
        <v>58</v>
      </c>
      <c r="E453" t="s">
        <v>59</v>
      </c>
      <c r="F453" t="s">
        <v>192</v>
      </c>
      <c r="G453">
        <v>16</v>
      </c>
      <c r="H453">
        <v>12</v>
      </c>
      <c r="I453">
        <v>0</v>
      </c>
      <c r="J453" t="s">
        <v>34</v>
      </c>
      <c r="K453" t="s">
        <v>65</v>
      </c>
      <c r="L453">
        <v>55</v>
      </c>
      <c r="M453">
        <v>96.677999999999997</v>
      </c>
      <c r="N453">
        <v>99.879000000000005</v>
      </c>
      <c r="O453">
        <v>25.318999999999999</v>
      </c>
      <c r="P453">
        <v>28.760999999999999</v>
      </c>
      <c r="Q453">
        <v>42.597999999999999</v>
      </c>
      <c r="R453" t="s">
        <v>284</v>
      </c>
      <c r="S453" t="s">
        <v>83</v>
      </c>
      <c r="T453">
        <f>IF(TRIM(Table1[[#This Row],[PitStopLaps]])="",0,
LEN(Table1[[#This Row],[PitStopLaps]])-LEN(SUBSTITUTE(Table1[[#This Row],[PitStopLaps]],",",""))+1)</f>
        <v>2</v>
      </c>
      <c r="U453">
        <f>Table1[[#This Row],[StartPosition]]-Table1[[#This Row],[FinishPosition]]</f>
        <v>4</v>
      </c>
    </row>
    <row r="454" spans="1:21" x14ac:dyDescent="0.3">
      <c r="A454">
        <v>2019</v>
      </c>
      <c r="B454">
        <v>3</v>
      </c>
      <c r="C454" t="s">
        <v>100</v>
      </c>
      <c r="D454" t="s">
        <v>71</v>
      </c>
      <c r="E454" t="s">
        <v>72</v>
      </c>
      <c r="F454" t="s">
        <v>69</v>
      </c>
      <c r="G454">
        <v>9</v>
      </c>
      <c r="H454">
        <v>13</v>
      </c>
      <c r="I454">
        <v>0</v>
      </c>
      <c r="J454" t="s">
        <v>34</v>
      </c>
      <c r="K454" t="s">
        <v>65</v>
      </c>
      <c r="L454">
        <v>55</v>
      </c>
      <c r="M454">
        <v>97.471000000000004</v>
      </c>
      <c r="N454">
        <v>99.911080999999996</v>
      </c>
      <c r="O454">
        <v>25.681000000000001</v>
      </c>
      <c r="P454">
        <v>28.716000000000001</v>
      </c>
      <c r="Q454">
        <v>42.957000000000001</v>
      </c>
      <c r="R454" t="s">
        <v>266</v>
      </c>
      <c r="S454" t="s">
        <v>83</v>
      </c>
      <c r="T454">
        <f>IF(TRIM(Table1[[#This Row],[PitStopLaps]])="",0,
LEN(Table1[[#This Row],[PitStopLaps]])-LEN(SUBSTITUTE(Table1[[#This Row],[PitStopLaps]],",",""))+1)</f>
        <v>2</v>
      </c>
      <c r="U454">
        <f>Table1[[#This Row],[StartPosition]]-Table1[[#This Row],[FinishPosition]]</f>
        <v>-4</v>
      </c>
    </row>
    <row r="455" spans="1:21" x14ac:dyDescent="0.3">
      <c r="A455">
        <v>2019</v>
      </c>
      <c r="B455">
        <v>3</v>
      </c>
      <c r="C455" t="s">
        <v>100</v>
      </c>
      <c r="D455" t="s">
        <v>47</v>
      </c>
      <c r="E455" t="s">
        <v>48</v>
      </c>
      <c r="F455" t="s">
        <v>37</v>
      </c>
      <c r="G455">
        <v>14</v>
      </c>
      <c r="H455">
        <v>14</v>
      </c>
      <c r="I455">
        <v>0</v>
      </c>
      <c r="J455" t="s">
        <v>34</v>
      </c>
      <c r="K455" t="s">
        <v>65</v>
      </c>
      <c r="L455">
        <v>55</v>
      </c>
      <c r="M455">
        <v>97.501999999999995</v>
      </c>
      <c r="N455">
        <v>99.665980000000005</v>
      </c>
      <c r="O455">
        <v>25.701999999999899</v>
      </c>
      <c r="P455">
        <v>28.797999999999998</v>
      </c>
      <c r="Q455">
        <v>42.84</v>
      </c>
      <c r="R455" t="s">
        <v>285</v>
      </c>
      <c r="S455" t="s">
        <v>83</v>
      </c>
      <c r="T455">
        <f>IF(TRIM(Table1[[#This Row],[PitStopLaps]])="",0,
LEN(Table1[[#This Row],[PitStopLaps]])-LEN(SUBSTITUTE(Table1[[#This Row],[PitStopLaps]],",",""))+1)</f>
        <v>2</v>
      </c>
      <c r="U455">
        <f>Table1[[#This Row],[StartPosition]]-Table1[[#This Row],[FinishPosition]]</f>
        <v>0</v>
      </c>
    </row>
    <row r="456" spans="1:21" x14ac:dyDescent="0.3">
      <c r="A456">
        <v>2019</v>
      </c>
      <c r="B456">
        <v>3</v>
      </c>
      <c r="C456" t="s">
        <v>100</v>
      </c>
      <c r="D456" t="s">
        <v>250</v>
      </c>
      <c r="E456" t="s">
        <v>251</v>
      </c>
      <c r="F456" t="s">
        <v>243</v>
      </c>
      <c r="G456">
        <v>19</v>
      </c>
      <c r="H456">
        <v>15</v>
      </c>
      <c r="I456">
        <v>0</v>
      </c>
      <c r="J456" t="s">
        <v>34</v>
      </c>
      <c r="K456" t="s">
        <v>65</v>
      </c>
      <c r="L456">
        <v>55</v>
      </c>
      <c r="M456">
        <v>98.048000000000002</v>
      </c>
      <c r="N456">
        <v>99.971080999999998</v>
      </c>
      <c r="O456">
        <v>25.798999999999999</v>
      </c>
      <c r="P456">
        <v>29.048999999999999</v>
      </c>
      <c r="Q456">
        <v>42.892000000000003</v>
      </c>
      <c r="R456" t="s">
        <v>286</v>
      </c>
      <c r="S456" t="s">
        <v>83</v>
      </c>
      <c r="T456">
        <f>IF(TRIM(Table1[[#This Row],[PitStopLaps]])="",0,
LEN(Table1[[#This Row],[PitStopLaps]])-LEN(SUBSTITUTE(Table1[[#This Row],[PitStopLaps]],",",""))+1)</f>
        <v>2</v>
      </c>
      <c r="U456">
        <f>Table1[[#This Row],[StartPosition]]-Table1[[#This Row],[FinishPosition]]</f>
        <v>4</v>
      </c>
    </row>
    <row r="457" spans="1:21" x14ac:dyDescent="0.3">
      <c r="A457">
        <v>2019</v>
      </c>
      <c r="B457">
        <v>3</v>
      </c>
      <c r="C457" t="s">
        <v>100</v>
      </c>
      <c r="D457" t="s">
        <v>252</v>
      </c>
      <c r="E457" t="s">
        <v>253</v>
      </c>
      <c r="F457" t="s">
        <v>60</v>
      </c>
      <c r="G457">
        <v>17</v>
      </c>
      <c r="H457">
        <v>16</v>
      </c>
      <c r="I457">
        <v>0</v>
      </c>
      <c r="J457" t="s">
        <v>34</v>
      </c>
      <c r="K457" t="s">
        <v>127</v>
      </c>
      <c r="L457">
        <v>54</v>
      </c>
      <c r="M457">
        <v>97.283000000000001</v>
      </c>
      <c r="N457">
        <v>101.448562</v>
      </c>
      <c r="O457">
        <v>25.811</v>
      </c>
      <c r="P457">
        <v>28.568000000000001</v>
      </c>
      <c r="Q457">
        <v>42.904000000000003</v>
      </c>
      <c r="R457" t="s">
        <v>287</v>
      </c>
      <c r="S457" t="s">
        <v>83</v>
      </c>
      <c r="T457">
        <f>IF(TRIM(Table1[[#This Row],[PitStopLaps]])="",0,
LEN(Table1[[#This Row],[PitStopLaps]])-LEN(SUBSTITUTE(Table1[[#This Row],[PitStopLaps]],",",""))+1)</f>
        <v>2</v>
      </c>
      <c r="U457">
        <f>Table1[[#This Row],[StartPosition]]-Table1[[#This Row],[FinishPosition]]</f>
        <v>1</v>
      </c>
    </row>
    <row r="458" spans="1:21" x14ac:dyDescent="0.3">
      <c r="A458">
        <v>2019</v>
      </c>
      <c r="B458">
        <v>3</v>
      </c>
      <c r="C458" t="s">
        <v>100</v>
      </c>
      <c r="D458" t="s">
        <v>255</v>
      </c>
      <c r="E458" t="s">
        <v>256</v>
      </c>
      <c r="F458" t="s">
        <v>60</v>
      </c>
      <c r="G458">
        <v>18</v>
      </c>
      <c r="H458">
        <v>17</v>
      </c>
      <c r="I458">
        <v>0</v>
      </c>
      <c r="J458" t="s">
        <v>34</v>
      </c>
      <c r="K458" t="s">
        <v>127</v>
      </c>
      <c r="L458">
        <v>54</v>
      </c>
      <c r="M458">
        <v>99.772000000000006</v>
      </c>
      <c r="N458">
        <v>101.92798000000001</v>
      </c>
      <c r="O458">
        <v>26.17</v>
      </c>
      <c r="P458">
        <v>29.733000000000001</v>
      </c>
      <c r="Q458">
        <v>43.850999999999999</v>
      </c>
      <c r="R458">
        <v>26</v>
      </c>
      <c r="S458" t="s">
        <v>83</v>
      </c>
      <c r="T458">
        <f>IF(TRIM(Table1[[#This Row],[PitStopLaps]])="",0,
LEN(Table1[[#This Row],[PitStopLaps]])-LEN(SUBSTITUTE(Table1[[#This Row],[PitStopLaps]],",",""))+1)</f>
        <v>1</v>
      </c>
      <c r="U458">
        <f>Table1[[#This Row],[StartPosition]]-Table1[[#This Row],[FinishPosition]]</f>
        <v>1</v>
      </c>
    </row>
    <row r="459" spans="1:21" x14ac:dyDescent="0.3">
      <c r="A459">
        <v>2019</v>
      </c>
      <c r="B459">
        <v>3</v>
      </c>
      <c r="C459" t="s">
        <v>100</v>
      </c>
      <c r="D459" t="s">
        <v>246</v>
      </c>
      <c r="E459" t="s">
        <v>247</v>
      </c>
      <c r="F459" t="s">
        <v>37</v>
      </c>
      <c r="G459">
        <v>15</v>
      </c>
      <c r="H459">
        <v>18</v>
      </c>
      <c r="I459">
        <v>0</v>
      </c>
      <c r="J459" t="s">
        <v>34</v>
      </c>
      <c r="K459" t="s">
        <v>124</v>
      </c>
      <c r="L459">
        <v>50</v>
      </c>
      <c r="M459">
        <v>98.346000000000004</v>
      </c>
      <c r="N459">
        <v>99.897092999999998</v>
      </c>
      <c r="O459">
        <v>25.808</v>
      </c>
      <c r="P459">
        <v>29.423999999999999</v>
      </c>
      <c r="Q459">
        <v>42.555</v>
      </c>
      <c r="R459" t="s">
        <v>288</v>
      </c>
      <c r="S459" t="s">
        <v>83</v>
      </c>
      <c r="T459">
        <f>IF(TRIM(Table1[[#This Row],[PitStopLaps]])="",0,
LEN(Table1[[#This Row],[PitStopLaps]])-LEN(SUBSTITUTE(Table1[[#This Row],[PitStopLaps]],",",""))+1)</f>
        <v>4</v>
      </c>
      <c r="U459">
        <f>Table1[[#This Row],[StartPosition]]-Table1[[#This Row],[FinishPosition]]</f>
        <v>-3</v>
      </c>
    </row>
    <row r="460" spans="1:21" x14ac:dyDescent="0.3">
      <c r="A460">
        <v>2019</v>
      </c>
      <c r="B460">
        <v>3</v>
      </c>
      <c r="C460" t="s">
        <v>100</v>
      </c>
      <c r="D460" t="s">
        <v>244</v>
      </c>
      <c r="E460" t="s">
        <v>245</v>
      </c>
      <c r="F460" t="s">
        <v>64</v>
      </c>
      <c r="G460">
        <v>11</v>
      </c>
      <c r="H460">
        <v>19</v>
      </c>
      <c r="I460">
        <v>0</v>
      </c>
      <c r="J460" t="s">
        <v>34</v>
      </c>
      <c r="K460" t="s">
        <v>124</v>
      </c>
      <c r="L460">
        <v>41</v>
      </c>
      <c r="M460">
        <v>97.974999999999994</v>
      </c>
      <c r="N460">
        <v>99.926906000000002</v>
      </c>
      <c r="O460">
        <v>25.901</v>
      </c>
      <c r="P460">
        <v>29.271999999999998</v>
      </c>
      <c r="Q460">
        <v>42.707000000000001</v>
      </c>
      <c r="R460" t="s">
        <v>289</v>
      </c>
      <c r="S460" t="s">
        <v>83</v>
      </c>
      <c r="T460">
        <f>IF(TRIM(Table1[[#This Row],[PitStopLaps]])="",0,
LEN(Table1[[#This Row],[PitStopLaps]])-LEN(SUBSTITUTE(Table1[[#This Row],[PitStopLaps]],",",""))+1)</f>
        <v>4</v>
      </c>
      <c r="U460">
        <f>Table1[[#This Row],[StartPosition]]-Table1[[#This Row],[FinishPosition]]</f>
        <v>-8</v>
      </c>
    </row>
    <row r="461" spans="1:21" x14ac:dyDescent="0.3">
      <c r="A461">
        <v>2019</v>
      </c>
      <c r="B461">
        <v>3</v>
      </c>
      <c r="C461" t="s">
        <v>100</v>
      </c>
      <c r="D461" t="s">
        <v>40</v>
      </c>
      <c r="E461" t="s">
        <v>41</v>
      </c>
      <c r="F461" t="s">
        <v>42</v>
      </c>
      <c r="G461">
        <v>8</v>
      </c>
      <c r="H461">
        <v>20</v>
      </c>
      <c r="I461">
        <v>0</v>
      </c>
      <c r="J461" t="s">
        <v>34</v>
      </c>
      <c r="K461" t="s">
        <v>167</v>
      </c>
      <c r="L461">
        <v>16</v>
      </c>
      <c r="M461">
        <v>99.677000000000007</v>
      </c>
      <c r="N461">
        <v>100.719818</v>
      </c>
      <c r="O461">
        <v>26.167999999999999</v>
      </c>
      <c r="P461">
        <v>30.001000000000001</v>
      </c>
      <c r="Q461">
        <v>43.326000000000001</v>
      </c>
      <c r="R461" t="s">
        <v>290</v>
      </c>
      <c r="S461" t="s">
        <v>83</v>
      </c>
      <c r="T461">
        <f>IF(TRIM(Table1[[#This Row],[PitStopLaps]])="",0,
LEN(Table1[[#This Row],[PitStopLaps]])-LEN(SUBSTITUTE(Table1[[#This Row],[PitStopLaps]],",",""))+1)</f>
        <v>2</v>
      </c>
      <c r="U461">
        <f>Table1[[#This Row],[StartPosition]]-Table1[[#This Row],[FinishPosition]]</f>
        <v>-12</v>
      </c>
    </row>
    <row r="462" spans="1:21" x14ac:dyDescent="0.3">
      <c r="A462">
        <v>2019</v>
      </c>
      <c r="B462">
        <v>4</v>
      </c>
      <c r="C462" t="s">
        <v>111</v>
      </c>
      <c r="D462" t="s">
        <v>43</v>
      </c>
      <c r="E462" t="s">
        <v>44</v>
      </c>
      <c r="F462" t="s">
        <v>28</v>
      </c>
      <c r="G462">
        <v>1</v>
      </c>
      <c r="H462">
        <v>1</v>
      </c>
      <c r="I462">
        <v>25</v>
      </c>
      <c r="J462" t="s">
        <v>23</v>
      </c>
      <c r="K462" t="s">
        <v>24</v>
      </c>
      <c r="L462">
        <v>51</v>
      </c>
      <c r="M462">
        <v>104.024</v>
      </c>
      <c r="N462">
        <v>106.392239</v>
      </c>
      <c r="O462">
        <v>36.945999999999998</v>
      </c>
      <c r="P462">
        <v>41.890999999999998</v>
      </c>
      <c r="Q462">
        <v>24.963000000000001</v>
      </c>
      <c r="R462">
        <v>12</v>
      </c>
      <c r="S462" t="s">
        <v>83</v>
      </c>
      <c r="T462">
        <f>IF(TRIM(Table1[[#This Row],[PitStopLaps]])="",0,
LEN(Table1[[#This Row],[PitStopLaps]])-LEN(SUBSTITUTE(Table1[[#This Row],[PitStopLaps]],",",""))+1)</f>
        <v>1</v>
      </c>
      <c r="U462">
        <f>Table1[[#This Row],[StartPosition]]-Table1[[#This Row],[FinishPosition]]</f>
        <v>0</v>
      </c>
    </row>
    <row r="463" spans="1:21" x14ac:dyDescent="0.3">
      <c r="A463">
        <v>2019</v>
      </c>
      <c r="B463">
        <v>4</v>
      </c>
      <c r="C463" t="s">
        <v>111</v>
      </c>
      <c r="D463" t="s">
        <v>26</v>
      </c>
      <c r="E463" t="s">
        <v>27</v>
      </c>
      <c r="F463" t="s">
        <v>28</v>
      </c>
      <c r="G463">
        <v>2</v>
      </c>
      <c r="H463">
        <v>2</v>
      </c>
      <c r="I463">
        <v>18</v>
      </c>
      <c r="J463" t="s">
        <v>23</v>
      </c>
      <c r="K463" t="s">
        <v>24</v>
      </c>
      <c r="L463">
        <v>51</v>
      </c>
      <c r="M463">
        <v>104.166</v>
      </c>
      <c r="N463">
        <v>106.367695</v>
      </c>
      <c r="O463">
        <v>37.034999999999997</v>
      </c>
      <c r="P463">
        <v>41.926000000000002</v>
      </c>
      <c r="Q463">
        <v>24.795999999999999</v>
      </c>
      <c r="R463">
        <v>13</v>
      </c>
      <c r="S463" t="s">
        <v>83</v>
      </c>
      <c r="T463">
        <f>IF(TRIM(Table1[[#This Row],[PitStopLaps]])="",0,
LEN(Table1[[#This Row],[PitStopLaps]])-LEN(SUBSTITUTE(Table1[[#This Row],[PitStopLaps]],",",""))+1)</f>
        <v>1</v>
      </c>
      <c r="U463">
        <f>Table1[[#This Row],[StartPosition]]-Table1[[#This Row],[FinishPosition]]</f>
        <v>0</v>
      </c>
    </row>
    <row r="464" spans="1:21" x14ac:dyDescent="0.3">
      <c r="A464">
        <v>2019</v>
      </c>
      <c r="B464">
        <v>4</v>
      </c>
      <c r="C464" t="s">
        <v>111</v>
      </c>
      <c r="D464" t="s">
        <v>20</v>
      </c>
      <c r="E464" t="s">
        <v>21</v>
      </c>
      <c r="F464" t="s">
        <v>22</v>
      </c>
      <c r="G464">
        <v>3</v>
      </c>
      <c r="H464">
        <v>3</v>
      </c>
      <c r="I464">
        <v>15</v>
      </c>
      <c r="J464" t="s">
        <v>23</v>
      </c>
      <c r="K464" t="s">
        <v>24</v>
      </c>
      <c r="L464">
        <v>51</v>
      </c>
      <c r="M464">
        <v>104.629</v>
      </c>
      <c r="N464">
        <v>106.58956499999999</v>
      </c>
      <c r="O464">
        <v>37.005000000000003</v>
      </c>
      <c r="P464">
        <v>42.262</v>
      </c>
      <c r="Q464">
        <v>25.097999999999999</v>
      </c>
      <c r="R464">
        <v>11</v>
      </c>
      <c r="S464" t="s">
        <v>83</v>
      </c>
      <c r="T464">
        <f>IF(TRIM(Table1[[#This Row],[PitStopLaps]])="",0,
LEN(Table1[[#This Row],[PitStopLaps]])-LEN(SUBSTITUTE(Table1[[#This Row],[PitStopLaps]],",",""))+1)</f>
        <v>1</v>
      </c>
      <c r="U464">
        <f>Table1[[#This Row],[StartPosition]]-Table1[[#This Row],[FinishPosition]]</f>
        <v>0</v>
      </c>
    </row>
    <row r="465" spans="1:21" x14ac:dyDescent="0.3">
      <c r="A465">
        <v>2019</v>
      </c>
      <c r="B465">
        <v>4</v>
      </c>
      <c r="C465" t="s">
        <v>111</v>
      </c>
      <c r="D465" t="s">
        <v>38</v>
      </c>
      <c r="E465" t="s">
        <v>39</v>
      </c>
      <c r="F465" t="s">
        <v>33</v>
      </c>
      <c r="G465">
        <v>4</v>
      </c>
      <c r="H465">
        <v>4</v>
      </c>
      <c r="I465">
        <v>12</v>
      </c>
      <c r="J465" t="s">
        <v>34</v>
      </c>
      <c r="K465" t="s">
        <v>24</v>
      </c>
      <c r="L465">
        <v>51</v>
      </c>
      <c r="M465">
        <v>104.794</v>
      </c>
      <c r="N465">
        <v>106.662043</v>
      </c>
      <c r="O465">
        <v>37.502000000000002</v>
      </c>
      <c r="P465">
        <v>42.116</v>
      </c>
      <c r="Q465">
        <v>24.88</v>
      </c>
      <c r="R465">
        <v>14</v>
      </c>
      <c r="S465" t="s">
        <v>83</v>
      </c>
      <c r="T465">
        <f>IF(TRIM(Table1[[#This Row],[PitStopLaps]])="",0,
LEN(Table1[[#This Row],[PitStopLaps]])-LEN(SUBSTITUTE(Table1[[#This Row],[PitStopLaps]],",",""))+1)</f>
        <v>1</v>
      </c>
      <c r="U465">
        <f>Table1[[#This Row],[StartPosition]]-Table1[[#This Row],[FinishPosition]]</f>
        <v>0</v>
      </c>
    </row>
    <row r="466" spans="1:21" x14ac:dyDescent="0.3">
      <c r="A466">
        <v>2019</v>
      </c>
      <c r="B466">
        <v>4</v>
      </c>
      <c r="C466" t="s">
        <v>111</v>
      </c>
      <c r="D466" t="s">
        <v>54</v>
      </c>
      <c r="E466" t="s">
        <v>55</v>
      </c>
      <c r="F466" t="s">
        <v>22</v>
      </c>
      <c r="G466">
        <v>8</v>
      </c>
      <c r="H466">
        <v>5</v>
      </c>
      <c r="I466">
        <v>11</v>
      </c>
      <c r="J466" t="s">
        <v>34</v>
      </c>
      <c r="K466" t="s">
        <v>24</v>
      </c>
      <c r="L466">
        <v>51</v>
      </c>
      <c r="M466">
        <v>103.009</v>
      </c>
      <c r="N466">
        <v>107.23106900000001</v>
      </c>
      <c r="O466">
        <v>36.630000000000003</v>
      </c>
      <c r="P466">
        <v>41.46</v>
      </c>
      <c r="Q466">
        <v>24.919</v>
      </c>
      <c r="R466" t="s">
        <v>291</v>
      </c>
      <c r="S466" t="s">
        <v>83</v>
      </c>
      <c r="T466">
        <f>IF(TRIM(Table1[[#This Row],[PitStopLaps]])="",0,
LEN(Table1[[#This Row],[PitStopLaps]])-LEN(SUBSTITUTE(Table1[[#This Row],[PitStopLaps]],",",""))+1)</f>
        <v>2</v>
      </c>
      <c r="U466">
        <f>Table1[[#This Row],[StartPosition]]-Table1[[#This Row],[FinishPosition]]</f>
        <v>3</v>
      </c>
    </row>
    <row r="467" spans="1:21" x14ac:dyDescent="0.3">
      <c r="A467">
        <v>2019</v>
      </c>
      <c r="B467">
        <v>4</v>
      </c>
      <c r="C467" t="s">
        <v>111</v>
      </c>
      <c r="D467" t="s">
        <v>49</v>
      </c>
      <c r="E467" t="s">
        <v>50</v>
      </c>
      <c r="F467" t="s">
        <v>192</v>
      </c>
      <c r="G467">
        <v>5</v>
      </c>
      <c r="H467">
        <v>6</v>
      </c>
      <c r="I467">
        <v>8</v>
      </c>
      <c r="J467" t="s">
        <v>34</v>
      </c>
      <c r="K467" t="s">
        <v>24</v>
      </c>
      <c r="L467">
        <v>51</v>
      </c>
      <c r="M467">
        <v>105.524</v>
      </c>
      <c r="N467">
        <v>107.85423900000001</v>
      </c>
      <c r="O467">
        <v>37.542000000000002</v>
      </c>
      <c r="P467">
        <v>42.475999999999999</v>
      </c>
      <c r="Q467">
        <v>25.257999999999999</v>
      </c>
      <c r="R467">
        <v>10</v>
      </c>
      <c r="S467" t="s">
        <v>83</v>
      </c>
      <c r="T467">
        <f>IF(TRIM(Table1[[#This Row],[PitStopLaps]])="",0,
LEN(Table1[[#This Row],[PitStopLaps]])-LEN(SUBSTITUTE(Table1[[#This Row],[PitStopLaps]],",",""))+1)</f>
        <v>1</v>
      </c>
      <c r="U467">
        <f>Table1[[#This Row],[StartPosition]]-Table1[[#This Row],[FinishPosition]]</f>
        <v>-1</v>
      </c>
    </row>
    <row r="468" spans="1:21" x14ac:dyDescent="0.3">
      <c r="A468">
        <v>2019</v>
      </c>
      <c r="B468">
        <v>4</v>
      </c>
      <c r="C468" t="s">
        <v>111</v>
      </c>
      <c r="D468" t="s">
        <v>47</v>
      </c>
      <c r="E468" t="s">
        <v>48</v>
      </c>
      <c r="F468" t="s">
        <v>37</v>
      </c>
      <c r="G468">
        <v>9</v>
      </c>
      <c r="H468">
        <v>7</v>
      </c>
      <c r="I468">
        <v>6</v>
      </c>
      <c r="J468" t="s">
        <v>34</v>
      </c>
      <c r="K468" t="s">
        <v>24</v>
      </c>
      <c r="L468">
        <v>51</v>
      </c>
      <c r="M468">
        <v>105.807</v>
      </c>
      <c r="N468">
        <v>107.987478</v>
      </c>
      <c r="O468">
        <v>37.695999999999998</v>
      </c>
      <c r="P468">
        <v>42.726999999999997</v>
      </c>
      <c r="Q468">
        <v>25.257999999999999</v>
      </c>
      <c r="R468">
        <v>12</v>
      </c>
      <c r="S468" t="s">
        <v>83</v>
      </c>
      <c r="T468">
        <f>IF(TRIM(Table1[[#This Row],[PitStopLaps]])="",0,
LEN(Table1[[#This Row],[PitStopLaps]])-LEN(SUBSTITUTE(Table1[[#This Row],[PitStopLaps]],",",""))+1)</f>
        <v>1</v>
      </c>
      <c r="U468">
        <f>Table1[[#This Row],[StartPosition]]-Table1[[#This Row],[FinishPosition]]</f>
        <v>2</v>
      </c>
    </row>
    <row r="469" spans="1:21" x14ac:dyDescent="0.3">
      <c r="A469">
        <v>2019</v>
      </c>
      <c r="B469">
        <v>4</v>
      </c>
      <c r="C469" t="s">
        <v>111</v>
      </c>
      <c r="D469" t="s">
        <v>246</v>
      </c>
      <c r="E469" t="s">
        <v>247</v>
      </c>
      <c r="F469" t="s">
        <v>37</v>
      </c>
      <c r="G469">
        <v>7</v>
      </c>
      <c r="H469">
        <v>8</v>
      </c>
      <c r="I469">
        <v>4</v>
      </c>
      <c r="J469" t="s">
        <v>34</v>
      </c>
      <c r="K469" t="s">
        <v>24</v>
      </c>
      <c r="L469">
        <v>51</v>
      </c>
      <c r="M469">
        <v>105.39400000000001</v>
      </c>
      <c r="N469">
        <v>108.002</v>
      </c>
      <c r="O469">
        <v>37.398000000000003</v>
      </c>
      <c r="P469">
        <v>42.353000000000002</v>
      </c>
      <c r="Q469">
        <v>25.199000000000002</v>
      </c>
      <c r="R469" t="s">
        <v>267</v>
      </c>
      <c r="S469" t="s">
        <v>83</v>
      </c>
      <c r="T469">
        <f>IF(TRIM(Table1[[#This Row],[PitStopLaps]])="",0,
LEN(Table1[[#This Row],[PitStopLaps]])-LEN(SUBSTITUTE(Table1[[#This Row],[PitStopLaps]],",",""))+1)</f>
        <v>2</v>
      </c>
      <c r="U469">
        <f>Table1[[#This Row],[StartPosition]]-Table1[[#This Row],[FinishPosition]]</f>
        <v>-1</v>
      </c>
    </row>
    <row r="470" spans="1:21" x14ac:dyDescent="0.3">
      <c r="A470">
        <v>2019</v>
      </c>
      <c r="B470">
        <v>4</v>
      </c>
      <c r="C470" t="s">
        <v>111</v>
      </c>
      <c r="D470" t="s">
        <v>58</v>
      </c>
      <c r="E470" t="s">
        <v>59</v>
      </c>
      <c r="F470" t="s">
        <v>192</v>
      </c>
      <c r="G470">
        <v>13</v>
      </c>
      <c r="H470">
        <v>9</v>
      </c>
      <c r="I470">
        <v>2</v>
      </c>
      <c r="J470" t="s">
        <v>34</v>
      </c>
      <c r="K470" t="s">
        <v>24</v>
      </c>
      <c r="L470">
        <v>51</v>
      </c>
      <c r="M470">
        <v>106.009</v>
      </c>
      <c r="N470">
        <v>108.22336900000001</v>
      </c>
      <c r="O470">
        <v>37.640999999999998</v>
      </c>
      <c r="P470">
        <v>42.654000000000003</v>
      </c>
      <c r="Q470">
        <v>25.210999999999999</v>
      </c>
      <c r="R470">
        <v>10</v>
      </c>
      <c r="S470" t="s">
        <v>83</v>
      </c>
      <c r="T470">
        <f>IF(TRIM(Table1[[#This Row],[PitStopLaps]])="",0,
LEN(Table1[[#This Row],[PitStopLaps]])-LEN(SUBSTITUTE(Table1[[#This Row],[PitStopLaps]],",",""))+1)</f>
        <v>1</v>
      </c>
      <c r="U470">
        <f>Table1[[#This Row],[StartPosition]]-Table1[[#This Row],[FinishPosition]]</f>
        <v>4</v>
      </c>
    </row>
    <row r="471" spans="1:21" x14ac:dyDescent="0.3">
      <c r="A471">
        <v>2019</v>
      </c>
      <c r="B471">
        <v>4</v>
      </c>
      <c r="C471" t="s">
        <v>111</v>
      </c>
      <c r="D471" t="s">
        <v>29</v>
      </c>
      <c r="E471" t="s">
        <v>30</v>
      </c>
      <c r="F471" t="s">
        <v>243</v>
      </c>
      <c r="G471">
        <v>0</v>
      </c>
      <c r="H471">
        <v>10</v>
      </c>
      <c r="I471">
        <v>1</v>
      </c>
      <c r="J471" t="s">
        <v>34</v>
      </c>
      <c r="K471" t="s">
        <v>65</v>
      </c>
      <c r="L471">
        <v>50</v>
      </c>
      <c r="M471">
        <v>106.479</v>
      </c>
      <c r="N471">
        <v>108.53322199999999</v>
      </c>
      <c r="O471">
        <v>37.819000000000003</v>
      </c>
      <c r="P471">
        <v>42.817999999999998</v>
      </c>
      <c r="Q471">
        <v>25.215</v>
      </c>
      <c r="R471">
        <v>6</v>
      </c>
      <c r="S471" t="s">
        <v>83</v>
      </c>
      <c r="T471">
        <f>IF(TRIM(Table1[[#This Row],[PitStopLaps]])="",0,
LEN(Table1[[#This Row],[PitStopLaps]])-LEN(SUBSTITUTE(Table1[[#This Row],[PitStopLaps]],",",""))+1)</f>
        <v>1</v>
      </c>
      <c r="U471">
        <f>Table1[[#This Row],[StartPosition]]-Table1[[#This Row],[FinishPosition]]</f>
        <v>-10</v>
      </c>
    </row>
    <row r="472" spans="1:21" x14ac:dyDescent="0.3">
      <c r="A472">
        <v>2019</v>
      </c>
      <c r="B472">
        <v>4</v>
      </c>
      <c r="C472" t="s">
        <v>111</v>
      </c>
      <c r="D472" t="s">
        <v>248</v>
      </c>
      <c r="E472" t="s">
        <v>249</v>
      </c>
      <c r="F472" t="s">
        <v>64</v>
      </c>
      <c r="G472">
        <v>11</v>
      </c>
      <c r="H472">
        <v>11</v>
      </c>
      <c r="I472">
        <v>0</v>
      </c>
      <c r="J472" t="s">
        <v>34</v>
      </c>
      <c r="K472" t="s">
        <v>65</v>
      </c>
      <c r="L472">
        <v>50</v>
      </c>
      <c r="M472">
        <v>105.754</v>
      </c>
      <c r="N472">
        <v>108.749911</v>
      </c>
      <c r="O472">
        <v>37.618000000000002</v>
      </c>
      <c r="P472">
        <v>42.866</v>
      </c>
      <c r="Q472">
        <v>24.83</v>
      </c>
      <c r="R472">
        <v>12</v>
      </c>
      <c r="S472" t="s">
        <v>83</v>
      </c>
      <c r="T472">
        <f>IF(TRIM(Table1[[#This Row],[PitStopLaps]])="",0,
LEN(Table1[[#This Row],[PitStopLaps]])-LEN(SUBSTITUTE(Table1[[#This Row],[PitStopLaps]],",",""))+1)</f>
        <v>1</v>
      </c>
      <c r="U472">
        <f>Table1[[#This Row],[StartPosition]]-Table1[[#This Row],[FinishPosition]]</f>
        <v>0</v>
      </c>
    </row>
    <row r="473" spans="1:21" x14ac:dyDescent="0.3">
      <c r="A473">
        <v>2019</v>
      </c>
      <c r="B473">
        <v>4</v>
      </c>
      <c r="C473" t="s">
        <v>111</v>
      </c>
      <c r="D473" t="s">
        <v>250</v>
      </c>
      <c r="E473" t="s">
        <v>251</v>
      </c>
      <c r="F473" t="s">
        <v>243</v>
      </c>
      <c r="G473">
        <v>17</v>
      </c>
      <c r="H473">
        <v>12</v>
      </c>
      <c r="I473">
        <v>0</v>
      </c>
      <c r="J473" t="s">
        <v>34</v>
      </c>
      <c r="K473" t="s">
        <v>65</v>
      </c>
      <c r="L473">
        <v>50</v>
      </c>
      <c r="M473">
        <v>105.96899999999999</v>
      </c>
      <c r="N473">
        <v>108.728044</v>
      </c>
      <c r="O473">
        <v>37.883000000000003</v>
      </c>
      <c r="P473">
        <v>42.741999999999997</v>
      </c>
      <c r="Q473">
        <v>25.05</v>
      </c>
      <c r="R473">
        <v>7</v>
      </c>
      <c r="S473" t="s">
        <v>83</v>
      </c>
      <c r="T473">
        <f>IF(TRIM(Table1[[#This Row],[PitStopLaps]])="",0,
LEN(Table1[[#This Row],[PitStopLaps]])-LEN(SUBSTITUTE(Table1[[#This Row],[PitStopLaps]],",",""))+1)</f>
        <v>1</v>
      </c>
      <c r="U473">
        <f>Table1[[#This Row],[StartPosition]]-Table1[[#This Row],[FinishPosition]]</f>
        <v>5</v>
      </c>
    </row>
    <row r="474" spans="1:21" x14ac:dyDescent="0.3">
      <c r="A474">
        <v>2019</v>
      </c>
      <c r="B474">
        <v>4</v>
      </c>
      <c r="C474" t="s">
        <v>111</v>
      </c>
      <c r="D474" t="s">
        <v>71</v>
      </c>
      <c r="E474" t="s">
        <v>72</v>
      </c>
      <c r="F474" t="s">
        <v>69</v>
      </c>
      <c r="G474">
        <v>12</v>
      </c>
      <c r="H474">
        <v>13</v>
      </c>
      <c r="I474">
        <v>0</v>
      </c>
      <c r="J474" t="s">
        <v>34</v>
      </c>
      <c r="K474" t="s">
        <v>65</v>
      </c>
      <c r="L474">
        <v>50</v>
      </c>
      <c r="M474">
        <v>106.682</v>
      </c>
      <c r="N474">
        <v>109.167222</v>
      </c>
      <c r="O474">
        <v>37.832999999999998</v>
      </c>
      <c r="P474">
        <v>43.048000000000002</v>
      </c>
      <c r="Q474">
        <v>25.402000000000001</v>
      </c>
      <c r="R474" t="s">
        <v>292</v>
      </c>
      <c r="S474" t="s">
        <v>83</v>
      </c>
      <c r="T474">
        <f>IF(TRIM(Table1[[#This Row],[PitStopLaps]])="",0,
LEN(Table1[[#This Row],[PitStopLaps]])-LEN(SUBSTITUTE(Table1[[#This Row],[PitStopLaps]],",",""))+1)</f>
        <v>2</v>
      </c>
      <c r="U474">
        <f>Table1[[#This Row],[StartPosition]]-Table1[[#This Row],[FinishPosition]]</f>
        <v>-1</v>
      </c>
    </row>
    <row r="475" spans="1:21" x14ac:dyDescent="0.3">
      <c r="A475">
        <v>2019</v>
      </c>
      <c r="B475">
        <v>4</v>
      </c>
      <c r="C475" t="s">
        <v>111</v>
      </c>
      <c r="D475" t="s">
        <v>40</v>
      </c>
      <c r="E475" t="s">
        <v>41</v>
      </c>
      <c r="F475" t="s">
        <v>42</v>
      </c>
      <c r="G475">
        <v>15</v>
      </c>
      <c r="H475">
        <v>14</v>
      </c>
      <c r="I475">
        <v>0</v>
      </c>
      <c r="J475" t="s">
        <v>34</v>
      </c>
      <c r="K475" t="s">
        <v>65</v>
      </c>
      <c r="L475">
        <v>50</v>
      </c>
      <c r="M475">
        <v>107.407</v>
      </c>
      <c r="N475">
        <v>109.341195</v>
      </c>
      <c r="O475">
        <v>38.069000000000003</v>
      </c>
      <c r="P475">
        <v>43.103999999999999</v>
      </c>
      <c r="Q475">
        <v>25.483000000000001</v>
      </c>
      <c r="R475" t="s">
        <v>293</v>
      </c>
      <c r="S475" t="s">
        <v>83</v>
      </c>
      <c r="T475">
        <f>IF(TRIM(Table1[[#This Row],[PitStopLaps]])="",0,
LEN(Table1[[#This Row],[PitStopLaps]])-LEN(SUBSTITUTE(Table1[[#This Row],[PitStopLaps]],",",""))+1)</f>
        <v>2</v>
      </c>
      <c r="U475">
        <f>Table1[[#This Row],[StartPosition]]-Table1[[#This Row],[FinishPosition]]</f>
        <v>1</v>
      </c>
    </row>
    <row r="476" spans="1:21" x14ac:dyDescent="0.3">
      <c r="A476">
        <v>2019</v>
      </c>
      <c r="B476">
        <v>4</v>
      </c>
      <c r="C476" t="s">
        <v>111</v>
      </c>
      <c r="D476" t="s">
        <v>252</v>
      </c>
      <c r="E476" t="s">
        <v>253</v>
      </c>
      <c r="F476" t="s">
        <v>60</v>
      </c>
      <c r="G476">
        <v>16</v>
      </c>
      <c r="H476">
        <v>15</v>
      </c>
      <c r="I476">
        <v>0</v>
      </c>
      <c r="J476" t="s">
        <v>34</v>
      </c>
      <c r="K476" t="s">
        <v>127</v>
      </c>
      <c r="L476">
        <v>49</v>
      </c>
      <c r="M476">
        <v>107.251</v>
      </c>
      <c r="N476">
        <v>110.63915900000001</v>
      </c>
      <c r="O476">
        <v>37.988999999999997</v>
      </c>
      <c r="P476">
        <v>43.276000000000003</v>
      </c>
      <c r="Q476">
        <v>25.794</v>
      </c>
      <c r="R476" t="s">
        <v>294</v>
      </c>
      <c r="S476" t="s">
        <v>83</v>
      </c>
      <c r="T476">
        <f>IF(TRIM(Table1[[#This Row],[PitStopLaps]])="",0,
LEN(Table1[[#This Row],[PitStopLaps]])-LEN(SUBSTITUTE(Table1[[#This Row],[PitStopLaps]],",",""))+1)</f>
        <v>2</v>
      </c>
      <c r="U476">
        <f>Table1[[#This Row],[StartPosition]]-Table1[[#This Row],[FinishPosition]]</f>
        <v>1</v>
      </c>
    </row>
    <row r="477" spans="1:21" x14ac:dyDescent="0.3">
      <c r="A477">
        <v>2019</v>
      </c>
      <c r="B477">
        <v>4</v>
      </c>
      <c r="C477" t="s">
        <v>111</v>
      </c>
      <c r="D477" t="s">
        <v>255</v>
      </c>
      <c r="E477" t="s">
        <v>256</v>
      </c>
      <c r="F477" t="s">
        <v>60</v>
      </c>
      <c r="G477">
        <v>0</v>
      </c>
      <c r="H477">
        <v>16</v>
      </c>
      <c r="I477">
        <v>0</v>
      </c>
      <c r="J477" t="s">
        <v>34</v>
      </c>
      <c r="K477" t="s">
        <v>127</v>
      </c>
      <c r="L477">
        <v>49</v>
      </c>
      <c r="M477">
        <v>107.709</v>
      </c>
      <c r="N477">
        <v>110.801475</v>
      </c>
      <c r="O477">
        <v>38.345999999999997</v>
      </c>
      <c r="P477">
        <v>43.276000000000003</v>
      </c>
      <c r="Q477">
        <v>25.638999999999999</v>
      </c>
      <c r="R477" t="s">
        <v>295</v>
      </c>
      <c r="S477" t="s">
        <v>83</v>
      </c>
      <c r="T477">
        <f>IF(TRIM(Table1[[#This Row],[PitStopLaps]])="",0,
LEN(Table1[[#This Row],[PitStopLaps]])-LEN(SUBSTITUTE(Table1[[#This Row],[PitStopLaps]],",",""))+1)</f>
        <v>3</v>
      </c>
      <c r="U477">
        <f>Table1[[#This Row],[StartPosition]]-Table1[[#This Row],[FinishPosition]]</f>
        <v>-16</v>
      </c>
    </row>
    <row r="478" spans="1:21" x14ac:dyDescent="0.3">
      <c r="A478">
        <v>2019</v>
      </c>
      <c r="B478">
        <v>4</v>
      </c>
      <c r="C478" t="s">
        <v>111</v>
      </c>
      <c r="D478" t="s">
        <v>73</v>
      </c>
      <c r="E478" t="s">
        <v>74</v>
      </c>
      <c r="F478" t="s">
        <v>33</v>
      </c>
      <c r="G478">
        <v>0</v>
      </c>
      <c r="H478">
        <v>17</v>
      </c>
      <c r="I478">
        <v>0</v>
      </c>
      <c r="J478" t="s">
        <v>34</v>
      </c>
      <c r="K478" t="s">
        <v>296</v>
      </c>
      <c r="L478">
        <v>39</v>
      </c>
      <c r="M478">
        <v>105.712</v>
      </c>
      <c r="N478">
        <v>107.943432</v>
      </c>
      <c r="O478">
        <v>37.533000000000001</v>
      </c>
      <c r="P478">
        <v>42.64</v>
      </c>
      <c r="Q478">
        <v>25.085999999999999</v>
      </c>
      <c r="S478" t="s">
        <v>83</v>
      </c>
      <c r="T478">
        <f>IF(TRIM(Table1[[#This Row],[PitStopLaps]])="",0,
LEN(Table1[[#This Row],[PitStopLaps]])-LEN(SUBSTITUTE(Table1[[#This Row],[PitStopLaps]],",",""))+1)</f>
        <v>0</v>
      </c>
      <c r="U478">
        <f>Table1[[#This Row],[StartPosition]]-Table1[[#This Row],[FinishPosition]]</f>
        <v>-17</v>
      </c>
    </row>
    <row r="479" spans="1:21" x14ac:dyDescent="0.3">
      <c r="A479">
        <v>2019</v>
      </c>
      <c r="B479">
        <v>4</v>
      </c>
      <c r="C479" t="s">
        <v>111</v>
      </c>
      <c r="D479" t="s">
        <v>67</v>
      </c>
      <c r="E479" t="s">
        <v>68</v>
      </c>
      <c r="F479" t="s">
        <v>69</v>
      </c>
      <c r="G479">
        <v>14</v>
      </c>
      <c r="H479">
        <v>18</v>
      </c>
      <c r="I479">
        <v>0</v>
      </c>
      <c r="J479" t="s">
        <v>34</v>
      </c>
      <c r="K479" t="s">
        <v>81</v>
      </c>
      <c r="L479">
        <v>38</v>
      </c>
      <c r="M479">
        <v>108.517</v>
      </c>
      <c r="N479">
        <v>110.633352</v>
      </c>
      <c r="O479">
        <v>38.747999999999998</v>
      </c>
      <c r="P479">
        <v>43.860999999999997</v>
      </c>
      <c r="Q479">
        <v>25.439</v>
      </c>
      <c r="R479" t="s">
        <v>297</v>
      </c>
      <c r="S479" t="s">
        <v>83</v>
      </c>
      <c r="T479">
        <f>IF(TRIM(Table1[[#This Row],[PitStopLaps]])="",0,
LEN(Table1[[#This Row],[PitStopLaps]])-LEN(SUBSTITUTE(Table1[[#This Row],[PitStopLaps]],",",""))+1)</f>
        <v>2</v>
      </c>
      <c r="U479">
        <f>Table1[[#This Row],[StartPosition]]-Table1[[#This Row],[FinishPosition]]</f>
        <v>-4</v>
      </c>
    </row>
    <row r="480" spans="1:21" x14ac:dyDescent="0.3">
      <c r="A480">
        <v>2019</v>
      </c>
      <c r="B480">
        <v>4</v>
      </c>
      <c r="C480" t="s">
        <v>111</v>
      </c>
      <c r="D480" t="s">
        <v>244</v>
      </c>
      <c r="E480" t="s">
        <v>245</v>
      </c>
      <c r="F480" t="s">
        <v>64</v>
      </c>
      <c r="G480">
        <v>6</v>
      </c>
      <c r="H480">
        <v>19</v>
      </c>
      <c r="I480">
        <v>0</v>
      </c>
      <c r="J480" t="s">
        <v>34</v>
      </c>
      <c r="K480" t="s">
        <v>124</v>
      </c>
      <c r="L480">
        <v>33</v>
      </c>
      <c r="M480">
        <v>107.681</v>
      </c>
      <c r="N480">
        <v>110.370034</v>
      </c>
      <c r="O480">
        <v>38.247999999999998</v>
      </c>
      <c r="P480">
        <v>43.462000000000003</v>
      </c>
      <c r="Q480">
        <v>25.306999999999999</v>
      </c>
      <c r="R480" t="s">
        <v>298</v>
      </c>
      <c r="S480" t="s">
        <v>83</v>
      </c>
      <c r="T480">
        <f>IF(TRIM(Table1[[#This Row],[PitStopLaps]])="",0,
LEN(Table1[[#This Row],[PitStopLaps]])-LEN(SUBSTITUTE(Table1[[#This Row],[PitStopLaps]],",",""))+1)</f>
        <v>2</v>
      </c>
      <c r="U480">
        <f>Table1[[#This Row],[StartPosition]]-Table1[[#This Row],[FinishPosition]]</f>
        <v>-13</v>
      </c>
    </row>
    <row r="481" spans="1:21" x14ac:dyDescent="0.3">
      <c r="A481">
        <v>2019</v>
      </c>
      <c r="B481">
        <v>4</v>
      </c>
      <c r="C481" t="s">
        <v>111</v>
      </c>
      <c r="D481" t="s">
        <v>31</v>
      </c>
      <c r="E481" t="s">
        <v>32</v>
      </c>
      <c r="F481" t="s">
        <v>42</v>
      </c>
      <c r="G481">
        <v>10</v>
      </c>
      <c r="H481">
        <v>20</v>
      </c>
      <c r="I481">
        <v>0</v>
      </c>
      <c r="J481" t="s">
        <v>34</v>
      </c>
      <c r="K481" t="s">
        <v>124</v>
      </c>
      <c r="L481">
        <v>31</v>
      </c>
      <c r="M481">
        <v>106.767</v>
      </c>
      <c r="N481">
        <v>109.091111</v>
      </c>
      <c r="O481">
        <v>38.107999999999997</v>
      </c>
      <c r="P481">
        <v>43.417000000000002</v>
      </c>
      <c r="Q481">
        <v>25.052</v>
      </c>
      <c r="R481" t="s">
        <v>299</v>
      </c>
      <c r="S481" t="s">
        <v>83</v>
      </c>
      <c r="T481">
        <f>IF(TRIM(Table1[[#This Row],[PitStopLaps]])="",0,
LEN(Table1[[#This Row],[PitStopLaps]])-LEN(SUBSTITUTE(Table1[[#This Row],[PitStopLaps]],",",""))+1)</f>
        <v>2</v>
      </c>
      <c r="U481">
        <f>Table1[[#This Row],[StartPosition]]-Table1[[#This Row],[FinishPosition]]</f>
        <v>-10</v>
      </c>
    </row>
    <row r="482" spans="1:21" x14ac:dyDescent="0.3">
      <c r="A482">
        <v>2019</v>
      </c>
      <c r="B482">
        <v>5</v>
      </c>
      <c r="C482" t="s">
        <v>125</v>
      </c>
      <c r="D482" t="s">
        <v>26</v>
      </c>
      <c r="E482" t="s">
        <v>27</v>
      </c>
      <c r="F482" t="s">
        <v>28</v>
      </c>
      <c r="G482">
        <v>2</v>
      </c>
      <c r="H482">
        <v>1</v>
      </c>
      <c r="I482">
        <v>26</v>
      </c>
      <c r="J482" t="s">
        <v>23</v>
      </c>
      <c r="K482" t="s">
        <v>24</v>
      </c>
      <c r="L482">
        <v>66</v>
      </c>
      <c r="M482">
        <v>78.492000000000004</v>
      </c>
      <c r="N482">
        <v>81.611177999999995</v>
      </c>
      <c r="O482">
        <v>22.460999999999999</v>
      </c>
      <c r="P482">
        <v>29.158000000000001</v>
      </c>
      <c r="Q482">
        <v>26.873000000000001</v>
      </c>
      <c r="R482" t="s">
        <v>300</v>
      </c>
      <c r="S482" t="s">
        <v>83</v>
      </c>
      <c r="T482">
        <f>IF(TRIM(Table1[[#This Row],[PitStopLaps]])="",0,
LEN(Table1[[#This Row],[PitStopLaps]])-LEN(SUBSTITUTE(Table1[[#This Row],[PitStopLaps]],",",""))+1)</f>
        <v>2</v>
      </c>
      <c r="U482">
        <f>Table1[[#This Row],[StartPosition]]-Table1[[#This Row],[FinishPosition]]</f>
        <v>1</v>
      </c>
    </row>
    <row r="483" spans="1:21" x14ac:dyDescent="0.3">
      <c r="A483">
        <v>2019</v>
      </c>
      <c r="B483">
        <v>5</v>
      </c>
      <c r="C483" t="s">
        <v>125</v>
      </c>
      <c r="D483" t="s">
        <v>43</v>
      </c>
      <c r="E483" t="s">
        <v>44</v>
      </c>
      <c r="F483" t="s">
        <v>28</v>
      </c>
      <c r="G483">
        <v>1</v>
      </c>
      <c r="H483">
        <v>2</v>
      </c>
      <c r="I483">
        <v>18</v>
      </c>
      <c r="J483" t="s">
        <v>23</v>
      </c>
      <c r="K483" t="s">
        <v>24</v>
      </c>
      <c r="L483">
        <v>66</v>
      </c>
      <c r="M483">
        <v>78.736999999999995</v>
      </c>
      <c r="N483">
        <v>81.761200000000002</v>
      </c>
      <c r="O483">
        <v>22.367999999999999</v>
      </c>
      <c r="P483">
        <v>29.303000000000001</v>
      </c>
      <c r="Q483">
        <v>27.065999999999999</v>
      </c>
      <c r="R483" t="s">
        <v>301</v>
      </c>
      <c r="S483" t="s">
        <v>83</v>
      </c>
      <c r="T483">
        <f>IF(TRIM(Table1[[#This Row],[PitStopLaps]])="",0,
LEN(Table1[[#This Row],[PitStopLaps]])-LEN(SUBSTITUTE(Table1[[#This Row],[PitStopLaps]],",",""))+1)</f>
        <v>2</v>
      </c>
      <c r="U483">
        <f>Table1[[#This Row],[StartPosition]]-Table1[[#This Row],[FinishPosition]]</f>
        <v>-1</v>
      </c>
    </row>
    <row r="484" spans="1:21" x14ac:dyDescent="0.3">
      <c r="A484">
        <v>2019</v>
      </c>
      <c r="B484">
        <v>5</v>
      </c>
      <c r="C484" t="s">
        <v>125</v>
      </c>
      <c r="D484" t="s">
        <v>38</v>
      </c>
      <c r="E484" t="s">
        <v>39</v>
      </c>
      <c r="F484" t="s">
        <v>33</v>
      </c>
      <c r="G484">
        <v>4</v>
      </c>
      <c r="H484">
        <v>3</v>
      </c>
      <c r="I484">
        <v>15</v>
      </c>
      <c r="J484" t="s">
        <v>23</v>
      </c>
      <c r="K484" t="s">
        <v>24</v>
      </c>
      <c r="L484">
        <v>66</v>
      </c>
      <c r="M484">
        <v>79.769000000000005</v>
      </c>
      <c r="N484">
        <v>81.873295999999996</v>
      </c>
      <c r="O484">
        <v>22.62</v>
      </c>
      <c r="P484">
        <v>29.766999999999999</v>
      </c>
      <c r="Q484">
        <v>27.366</v>
      </c>
      <c r="R484" t="s">
        <v>302</v>
      </c>
      <c r="S484" t="s">
        <v>83</v>
      </c>
      <c r="T484">
        <f>IF(TRIM(Table1[[#This Row],[PitStopLaps]])="",0,
LEN(Table1[[#This Row],[PitStopLaps]])-LEN(SUBSTITUTE(Table1[[#This Row],[PitStopLaps]],",",""))+1)</f>
        <v>2</v>
      </c>
      <c r="U484">
        <f>Table1[[#This Row],[StartPosition]]-Table1[[#This Row],[FinishPosition]]</f>
        <v>1</v>
      </c>
    </row>
    <row r="485" spans="1:21" x14ac:dyDescent="0.3">
      <c r="A485">
        <v>2019</v>
      </c>
      <c r="B485">
        <v>5</v>
      </c>
      <c r="C485" t="s">
        <v>125</v>
      </c>
      <c r="D485" t="s">
        <v>20</v>
      </c>
      <c r="E485" t="s">
        <v>21</v>
      </c>
      <c r="F485" t="s">
        <v>22</v>
      </c>
      <c r="G485">
        <v>3</v>
      </c>
      <c r="H485">
        <v>4</v>
      </c>
      <c r="I485">
        <v>12</v>
      </c>
      <c r="J485" t="s">
        <v>34</v>
      </c>
      <c r="K485" t="s">
        <v>24</v>
      </c>
      <c r="L485">
        <v>66</v>
      </c>
      <c r="M485">
        <v>79.819999999999993</v>
      </c>
      <c r="N485">
        <v>81.952721999999994</v>
      </c>
      <c r="O485">
        <v>22.456</v>
      </c>
      <c r="P485">
        <v>29.667000000000002</v>
      </c>
      <c r="Q485">
        <v>27.45</v>
      </c>
      <c r="R485" t="s">
        <v>303</v>
      </c>
      <c r="S485" t="s">
        <v>83</v>
      </c>
      <c r="T485">
        <f>IF(TRIM(Table1[[#This Row],[PitStopLaps]])="",0,
LEN(Table1[[#This Row],[PitStopLaps]])-LEN(SUBSTITUTE(Table1[[#This Row],[PitStopLaps]],",",""))+1)</f>
        <v>2</v>
      </c>
      <c r="U485">
        <f>Table1[[#This Row],[StartPosition]]-Table1[[#This Row],[FinishPosition]]</f>
        <v>-1</v>
      </c>
    </row>
    <row r="486" spans="1:21" x14ac:dyDescent="0.3">
      <c r="A486">
        <v>2019</v>
      </c>
      <c r="B486">
        <v>5</v>
      </c>
      <c r="C486" t="s">
        <v>125</v>
      </c>
      <c r="D486" t="s">
        <v>54</v>
      </c>
      <c r="E486" t="s">
        <v>55</v>
      </c>
      <c r="F486" t="s">
        <v>22</v>
      </c>
      <c r="G486">
        <v>5</v>
      </c>
      <c r="H486">
        <v>5</v>
      </c>
      <c r="I486">
        <v>10</v>
      </c>
      <c r="J486" t="s">
        <v>34</v>
      </c>
      <c r="K486" t="s">
        <v>24</v>
      </c>
      <c r="L486">
        <v>66</v>
      </c>
      <c r="M486">
        <v>80.001999999999995</v>
      </c>
      <c r="N486">
        <v>82.225695999999999</v>
      </c>
      <c r="O486">
        <v>22.524999999999999</v>
      </c>
      <c r="P486">
        <v>29.713000000000001</v>
      </c>
      <c r="Q486">
        <v>27.731000000000002</v>
      </c>
      <c r="R486" t="s">
        <v>304</v>
      </c>
      <c r="S486" t="s">
        <v>83</v>
      </c>
      <c r="T486">
        <f>IF(TRIM(Table1[[#This Row],[PitStopLaps]])="",0,
LEN(Table1[[#This Row],[PitStopLaps]])-LEN(SUBSTITUTE(Table1[[#This Row],[PitStopLaps]],",",""))+1)</f>
        <v>2</v>
      </c>
      <c r="U486">
        <f>Table1[[#This Row],[StartPosition]]-Table1[[#This Row],[FinishPosition]]</f>
        <v>0</v>
      </c>
    </row>
    <row r="487" spans="1:21" x14ac:dyDescent="0.3">
      <c r="A487">
        <v>2019</v>
      </c>
      <c r="B487">
        <v>5</v>
      </c>
      <c r="C487" t="s">
        <v>125</v>
      </c>
      <c r="D487" t="s">
        <v>73</v>
      </c>
      <c r="E487" t="s">
        <v>74</v>
      </c>
      <c r="F487" t="s">
        <v>33</v>
      </c>
      <c r="G487">
        <v>6</v>
      </c>
      <c r="H487">
        <v>6</v>
      </c>
      <c r="I487">
        <v>8</v>
      </c>
      <c r="J487" t="s">
        <v>34</v>
      </c>
      <c r="K487" t="s">
        <v>24</v>
      </c>
      <c r="L487">
        <v>66</v>
      </c>
      <c r="M487">
        <v>80.536000000000001</v>
      </c>
      <c r="N487">
        <v>82.625659999999996</v>
      </c>
      <c r="O487">
        <v>22.88</v>
      </c>
      <c r="P487">
        <v>30.04</v>
      </c>
      <c r="Q487">
        <v>27.46</v>
      </c>
      <c r="R487" t="s">
        <v>305</v>
      </c>
      <c r="S487" t="s">
        <v>83</v>
      </c>
      <c r="T487">
        <f>IF(TRIM(Table1[[#This Row],[PitStopLaps]])="",0,
LEN(Table1[[#This Row],[PitStopLaps]])-LEN(SUBSTITUTE(Table1[[#This Row],[PitStopLaps]],",",""))+1)</f>
        <v>2</v>
      </c>
      <c r="U487">
        <f>Table1[[#This Row],[StartPosition]]-Table1[[#This Row],[FinishPosition]]</f>
        <v>0</v>
      </c>
    </row>
    <row r="488" spans="1:21" x14ac:dyDescent="0.3">
      <c r="A488">
        <v>2019</v>
      </c>
      <c r="B488">
        <v>5</v>
      </c>
      <c r="C488" t="s">
        <v>125</v>
      </c>
      <c r="D488" t="s">
        <v>71</v>
      </c>
      <c r="E488" t="s">
        <v>72</v>
      </c>
      <c r="F488" t="s">
        <v>69</v>
      </c>
      <c r="G488">
        <v>8</v>
      </c>
      <c r="H488">
        <v>7</v>
      </c>
      <c r="I488">
        <v>6</v>
      </c>
      <c r="J488" t="s">
        <v>34</v>
      </c>
      <c r="K488" t="s">
        <v>24</v>
      </c>
      <c r="L488">
        <v>66</v>
      </c>
      <c r="M488">
        <v>80.77</v>
      </c>
      <c r="N488">
        <v>83.172781000000001</v>
      </c>
      <c r="O488">
        <v>22.981999999999999</v>
      </c>
      <c r="P488">
        <v>29.887</v>
      </c>
      <c r="Q488">
        <v>27.866</v>
      </c>
      <c r="R488" t="s">
        <v>306</v>
      </c>
      <c r="S488" t="s">
        <v>83</v>
      </c>
      <c r="T488">
        <f>IF(TRIM(Table1[[#This Row],[PitStopLaps]])="",0,
LEN(Table1[[#This Row],[PitStopLaps]])-LEN(SUBSTITUTE(Table1[[#This Row],[PitStopLaps]],",",""))+1)</f>
        <v>2</v>
      </c>
      <c r="U488">
        <f>Table1[[#This Row],[StartPosition]]-Table1[[#This Row],[FinishPosition]]</f>
        <v>1</v>
      </c>
    </row>
    <row r="489" spans="1:21" x14ac:dyDescent="0.3">
      <c r="A489">
        <v>2019</v>
      </c>
      <c r="B489">
        <v>5</v>
      </c>
      <c r="C489" t="s">
        <v>125</v>
      </c>
      <c r="D489" t="s">
        <v>47</v>
      </c>
      <c r="E489" t="s">
        <v>48</v>
      </c>
      <c r="F489" t="s">
        <v>37</v>
      </c>
      <c r="G489">
        <v>12</v>
      </c>
      <c r="H489">
        <v>8</v>
      </c>
      <c r="I489">
        <v>4</v>
      </c>
      <c r="J489" t="s">
        <v>34</v>
      </c>
      <c r="K489" t="s">
        <v>24</v>
      </c>
      <c r="L489">
        <v>66</v>
      </c>
      <c r="M489">
        <v>80.858999999999995</v>
      </c>
      <c r="N489">
        <v>83.474418</v>
      </c>
      <c r="O489">
        <v>22.317</v>
      </c>
      <c r="P489">
        <v>30.193999999999999</v>
      </c>
      <c r="Q489">
        <v>28.132000000000001</v>
      </c>
      <c r="R489" t="s">
        <v>307</v>
      </c>
      <c r="S489" t="s">
        <v>83</v>
      </c>
      <c r="T489">
        <f>IF(TRIM(Table1[[#This Row],[PitStopLaps]])="",0,
LEN(Table1[[#This Row],[PitStopLaps]])-LEN(SUBSTITUTE(Table1[[#This Row],[PitStopLaps]],",",""))+1)</f>
        <v>2</v>
      </c>
      <c r="U489">
        <f>Table1[[#This Row],[StartPosition]]-Table1[[#This Row],[FinishPosition]]</f>
        <v>4</v>
      </c>
    </row>
    <row r="490" spans="1:21" x14ac:dyDescent="0.3">
      <c r="A490">
        <v>2019</v>
      </c>
      <c r="B490">
        <v>5</v>
      </c>
      <c r="C490" t="s">
        <v>125</v>
      </c>
      <c r="D490" t="s">
        <v>244</v>
      </c>
      <c r="E490" t="s">
        <v>245</v>
      </c>
      <c r="F490" t="s">
        <v>64</v>
      </c>
      <c r="G490">
        <v>9</v>
      </c>
      <c r="H490">
        <v>9</v>
      </c>
      <c r="I490">
        <v>2</v>
      </c>
      <c r="J490" t="s">
        <v>34</v>
      </c>
      <c r="K490" t="s">
        <v>24</v>
      </c>
      <c r="L490">
        <v>66</v>
      </c>
      <c r="M490">
        <v>80.725999999999999</v>
      </c>
      <c r="N490">
        <v>83.153471999999994</v>
      </c>
      <c r="O490">
        <v>22.577999999999999</v>
      </c>
      <c r="P490">
        <v>30.042000000000002</v>
      </c>
      <c r="Q490">
        <v>27.859000000000002</v>
      </c>
      <c r="R490" t="s">
        <v>308</v>
      </c>
      <c r="S490" t="s">
        <v>83</v>
      </c>
      <c r="T490">
        <f>IF(TRIM(Table1[[#This Row],[PitStopLaps]])="",0,
LEN(Table1[[#This Row],[PitStopLaps]])-LEN(SUBSTITUTE(Table1[[#This Row],[PitStopLaps]],",",""))+1)</f>
        <v>2</v>
      </c>
      <c r="U490">
        <f>Table1[[#This Row],[StartPosition]]-Table1[[#This Row],[FinishPosition]]</f>
        <v>0</v>
      </c>
    </row>
    <row r="491" spans="1:21" x14ac:dyDescent="0.3">
      <c r="A491">
        <v>2019</v>
      </c>
      <c r="B491">
        <v>5</v>
      </c>
      <c r="C491" t="s">
        <v>125</v>
      </c>
      <c r="D491" t="s">
        <v>67</v>
      </c>
      <c r="E491" t="s">
        <v>68</v>
      </c>
      <c r="F491" t="s">
        <v>69</v>
      </c>
      <c r="G491">
        <v>7</v>
      </c>
      <c r="H491">
        <v>10</v>
      </c>
      <c r="I491">
        <v>1</v>
      </c>
      <c r="J491" t="s">
        <v>34</v>
      </c>
      <c r="K491" t="s">
        <v>24</v>
      </c>
      <c r="L491">
        <v>66</v>
      </c>
      <c r="M491">
        <v>81.057000000000002</v>
      </c>
      <c r="N491">
        <v>83.067599999999999</v>
      </c>
      <c r="O491">
        <v>22.786000000000001</v>
      </c>
      <c r="P491">
        <v>29.928000000000001</v>
      </c>
      <c r="Q491">
        <v>27.943999999999999</v>
      </c>
      <c r="R491" t="s">
        <v>309</v>
      </c>
      <c r="S491" t="s">
        <v>83</v>
      </c>
      <c r="T491">
        <f>IF(TRIM(Table1[[#This Row],[PitStopLaps]])="",0,
LEN(Table1[[#This Row],[PitStopLaps]])-LEN(SUBSTITUTE(Table1[[#This Row],[PitStopLaps]],",",""))+1)</f>
        <v>2</v>
      </c>
      <c r="U491">
        <f>Table1[[#This Row],[StartPosition]]-Table1[[#This Row],[FinishPosition]]</f>
        <v>-3</v>
      </c>
    </row>
    <row r="492" spans="1:21" x14ac:dyDescent="0.3">
      <c r="A492">
        <v>2019</v>
      </c>
      <c r="B492">
        <v>5</v>
      </c>
      <c r="C492" t="s">
        <v>125</v>
      </c>
      <c r="D492" t="s">
        <v>248</v>
      </c>
      <c r="E492" t="s">
        <v>249</v>
      </c>
      <c r="F492" t="s">
        <v>64</v>
      </c>
      <c r="G492">
        <v>11</v>
      </c>
      <c r="H492">
        <v>11</v>
      </c>
      <c r="I492">
        <v>0</v>
      </c>
      <c r="J492" t="s">
        <v>34</v>
      </c>
      <c r="K492" t="s">
        <v>24</v>
      </c>
      <c r="L492">
        <v>66</v>
      </c>
      <c r="M492">
        <v>81.028000000000006</v>
      </c>
      <c r="N492">
        <v>83.286671999999996</v>
      </c>
      <c r="O492">
        <v>22.628</v>
      </c>
      <c r="P492">
        <v>30.199000000000002</v>
      </c>
      <c r="Q492">
        <v>27.901</v>
      </c>
      <c r="R492" t="s">
        <v>310</v>
      </c>
      <c r="S492" t="s">
        <v>83</v>
      </c>
      <c r="T492">
        <f>IF(TRIM(Table1[[#This Row],[PitStopLaps]])="",0,
LEN(Table1[[#This Row],[PitStopLaps]])-LEN(SUBSTITUTE(Table1[[#This Row],[PitStopLaps]],",",""))+1)</f>
        <v>2</v>
      </c>
      <c r="U492">
        <f>Table1[[#This Row],[StartPosition]]-Table1[[#This Row],[FinishPosition]]</f>
        <v>0</v>
      </c>
    </row>
    <row r="493" spans="1:21" x14ac:dyDescent="0.3">
      <c r="A493">
        <v>2019</v>
      </c>
      <c r="B493">
        <v>5</v>
      </c>
      <c r="C493" t="s">
        <v>125</v>
      </c>
      <c r="D493" t="s">
        <v>31</v>
      </c>
      <c r="E493" t="s">
        <v>32</v>
      </c>
      <c r="F493" t="s">
        <v>42</v>
      </c>
      <c r="G493">
        <v>13</v>
      </c>
      <c r="H493">
        <v>12</v>
      </c>
      <c r="I493">
        <v>0</v>
      </c>
      <c r="J493" t="s">
        <v>34</v>
      </c>
      <c r="K493" t="s">
        <v>24</v>
      </c>
      <c r="L493">
        <v>66</v>
      </c>
      <c r="M493">
        <v>80.614999999999995</v>
      </c>
      <c r="N493">
        <v>83.552509000000001</v>
      </c>
      <c r="O493">
        <v>22.379000000000001</v>
      </c>
      <c r="P493">
        <v>30.332999999999998</v>
      </c>
      <c r="Q493">
        <v>27.902999999999999</v>
      </c>
      <c r="R493" t="s">
        <v>311</v>
      </c>
      <c r="S493" t="s">
        <v>83</v>
      </c>
      <c r="T493">
        <f>IF(TRIM(Table1[[#This Row],[PitStopLaps]])="",0,
LEN(Table1[[#This Row],[PitStopLaps]])-LEN(SUBSTITUTE(Table1[[#This Row],[PitStopLaps]],",",""))+1)</f>
        <v>2</v>
      </c>
      <c r="U493">
        <f>Table1[[#This Row],[StartPosition]]-Table1[[#This Row],[FinishPosition]]</f>
        <v>1</v>
      </c>
    </row>
    <row r="494" spans="1:21" x14ac:dyDescent="0.3">
      <c r="A494">
        <v>2019</v>
      </c>
      <c r="B494">
        <v>5</v>
      </c>
      <c r="C494" t="s">
        <v>125</v>
      </c>
      <c r="D494" t="s">
        <v>40</v>
      </c>
      <c r="E494" t="s">
        <v>41</v>
      </c>
      <c r="F494" t="s">
        <v>42</v>
      </c>
      <c r="G494">
        <v>0</v>
      </c>
      <c r="H494">
        <v>13</v>
      </c>
      <c r="I494">
        <v>0</v>
      </c>
      <c r="J494" t="s">
        <v>34</v>
      </c>
      <c r="K494" t="s">
        <v>24</v>
      </c>
      <c r="L494">
        <v>66</v>
      </c>
      <c r="M494">
        <v>81.281999999999996</v>
      </c>
      <c r="N494">
        <v>83.800580999999994</v>
      </c>
      <c r="O494">
        <v>22.96</v>
      </c>
      <c r="P494">
        <v>30.268999999999998</v>
      </c>
      <c r="Q494">
        <v>27.972999999999999</v>
      </c>
      <c r="R494">
        <v>35</v>
      </c>
      <c r="S494" t="s">
        <v>83</v>
      </c>
      <c r="T494">
        <f>IF(TRIM(Table1[[#This Row],[PitStopLaps]])="",0,
LEN(Table1[[#This Row],[PitStopLaps]])-LEN(SUBSTITUTE(Table1[[#This Row],[PitStopLaps]],",",""))+1)</f>
        <v>1</v>
      </c>
      <c r="U494">
        <f>Table1[[#This Row],[StartPosition]]-Table1[[#This Row],[FinishPosition]]</f>
        <v>-13</v>
      </c>
    </row>
    <row r="495" spans="1:21" x14ac:dyDescent="0.3">
      <c r="A495">
        <v>2019</v>
      </c>
      <c r="B495">
        <v>5</v>
      </c>
      <c r="C495" t="s">
        <v>125</v>
      </c>
      <c r="D495" t="s">
        <v>29</v>
      </c>
      <c r="E495" t="s">
        <v>30</v>
      </c>
      <c r="F495" t="s">
        <v>243</v>
      </c>
      <c r="G495">
        <v>14</v>
      </c>
      <c r="H495">
        <v>14</v>
      </c>
      <c r="I495">
        <v>0</v>
      </c>
      <c r="J495" t="s">
        <v>34</v>
      </c>
      <c r="K495" t="s">
        <v>24</v>
      </c>
      <c r="L495">
        <v>66</v>
      </c>
      <c r="M495">
        <v>81.382000000000005</v>
      </c>
      <c r="N495">
        <v>83.927526999999998</v>
      </c>
      <c r="O495">
        <v>22.867000000000001</v>
      </c>
      <c r="P495">
        <v>30.177</v>
      </c>
      <c r="Q495">
        <v>28.132000000000001</v>
      </c>
      <c r="R495" t="s">
        <v>312</v>
      </c>
      <c r="S495" t="s">
        <v>83</v>
      </c>
      <c r="T495">
        <f>IF(TRIM(Table1[[#This Row],[PitStopLaps]])="",0,
LEN(Table1[[#This Row],[PitStopLaps]])-LEN(SUBSTITUTE(Table1[[#This Row],[PitStopLaps]],",",""))+1)</f>
        <v>2</v>
      </c>
      <c r="U495">
        <f>Table1[[#This Row],[StartPosition]]-Table1[[#This Row],[FinishPosition]]</f>
        <v>0</v>
      </c>
    </row>
    <row r="496" spans="1:21" x14ac:dyDescent="0.3">
      <c r="A496">
        <v>2019</v>
      </c>
      <c r="B496">
        <v>5</v>
      </c>
      <c r="C496" t="s">
        <v>125</v>
      </c>
      <c r="D496" t="s">
        <v>49</v>
      </c>
      <c r="E496" t="s">
        <v>50</v>
      </c>
      <c r="F496" t="s">
        <v>192</v>
      </c>
      <c r="G496">
        <v>15</v>
      </c>
      <c r="H496">
        <v>15</v>
      </c>
      <c r="I496">
        <v>0</v>
      </c>
      <c r="J496" t="s">
        <v>34</v>
      </c>
      <c r="K496" t="s">
        <v>24</v>
      </c>
      <c r="L496">
        <v>66</v>
      </c>
      <c r="M496">
        <v>81.858999999999995</v>
      </c>
      <c r="N496">
        <v>83.800980999999993</v>
      </c>
      <c r="O496">
        <v>22.972000000000001</v>
      </c>
      <c r="P496">
        <v>30.553999999999998</v>
      </c>
      <c r="Q496">
        <v>28.245000000000001</v>
      </c>
      <c r="R496" t="s">
        <v>311</v>
      </c>
      <c r="S496" t="s">
        <v>83</v>
      </c>
      <c r="T496">
        <f>IF(TRIM(Table1[[#This Row],[PitStopLaps]])="",0,
LEN(Table1[[#This Row],[PitStopLaps]])-LEN(SUBSTITUTE(Table1[[#This Row],[PitStopLaps]],",",""))+1)</f>
        <v>2</v>
      </c>
      <c r="U496">
        <f>Table1[[#This Row],[StartPosition]]-Table1[[#This Row],[FinishPosition]]</f>
        <v>0</v>
      </c>
    </row>
    <row r="497" spans="1:21" x14ac:dyDescent="0.3">
      <c r="A497">
        <v>2019</v>
      </c>
      <c r="B497">
        <v>5</v>
      </c>
      <c r="C497" t="s">
        <v>125</v>
      </c>
      <c r="D497" t="s">
        <v>250</v>
      </c>
      <c r="E497" t="s">
        <v>251</v>
      </c>
      <c r="F497" t="s">
        <v>243</v>
      </c>
      <c r="G497">
        <v>18</v>
      </c>
      <c r="H497">
        <v>16</v>
      </c>
      <c r="I497">
        <v>0</v>
      </c>
      <c r="J497" t="s">
        <v>34</v>
      </c>
      <c r="K497" t="s">
        <v>24</v>
      </c>
      <c r="L497">
        <v>66</v>
      </c>
      <c r="M497">
        <v>81.832999999999998</v>
      </c>
      <c r="N497">
        <v>84.653980000000004</v>
      </c>
      <c r="O497">
        <v>22.786999999999999</v>
      </c>
      <c r="P497">
        <v>30.503</v>
      </c>
      <c r="Q497">
        <v>28.398</v>
      </c>
      <c r="R497" t="s">
        <v>313</v>
      </c>
      <c r="S497" t="s">
        <v>83</v>
      </c>
      <c r="T497">
        <f>IF(TRIM(Table1[[#This Row],[PitStopLaps]])="",0,
LEN(Table1[[#This Row],[PitStopLaps]])-LEN(SUBSTITUTE(Table1[[#This Row],[PitStopLaps]],",",""))+1)</f>
        <v>2</v>
      </c>
      <c r="U497">
        <f>Table1[[#This Row],[StartPosition]]-Table1[[#This Row],[FinishPosition]]</f>
        <v>2</v>
      </c>
    </row>
    <row r="498" spans="1:21" x14ac:dyDescent="0.3">
      <c r="A498">
        <v>2019</v>
      </c>
      <c r="B498">
        <v>5</v>
      </c>
      <c r="C498" t="s">
        <v>125</v>
      </c>
      <c r="D498" t="s">
        <v>252</v>
      </c>
      <c r="E498" t="s">
        <v>253</v>
      </c>
      <c r="F498" t="s">
        <v>60</v>
      </c>
      <c r="G498">
        <v>19</v>
      </c>
      <c r="H498">
        <v>17</v>
      </c>
      <c r="I498">
        <v>0</v>
      </c>
      <c r="J498" t="s">
        <v>34</v>
      </c>
      <c r="K498" t="s">
        <v>65</v>
      </c>
      <c r="L498">
        <v>65</v>
      </c>
      <c r="M498">
        <v>82.382000000000005</v>
      </c>
      <c r="N498">
        <v>85.720166000000006</v>
      </c>
      <c r="O498">
        <v>23.193000000000001</v>
      </c>
      <c r="P498">
        <v>30.576999999999899</v>
      </c>
      <c r="Q498">
        <v>28.466999999999999</v>
      </c>
      <c r="R498" t="s">
        <v>314</v>
      </c>
      <c r="S498" t="s">
        <v>83</v>
      </c>
      <c r="T498">
        <f>IF(TRIM(Table1[[#This Row],[PitStopLaps]])="",0,
LEN(Table1[[#This Row],[PitStopLaps]])-LEN(SUBSTITUTE(Table1[[#This Row],[PitStopLaps]],",",""))+1)</f>
        <v>2</v>
      </c>
      <c r="U498">
        <f>Table1[[#This Row],[StartPosition]]-Table1[[#This Row],[FinishPosition]]</f>
        <v>2</v>
      </c>
    </row>
    <row r="499" spans="1:21" x14ac:dyDescent="0.3">
      <c r="A499">
        <v>2019</v>
      </c>
      <c r="B499">
        <v>5</v>
      </c>
      <c r="C499" t="s">
        <v>125</v>
      </c>
      <c r="D499" t="s">
        <v>255</v>
      </c>
      <c r="E499" t="s">
        <v>256</v>
      </c>
      <c r="F499" t="s">
        <v>60</v>
      </c>
      <c r="G499">
        <v>17</v>
      </c>
      <c r="H499">
        <v>18</v>
      </c>
      <c r="I499">
        <v>0</v>
      </c>
      <c r="J499" t="s">
        <v>34</v>
      </c>
      <c r="K499" t="s">
        <v>65</v>
      </c>
      <c r="L499">
        <v>65</v>
      </c>
      <c r="M499">
        <v>83.201999999999998</v>
      </c>
      <c r="N499">
        <v>86.096962000000005</v>
      </c>
      <c r="O499">
        <v>23.437999999999999</v>
      </c>
      <c r="P499">
        <v>31.023</v>
      </c>
      <c r="Q499">
        <v>28.706</v>
      </c>
      <c r="R499" t="s">
        <v>315</v>
      </c>
      <c r="S499" t="s">
        <v>83</v>
      </c>
      <c r="T499">
        <f>IF(TRIM(Table1[[#This Row],[PitStopLaps]])="",0,
LEN(Table1[[#This Row],[PitStopLaps]])-LEN(SUBSTITUTE(Table1[[#This Row],[PitStopLaps]],",",""))+1)</f>
        <v>2</v>
      </c>
      <c r="U499">
        <f>Table1[[#This Row],[StartPosition]]-Table1[[#This Row],[FinishPosition]]</f>
        <v>-1</v>
      </c>
    </row>
    <row r="500" spans="1:21" x14ac:dyDescent="0.3">
      <c r="A500">
        <v>2019</v>
      </c>
      <c r="B500">
        <v>5</v>
      </c>
      <c r="C500" t="s">
        <v>125</v>
      </c>
      <c r="D500" t="s">
        <v>58</v>
      </c>
      <c r="E500" t="s">
        <v>59</v>
      </c>
      <c r="F500" t="s">
        <v>192</v>
      </c>
      <c r="G500">
        <v>16</v>
      </c>
      <c r="H500">
        <v>19</v>
      </c>
      <c r="I500">
        <v>0</v>
      </c>
      <c r="J500" t="s">
        <v>34</v>
      </c>
      <c r="K500" t="s">
        <v>124</v>
      </c>
      <c r="L500">
        <v>45</v>
      </c>
      <c r="M500">
        <v>83.225999999999999</v>
      </c>
      <c r="N500">
        <v>84.232755999999995</v>
      </c>
      <c r="O500">
        <v>23.263000000000002</v>
      </c>
      <c r="P500">
        <v>31.027999999999999</v>
      </c>
      <c r="Q500">
        <v>28.597999999999999</v>
      </c>
      <c r="R500">
        <v>22</v>
      </c>
      <c r="S500" t="s">
        <v>83</v>
      </c>
      <c r="T500">
        <f>IF(TRIM(Table1[[#This Row],[PitStopLaps]])="",0,
LEN(Table1[[#This Row],[PitStopLaps]])-LEN(SUBSTITUTE(Table1[[#This Row],[PitStopLaps]],",",""))+1)</f>
        <v>1</v>
      </c>
      <c r="U500">
        <f>Table1[[#This Row],[StartPosition]]-Table1[[#This Row],[FinishPosition]]</f>
        <v>-3</v>
      </c>
    </row>
    <row r="501" spans="1:21" x14ac:dyDescent="0.3">
      <c r="A501">
        <v>2019</v>
      </c>
      <c r="B501">
        <v>5</v>
      </c>
      <c r="C501" t="s">
        <v>125</v>
      </c>
      <c r="D501" t="s">
        <v>246</v>
      </c>
      <c r="E501" t="s">
        <v>247</v>
      </c>
      <c r="F501" t="s">
        <v>37</v>
      </c>
      <c r="G501">
        <v>10</v>
      </c>
      <c r="H501">
        <v>20</v>
      </c>
      <c r="I501">
        <v>0</v>
      </c>
      <c r="J501" t="s">
        <v>34</v>
      </c>
      <c r="K501" t="s">
        <v>124</v>
      </c>
      <c r="L501">
        <v>45</v>
      </c>
      <c r="M501">
        <v>82.561000000000007</v>
      </c>
      <c r="N501">
        <v>84.243390000000005</v>
      </c>
      <c r="O501">
        <v>23.25</v>
      </c>
      <c r="P501">
        <v>30.856999999999999</v>
      </c>
      <c r="Q501">
        <v>28.277999999999999</v>
      </c>
      <c r="R501">
        <v>26</v>
      </c>
      <c r="S501" t="s">
        <v>83</v>
      </c>
      <c r="T501">
        <f>IF(TRIM(Table1[[#This Row],[PitStopLaps]])="",0,
LEN(Table1[[#This Row],[PitStopLaps]])-LEN(SUBSTITUTE(Table1[[#This Row],[PitStopLaps]],",",""))+1)</f>
        <v>1</v>
      </c>
      <c r="U501">
        <f>Table1[[#This Row],[StartPosition]]-Table1[[#This Row],[FinishPosition]]</f>
        <v>-10</v>
      </c>
    </row>
    <row r="502" spans="1:21" x14ac:dyDescent="0.3">
      <c r="A502">
        <v>2019</v>
      </c>
      <c r="B502">
        <v>6</v>
      </c>
      <c r="C502" t="s">
        <v>136</v>
      </c>
      <c r="D502" t="s">
        <v>26</v>
      </c>
      <c r="E502" t="s">
        <v>27</v>
      </c>
      <c r="F502" t="s">
        <v>28</v>
      </c>
      <c r="G502">
        <v>1</v>
      </c>
      <c r="H502">
        <v>1</v>
      </c>
      <c r="I502">
        <v>25</v>
      </c>
      <c r="J502" t="s">
        <v>23</v>
      </c>
      <c r="K502" t="s">
        <v>24</v>
      </c>
      <c r="L502">
        <v>78</v>
      </c>
      <c r="M502">
        <v>76.167000000000002</v>
      </c>
      <c r="N502">
        <v>77.633135999999993</v>
      </c>
      <c r="O502">
        <v>19.763000000000002</v>
      </c>
      <c r="P502">
        <v>35.823</v>
      </c>
      <c r="Q502">
        <v>20.277000000000001</v>
      </c>
      <c r="R502">
        <v>11</v>
      </c>
      <c r="S502" t="s">
        <v>25</v>
      </c>
      <c r="T502">
        <f>IF(TRIM(Table1[[#This Row],[PitStopLaps]])="",0,
LEN(Table1[[#This Row],[PitStopLaps]])-LEN(SUBSTITUTE(Table1[[#This Row],[PitStopLaps]],",",""))+1)</f>
        <v>1</v>
      </c>
      <c r="U502">
        <f>Table1[[#This Row],[StartPosition]]-Table1[[#This Row],[FinishPosition]]</f>
        <v>0</v>
      </c>
    </row>
    <row r="503" spans="1:21" x14ac:dyDescent="0.3">
      <c r="A503">
        <v>2019</v>
      </c>
      <c r="B503">
        <v>6</v>
      </c>
      <c r="C503" t="s">
        <v>136</v>
      </c>
      <c r="D503" t="s">
        <v>20</v>
      </c>
      <c r="E503" t="s">
        <v>21</v>
      </c>
      <c r="F503" t="s">
        <v>22</v>
      </c>
      <c r="G503">
        <v>4</v>
      </c>
      <c r="H503">
        <v>2</v>
      </c>
      <c r="I503">
        <v>18</v>
      </c>
      <c r="J503" t="s">
        <v>23</v>
      </c>
      <c r="K503" t="s">
        <v>24</v>
      </c>
      <c r="L503">
        <v>78</v>
      </c>
      <c r="M503">
        <v>76.277000000000001</v>
      </c>
      <c r="N503">
        <v>77.666465000000002</v>
      </c>
      <c r="O503">
        <v>19.823</v>
      </c>
      <c r="P503">
        <v>35.713999999999999</v>
      </c>
      <c r="Q503">
        <v>20.440999999999999</v>
      </c>
      <c r="R503">
        <v>11</v>
      </c>
      <c r="S503" t="s">
        <v>25</v>
      </c>
      <c r="T503">
        <f>IF(TRIM(Table1[[#This Row],[PitStopLaps]])="",0,
LEN(Table1[[#This Row],[PitStopLaps]])-LEN(SUBSTITUTE(Table1[[#This Row],[PitStopLaps]],",",""))+1)</f>
        <v>1</v>
      </c>
      <c r="U503">
        <f>Table1[[#This Row],[StartPosition]]-Table1[[#This Row],[FinishPosition]]</f>
        <v>2</v>
      </c>
    </row>
    <row r="504" spans="1:21" x14ac:dyDescent="0.3">
      <c r="A504">
        <v>2019</v>
      </c>
      <c r="B504">
        <v>6</v>
      </c>
      <c r="C504" t="s">
        <v>136</v>
      </c>
      <c r="D504" t="s">
        <v>43</v>
      </c>
      <c r="E504" t="s">
        <v>44</v>
      </c>
      <c r="F504" t="s">
        <v>28</v>
      </c>
      <c r="G504">
        <v>2</v>
      </c>
      <c r="H504">
        <v>3</v>
      </c>
      <c r="I504">
        <v>15</v>
      </c>
      <c r="J504" t="s">
        <v>23</v>
      </c>
      <c r="K504" t="s">
        <v>24</v>
      </c>
      <c r="L504">
        <v>78</v>
      </c>
      <c r="M504">
        <v>75.162999999999997</v>
      </c>
      <c r="N504">
        <v>77.651561000000001</v>
      </c>
      <c r="O504">
        <v>19.838000000000001</v>
      </c>
      <c r="P504">
        <v>35.28</v>
      </c>
      <c r="Q504">
        <v>20.045000000000002</v>
      </c>
      <c r="R504" t="s">
        <v>316</v>
      </c>
      <c r="S504" t="s">
        <v>25</v>
      </c>
      <c r="T504">
        <f>IF(TRIM(Table1[[#This Row],[PitStopLaps]])="",0,
LEN(Table1[[#This Row],[PitStopLaps]])-LEN(SUBSTITUTE(Table1[[#This Row],[PitStopLaps]],",",""))+1)</f>
        <v>2</v>
      </c>
      <c r="U504">
        <f>Table1[[#This Row],[StartPosition]]-Table1[[#This Row],[FinishPosition]]</f>
        <v>-1</v>
      </c>
    </row>
    <row r="505" spans="1:21" x14ac:dyDescent="0.3">
      <c r="A505">
        <v>2019</v>
      </c>
      <c r="B505">
        <v>6</v>
      </c>
      <c r="C505" t="s">
        <v>136</v>
      </c>
      <c r="D505" t="s">
        <v>38</v>
      </c>
      <c r="E505" t="s">
        <v>39</v>
      </c>
      <c r="F505" t="s">
        <v>33</v>
      </c>
      <c r="G505">
        <v>3</v>
      </c>
      <c r="H505">
        <v>4</v>
      </c>
      <c r="I505">
        <v>12</v>
      </c>
      <c r="J505" t="s">
        <v>34</v>
      </c>
      <c r="K505" t="s">
        <v>24</v>
      </c>
      <c r="L505">
        <v>78</v>
      </c>
      <c r="M505">
        <v>76.228999999999999</v>
      </c>
      <c r="N505">
        <v>77.642286999999996</v>
      </c>
      <c r="O505">
        <v>20.065000000000001</v>
      </c>
      <c r="P505">
        <v>35.659999999999997</v>
      </c>
      <c r="Q505">
        <v>20.332999999999998</v>
      </c>
      <c r="R505">
        <v>11</v>
      </c>
      <c r="S505" t="s">
        <v>25</v>
      </c>
      <c r="T505">
        <f>IF(TRIM(Table1[[#This Row],[PitStopLaps]])="",0,
LEN(Table1[[#This Row],[PitStopLaps]])-LEN(SUBSTITUTE(Table1[[#This Row],[PitStopLaps]],",",""))+1)</f>
        <v>1</v>
      </c>
      <c r="U505">
        <f>Table1[[#This Row],[StartPosition]]-Table1[[#This Row],[FinishPosition]]</f>
        <v>-1</v>
      </c>
    </row>
    <row r="506" spans="1:21" x14ac:dyDescent="0.3">
      <c r="A506">
        <v>2019</v>
      </c>
      <c r="B506">
        <v>6</v>
      </c>
      <c r="C506" t="s">
        <v>136</v>
      </c>
      <c r="D506" t="s">
        <v>73</v>
      </c>
      <c r="E506" t="s">
        <v>74</v>
      </c>
      <c r="F506" t="s">
        <v>33</v>
      </c>
      <c r="G506">
        <v>8</v>
      </c>
      <c r="H506">
        <v>5</v>
      </c>
      <c r="I506">
        <v>11</v>
      </c>
      <c r="J506" t="s">
        <v>34</v>
      </c>
      <c r="K506" t="s">
        <v>24</v>
      </c>
      <c r="L506">
        <v>78</v>
      </c>
      <c r="M506">
        <v>74.278999999999996</v>
      </c>
      <c r="N506">
        <v>77.515351999999993</v>
      </c>
      <c r="O506">
        <v>19.568999999999999</v>
      </c>
      <c r="P506">
        <v>34.639000000000003</v>
      </c>
      <c r="Q506">
        <v>19.914999999999999</v>
      </c>
      <c r="R506" t="s">
        <v>317</v>
      </c>
      <c r="S506" t="s">
        <v>25</v>
      </c>
      <c r="T506">
        <f>IF(TRIM(Table1[[#This Row],[PitStopLaps]])="",0,
LEN(Table1[[#This Row],[PitStopLaps]])-LEN(SUBSTITUTE(Table1[[#This Row],[PitStopLaps]],",",""))+1)</f>
        <v>2</v>
      </c>
      <c r="U506">
        <f>Table1[[#This Row],[StartPosition]]-Table1[[#This Row],[FinishPosition]]</f>
        <v>3</v>
      </c>
    </row>
    <row r="507" spans="1:21" x14ac:dyDescent="0.3">
      <c r="A507">
        <v>2019</v>
      </c>
      <c r="B507">
        <v>6</v>
      </c>
      <c r="C507" t="s">
        <v>136</v>
      </c>
      <c r="D507" t="s">
        <v>47</v>
      </c>
      <c r="E507" t="s">
        <v>48</v>
      </c>
      <c r="F507" t="s">
        <v>37</v>
      </c>
      <c r="G507">
        <v>9</v>
      </c>
      <c r="H507">
        <v>6</v>
      </c>
      <c r="I507">
        <v>8</v>
      </c>
      <c r="J507" t="s">
        <v>34</v>
      </c>
      <c r="K507" t="s">
        <v>24</v>
      </c>
      <c r="L507">
        <v>78</v>
      </c>
      <c r="M507">
        <v>75.891000000000005</v>
      </c>
      <c r="N507">
        <v>78.448241999999993</v>
      </c>
      <c r="O507">
        <v>20.073</v>
      </c>
      <c r="P507">
        <v>35.470999999999997</v>
      </c>
      <c r="Q507">
        <v>20.347000000000001</v>
      </c>
      <c r="R507">
        <v>30</v>
      </c>
      <c r="S507" t="s">
        <v>25</v>
      </c>
      <c r="T507">
        <f>IF(TRIM(Table1[[#This Row],[PitStopLaps]])="",0,
LEN(Table1[[#This Row],[PitStopLaps]])-LEN(SUBSTITUTE(Table1[[#This Row],[PitStopLaps]],",",""))+1)</f>
        <v>1</v>
      </c>
      <c r="U507">
        <f>Table1[[#This Row],[StartPosition]]-Table1[[#This Row],[FinishPosition]]</f>
        <v>3</v>
      </c>
    </row>
    <row r="508" spans="1:21" x14ac:dyDescent="0.3">
      <c r="A508">
        <v>2019</v>
      </c>
      <c r="B508">
        <v>6</v>
      </c>
      <c r="C508" t="s">
        <v>136</v>
      </c>
      <c r="D508" t="s">
        <v>244</v>
      </c>
      <c r="E508" t="s">
        <v>245</v>
      </c>
      <c r="F508" t="s">
        <v>64</v>
      </c>
      <c r="G508">
        <v>7</v>
      </c>
      <c r="H508">
        <v>7</v>
      </c>
      <c r="I508">
        <v>6</v>
      </c>
      <c r="J508" t="s">
        <v>34</v>
      </c>
      <c r="K508" t="s">
        <v>24</v>
      </c>
      <c r="L508">
        <v>78</v>
      </c>
      <c r="M508">
        <v>76.287999999999997</v>
      </c>
      <c r="N508">
        <v>78.445899999999995</v>
      </c>
      <c r="O508">
        <v>19.847000000000001</v>
      </c>
      <c r="P508">
        <v>35.884999999999998</v>
      </c>
      <c r="Q508">
        <v>20.541</v>
      </c>
      <c r="R508">
        <v>32</v>
      </c>
      <c r="S508" t="s">
        <v>25</v>
      </c>
      <c r="T508">
        <f>IF(TRIM(Table1[[#This Row],[PitStopLaps]])="",0,
LEN(Table1[[#This Row],[PitStopLaps]])-LEN(SUBSTITUTE(Table1[[#This Row],[PitStopLaps]],",",""))+1)</f>
        <v>1</v>
      </c>
      <c r="U508">
        <f>Table1[[#This Row],[StartPosition]]-Table1[[#This Row],[FinishPosition]]</f>
        <v>0</v>
      </c>
    </row>
    <row r="509" spans="1:21" x14ac:dyDescent="0.3">
      <c r="A509">
        <v>2019</v>
      </c>
      <c r="B509">
        <v>6</v>
      </c>
      <c r="C509" t="s">
        <v>136</v>
      </c>
      <c r="D509" t="s">
        <v>248</v>
      </c>
      <c r="E509" t="s">
        <v>249</v>
      </c>
      <c r="F509" t="s">
        <v>64</v>
      </c>
      <c r="G509">
        <v>10</v>
      </c>
      <c r="H509">
        <v>8</v>
      </c>
      <c r="I509">
        <v>4</v>
      </c>
      <c r="J509" t="s">
        <v>34</v>
      </c>
      <c r="K509" t="s">
        <v>24</v>
      </c>
      <c r="L509">
        <v>78</v>
      </c>
      <c r="M509">
        <v>75.606999999999999</v>
      </c>
      <c r="N509">
        <v>78.464228000000006</v>
      </c>
      <c r="O509">
        <v>20.079000000000001</v>
      </c>
      <c r="P509">
        <v>35.369999999999997</v>
      </c>
      <c r="Q509">
        <v>20.158000000000001</v>
      </c>
      <c r="R509">
        <v>40</v>
      </c>
      <c r="S509" t="s">
        <v>25</v>
      </c>
      <c r="T509">
        <f>IF(TRIM(Table1[[#This Row],[PitStopLaps]])="",0,
LEN(Table1[[#This Row],[PitStopLaps]])-LEN(SUBSTITUTE(Table1[[#This Row],[PitStopLaps]],",",""))+1)</f>
        <v>1</v>
      </c>
      <c r="U509">
        <f>Table1[[#This Row],[StartPosition]]-Table1[[#This Row],[FinishPosition]]</f>
        <v>2</v>
      </c>
    </row>
    <row r="510" spans="1:21" x14ac:dyDescent="0.3">
      <c r="A510">
        <v>2019</v>
      </c>
      <c r="B510">
        <v>6</v>
      </c>
      <c r="C510" t="s">
        <v>136</v>
      </c>
      <c r="D510" t="s">
        <v>31</v>
      </c>
      <c r="E510" t="s">
        <v>32</v>
      </c>
      <c r="F510" t="s">
        <v>42</v>
      </c>
      <c r="G510">
        <v>6</v>
      </c>
      <c r="H510">
        <v>9</v>
      </c>
      <c r="I510">
        <v>2</v>
      </c>
      <c r="J510" t="s">
        <v>34</v>
      </c>
      <c r="K510" t="s">
        <v>24</v>
      </c>
      <c r="L510">
        <v>78</v>
      </c>
      <c r="M510">
        <v>75.697000000000003</v>
      </c>
      <c r="N510">
        <v>78.704026999999996</v>
      </c>
      <c r="O510">
        <v>19.774000000000001</v>
      </c>
      <c r="P510">
        <v>35.581000000000003</v>
      </c>
      <c r="Q510">
        <v>20.193000000000001</v>
      </c>
      <c r="R510">
        <v>11</v>
      </c>
      <c r="S510" t="s">
        <v>25</v>
      </c>
      <c r="T510">
        <f>IF(TRIM(Table1[[#This Row],[PitStopLaps]])="",0,
LEN(Table1[[#This Row],[PitStopLaps]])-LEN(SUBSTITUTE(Table1[[#This Row],[PitStopLaps]],",",""))+1)</f>
        <v>1</v>
      </c>
      <c r="U510">
        <f>Table1[[#This Row],[StartPosition]]-Table1[[#This Row],[FinishPosition]]</f>
        <v>-3</v>
      </c>
    </row>
    <row r="511" spans="1:21" x14ac:dyDescent="0.3">
      <c r="A511">
        <v>2019</v>
      </c>
      <c r="B511">
        <v>6</v>
      </c>
      <c r="C511" t="s">
        <v>136</v>
      </c>
      <c r="D511" t="s">
        <v>67</v>
      </c>
      <c r="E511" t="s">
        <v>68</v>
      </c>
      <c r="F511" t="s">
        <v>69</v>
      </c>
      <c r="G511">
        <v>13</v>
      </c>
      <c r="H511">
        <v>10</v>
      </c>
      <c r="I511">
        <v>1</v>
      </c>
      <c r="J511" t="s">
        <v>34</v>
      </c>
      <c r="K511" t="s">
        <v>24</v>
      </c>
      <c r="L511">
        <v>78</v>
      </c>
      <c r="M511">
        <v>76.745999999999995</v>
      </c>
      <c r="N511">
        <v>78.451757000000001</v>
      </c>
      <c r="O511">
        <v>20.042000000000002</v>
      </c>
      <c r="P511">
        <v>35.9</v>
      </c>
      <c r="Q511">
        <v>20.515999999999998</v>
      </c>
      <c r="R511">
        <v>50</v>
      </c>
      <c r="S511" t="s">
        <v>25</v>
      </c>
      <c r="T511">
        <f>IF(TRIM(Table1[[#This Row],[PitStopLaps]])="",0,
LEN(Table1[[#This Row],[PitStopLaps]])-LEN(SUBSTITUTE(Table1[[#This Row],[PitStopLaps]],",",""))+1)</f>
        <v>1</v>
      </c>
      <c r="U511">
        <f>Table1[[#This Row],[StartPosition]]-Table1[[#This Row],[FinishPosition]]</f>
        <v>3</v>
      </c>
    </row>
    <row r="512" spans="1:21" x14ac:dyDescent="0.3">
      <c r="A512">
        <v>2019</v>
      </c>
      <c r="B512">
        <v>6</v>
      </c>
      <c r="C512" t="s">
        <v>136</v>
      </c>
      <c r="D512" t="s">
        <v>246</v>
      </c>
      <c r="E512" t="s">
        <v>247</v>
      </c>
      <c r="F512" t="s">
        <v>37</v>
      </c>
      <c r="G512">
        <v>12</v>
      </c>
      <c r="H512">
        <v>11</v>
      </c>
      <c r="I512">
        <v>0</v>
      </c>
      <c r="J512" t="s">
        <v>34</v>
      </c>
      <c r="K512" t="s">
        <v>24</v>
      </c>
      <c r="L512">
        <v>78</v>
      </c>
      <c r="M512">
        <v>76.412999999999997</v>
      </c>
      <c r="N512">
        <v>78.688699999999997</v>
      </c>
      <c r="O512">
        <v>19.971</v>
      </c>
      <c r="P512">
        <v>35.826000000000001</v>
      </c>
      <c r="Q512">
        <v>20.463999999999999</v>
      </c>
      <c r="R512">
        <v>47</v>
      </c>
      <c r="S512" t="s">
        <v>25</v>
      </c>
      <c r="T512">
        <f>IF(TRIM(Table1[[#This Row],[PitStopLaps]])="",0,
LEN(Table1[[#This Row],[PitStopLaps]])-LEN(SUBSTITUTE(Table1[[#This Row],[PitStopLaps]],",",""))+1)</f>
        <v>1</v>
      </c>
      <c r="U512">
        <f>Table1[[#This Row],[StartPosition]]-Table1[[#This Row],[FinishPosition]]</f>
        <v>1</v>
      </c>
    </row>
    <row r="513" spans="1:21" x14ac:dyDescent="0.3">
      <c r="A513">
        <v>2019</v>
      </c>
      <c r="B513">
        <v>6</v>
      </c>
      <c r="C513" t="s">
        <v>136</v>
      </c>
      <c r="D513" t="s">
        <v>49</v>
      </c>
      <c r="E513" t="s">
        <v>50</v>
      </c>
      <c r="F513" t="s">
        <v>192</v>
      </c>
      <c r="G513">
        <v>16</v>
      </c>
      <c r="H513">
        <v>12</v>
      </c>
      <c r="I513">
        <v>0</v>
      </c>
      <c r="J513" t="s">
        <v>34</v>
      </c>
      <c r="K513" t="s">
        <v>65</v>
      </c>
      <c r="L513">
        <v>77</v>
      </c>
      <c r="M513">
        <v>76.613</v>
      </c>
      <c r="N513">
        <v>79.154308999999998</v>
      </c>
      <c r="O513">
        <v>20.001999999999999</v>
      </c>
      <c r="P513">
        <v>35.831000000000003</v>
      </c>
      <c r="Q513">
        <v>20.565999999999999</v>
      </c>
      <c r="R513">
        <v>11</v>
      </c>
      <c r="S513" t="s">
        <v>25</v>
      </c>
      <c r="T513">
        <f>IF(TRIM(Table1[[#This Row],[PitStopLaps]])="",0,
LEN(Table1[[#This Row],[PitStopLaps]])-LEN(SUBSTITUTE(Table1[[#This Row],[PitStopLaps]],",",""))+1)</f>
        <v>1</v>
      </c>
      <c r="U513">
        <f>Table1[[#This Row],[StartPosition]]-Table1[[#This Row],[FinishPosition]]</f>
        <v>4</v>
      </c>
    </row>
    <row r="514" spans="1:21" x14ac:dyDescent="0.3">
      <c r="A514">
        <v>2019</v>
      </c>
      <c r="B514">
        <v>6</v>
      </c>
      <c r="C514" t="s">
        <v>136</v>
      </c>
      <c r="D514" t="s">
        <v>40</v>
      </c>
      <c r="E514" t="s">
        <v>41</v>
      </c>
      <c r="F514" t="s">
        <v>42</v>
      </c>
      <c r="G514">
        <v>11</v>
      </c>
      <c r="H514">
        <v>13</v>
      </c>
      <c r="I514">
        <v>0</v>
      </c>
      <c r="J514" t="s">
        <v>34</v>
      </c>
      <c r="K514" t="s">
        <v>65</v>
      </c>
      <c r="L514">
        <v>77</v>
      </c>
      <c r="M514">
        <v>76.275999999999996</v>
      </c>
      <c r="N514">
        <v>79.082414</v>
      </c>
      <c r="O514">
        <v>19.984999999999999</v>
      </c>
      <c r="P514">
        <v>35.673000000000002</v>
      </c>
      <c r="Q514">
        <v>20.346</v>
      </c>
      <c r="R514">
        <v>9</v>
      </c>
      <c r="S514" t="s">
        <v>25</v>
      </c>
      <c r="T514">
        <f>IF(TRIM(Table1[[#This Row],[PitStopLaps]])="",0,
LEN(Table1[[#This Row],[PitStopLaps]])-LEN(SUBSTITUTE(Table1[[#This Row],[PitStopLaps]],",",""))+1)</f>
        <v>1</v>
      </c>
      <c r="U514">
        <f>Table1[[#This Row],[StartPosition]]-Table1[[#This Row],[FinishPosition]]</f>
        <v>-2</v>
      </c>
    </row>
    <row r="515" spans="1:21" x14ac:dyDescent="0.3">
      <c r="A515">
        <v>2019</v>
      </c>
      <c r="B515">
        <v>6</v>
      </c>
      <c r="C515" t="s">
        <v>136</v>
      </c>
      <c r="D515" t="s">
        <v>71</v>
      </c>
      <c r="E515" t="s">
        <v>72</v>
      </c>
      <c r="F515" t="s">
        <v>69</v>
      </c>
      <c r="G515">
        <v>5</v>
      </c>
      <c r="H515">
        <v>14</v>
      </c>
      <c r="I515">
        <v>0</v>
      </c>
      <c r="J515" t="s">
        <v>34</v>
      </c>
      <c r="K515" t="s">
        <v>65</v>
      </c>
      <c r="L515">
        <v>77</v>
      </c>
      <c r="M515">
        <v>76.992000000000004</v>
      </c>
      <c r="N515">
        <v>79.060153999999997</v>
      </c>
      <c r="O515">
        <v>20.114000000000001</v>
      </c>
      <c r="P515">
        <v>36.265000000000001</v>
      </c>
      <c r="Q515">
        <v>20.486000000000001</v>
      </c>
      <c r="R515">
        <v>11</v>
      </c>
      <c r="S515" t="s">
        <v>25</v>
      </c>
      <c r="T515">
        <f>IF(TRIM(Table1[[#This Row],[PitStopLaps]])="",0,
LEN(Table1[[#This Row],[PitStopLaps]])-LEN(SUBSTITUTE(Table1[[#This Row],[PitStopLaps]],",",""))+1)</f>
        <v>1</v>
      </c>
      <c r="U515">
        <f>Table1[[#This Row],[StartPosition]]-Table1[[#This Row],[FinishPosition]]</f>
        <v>-9</v>
      </c>
    </row>
    <row r="516" spans="1:21" x14ac:dyDescent="0.3">
      <c r="A516">
        <v>2019</v>
      </c>
      <c r="B516">
        <v>6</v>
      </c>
      <c r="C516" t="s">
        <v>136</v>
      </c>
      <c r="D516" t="s">
        <v>252</v>
      </c>
      <c r="E516" t="s">
        <v>253</v>
      </c>
      <c r="F516" t="s">
        <v>60</v>
      </c>
      <c r="G516">
        <v>19</v>
      </c>
      <c r="H516">
        <v>15</v>
      </c>
      <c r="I516">
        <v>0</v>
      </c>
      <c r="J516" t="s">
        <v>34</v>
      </c>
      <c r="K516" t="s">
        <v>65</v>
      </c>
      <c r="L516">
        <v>77</v>
      </c>
      <c r="M516">
        <v>77.037999999999997</v>
      </c>
      <c r="N516">
        <v>79.389787999999996</v>
      </c>
      <c r="O516">
        <v>20.02</v>
      </c>
      <c r="P516">
        <v>36.134</v>
      </c>
      <c r="Q516">
        <v>20.765000000000001</v>
      </c>
      <c r="R516">
        <v>10</v>
      </c>
      <c r="S516" t="s">
        <v>25</v>
      </c>
      <c r="T516">
        <f>IF(TRIM(Table1[[#This Row],[PitStopLaps]])="",0,
LEN(Table1[[#This Row],[PitStopLaps]])-LEN(SUBSTITUTE(Table1[[#This Row],[PitStopLaps]],",",""))+1)</f>
        <v>1</v>
      </c>
      <c r="U516">
        <f>Table1[[#This Row],[StartPosition]]-Table1[[#This Row],[FinishPosition]]</f>
        <v>4</v>
      </c>
    </row>
    <row r="517" spans="1:21" x14ac:dyDescent="0.3">
      <c r="A517">
        <v>2019</v>
      </c>
      <c r="B517">
        <v>6</v>
      </c>
      <c r="C517" t="s">
        <v>136</v>
      </c>
      <c r="D517" t="s">
        <v>58</v>
      </c>
      <c r="E517" t="s">
        <v>59</v>
      </c>
      <c r="F517" t="s">
        <v>192</v>
      </c>
      <c r="G517">
        <v>17</v>
      </c>
      <c r="H517">
        <v>16</v>
      </c>
      <c r="I517">
        <v>0</v>
      </c>
      <c r="J517" t="s">
        <v>34</v>
      </c>
      <c r="K517" t="s">
        <v>65</v>
      </c>
      <c r="L517">
        <v>77</v>
      </c>
      <c r="M517">
        <v>76.379000000000005</v>
      </c>
      <c r="N517">
        <v>79.308942000000002</v>
      </c>
      <c r="O517">
        <v>20.02</v>
      </c>
      <c r="P517">
        <v>35.597000000000001</v>
      </c>
      <c r="Q517">
        <v>20.652999999999999</v>
      </c>
      <c r="R517">
        <v>39</v>
      </c>
      <c r="S517" t="s">
        <v>25</v>
      </c>
      <c r="T517">
        <f>IF(TRIM(Table1[[#This Row],[PitStopLaps]])="",0,
LEN(Table1[[#This Row],[PitStopLaps]])-LEN(SUBSTITUTE(Table1[[#This Row],[PitStopLaps]],",",""))+1)</f>
        <v>1</v>
      </c>
      <c r="U517">
        <f>Table1[[#This Row],[StartPosition]]-Table1[[#This Row],[FinishPosition]]</f>
        <v>1</v>
      </c>
    </row>
    <row r="518" spans="1:21" x14ac:dyDescent="0.3">
      <c r="A518">
        <v>2019</v>
      </c>
      <c r="B518">
        <v>6</v>
      </c>
      <c r="C518" t="s">
        <v>136</v>
      </c>
      <c r="D518" t="s">
        <v>29</v>
      </c>
      <c r="E518" t="s">
        <v>30</v>
      </c>
      <c r="F518" t="s">
        <v>243</v>
      </c>
      <c r="G518">
        <v>14</v>
      </c>
      <c r="H518">
        <v>17</v>
      </c>
      <c r="I518">
        <v>0</v>
      </c>
      <c r="J518" t="s">
        <v>34</v>
      </c>
      <c r="K518" t="s">
        <v>65</v>
      </c>
      <c r="L518">
        <v>77</v>
      </c>
      <c r="M518">
        <v>76.436000000000007</v>
      </c>
      <c r="N518">
        <v>79.382159000000001</v>
      </c>
      <c r="O518">
        <v>20.193999999999999</v>
      </c>
      <c r="P518">
        <v>35.838000000000001</v>
      </c>
      <c r="Q518">
        <v>20.404</v>
      </c>
      <c r="R518">
        <v>46</v>
      </c>
      <c r="S518" t="s">
        <v>25</v>
      </c>
      <c r="T518">
        <f>IF(TRIM(Table1[[#This Row],[PitStopLaps]])="",0,
LEN(Table1[[#This Row],[PitStopLaps]])-LEN(SUBSTITUTE(Table1[[#This Row],[PitStopLaps]],",",""))+1)</f>
        <v>1</v>
      </c>
      <c r="U518">
        <f>Table1[[#This Row],[StartPosition]]-Table1[[#This Row],[FinishPosition]]</f>
        <v>-3</v>
      </c>
    </row>
    <row r="519" spans="1:21" x14ac:dyDescent="0.3">
      <c r="A519">
        <v>2019</v>
      </c>
      <c r="B519">
        <v>6</v>
      </c>
      <c r="C519" t="s">
        <v>136</v>
      </c>
      <c r="D519" t="s">
        <v>255</v>
      </c>
      <c r="E519" t="s">
        <v>256</v>
      </c>
      <c r="F519" t="s">
        <v>60</v>
      </c>
      <c r="G519">
        <v>20</v>
      </c>
      <c r="H519">
        <v>18</v>
      </c>
      <c r="I519">
        <v>0</v>
      </c>
      <c r="J519" t="s">
        <v>34</v>
      </c>
      <c r="K519" t="s">
        <v>65</v>
      </c>
      <c r="L519">
        <v>77</v>
      </c>
      <c r="M519">
        <v>77.388000000000005</v>
      </c>
      <c r="N519">
        <v>79.861304000000004</v>
      </c>
      <c r="O519">
        <v>20.384</v>
      </c>
      <c r="P519">
        <v>36.128</v>
      </c>
      <c r="Q519">
        <v>20.792999999999999</v>
      </c>
      <c r="R519">
        <v>21</v>
      </c>
      <c r="S519" t="s">
        <v>25</v>
      </c>
      <c r="T519">
        <f>IF(TRIM(Table1[[#This Row],[PitStopLaps]])="",0,
LEN(Table1[[#This Row],[PitStopLaps]])-LEN(SUBSTITUTE(Table1[[#This Row],[PitStopLaps]],",",""))+1)</f>
        <v>1</v>
      </c>
      <c r="U519">
        <f>Table1[[#This Row],[StartPosition]]-Table1[[#This Row],[FinishPosition]]</f>
        <v>2</v>
      </c>
    </row>
    <row r="520" spans="1:21" x14ac:dyDescent="0.3">
      <c r="A520">
        <v>2019</v>
      </c>
      <c r="B520">
        <v>6</v>
      </c>
      <c r="C520" t="s">
        <v>136</v>
      </c>
      <c r="D520" t="s">
        <v>250</v>
      </c>
      <c r="E520" t="s">
        <v>251</v>
      </c>
      <c r="F520" t="s">
        <v>243</v>
      </c>
      <c r="G520">
        <v>18</v>
      </c>
      <c r="H520">
        <v>19</v>
      </c>
      <c r="I520">
        <v>0</v>
      </c>
      <c r="J520" t="s">
        <v>34</v>
      </c>
      <c r="K520" t="s">
        <v>127</v>
      </c>
      <c r="L520">
        <v>76</v>
      </c>
      <c r="M520">
        <v>76.299000000000007</v>
      </c>
      <c r="N520">
        <v>79.817132000000001</v>
      </c>
      <c r="O520">
        <v>20.215</v>
      </c>
      <c r="P520">
        <v>35.555999999999997</v>
      </c>
      <c r="Q520">
        <v>20.527999999999999</v>
      </c>
      <c r="R520">
        <v>44</v>
      </c>
      <c r="S520" t="s">
        <v>25</v>
      </c>
      <c r="T520">
        <f>IF(TRIM(Table1[[#This Row],[PitStopLaps]])="",0,
LEN(Table1[[#This Row],[PitStopLaps]])-LEN(SUBSTITUTE(Table1[[#This Row],[PitStopLaps]],",",""))+1)</f>
        <v>1</v>
      </c>
      <c r="U520">
        <f>Table1[[#This Row],[StartPosition]]-Table1[[#This Row],[FinishPosition]]</f>
        <v>-1</v>
      </c>
    </row>
    <row r="521" spans="1:21" x14ac:dyDescent="0.3">
      <c r="A521">
        <v>2019</v>
      </c>
      <c r="B521">
        <v>6</v>
      </c>
      <c r="C521" t="s">
        <v>136</v>
      </c>
      <c r="D521" t="s">
        <v>54</v>
      </c>
      <c r="E521" t="s">
        <v>55</v>
      </c>
      <c r="F521" t="s">
        <v>22</v>
      </c>
      <c r="G521">
        <v>15</v>
      </c>
      <c r="H521">
        <v>20</v>
      </c>
      <c r="I521">
        <v>0</v>
      </c>
      <c r="J521" t="s">
        <v>34</v>
      </c>
      <c r="K521" t="s">
        <v>124</v>
      </c>
      <c r="L521">
        <v>17</v>
      </c>
      <c r="M521">
        <v>79.150999999999996</v>
      </c>
      <c r="N521">
        <v>82.850125000000006</v>
      </c>
      <c r="O521">
        <v>20.565000000000001</v>
      </c>
      <c r="P521">
        <v>36.932000000000002</v>
      </c>
      <c r="Q521">
        <v>21.175000000000001</v>
      </c>
      <c r="R521" t="s">
        <v>318</v>
      </c>
      <c r="S521" t="s">
        <v>25</v>
      </c>
      <c r="T521">
        <f>IF(TRIM(Table1[[#This Row],[PitStopLaps]])="",0,
LEN(Table1[[#This Row],[PitStopLaps]])-LEN(SUBSTITUTE(Table1[[#This Row],[PitStopLaps]],",",""))+1)</f>
        <v>3</v>
      </c>
      <c r="U521">
        <f>Table1[[#This Row],[StartPosition]]-Table1[[#This Row],[FinishPosition]]</f>
        <v>-5</v>
      </c>
    </row>
    <row r="522" spans="1:21" x14ac:dyDescent="0.3">
      <c r="A522">
        <v>2019</v>
      </c>
      <c r="B522">
        <v>7</v>
      </c>
      <c r="C522" t="s">
        <v>142</v>
      </c>
      <c r="D522" t="s">
        <v>26</v>
      </c>
      <c r="E522" t="s">
        <v>27</v>
      </c>
      <c r="F522" t="s">
        <v>28</v>
      </c>
      <c r="G522">
        <v>2</v>
      </c>
      <c r="H522">
        <v>1</v>
      </c>
      <c r="I522">
        <v>25</v>
      </c>
      <c r="J522" t="s">
        <v>23</v>
      </c>
      <c r="K522" t="s">
        <v>24</v>
      </c>
      <c r="L522">
        <v>70</v>
      </c>
      <c r="M522">
        <v>74.813000000000002</v>
      </c>
      <c r="N522">
        <v>76.016238000000001</v>
      </c>
      <c r="O522">
        <v>20.652000000000001</v>
      </c>
      <c r="P522">
        <v>23.747</v>
      </c>
      <c r="Q522">
        <v>29.986000000000001</v>
      </c>
      <c r="R522">
        <v>28</v>
      </c>
      <c r="S522" t="s">
        <v>83</v>
      </c>
      <c r="T522">
        <f>IF(TRIM(Table1[[#This Row],[PitStopLaps]])="",0,
LEN(Table1[[#This Row],[PitStopLaps]])-LEN(SUBSTITUTE(Table1[[#This Row],[PitStopLaps]],",",""))+1)</f>
        <v>1</v>
      </c>
      <c r="U522">
        <f>Table1[[#This Row],[StartPosition]]-Table1[[#This Row],[FinishPosition]]</f>
        <v>1</v>
      </c>
    </row>
    <row r="523" spans="1:21" x14ac:dyDescent="0.3">
      <c r="A523">
        <v>2019</v>
      </c>
      <c r="B523">
        <v>7</v>
      </c>
      <c r="C523" t="s">
        <v>142</v>
      </c>
      <c r="D523" t="s">
        <v>20</v>
      </c>
      <c r="E523" t="s">
        <v>21</v>
      </c>
      <c r="F523" t="s">
        <v>22</v>
      </c>
      <c r="G523">
        <v>1</v>
      </c>
      <c r="H523">
        <v>2</v>
      </c>
      <c r="I523">
        <v>18</v>
      </c>
      <c r="J523" t="s">
        <v>23</v>
      </c>
      <c r="K523" t="s">
        <v>24</v>
      </c>
      <c r="L523">
        <v>70</v>
      </c>
      <c r="M523">
        <v>74.875</v>
      </c>
      <c r="N523">
        <v>76.012253000000001</v>
      </c>
      <c r="O523">
        <v>20.75</v>
      </c>
      <c r="P523">
        <v>23.84</v>
      </c>
      <c r="Q523">
        <v>29.885000000000002</v>
      </c>
      <c r="R523">
        <v>26</v>
      </c>
      <c r="S523" t="s">
        <v>83</v>
      </c>
      <c r="T523">
        <f>IF(TRIM(Table1[[#This Row],[PitStopLaps]])="",0,
LEN(Table1[[#This Row],[PitStopLaps]])-LEN(SUBSTITUTE(Table1[[#This Row],[PitStopLaps]],",",""))+1)</f>
        <v>1</v>
      </c>
      <c r="U523">
        <f>Table1[[#This Row],[StartPosition]]-Table1[[#This Row],[FinishPosition]]</f>
        <v>-1</v>
      </c>
    </row>
    <row r="524" spans="1:21" x14ac:dyDescent="0.3">
      <c r="A524">
        <v>2019</v>
      </c>
      <c r="B524">
        <v>7</v>
      </c>
      <c r="C524" t="s">
        <v>142</v>
      </c>
      <c r="D524" t="s">
        <v>54</v>
      </c>
      <c r="E524" t="s">
        <v>55</v>
      </c>
      <c r="F524" t="s">
        <v>22</v>
      </c>
      <c r="G524">
        <v>3</v>
      </c>
      <c r="H524">
        <v>3</v>
      </c>
      <c r="I524">
        <v>15</v>
      </c>
      <c r="J524" t="s">
        <v>23</v>
      </c>
      <c r="K524" t="s">
        <v>24</v>
      </c>
      <c r="L524">
        <v>70</v>
      </c>
      <c r="M524">
        <v>74.355999999999995</v>
      </c>
      <c r="N524">
        <v>76.045401999999996</v>
      </c>
      <c r="O524">
        <v>20.635999999999999</v>
      </c>
      <c r="P524">
        <v>23.739000000000001</v>
      </c>
      <c r="Q524">
        <v>29.821000000000002</v>
      </c>
      <c r="R524">
        <v>33</v>
      </c>
      <c r="S524" t="s">
        <v>83</v>
      </c>
      <c r="T524">
        <f>IF(TRIM(Table1[[#This Row],[PitStopLaps]])="",0,
LEN(Table1[[#This Row],[PitStopLaps]])-LEN(SUBSTITUTE(Table1[[#This Row],[PitStopLaps]],",",""))+1)</f>
        <v>1</v>
      </c>
      <c r="U524">
        <f>Table1[[#This Row],[StartPosition]]-Table1[[#This Row],[FinishPosition]]</f>
        <v>0</v>
      </c>
    </row>
    <row r="525" spans="1:21" x14ac:dyDescent="0.3">
      <c r="A525">
        <v>2019</v>
      </c>
      <c r="B525">
        <v>7</v>
      </c>
      <c r="C525" t="s">
        <v>142</v>
      </c>
      <c r="D525" t="s">
        <v>43</v>
      </c>
      <c r="E525" t="s">
        <v>44</v>
      </c>
      <c r="F525" t="s">
        <v>28</v>
      </c>
      <c r="G525">
        <v>6</v>
      </c>
      <c r="H525">
        <v>4</v>
      </c>
      <c r="I525">
        <v>13</v>
      </c>
      <c r="J525" t="s">
        <v>34</v>
      </c>
      <c r="K525" t="s">
        <v>24</v>
      </c>
      <c r="L525">
        <v>70</v>
      </c>
      <c r="M525">
        <v>73.078000000000003</v>
      </c>
      <c r="N525">
        <v>76.453829999999996</v>
      </c>
      <c r="O525">
        <v>20.032</v>
      </c>
      <c r="P525">
        <v>23.276</v>
      </c>
      <c r="Q525">
        <v>29.77</v>
      </c>
      <c r="R525" t="s">
        <v>319</v>
      </c>
      <c r="S525" t="s">
        <v>83</v>
      </c>
      <c r="T525">
        <f>IF(TRIM(Table1[[#This Row],[PitStopLaps]])="",0,
LEN(Table1[[#This Row],[PitStopLaps]])-LEN(SUBSTITUTE(Table1[[#This Row],[PitStopLaps]],",",""))+1)</f>
        <v>2</v>
      </c>
      <c r="U525">
        <f>Table1[[#This Row],[StartPosition]]-Table1[[#This Row],[FinishPosition]]</f>
        <v>2</v>
      </c>
    </row>
    <row r="526" spans="1:21" x14ac:dyDescent="0.3">
      <c r="A526">
        <v>2019</v>
      </c>
      <c r="B526">
        <v>7</v>
      </c>
      <c r="C526" t="s">
        <v>142</v>
      </c>
      <c r="D526" t="s">
        <v>38</v>
      </c>
      <c r="E526" t="s">
        <v>39</v>
      </c>
      <c r="F526" t="s">
        <v>33</v>
      </c>
      <c r="G526">
        <v>9</v>
      </c>
      <c r="H526">
        <v>5</v>
      </c>
      <c r="I526">
        <v>10</v>
      </c>
      <c r="J526" t="s">
        <v>34</v>
      </c>
      <c r="K526" t="s">
        <v>24</v>
      </c>
      <c r="L526">
        <v>70</v>
      </c>
      <c r="M526">
        <v>74.766999999999996</v>
      </c>
      <c r="N526">
        <v>76.787164000000004</v>
      </c>
      <c r="O526">
        <v>20.661999999999999</v>
      </c>
      <c r="P526">
        <v>23.846</v>
      </c>
      <c r="Q526">
        <v>29.972000000000001</v>
      </c>
      <c r="R526">
        <v>48</v>
      </c>
      <c r="S526" t="s">
        <v>83</v>
      </c>
      <c r="T526">
        <f>IF(TRIM(Table1[[#This Row],[PitStopLaps]])="",0,
LEN(Table1[[#This Row],[PitStopLaps]])-LEN(SUBSTITUTE(Table1[[#This Row],[PitStopLaps]],",",""))+1)</f>
        <v>1</v>
      </c>
      <c r="U526">
        <f>Table1[[#This Row],[StartPosition]]-Table1[[#This Row],[FinishPosition]]</f>
        <v>4</v>
      </c>
    </row>
    <row r="527" spans="1:21" x14ac:dyDescent="0.3">
      <c r="A527">
        <v>2019</v>
      </c>
      <c r="B527">
        <v>7</v>
      </c>
      <c r="C527" t="s">
        <v>142</v>
      </c>
      <c r="D527" t="s">
        <v>31</v>
      </c>
      <c r="E527" t="s">
        <v>32</v>
      </c>
      <c r="F527" t="s">
        <v>42</v>
      </c>
      <c r="G527">
        <v>4</v>
      </c>
      <c r="H527">
        <v>6</v>
      </c>
      <c r="I527">
        <v>8</v>
      </c>
      <c r="J527" t="s">
        <v>34</v>
      </c>
      <c r="K527" t="s">
        <v>65</v>
      </c>
      <c r="L527">
        <v>69</v>
      </c>
      <c r="M527">
        <v>76.075000000000003</v>
      </c>
      <c r="N527">
        <v>77.148786999999999</v>
      </c>
      <c r="O527">
        <v>21.106999999999999</v>
      </c>
      <c r="P527">
        <v>24.26</v>
      </c>
      <c r="Q527">
        <v>30.550999999999998</v>
      </c>
      <c r="R527">
        <v>8</v>
      </c>
      <c r="S527" t="s">
        <v>83</v>
      </c>
      <c r="T527">
        <f>IF(TRIM(Table1[[#This Row],[PitStopLaps]])="",0,
LEN(Table1[[#This Row],[PitStopLaps]])-LEN(SUBSTITUTE(Table1[[#This Row],[PitStopLaps]],",",""))+1)</f>
        <v>1</v>
      </c>
      <c r="U527">
        <f>Table1[[#This Row],[StartPosition]]-Table1[[#This Row],[FinishPosition]]</f>
        <v>-2</v>
      </c>
    </row>
    <row r="528" spans="1:21" x14ac:dyDescent="0.3">
      <c r="A528">
        <v>2019</v>
      </c>
      <c r="B528">
        <v>7</v>
      </c>
      <c r="C528" t="s">
        <v>142</v>
      </c>
      <c r="D528" t="s">
        <v>40</v>
      </c>
      <c r="E528" t="s">
        <v>41</v>
      </c>
      <c r="F528" t="s">
        <v>42</v>
      </c>
      <c r="G528">
        <v>7</v>
      </c>
      <c r="H528">
        <v>7</v>
      </c>
      <c r="I528">
        <v>6</v>
      </c>
      <c r="J528" t="s">
        <v>34</v>
      </c>
      <c r="K528" t="s">
        <v>65</v>
      </c>
      <c r="L528">
        <v>69</v>
      </c>
      <c r="M528">
        <v>75.995000000000005</v>
      </c>
      <c r="N528">
        <v>77.136166000000003</v>
      </c>
      <c r="O528">
        <v>21.123999999999999</v>
      </c>
      <c r="P528">
        <v>24.184999999999999</v>
      </c>
      <c r="Q528">
        <v>30.547999999999998</v>
      </c>
      <c r="R528">
        <v>16</v>
      </c>
      <c r="S528" t="s">
        <v>83</v>
      </c>
      <c r="T528">
        <f>IF(TRIM(Table1[[#This Row],[PitStopLaps]])="",0,
LEN(Table1[[#This Row],[PitStopLaps]])-LEN(SUBSTITUTE(Table1[[#This Row],[PitStopLaps]],",",""))+1)</f>
        <v>1</v>
      </c>
      <c r="U528">
        <f>Table1[[#This Row],[StartPosition]]-Table1[[#This Row],[FinishPosition]]</f>
        <v>0</v>
      </c>
    </row>
    <row r="529" spans="1:21" x14ac:dyDescent="0.3">
      <c r="A529">
        <v>2019</v>
      </c>
      <c r="B529">
        <v>7</v>
      </c>
      <c r="C529" t="s">
        <v>142</v>
      </c>
      <c r="D529" t="s">
        <v>73</v>
      </c>
      <c r="E529" t="s">
        <v>74</v>
      </c>
      <c r="F529" t="s">
        <v>33</v>
      </c>
      <c r="G529">
        <v>5</v>
      </c>
      <c r="H529">
        <v>8</v>
      </c>
      <c r="I529">
        <v>4</v>
      </c>
      <c r="J529" t="s">
        <v>34</v>
      </c>
      <c r="K529" t="s">
        <v>65</v>
      </c>
      <c r="L529">
        <v>69</v>
      </c>
      <c r="M529">
        <v>76.156999999999996</v>
      </c>
      <c r="N529">
        <v>77.296059999999997</v>
      </c>
      <c r="O529">
        <v>21.097999999999999</v>
      </c>
      <c r="P529">
        <v>24.193000000000001</v>
      </c>
      <c r="Q529">
        <v>30.55</v>
      </c>
      <c r="R529">
        <v>7</v>
      </c>
      <c r="S529" t="s">
        <v>83</v>
      </c>
      <c r="T529">
        <f>IF(TRIM(Table1[[#This Row],[PitStopLaps]])="",0,
LEN(Table1[[#This Row],[PitStopLaps]])-LEN(SUBSTITUTE(Table1[[#This Row],[PitStopLaps]],",",""))+1)</f>
        <v>1</v>
      </c>
      <c r="U529">
        <f>Table1[[#This Row],[StartPosition]]-Table1[[#This Row],[FinishPosition]]</f>
        <v>-3</v>
      </c>
    </row>
    <row r="530" spans="1:21" x14ac:dyDescent="0.3">
      <c r="A530">
        <v>2019</v>
      </c>
      <c r="B530">
        <v>7</v>
      </c>
      <c r="C530" t="s">
        <v>142</v>
      </c>
      <c r="D530" t="s">
        <v>58</v>
      </c>
      <c r="E530" t="s">
        <v>59</v>
      </c>
      <c r="F530" t="s">
        <v>192</v>
      </c>
      <c r="G530">
        <v>17</v>
      </c>
      <c r="H530">
        <v>9</v>
      </c>
      <c r="I530">
        <v>2</v>
      </c>
      <c r="J530" t="s">
        <v>34</v>
      </c>
      <c r="K530" t="s">
        <v>65</v>
      </c>
      <c r="L530">
        <v>69</v>
      </c>
      <c r="M530">
        <v>76.043000000000006</v>
      </c>
      <c r="N530">
        <v>77.506484</v>
      </c>
      <c r="O530">
        <v>20.995000000000001</v>
      </c>
      <c r="P530">
        <v>24.327000000000002</v>
      </c>
      <c r="Q530">
        <v>30.591999999999999</v>
      </c>
      <c r="R530">
        <v>45</v>
      </c>
      <c r="S530" t="s">
        <v>83</v>
      </c>
      <c r="T530">
        <f>IF(TRIM(Table1[[#This Row],[PitStopLaps]])="",0,
LEN(Table1[[#This Row],[PitStopLaps]])-LEN(SUBSTITUTE(Table1[[#This Row],[PitStopLaps]],",",""))+1)</f>
        <v>1</v>
      </c>
      <c r="U530">
        <f>Table1[[#This Row],[StartPosition]]-Table1[[#This Row],[FinishPosition]]</f>
        <v>8</v>
      </c>
    </row>
    <row r="531" spans="1:21" x14ac:dyDescent="0.3">
      <c r="A531">
        <v>2019</v>
      </c>
      <c r="B531">
        <v>7</v>
      </c>
      <c r="C531" t="s">
        <v>142</v>
      </c>
      <c r="D531" t="s">
        <v>244</v>
      </c>
      <c r="E531" t="s">
        <v>245</v>
      </c>
      <c r="F531" t="s">
        <v>64</v>
      </c>
      <c r="G531">
        <v>10</v>
      </c>
      <c r="H531">
        <v>10</v>
      </c>
      <c r="I531">
        <v>1</v>
      </c>
      <c r="J531" t="s">
        <v>34</v>
      </c>
      <c r="K531" t="s">
        <v>65</v>
      </c>
      <c r="L531">
        <v>69</v>
      </c>
      <c r="M531">
        <v>76.197999999999993</v>
      </c>
      <c r="N531">
        <v>77.534256999999997</v>
      </c>
      <c r="O531">
        <v>21.091999999999999</v>
      </c>
      <c r="P531">
        <v>24.295999999999999</v>
      </c>
      <c r="Q531">
        <v>30.497</v>
      </c>
      <c r="R531">
        <v>12</v>
      </c>
      <c r="S531" t="s">
        <v>83</v>
      </c>
      <c r="T531">
        <f>IF(TRIM(Table1[[#This Row],[PitStopLaps]])="",0,
LEN(Table1[[#This Row],[PitStopLaps]])-LEN(SUBSTITUTE(Table1[[#This Row],[PitStopLaps]],",",""))+1)</f>
        <v>1</v>
      </c>
      <c r="U531">
        <f>Table1[[#This Row],[StartPosition]]-Table1[[#This Row],[FinishPosition]]</f>
        <v>0</v>
      </c>
    </row>
    <row r="532" spans="1:21" x14ac:dyDescent="0.3">
      <c r="A532">
        <v>2019</v>
      </c>
      <c r="B532">
        <v>7</v>
      </c>
      <c r="C532" t="s">
        <v>142</v>
      </c>
      <c r="D532" t="s">
        <v>47</v>
      </c>
      <c r="E532" t="s">
        <v>48</v>
      </c>
      <c r="F532" t="s">
        <v>37</v>
      </c>
      <c r="G532">
        <v>11</v>
      </c>
      <c r="H532">
        <v>11</v>
      </c>
      <c r="I532">
        <v>0</v>
      </c>
      <c r="J532" t="s">
        <v>34</v>
      </c>
      <c r="K532" t="s">
        <v>65</v>
      </c>
      <c r="L532">
        <v>69</v>
      </c>
      <c r="M532">
        <v>76.471000000000004</v>
      </c>
      <c r="N532">
        <v>77.558530000000005</v>
      </c>
      <c r="O532">
        <v>21.311</v>
      </c>
      <c r="P532">
        <v>24.442</v>
      </c>
      <c r="Q532">
        <v>30.337</v>
      </c>
      <c r="R532">
        <v>3</v>
      </c>
      <c r="S532" t="s">
        <v>83</v>
      </c>
      <c r="T532">
        <f>IF(TRIM(Table1[[#This Row],[PitStopLaps]])="",0,
LEN(Table1[[#This Row],[PitStopLaps]])-LEN(SUBSTITUTE(Table1[[#This Row],[PitStopLaps]],",",""))+1)</f>
        <v>1</v>
      </c>
      <c r="U532">
        <f>Table1[[#This Row],[StartPosition]]-Table1[[#This Row],[FinishPosition]]</f>
        <v>0</v>
      </c>
    </row>
    <row r="533" spans="1:21" x14ac:dyDescent="0.3">
      <c r="A533">
        <v>2019</v>
      </c>
      <c r="B533">
        <v>7</v>
      </c>
      <c r="C533" t="s">
        <v>142</v>
      </c>
      <c r="D533" t="s">
        <v>49</v>
      </c>
      <c r="E533" t="s">
        <v>50</v>
      </c>
      <c r="F533" t="s">
        <v>192</v>
      </c>
      <c r="G533">
        <v>15</v>
      </c>
      <c r="H533">
        <v>12</v>
      </c>
      <c r="I533">
        <v>0</v>
      </c>
      <c r="J533" t="s">
        <v>34</v>
      </c>
      <c r="K533" t="s">
        <v>65</v>
      </c>
      <c r="L533">
        <v>69</v>
      </c>
      <c r="M533">
        <v>76.313999999999993</v>
      </c>
      <c r="N533">
        <v>77.671878000000007</v>
      </c>
      <c r="O533">
        <v>21.155000000000001</v>
      </c>
      <c r="P533">
        <v>24.396999999999998</v>
      </c>
      <c r="Q533">
        <v>30.724</v>
      </c>
      <c r="R533">
        <v>11</v>
      </c>
      <c r="S533" t="s">
        <v>83</v>
      </c>
      <c r="T533">
        <f>IF(TRIM(Table1[[#This Row],[PitStopLaps]])="",0,
LEN(Table1[[#This Row],[PitStopLaps]])-LEN(SUBSTITUTE(Table1[[#This Row],[PitStopLaps]],",",""))+1)</f>
        <v>1</v>
      </c>
      <c r="U533">
        <f>Table1[[#This Row],[StartPosition]]-Table1[[#This Row],[FinishPosition]]</f>
        <v>3</v>
      </c>
    </row>
    <row r="534" spans="1:21" x14ac:dyDescent="0.3">
      <c r="A534">
        <v>2019</v>
      </c>
      <c r="B534">
        <v>7</v>
      </c>
      <c r="C534" t="s">
        <v>142</v>
      </c>
      <c r="D534" t="s">
        <v>250</v>
      </c>
      <c r="E534" t="s">
        <v>251</v>
      </c>
      <c r="F534" t="s">
        <v>243</v>
      </c>
      <c r="G534">
        <v>12</v>
      </c>
      <c r="H534">
        <v>13</v>
      </c>
      <c r="I534">
        <v>0</v>
      </c>
      <c r="J534" t="s">
        <v>34</v>
      </c>
      <c r="K534" t="s">
        <v>65</v>
      </c>
      <c r="L534">
        <v>69</v>
      </c>
      <c r="M534">
        <v>76.364999999999995</v>
      </c>
      <c r="N534">
        <v>77.991029999999995</v>
      </c>
      <c r="O534">
        <v>21.262</v>
      </c>
      <c r="P534">
        <v>24.317</v>
      </c>
      <c r="Q534">
        <v>30.602</v>
      </c>
      <c r="R534">
        <v>33</v>
      </c>
      <c r="S534" t="s">
        <v>83</v>
      </c>
      <c r="T534">
        <f>IF(TRIM(Table1[[#This Row],[PitStopLaps]])="",0,
LEN(Table1[[#This Row],[PitStopLaps]])-LEN(SUBSTITUTE(Table1[[#This Row],[PitStopLaps]],",",""))+1)</f>
        <v>1</v>
      </c>
      <c r="U534">
        <f>Table1[[#This Row],[StartPosition]]-Table1[[#This Row],[FinishPosition]]</f>
        <v>-1</v>
      </c>
    </row>
    <row r="535" spans="1:21" x14ac:dyDescent="0.3">
      <c r="A535">
        <v>2019</v>
      </c>
      <c r="B535">
        <v>7</v>
      </c>
      <c r="C535" t="s">
        <v>142</v>
      </c>
      <c r="D535" t="s">
        <v>67</v>
      </c>
      <c r="E535" t="s">
        <v>68</v>
      </c>
      <c r="F535" t="s">
        <v>69</v>
      </c>
      <c r="G535">
        <v>14</v>
      </c>
      <c r="H535">
        <v>14</v>
      </c>
      <c r="I535">
        <v>0</v>
      </c>
      <c r="J535" t="s">
        <v>34</v>
      </c>
      <c r="K535" t="s">
        <v>65</v>
      </c>
      <c r="L535">
        <v>69</v>
      </c>
      <c r="M535">
        <v>76.245000000000005</v>
      </c>
      <c r="N535">
        <v>77.923409000000007</v>
      </c>
      <c r="O535">
        <v>21.055</v>
      </c>
      <c r="P535">
        <v>24.318000000000001</v>
      </c>
      <c r="Q535">
        <v>30.661000000000001</v>
      </c>
      <c r="R535">
        <v>34</v>
      </c>
      <c r="S535" t="s">
        <v>83</v>
      </c>
      <c r="T535">
        <f>IF(TRIM(Table1[[#This Row],[PitStopLaps]])="",0,
LEN(Table1[[#This Row],[PitStopLaps]])-LEN(SUBSTITUTE(Table1[[#This Row],[PitStopLaps]],",",""))+1)</f>
        <v>1</v>
      </c>
      <c r="U535">
        <f>Table1[[#This Row],[StartPosition]]-Table1[[#This Row],[FinishPosition]]</f>
        <v>0</v>
      </c>
    </row>
    <row r="536" spans="1:21" x14ac:dyDescent="0.3">
      <c r="A536">
        <v>2019</v>
      </c>
      <c r="B536">
        <v>7</v>
      </c>
      <c r="C536" t="s">
        <v>142</v>
      </c>
      <c r="D536" t="s">
        <v>29</v>
      </c>
      <c r="E536" t="s">
        <v>30</v>
      </c>
      <c r="F536" t="s">
        <v>243</v>
      </c>
      <c r="G536">
        <v>16</v>
      </c>
      <c r="H536">
        <v>15</v>
      </c>
      <c r="I536">
        <v>0</v>
      </c>
      <c r="J536" t="s">
        <v>34</v>
      </c>
      <c r="K536" t="s">
        <v>65</v>
      </c>
      <c r="L536">
        <v>69</v>
      </c>
      <c r="M536">
        <v>75.441999999999993</v>
      </c>
      <c r="N536">
        <v>77.677358999999996</v>
      </c>
      <c r="O536">
        <v>20.885000000000002</v>
      </c>
      <c r="P536">
        <v>24.187999999999999</v>
      </c>
      <c r="Q536">
        <v>30.193000000000001</v>
      </c>
      <c r="R536" t="s">
        <v>320</v>
      </c>
      <c r="S536" t="s">
        <v>83</v>
      </c>
      <c r="T536">
        <f>IF(TRIM(Table1[[#This Row],[PitStopLaps]])="",0,
LEN(Table1[[#This Row],[PitStopLaps]])-LEN(SUBSTITUTE(Table1[[#This Row],[PitStopLaps]],",",""))+1)</f>
        <v>2</v>
      </c>
      <c r="U536">
        <f>Table1[[#This Row],[StartPosition]]-Table1[[#This Row],[FinishPosition]]</f>
        <v>1</v>
      </c>
    </row>
    <row r="537" spans="1:21" x14ac:dyDescent="0.3">
      <c r="A537">
        <v>2019</v>
      </c>
      <c r="B537">
        <v>7</v>
      </c>
      <c r="C537" t="s">
        <v>142</v>
      </c>
      <c r="D537" t="s">
        <v>252</v>
      </c>
      <c r="E537" t="s">
        <v>253</v>
      </c>
      <c r="F537" t="s">
        <v>60</v>
      </c>
      <c r="G537">
        <v>18</v>
      </c>
      <c r="H537">
        <v>16</v>
      </c>
      <c r="I537">
        <v>0</v>
      </c>
      <c r="J537" t="s">
        <v>34</v>
      </c>
      <c r="K537" t="s">
        <v>127</v>
      </c>
      <c r="L537">
        <v>68</v>
      </c>
      <c r="M537">
        <v>77.241</v>
      </c>
      <c r="N537">
        <v>78.899075999999994</v>
      </c>
      <c r="O537">
        <v>21.456</v>
      </c>
      <c r="P537">
        <v>24.759</v>
      </c>
      <c r="Q537">
        <v>30.835999999999999</v>
      </c>
      <c r="R537">
        <v>9</v>
      </c>
      <c r="S537" t="s">
        <v>83</v>
      </c>
      <c r="T537">
        <f>IF(TRIM(Table1[[#This Row],[PitStopLaps]])="",0,
LEN(Table1[[#This Row],[PitStopLaps]])-LEN(SUBSTITUTE(Table1[[#This Row],[PitStopLaps]],",",""))+1)</f>
        <v>1</v>
      </c>
      <c r="U537">
        <f>Table1[[#This Row],[StartPosition]]-Table1[[#This Row],[FinishPosition]]</f>
        <v>2</v>
      </c>
    </row>
    <row r="538" spans="1:21" x14ac:dyDescent="0.3">
      <c r="A538">
        <v>2019</v>
      </c>
      <c r="B538">
        <v>7</v>
      </c>
      <c r="C538" t="s">
        <v>142</v>
      </c>
      <c r="D538" t="s">
        <v>71</v>
      </c>
      <c r="E538" t="s">
        <v>72</v>
      </c>
      <c r="F538" t="s">
        <v>69</v>
      </c>
      <c r="G538">
        <v>0</v>
      </c>
      <c r="H538">
        <v>17</v>
      </c>
      <c r="I538">
        <v>0</v>
      </c>
      <c r="J538" t="s">
        <v>34</v>
      </c>
      <c r="K538" t="s">
        <v>127</v>
      </c>
      <c r="L538">
        <v>68</v>
      </c>
      <c r="M538">
        <v>77.308999999999997</v>
      </c>
      <c r="N538">
        <v>78.998800000000003</v>
      </c>
      <c r="O538">
        <v>21.504999999999999</v>
      </c>
      <c r="P538">
        <v>24.741</v>
      </c>
      <c r="Q538">
        <v>31.013999999999999</v>
      </c>
      <c r="R538">
        <v>39</v>
      </c>
      <c r="S538" t="s">
        <v>83</v>
      </c>
      <c r="T538">
        <f>IF(TRIM(Table1[[#This Row],[PitStopLaps]])="",0,
LEN(Table1[[#This Row],[PitStopLaps]])-LEN(SUBSTITUTE(Table1[[#This Row],[PitStopLaps]],",",""))+1)</f>
        <v>1</v>
      </c>
      <c r="U538">
        <f>Table1[[#This Row],[StartPosition]]-Table1[[#This Row],[FinishPosition]]</f>
        <v>-17</v>
      </c>
    </row>
    <row r="539" spans="1:21" x14ac:dyDescent="0.3">
      <c r="A539">
        <v>2019</v>
      </c>
      <c r="B539">
        <v>7</v>
      </c>
      <c r="C539" t="s">
        <v>142</v>
      </c>
      <c r="D539" t="s">
        <v>255</v>
      </c>
      <c r="E539" t="s">
        <v>256</v>
      </c>
      <c r="F539" t="s">
        <v>60</v>
      </c>
      <c r="G539">
        <v>19</v>
      </c>
      <c r="H539">
        <v>18</v>
      </c>
      <c r="I539">
        <v>0</v>
      </c>
      <c r="J539" t="s">
        <v>34</v>
      </c>
      <c r="K539" t="s">
        <v>130</v>
      </c>
      <c r="L539">
        <v>67</v>
      </c>
      <c r="M539">
        <v>77.284999999999997</v>
      </c>
      <c r="N539">
        <v>79.377677000000006</v>
      </c>
      <c r="O539">
        <v>21.571000000000002</v>
      </c>
      <c r="P539">
        <v>24.622</v>
      </c>
      <c r="Q539">
        <v>31.047000000000001</v>
      </c>
      <c r="R539" t="s">
        <v>321</v>
      </c>
      <c r="S539" t="s">
        <v>83</v>
      </c>
      <c r="T539">
        <f>IF(TRIM(Table1[[#This Row],[PitStopLaps]])="",0,
LEN(Table1[[#This Row],[PitStopLaps]])-LEN(SUBSTITUTE(Table1[[#This Row],[PitStopLaps]],",",""))+1)</f>
        <v>2</v>
      </c>
      <c r="U539">
        <f>Table1[[#This Row],[StartPosition]]-Table1[[#This Row],[FinishPosition]]</f>
        <v>1</v>
      </c>
    </row>
    <row r="540" spans="1:21" x14ac:dyDescent="0.3">
      <c r="A540">
        <v>2019</v>
      </c>
      <c r="B540">
        <v>7</v>
      </c>
      <c r="C540" t="s">
        <v>142</v>
      </c>
      <c r="D540" t="s">
        <v>248</v>
      </c>
      <c r="E540" t="s">
        <v>249</v>
      </c>
      <c r="F540" t="s">
        <v>64</v>
      </c>
      <c r="G540">
        <v>13</v>
      </c>
      <c r="H540">
        <v>19</v>
      </c>
      <c r="I540">
        <v>0</v>
      </c>
      <c r="J540" t="s">
        <v>34</v>
      </c>
      <c r="K540" t="s">
        <v>109</v>
      </c>
      <c r="L540">
        <v>60</v>
      </c>
      <c r="M540">
        <v>77.150999999999996</v>
      </c>
      <c r="N540">
        <v>78.549595999999994</v>
      </c>
      <c r="O540">
        <v>21.391999999999999</v>
      </c>
      <c r="P540">
        <v>24.564</v>
      </c>
      <c r="Q540">
        <v>30.949000000000002</v>
      </c>
      <c r="R540" t="s">
        <v>322</v>
      </c>
      <c r="S540" t="s">
        <v>83</v>
      </c>
      <c r="T540">
        <f>IF(TRIM(Table1[[#This Row],[PitStopLaps]])="",0,
LEN(Table1[[#This Row],[PitStopLaps]])-LEN(SUBSTITUTE(Table1[[#This Row],[PitStopLaps]],",",""))+1)</f>
        <v>2</v>
      </c>
      <c r="U540">
        <f>Table1[[#This Row],[StartPosition]]-Table1[[#This Row],[FinishPosition]]</f>
        <v>-6</v>
      </c>
    </row>
    <row r="541" spans="1:21" x14ac:dyDescent="0.3">
      <c r="A541">
        <v>2019</v>
      </c>
      <c r="B541">
        <v>7</v>
      </c>
      <c r="C541" t="s">
        <v>142</v>
      </c>
      <c r="D541" t="s">
        <v>246</v>
      </c>
      <c r="E541" t="s">
        <v>247</v>
      </c>
      <c r="F541" t="s">
        <v>37</v>
      </c>
      <c r="G541">
        <v>8</v>
      </c>
      <c r="H541">
        <v>20</v>
      </c>
      <c r="I541">
        <v>0</v>
      </c>
      <c r="J541" t="s">
        <v>34</v>
      </c>
      <c r="K541" t="s">
        <v>187</v>
      </c>
      <c r="L541">
        <v>9</v>
      </c>
      <c r="M541">
        <v>78.022999999999996</v>
      </c>
      <c r="N541">
        <v>79.740857000000005</v>
      </c>
      <c r="O541">
        <v>21.922999999999998</v>
      </c>
      <c r="P541">
        <v>25.048999999999999</v>
      </c>
      <c r="Q541">
        <v>31</v>
      </c>
      <c r="S541" t="s">
        <v>83</v>
      </c>
      <c r="T541">
        <f>IF(TRIM(Table1[[#This Row],[PitStopLaps]])="",0,
LEN(Table1[[#This Row],[PitStopLaps]])-LEN(SUBSTITUTE(Table1[[#This Row],[PitStopLaps]],",",""))+1)</f>
        <v>0</v>
      </c>
      <c r="U541">
        <f>Table1[[#This Row],[StartPosition]]-Table1[[#This Row],[FinishPosition]]</f>
        <v>-12</v>
      </c>
    </row>
    <row r="542" spans="1:21" x14ac:dyDescent="0.3">
      <c r="A542">
        <v>2019</v>
      </c>
      <c r="B542">
        <v>8</v>
      </c>
      <c r="C542" t="s">
        <v>147</v>
      </c>
      <c r="D542" t="s">
        <v>26</v>
      </c>
      <c r="E542" t="s">
        <v>27</v>
      </c>
      <c r="F542" t="s">
        <v>28</v>
      </c>
      <c r="G542">
        <v>1</v>
      </c>
      <c r="H542">
        <v>1</v>
      </c>
      <c r="I542">
        <v>25</v>
      </c>
      <c r="J542" t="s">
        <v>23</v>
      </c>
      <c r="K542" t="s">
        <v>24</v>
      </c>
      <c r="L542">
        <v>53</v>
      </c>
      <c r="M542">
        <v>92.763999999999996</v>
      </c>
      <c r="N542">
        <v>94.893645000000006</v>
      </c>
      <c r="O542">
        <v>23.373000000000001</v>
      </c>
      <c r="P542">
        <v>28.658999999999999</v>
      </c>
      <c r="Q542">
        <v>40.731999999999999</v>
      </c>
      <c r="R542">
        <v>24</v>
      </c>
      <c r="S542" t="s">
        <v>83</v>
      </c>
      <c r="T542">
        <f>IF(TRIM(Table1[[#This Row],[PitStopLaps]])="",0,
LEN(Table1[[#This Row],[PitStopLaps]])-LEN(SUBSTITUTE(Table1[[#This Row],[PitStopLaps]],",",""))+1)</f>
        <v>1</v>
      </c>
      <c r="U542">
        <f>Table1[[#This Row],[StartPosition]]-Table1[[#This Row],[FinishPosition]]</f>
        <v>0</v>
      </c>
    </row>
    <row r="543" spans="1:21" x14ac:dyDescent="0.3">
      <c r="A543">
        <v>2019</v>
      </c>
      <c r="B543">
        <v>8</v>
      </c>
      <c r="C543" t="s">
        <v>147</v>
      </c>
      <c r="D543" t="s">
        <v>43</v>
      </c>
      <c r="E543" t="s">
        <v>44</v>
      </c>
      <c r="F543" t="s">
        <v>28</v>
      </c>
      <c r="G543">
        <v>2</v>
      </c>
      <c r="H543">
        <v>2</v>
      </c>
      <c r="I543">
        <v>18</v>
      </c>
      <c r="J543" t="s">
        <v>23</v>
      </c>
      <c r="K543" t="s">
        <v>24</v>
      </c>
      <c r="L543">
        <v>53</v>
      </c>
      <c r="M543">
        <v>93.585999999999999</v>
      </c>
      <c r="N543">
        <v>95.172325999999998</v>
      </c>
      <c r="O543">
        <v>23.489000000000001</v>
      </c>
      <c r="P543">
        <v>28.91</v>
      </c>
      <c r="Q543">
        <v>41.088000000000001</v>
      </c>
      <c r="R543">
        <v>23</v>
      </c>
      <c r="S543" t="s">
        <v>83</v>
      </c>
      <c r="T543">
        <f>IF(TRIM(Table1[[#This Row],[PitStopLaps]])="",0,
LEN(Table1[[#This Row],[PitStopLaps]])-LEN(SUBSTITUTE(Table1[[#This Row],[PitStopLaps]],",",""))+1)</f>
        <v>1</v>
      </c>
      <c r="U543">
        <f>Table1[[#This Row],[StartPosition]]-Table1[[#This Row],[FinishPosition]]</f>
        <v>0</v>
      </c>
    </row>
    <row r="544" spans="1:21" x14ac:dyDescent="0.3">
      <c r="A544">
        <v>2019</v>
      </c>
      <c r="B544">
        <v>8</v>
      </c>
      <c r="C544" t="s">
        <v>147</v>
      </c>
      <c r="D544" t="s">
        <v>54</v>
      </c>
      <c r="E544" t="s">
        <v>55</v>
      </c>
      <c r="F544" t="s">
        <v>22</v>
      </c>
      <c r="G544">
        <v>3</v>
      </c>
      <c r="H544">
        <v>3</v>
      </c>
      <c r="I544">
        <v>15</v>
      </c>
      <c r="J544" t="s">
        <v>23</v>
      </c>
      <c r="K544" t="s">
        <v>24</v>
      </c>
      <c r="L544">
        <v>53</v>
      </c>
      <c r="M544">
        <v>93.828000000000003</v>
      </c>
      <c r="N544">
        <v>95.193020000000004</v>
      </c>
      <c r="O544">
        <v>23.658000000000001</v>
      </c>
      <c r="P544">
        <v>28.727</v>
      </c>
      <c r="Q544">
        <v>40.997999999999998</v>
      </c>
      <c r="R544">
        <v>21</v>
      </c>
      <c r="S544" t="s">
        <v>83</v>
      </c>
      <c r="T544">
        <f>IF(TRIM(Table1[[#This Row],[PitStopLaps]])="",0,
LEN(Table1[[#This Row],[PitStopLaps]])-LEN(SUBSTITUTE(Table1[[#This Row],[PitStopLaps]],",",""))+1)</f>
        <v>1</v>
      </c>
      <c r="U544">
        <f>Table1[[#This Row],[StartPosition]]-Table1[[#This Row],[FinishPosition]]</f>
        <v>0</v>
      </c>
    </row>
    <row r="545" spans="1:21" x14ac:dyDescent="0.3">
      <c r="A545">
        <v>2019</v>
      </c>
      <c r="B545">
        <v>8</v>
      </c>
      <c r="C545" t="s">
        <v>147</v>
      </c>
      <c r="D545" t="s">
        <v>38</v>
      </c>
      <c r="E545" t="s">
        <v>39</v>
      </c>
      <c r="F545" t="s">
        <v>33</v>
      </c>
      <c r="G545">
        <v>4</v>
      </c>
      <c r="H545">
        <v>4</v>
      </c>
      <c r="I545">
        <v>12</v>
      </c>
      <c r="J545" t="s">
        <v>34</v>
      </c>
      <c r="K545" t="s">
        <v>24</v>
      </c>
      <c r="L545">
        <v>53</v>
      </c>
      <c r="M545">
        <v>94.162000000000006</v>
      </c>
      <c r="N545">
        <v>95.463325999999995</v>
      </c>
      <c r="O545">
        <v>23.635999999999999</v>
      </c>
      <c r="P545">
        <v>28.876999999999999</v>
      </c>
      <c r="Q545">
        <v>41.183</v>
      </c>
      <c r="R545">
        <v>20</v>
      </c>
      <c r="S545" t="s">
        <v>83</v>
      </c>
      <c r="T545">
        <f>IF(TRIM(Table1[[#This Row],[PitStopLaps]])="",0,
LEN(Table1[[#This Row],[PitStopLaps]])-LEN(SUBSTITUTE(Table1[[#This Row],[PitStopLaps]],",",""))+1)</f>
        <v>1</v>
      </c>
      <c r="U545">
        <f>Table1[[#This Row],[StartPosition]]-Table1[[#This Row],[FinishPosition]]</f>
        <v>0</v>
      </c>
    </row>
    <row r="546" spans="1:21" x14ac:dyDescent="0.3">
      <c r="A546">
        <v>2019</v>
      </c>
      <c r="B546">
        <v>8</v>
      </c>
      <c r="C546" t="s">
        <v>147</v>
      </c>
      <c r="D546" t="s">
        <v>20</v>
      </c>
      <c r="E546" t="s">
        <v>21</v>
      </c>
      <c r="F546" t="s">
        <v>22</v>
      </c>
      <c r="G546">
        <v>7</v>
      </c>
      <c r="H546">
        <v>5</v>
      </c>
      <c r="I546">
        <v>11</v>
      </c>
      <c r="J546" t="s">
        <v>34</v>
      </c>
      <c r="K546" t="s">
        <v>24</v>
      </c>
      <c r="L546">
        <v>53</v>
      </c>
      <c r="M546">
        <v>92.74</v>
      </c>
      <c r="N546">
        <v>95.435085000000001</v>
      </c>
      <c r="O546">
        <v>23.23</v>
      </c>
      <c r="P546">
        <v>28.757000000000001</v>
      </c>
      <c r="Q546">
        <v>40.648000000000003</v>
      </c>
      <c r="R546" t="s">
        <v>323</v>
      </c>
      <c r="S546" t="s">
        <v>83</v>
      </c>
      <c r="T546">
        <f>IF(TRIM(Table1[[#This Row],[PitStopLaps]])="",0,
LEN(Table1[[#This Row],[PitStopLaps]])-LEN(SUBSTITUTE(Table1[[#This Row],[PitStopLaps]],",",""))+1)</f>
        <v>2</v>
      </c>
      <c r="U546">
        <f>Table1[[#This Row],[StartPosition]]-Table1[[#This Row],[FinishPosition]]</f>
        <v>2</v>
      </c>
    </row>
    <row r="547" spans="1:21" x14ac:dyDescent="0.3">
      <c r="A547">
        <v>2019</v>
      </c>
      <c r="B547">
        <v>8</v>
      </c>
      <c r="C547" t="s">
        <v>147</v>
      </c>
      <c r="D547" t="s">
        <v>47</v>
      </c>
      <c r="E547" t="s">
        <v>48</v>
      </c>
      <c r="F547" t="s">
        <v>37</v>
      </c>
      <c r="G547">
        <v>6</v>
      </c>
      <c r="H547">
        <v>6</v>
      </c>
      <c r="I547">
        <v>8</v>
      </c>
      <c r="J547" t="s">
        <v>34</v>
      </c>
      <c r="K547" t="s">
        <v>24</v>
      </c>
      <c r="L547">
        <v>53</v>
      </c>
      <c r="M547">
        <v>94.561000000000007</v>
      </c>
      <c r="N547">
        <v>96.65925</v>
      </c>
      <c r="O547">
        <v>23.895</v>
      </c>
      <c r="P547">
        <v>29.260999999999999</v>
      </c>
      <c r="Q547">
        <v>41.405000000000001</v>
      </c>
      <c r="R547">
        <v>19</v>
      </c>
      <c r="S547" t="s">
        <v>83</v>
      </c>
      <c r="T547">
        <f>IF(TRIM(Table1[[#This Row],[PitStopLaps]])="",0,
LEN(Table1[[#This Row],[PitStopLaps]])-LEN(SUBSTITUTE(Table1[[#This Row],[PitStopLaps]],",",""))+1)</f>
        <v>1</v>
      </c>
      <c r="U547">
        <f>Table1[[#This Row],[StartPosition]]-Table1[[#This Row],[FinishPosition]]</f>
        <v>0</v>
      </c>
    </row>
    <row r="548" spans="1:21" x14ac:dyDescent="0.3">
      <c r="A548">
        <v>2019</v>
      </c>
      <c r="B548">
        <v>8</v>
      </c>
      <c r="C548" t="s">
        <v>147</v>
      </c>
      <c r="D548" t="s">
        <v>29</v>
      </c>
      <c r="E548" t="s">
        <v>30</v>
      </c>
      <c r="F548" t="s">
        <v>243</v>
      </c>
      <c r="G548">
        <v>12</v>
      </c>
      <c r="H548">
        <v>7</v>
      </c>
      <c r="I548">
        <v>6</v>
      </c>
      <c r="J548" t="s">
        <v>34</v>
      </c>
      <c r="K548" t="s">
        <v>65</v>
      </c>
      <c r="L548">
        <v>52</v>
      </c>
      <c r="M548">
        <v>94.95</v>
      </c>
      <c r="N548">
        <v>96.875530999999995</v>
      </c>
      <c r="O548">
        <v>23.884</v>
      </c>
      <c r="P548">
        <v>29.233000000000001</v>
      </c>
      <c r="Q548">
        <v>41.578000000000003</v>
      </c>
      <c r="R548">
        <v>31</v>
      </c>
      <c r="S548" t="s">
        <v>83</v>
      </c>
      <c r="T548">
        <f>IF(TRIM(Table1[[#This Row],[PitStopLaps]])="",0,
LEN(Table1[[#This Row],[PitStopLaps]])-LEN(SUBSTITUTE(Table1[[#This Row],[PitStopLaps]],",",""))+1)</f>
        <v>1</v>
      </c>
      <c r="U548">
        <f>Table1[[#This Row],[StartPosition]]-Table1[[#This Row],[FinishPosition]]</f>
        <v>5</v>
      </c>
    </row>
    <row r="549" spans="1:21" x14ac:dyDescent="0.3">
      <c r="A549">
        <v>2019</v>
      </c>
      <c r="B549">
        <v>8</v>
      </c>
      <c r="C549" t="s">
        <v>147</v>
      </c>
      <c r="D549" t="s">
        <v>40</v>
      </c>
      <c r="E549" t="s">
        <v>41</v>
      </c>
      <c r="F549" t="s">
        <v>42</v>
      </c>
      <c r="G549">
        <v>13</v>
      </c>
      <c r="H549">
        <v>8</v>
      </c>
      <c r="I549">
        <v>4</v>
      </c>
      <c r="J549" t="s">
        <v>34</v>
      </c>
      <c r="K549" t="s">
        <v>65</v>
      </c>
      <c r="L549">
        <v>52</v>
      </c>
      <c r="M549">
        <v>94.754000000000005</v>
      </c>
      <c r="N549">
        <v>96.832148000000004</v>
      </c>
      <c r="O549">
        <v>23.946000000000002</v>
      </c>
      <c r="P549">
        <v>28.824999999999999</v>
      </c>
      <c r="Q549">
        <v>41.668999999999997</v>
      </c>
      <c r="R549">
        <v>34</v>
      </c>
      <c r="S549" t="s">
        <v>83</v>
      </c>
      <c r="T549">
        <f>IF(TRIM(Table1[[#This Row],[PitStopLaps]])="",0,
LEN(Table1[[#This Row],[PitStopLaps]])-LEN(SUBSTITUTE(Table1[[#This Row],[PitStopLaps]],",",""))+1)</f>
        <v>1</v>
      </c>
      <c r="U549">
        <f>Table1[[#This Row],[StartPosition]]-Table1[[#This Row],[FinishPosition]]</f>
        <v>5</v>
      </c>
    </row>
    <row r="550" spans="1:21" x14ac:dyDescent="0.3">
      <c r="A550">
        <v>2019</v>
      </c>
      <c r="B550">
        <v>8</v>
      </c>
      <c r="C550" t="s">
        <v>147</v>
      </c>
      <c r="D550" t="s">
        <v>246</v>
      </c>
      <c r="E550" t="s">
        <v>247</v>
      </c>
      <c r="F550" t="s">
        <v>37</v>
      </c>
      <c r="G550">
        <v>5</v>
      </c>
      <c r="H550">
        <v>9</v>
      </c>
      <c r="I550">
        <v>2</v>
      </c>
      <c r="J550" t="s">
        <v>34</v>
      </c>
      <c r="K550" t="s">
        <v>65</v>
      </c>
      <c r="L550">
        <v>52</v>
      </c>
      <c r="M550">
        <v>95.197000000000003</v>
      </c>
      <c r="N550">
        <v>96.857339999999994</v>
      </c>
      <c r="O550">
        <v>23.978000000000002</v>
      </c>
      <c r="P550">
        <v>29.183</v>
      </c>
      <c r="Q550">
        <v>41.737000000000002</v>
      </c>
      <c r="R550">
        <v>18</v>
      </c>
      <c r="S550" t="s">
        <v>83</v>
      </c>
      <c r="T550">
        <f>IF(TRIM(Table1[[#This Row],[PitStopLaps]])="",0,
LEN(Table1[[#This Row],[PitStopLaps]])-LEN(SUBSTITUTE(Table1[[#This Row],[PitStopLaps]],",",""))+1)</f>
        <v>1</v>
      </c>
      <c r="U550">
        <f>Table1[[#This Row],[StartPosition]]-Table1[[#This Row],[FinishPosition]]</f>
        <v>-4</v>
      </c>
    </row>
    <row r="551" spans="1:21" x14ac:dyDescent="0.3">
      <c r="A551">
        <v>2019</v>
      </c>
      <c r="B551">
        <v>8</v>
      </c>
      <c r="C551" t="s">
        <v>147</v>
      </c>
      <c r="D551" t="s">
        <v>73</v>
      </c>
      <c r="E551" t="s">
        <v>74</v>
      </c>
      <c r="F551" t="s">
        <v>33</v>
      </c>
      <c r="G551">
        <v>9</v>
      </c>
      <c r="H551">
        <v>10</v>
      </c>
      <c r="I551">
        <v>1</v>
      </c>
      <c r="J551" t="s">
        <v>34</v>
      </c>
      <c r="K551" t="s">
        <v>65</v>
      </c>
      <c r="L551">
        <v>52</v>
      </c>
      <c r="M551">
        <v>95.15</v>
      </c>
      <c r="N551">
        <v>96.931893000000002</v>
      </c>
      <c r="O551">
        <v>23.988</v>
      </c>
      <c r="P551">
        <v>29.192</v>
      </c>
      <c r="Q551">
        <v>41.884</v>
      </c>
      <c r="R551">
        <v>17</v>
      </c>
      <c r="S551" t="s">
        <v>83</v>
      </c>
      <c r="T551">
        <f>IF(TRIM(Table1[[#This Row],[PitStopLaps]])="",0,
LEN(Table1[[#This Row],[PitStopLaps]])-LEN(SUBSTITUTE(Table1[[#This Row],[PitStopLaps]],",",""))+1)</f>
        <v>1</v>
      </c>
      <c r="U551">
        <f>Table1[[#This Row],[StartPosition]]-Table1[[#This Row],[FinishPosition]]</f>
        <v>-1</v>
      </c>
    </row>
    <row r="552" spans="1:21" x14ac:dyDescent="0.3">
      <c r="A552">
        <v>2019</v>
      </c>
      <c r="B552">
        <v>8</v>
      </c>
      <c r="C552" t="s">
        <v>147</v>
      </c>
      <c r="D552" t="s">
        <v>31</v>
      </c>
      <c r="E552" t="s">
        <v>32</v>
      </c>
      <c r="F552" t="s">
        <v>42</v>
      </c>
      <c r="G552">
        <v>8</v>
      </c>
      <c r="H552">
        <v>11</v>
      </c>
      <c r="I552">
        <v>0</v>
      </c>
      <c r="J552" t="s">
        <v>34</v>
      </c>
      <c r="K552" t="s">
        <v>65</v>
      </c>
      <c r="L552">
        <v>52</v>
      </c>
      <c r="M552">
        <v>94.873000000000005</v>
      </c>
      <c r="N552">
        <v>96.819765000000004</v>
      </c>
      <c r="O552">
        <v>23.891999999999999</v>
      </c>
      <c r="P552">
        <v>29.187000000000001</v>
      </c>
      <c r="Q552">
        <v>41.753</v>
      </c>
      <c r="R552">
        <v>16</v>
      </c>
      <c r="S552" t="s">
        <v>83</v>
      </c>
      <c r="T552">
        <f>IF(TRIM(Table1[[#This Row],[PitStopLaps]])="",0,
LEN(Table1[[#This Row],[PitStopLaps]])-LEN(SUBSTITUTE(Table1[[#This Row],[PitStopLaps]],",",""))+1)</f>
        <v>1</v>
      </c>
      <c r="U552">
        <f>Table1[[#This Row],[StartPosition]]-Table1[[#This Row],[FinishPosition]]</f>
        <v>-3</v>
      </c>
    </row>
    <row r="553" spans="1:21" x14ac:dyDescent="0.3">
      <c r="A553">
        <v>2019</v>
      </c>
      <c r="B553">
        <v>8</v>
      </c>
      <c r="C553" t="s">
        <v>147</v>
      </c>
      <c r="D553" t="s">
        <v>49</v>
      </c>
      <c r="E553" t="s">
        <v>50</v>
      </c>
      <c r="F553" t="s">
        <v>192</v>
      </c>
      <c r="G553">
        <v>14</v>
      </c>
      <c r="H553">
        <v>12</v>
      </c>
      <c r="I553">
        <v>0</v>
      </c>
      <c r="J553" t="s">
        <v>34</v>
      </c>
      <c r="K553" t="s">
        <v>65</v>
      </c>
      <c r="L553">
        <v>52</v>
      </c>
      <c r="M553">
        <v>95.013999999999996</v>
      </c>
      <c r="N553">
        <v>96.887270000000001</v>
      </c>
      <c r="O553">
        <v>23.937999999999999</v>
      </c>
      <c r="P553">
        <v>29.114000000000001</v>
      </c>
      <c r="Q553">
        <v>41.823999999999998</v>
      </c>
      <c r="R553">
        <v>18</v>
      </c>
      <c r="S553" t="s">
        <v>83</v>
      </c>
      <c r="T553">
        <f>IF(TRIM(Table1[[#This Row],[PitStopLaps]])="",0,
LEN(Table1[[#This Row],[PitStopLaps]])-LEN(SUBSTITUTE(Table1[[#This Row],[PitStopLaps]],",",""))+1)</f>
        <v>1</v>
      </c>
      <c r="U553">
        <f>Table1[[#This Row],[StartPosition]]-Table1[[#This Row],[FinishPosition]]</f>
        <v>2</v>
      </c>
    </row>
    <row r="554" spans="1:21" x14ac:dyDescent="0.3">
      <c r="A554">
        <v>2019</v>
      </c>
      <c r="B554">
        <v>8</v>
      </c>
      <c r="C554" t="s">
        <v>147</v>
      </c>
      <c r="D554" t="s">
        <v>58</v>
      </c>
      <c r="E554" t="s">
        <v>59</v>
      </c>
      <c r="F554" t="s">
        <v>192</v>
      </c>
      <c r="G554">
        <v>17</v>
      </c>
      <c r="H554">
        <v>13</v>
      </c>
      <c r="I554">
        <v>0</v>
      </c>
      <c r="J554" t="s">
        <v>34</v>
      </c>
      <c r="K554" t="s">
        <v>65</v>
      </c>
      <c r="L554">
        <v>52</v>
      </c>
      <c r="M554">
        <v>94.924000000000007</v>
      </c>
      <c r="N554">
        <v>96.994311999999994</v>
      </c>
      <c r="O554">
        <v>23.975000000000001</v>
      </c>
      <c r="P554">
        <v>29.122</v>
      </c>
      <c r="Q554">
        <v>41.506</v>
      </c>
      <c r="R554">
        <v>39</v>
      </c>
      <c r="S554" t="s">
        <v>83</v>
      </c>
      <c r="T554">
        <f>IF(TRIM(Table1[[#This Row],[PitStopLaps]])="",0,
LEN(Table1[[#This Row],[PitStopLaps]])-LEN(SUBSTITUTE(Table1[[#This Row],[PitStopLaps]],",",""))+1)</f>
        <v>1</v>
      </c>
      <c r="U554">
        <f>Table1[[#This Row],[StartPosition]]-Table1[[#This Row],[FinishPosition]]</f>
        <v>4</v>
      </c>
    </row>
    <row r="555" spans="1:21" x14ac:dyDescent="0.3">
      <c r="A555">
        <v>2019</v>
      </c>
      <c r="B555">
        <v>8</v>
      </c>
      <c r="C555" t="s">
        <v>147</v>
      </c>
      <c r="D555" t="s">
        <v>244</v>
      </c>
      <c r="E555" t="s">
        <v>245</v>
      </c>
      <c r="F555" t="s">
        <v>64</v>
      </c>
      <c r="G555">
        <v>19</v>
      </c>
      <c r="H555">
        <v>14</v>
      </c>
      <c r="I555">
        <v>0</v>
      </c>
      <c r="J555" t="s">
        <v>34</v>
      </c>
      <c r="K555" t="s">
        <v>65</v>
      </c>
      <c r="L555">
        <v>52</v>
      </c>
      <c r="M555">
        <v>95.224999999999994</v>
      </c>
      <c r="N555">
        <v>97.161790999999994</v>
      </c>
      <c r="O555">
        <v>23.920999999999999</v>
      </c>
      <c r="P555">
        <v>28.841999999999999</v>
      </c>
      <c r="Q555">
        <v>41.911000000000001</v>
      </c>
      <c r="R555">
        <v>32</v>
      </c>
      <c r="S555" t="s">
        <v>83</v>
      </c>
      <c r="T555">
        <f>IF(TRIM(Table1[[#This Row],[PitStopLaps]])="",0,
LEN(Table1[[#This Row],[PitStopLaps]])-LEN(SUBSTITUTE(Table1[[#This Row],[PitStopLaps]],",",""))+1)</f>
        <v>1</v>
      </c>
      <c r="U555">
        <f>Table1[[#This Row],[StartPosition]]-Table1[[#This Row],[FinishPosition]]</f>
        <v>5</v>
      </c>
    </row>
    <row r="556" spans="1:21" x14ac:dyDescent="0.3">
      <c r="A556">
        <v>2019</v>
      </c>
      <c r="B556">
        <v>8</v>
      </c>
      <c r="C556" t="s">
        <v>147</v>
      </c>
      <c r="D556" t="s">
        <v>248</v>
      </c>
      <c r="E556" t="s">
        <v>249</v>
      </c>
      <c r="F556" t="s">
        <v>64</v>
      </c>
      <c r="G556">
        <v>11</v>
      </c>
      <c r="H556">
        <v>15</v>
      </c>
      <c r="I556">
        <v>0</v>
      </c>
      <c r="J556" t="s">
        <v>34</v>
      </c>
      <c r="K556" t="s">
        <v>65</v>
      </c>
      <c r="L556">
        <v>52</v>
      </c>
      <c r="M556">
        <v>95.028999999999996</v>
      </c>
      <c r="N556">
        <v>97.247645000000006</v>
      </c>
      <c r="O556">
        <v>23.742000000000001</v>
      </c>
      <c r="P556">
        <v>29.207999999999998</v>
      </c>
      <c r="Q556">
        <v>41.768000000000001</v>
      </c>
      <c r="R556">
        <v>25</v>
      </c>
      <c r="S556" t="s">
        <v>83</v>
      </c>
      <c r="T556">
        <f>IF(TRIM(Table1[[#This Row],[PitStopLaps]])="",0,
LEN(Table1[[#This Row],[PitStopLaps]])-LEN(SUBSTITUTE(Table1[[#This Row],[PitStopLaps]],",",""))+1)</f>
        <v>1</v>
      </c>
      <c r="U556">
        <f>Table1[[#This Row],[StartPosition]]-Table1[[#This Row],[FinishPosition]]</f>
        <v>-4</v>
      </c>
    </row>
    <row r="557" spans="1:21" x14ac:dyDescent="0.3">
      <c r="A557">
        <v>2019</v>
      </c>
      <c r="B557">
        <v>8</v>
      </c>
      <c r="C557" t="s">
        <v>147</v>
      </c>
      <c r="D557" t="s">
        <v>250</v>
      </c>
      <c r="E557" t="s">
        <v>251</v>
      </c>
      <c r="F557" t="s">
        <v>243</v>
      </c>
      <c r="G557">
        <v>10</v>
      </c>
      <c r="H557">
        <v>16</v>
      </c>
      <c r="I557">
        <v>0</v>
      </c>
      <c r="J557" t="s">
        <v>34</v>
      </c>
      <c r="K557" t="s">
        <v>65</v>
      </c>
      <c r="L557">
        <v>52</v>
      </c>
      <c r="M557">
        <v>95.114999999999995</v>
      </c>
      <c r="N557">
        <v>97.194520999999995</v>
      </c>
      <c r="O557">
        <v>23.908999999999999</v>
      </c>
      <c r="P557">
        <v>29.141999999999999</v>
      </c>
      <c r="Q557">
        <v>41.722999999999999</v>
      </c>
      <c r="R557" t="s">
        <v>324</v>
      </c>
      <c r="S557" t="s">
        <v>83</v>
      </c>
      <c r="T557">
        <f>IF(TRIM(Table1[[#This Row],[PitStopLaps]])="",0,
LEN(Table1[[#This Row],[PitStopLaps]])-LEN(SUBSTITUTE(Table1[[#This Row],[PitStopLaps]],",",""))+1)</f>
        <v>2</v>
      </c>
      <c r="U557">
        <f>Table1[[#This Row],[StartPosition]]-Table1[[#This Row],[FinishPosition]]</f>
        <v>-6</v>
      </c>
    </row>
    <row r="558" spans="1:21" x14ac:dyDescent="0.3">
      <c r="A558">
        <v>2019</v>
      </c>
      <c r="B558">
        <v>8</v>
      </c>
      <c r="C558" t="s">
        <v>147</v>
      </c>
      <c r="D558" t="s">
        <v>71</v>
      </c>
      <c r="E558" t="s">
        <v>72</v>
      </c>
      <c r="F558" t="s">
        <v>69</v>
      </c>
      <c r="G558">
        <v>15</v>
      </c>
      <c r="H558">
        <v>17</v>
      </c>
      <c r="I558">
        <v>0</v>
      </c>
      <c r="J558" t="s">
        <v>34</v>
      </c>
      <c r="K558" t="s">
        <v>65</v>
      </c>
      <c r="L558">
        <v>52</v>
      </c>
      <c r="M558">
        <v>95.691999999999993</v>
      </c>
      <c r="N558">
        <v>97.756062</v>
      </c>
      <c r="O558">
        <v>24.122</v>
      </c>
      <c r="P558">
        <v>29.606999999999999</v>
      </c>
      <c r="Q558">
        <v>41.844999999999999</v>
      </c>
      <c r="R558">
        <v>16</v>
      </c>
      <c r="S558" t="s">
        <v>83</v>
      </c>
      <c r="T558">
        <f>IF(TRIM(Table1[[#This Row],[PitStopLaps]])="",0,
LEN(Table1[[#This Row],[PitStopLaps]])-LEN(SUBSTITUTE(Table1[[#This Row],[PitStopLaps]],",",""))+1)</f>
        <v>1</v>
      </c>
      <c r="U558">
        <f>Table1[[#This Row],[StartPosition]]-Table1[[#This Row],[FinishPosition]]</f>
        <v>-2</v>
      </c>
    </row>
    <row r="559" spans="1:21" x14ac:dyDescent="0.3">
      <c r="A559">
        <v>2019</v>
      </c>
      <c r="B559">
        <v>8</v>
      </c>
      <c r="C559" t="s">
        <v>147</v>
      </c>
      <c r="D559" t="s">
        <v>255</v>
      </c>
      <c r="E559" t="s">
        <v>256</v>
      </c>
      <c r="F559" t="s">
        <v>60</v>
      </c>
      <c r="G559">
        <v>18</v>
      </c>
      <c r="H559">
        <v>18</v>
      </c>
      <c r="I559">
        <v>0</v>
      </c>
      <c r="J559" t="s">
        <v>34</v>
      </c>
      <c r="K559" t="s">
        <v>127</v>
      </c>
      <c r="L559">
        <v>51</v>
      </c>
      <c r="M559">
        <v>96.608000000000004</v>
      </c>
      <c r="N559">
        <v>99.170574000000002</v>
      </c>
      <c r="O559">
        <v>24.390999999999998</v>
      </c>
      <c r="P559">
        <v>29.777000000000001</v>
      </c>
      <c r="Q559">
        <v>42.414999999999999</v>
      </c>
      <c r="R559">
        <v>24</v>
      </c>
      <c r="S559" t="s">
        <v>83</v>
      </c>
      <c r="T559">
        <f>IF(TRIM(Table1[[#This Row],[PitStopLaps]])="",0,
LEN(Table1[[#This Row],[PitStopLaps]])-LEN(SUBSTITUTE(Table1[[#This Row],[PitStopLaps]],",",""))+1)</f>
        <v>1</v>
      </c>
      <c r="U559">
        <f>Table1[[#This Row],[StartPosition]]-Table1[[#This Row],[FinishPosition]]</f>
        <v>0</v>
      </c>
    </row>
    <row r="560" spans="1:21" x14ac:dyDescent="0.3">
      <c r="A560">
        <v>2019</v>
      </c>
      <c r="B560">
        <v>8</v>
      </c>
      <c r="C560" t="s">
        <v>147</v>
      </c>
      <c r="D560" t="s">
        <v>252</v>
      </c>
      <c r="E560" t="s">
        <v>253</v>
      </c>
      <c r="F560" t="s">
        <v>60</v>
      </c>
      <c r="G560">
        <v>20</v>
      </c>
      <c r="H560">
        <v>19</v>
      </c>
      <c r="I560">
        <v>0</v>
      </c>
      <c r="J560" t="s">
        <v>34</v>
      </c>
      <c r="K560" t="s">
        <v>127</v>
      </c>
      <c r="L560">
        <v>51</v>
      </c>
      <c r="M560">
        <v>95.83</v>
      </c>
      <c r="N560">
        <v>98.604354999999998</v>
      </c>
      <c r="O560">
        <v>24.265999999999998</v>
      </c>
      <c r="P560">
        <v>29.516999999999999</v>
      </c>
      <c r="Q560">
        <v>41.981000000000002</v>
      </c>
      <c r="R560" t="s">
        <v>325</v>
      </c>
      <c r="S560" t="s">
        <v>83</v>
      </c>
      <c r="T560">
        <f>IF(TRIM(Table1[[#This Row],[PitStopLaps]])="",0,
LEN(Table1[[#This Row],[PitStopLaps]])-LEN(SUBSTITUTE(Table1[[#This Row],[PitStopLaps]],",",""))+1)</f>
        <v>2</v>
      </c>
      <c r="U560">
        <f>Table1[[#This Row],[StartPosition]]-Table1[[#This Row],[FinishPosition]]</f>
        <v>1</v>
      </c>
    </row>
    <row r="561" spans="1:21" x14ac:dyDescent="0.3">
      <c r="A561">
        <v>2019</v>
      </c>
      <c r="B561">
        <v>8</v>
      </c>
      <c r="C561" t="s">
        <v>147</v>
      </c>
      <c r="D561" t="s">
        <v>67</v>
      </c>
      <c r="E561" t="s">
        <v>68</v>
      </c>
      <c r="F561" t="s">
        <v>69</v>
      </c>
      <c r="G561">
        <v>16</v>
      </c>
      <c r="H561">
        <v>20</v>
      </c>
      <c r="I561">
        <v>0</v>
      </c>
      <c r="J561" t="s">
        <v>34</v>
      </c>
      <c r="K561" t="s">
        <v>179</v>
      </c>
      <c r="L561">
        <v>45</v>
      </c>
      <c r="M561">
        <v>95.691000000000003</v>
      </c>
      <c r="N561">
        <v>97.796097000000003</v>
      </c>
      <c r="O561">
        <v>24.16</v>
      </c>
      <c r="P561">
        <v>29.428999999999998</v>
      </c>
      <c r="Q561">
        <v>41.975000000000001</v>
      </c>
      <c r="R561" t="s">
        <v>326</v>
      </c>
      <c r="S561" t="s">
        <v>83</v>
      </c>
      <c r="T561">
        <f>IF(TRIM(Table1[[#This Row],[PitStopLaps]])="",0,
LEN(Table1[[#This Row],[PitStopLaps]])-LEN(SUBSTITUTE(Table1[[#This Row],[PitStopLaps]],",",""))+1)</f>
        <v>2</v>
      </c>
      <c r="U561">
        <f>Table1[[#This Row],[StartPosition]]-Table1[[#This Row],[FinishPosition]]</f>
        <v>-4</v>
      </c>
    </row>
    <row r="562" spans="1:21" x14ac:dyDescent="0.3">
      <c r="A562">
        <v>2019</v>
      </c>
      <c r="B562">
        <v>9</v>
      </c>
      <c r="C562" t="s">
        <v>149</v>
      </c>
      <c r="D562" t="s">
        <v>38</v>
      </c>
      <c r="E562" t="s">
        <v>39</v>
      </c>
      <c r="F562" t="s">
        <v>33</v>
      </c>
      <c r="G562">
        <v>2</v>
      </c>
      <c r="H562">
        <v>1</v>
      </c>
      <c r="I562">
        <v>26</v>
      </c>
      <c r="J562" t="s">
        <v>23</v>
      </c>
      <c r="K562" t="s">
        <v>24</v>
      </c>
      <c r="L562">
        <v>71</v>
      </c>
      <c r="M562">
        <v>67.474999999999994</v>
      </c>
      <c r="N562">
        <v>68.926044000000005</v>
      </c>
      <c r="O562">
        <v>16.846</v>
      </c>
      <c r="P562">
        <v>30.14</v>
      </c>
      <c r="Q562">
        <v>20.279</v>
      </c>
      <c r="R562">
        <v>31</v>
      </c>
      <c r="S562" t="s">
        <v>83</v>
      </c>
      <c r="T562">
        <f>IF(TRIM(Table1[[#This Row],[PitStopLaps]])="",0,
LEN(Table1[[#This Row],[PitStopLaps]])-LEN(SUBSTITUTE(Table1[[#This Row],[PitStopLaps]],",",""))+1)</f>
        <v>1</v>
      </c>
      <c r="U562">
        <f>Table1[[#This Row],[StartPosition]]-Table1[[#This Row],[FinishPosition]]</f>
        <v>1</v>
      </c>
    </row>
    <row r="563" spans="1:21" x14ac:dyDescent="0.3">
      <c r="A563">
        <v>2019</v>
      </c>
      <c r="B563">
        <v>9</v>
      </c>
      <c r="C563" t="s">
        <v>149</v>
      </c>
      <c r="D563" t="s">
        <v>54</v>
      </c>
      <c r="E563" t="s">
        <v>55</v>
      </c>
      <c r="F563" t="s">
        <v>22</v>
      </c>
      <c r="G563">
        <v>1</v>
      </c>
      <c r="H563">
        <v>2</v>
      </c>
      <c r="I563">
        <v>18</v>
      </c>
      <c r="J563" t="s">
        <v>23</v>
      </c>
      <c r="K563" t="s">
        <v>24</v>
      </c>
      <c r="L563">
        <v>71</v>
      </c>
      <c r="M563">
        <v>67.994</v>
      </c>
      <c r="N563">
        <v>69.017557999999994</v>
      </c>
      <c r="O563">
        <v>17.030999999999999</v>
      </c>
      <c r="P563">
        <v>30.193000000000001</v>
      </c>
      <c r="Q563">
        <v>20.381</v>
      </c>
      <c r="R563">
        <v>22</v>
      </c>
      <c r="S563" t="s">
        <v>83</v>
      </c>
      <c r="T563">
        <f>IF(TRIM(Table1[[#This Row],[PitStopLaps]])="",0,
LEN(Table1[[#This Row],[PitStopLaps]])-LEN(SUBSTITUTE(Table1[[#This Row],[PitStopLaps]],",",""))+1)</f>
        <v>1</v>
      </c>
      <c r="U563">
        <f>Table1[[#This Row],[StartPosition]]-Table1[[#This Row],[FinishPosition]]</f>
        <v>-1</v>
      </c>
    </row>
    <row r="564" spans="1:21" x14ac:dyDescent="0.3">
      <c r="A564">
        <v>2019</v>
      </c>
      <c r="B564">
        <v>9</v>
      </c>
      <c r="C564" t="s">
        <v>149</v>
      </c>
      <c r="D564" t="s">
        <v>43</v>
      </c>
      <c r="E564" t="s">
        <v>44</v>
      </c>
      <c r="F564" t="s">
        <v>28</v>
      </c>
      <c r="G564">
        <v>3</v>
      </c>
      <c r="H564">
        <v>3</v>
      </c>
      <c r="I564">
        <v>15</v>
      </c>
      <c r="J564" t="s">
        <v>23</v>
      </c>
      <c r="K564" t="s">
        <v>24</v>
      </c>
      <c r="L564">
        <v>71</v>
      </c>
      <c r="M564">
        <v>68.564999999999998</v>
      </c>
      <c r="N564">
        <v>69.245750000000001</v>
      </c>
      <c r="O564">
        <v>17.146000000000001</v>
      </c>
      <c r="P564">
        <v>30.497</v>
      </c>
      <c r="Q564">
        <v>20.701999999999899</v>
      </c>
      <c r="R564">
        <v>21</v>
      </c>
      <c r="S564" t="s">
        <v>83</v>
      </c>
      <c r="T564">
        <f>IF(TRIM(Table1[[#This Row],[PitStopLaps]])="",0,
LEN(Table1[[#This Row],[PitStopLaps]])-LEN(SUBSTITUTE(Table1[[#This Row],[PitStopLaps]],",",""))+1)</f>
        <v>1</v>
      </c>
      <c r="U564">
        <f>Table1[[#This Row],[StartPosition]]-Table1[[#This Row],[FinishPosition]]</f>
        <v>0</v>
      </c>
    </row>
    <row r="565" spans="1:21" x14ac:dyDescent="0.3">
      <c r="A565">
        <v>2019</v>
      </c>
      <c r="B565">
        <v>9</v>
      </c>
      <c r="C565" t="s">
        <v>149</v>
      </c>
      <c r="D565" t="s">
        <v>20</v>
      </c>
      <c r="E565" t="s">
        <v>21</v>
      </c>
      <c r="F565" t="s">
        <v>22</v>
      </c>
      <c r="G565">
        <v>9</v>
      </c>
      <c r="H565">
        <v>4</v>
      </c>
      <c r="I565">
        <v>12</v>
      </c>
      <c r="J565" t="s">
        <v>34</v>
      </c>
      <c r="K565" t="s">
        <v>24</v>
      </c>
      <c r="L565">
        <v>71</v>
      </c>
      <c r="M565">
        <v>67.676000000000002</v>
      </c>
      <c r="N565">
        <v>68.820738000000006</v>
      </c>
      <c r="O565">
        <v>16.785</v>
      </c>
      <c r="P565">
        <v>29.951999999999899</v>
      </c>
      <c r="Q565">
        <v>20.437000000000001</v>
      </c>
      <c r="R565" t="s">
        <v>327</v>
      </c>
      <c r="S565" t="s">
        <v>83</v>
      </c>
      <c r="T565">
        <f>IF(TRIM(Table1[[#This Row],[PitStopLaps]])="",0,
LEN(Table1[[#This Row],[PitStopLaps]])-LEN(SUBSTITUTE(Table1[[#This Row],[PitStopLaps]],",",""))+1)</f>
        <v>2</v>
      </c>
      <c r="U565">
        <f>Table1[[#This Row],[StartPosition]]-Table1[[#This Row],[FinishPosition]]</f>
        <v>5</v>
      </c>
    </row>
    <row r="566" spans="1:21" x14ac:dyDescent="0.3">
      <c r="A566">
        <v>2019</v>
      </c>
      <c r="B566">
        <v>9</v>
      </c>
      <c r="C566" t="s">
        <v>149</v>
      </c>
      <c r="D566" t="s">
        <v>26</v>
      </c>
      <c r="E566" t="s">
        <v>27</v>
      </c>
      <c r="F566" t="s">
        <v>28</v>
      </c>
      <c r="G566">
        <v>4</v>
      </c>
      <c r="H566">
        <v>5</v>
      </c>
      <c r="I566">
        <v>10</v>
      </c>
      <c r="J566" t="s">
        <v>34</v>
      </c>
      <c r="K566" t="s">
        <v>24</v>
      </c>
      <c r="L566">
        <v>71</v>
      </c>
      <c r="M566">
        <v>68.05</v>
      </c>
      <c r="N566">
        <v>69.148588000000004</v>
      </c>
      <c r="O566">
        <v>17.077000000000002</v>
      </c>
      <c r="P566">
        <v>30.236000000000001</v>
      </c>
      <c r="Q566">
        <v>20.404</v>
      </c>
      <c r="R566">
        <v>30</v>
      </c>
      <c r="S566" t="s">
        <v>83</v>
      </c>
      <c r="T566">
        <f>IF(TRIM(Table1[[#This Row],[PitStopLaps]])="",0,
LEN(Table1[[#This Row],[PitStopLaps]])-LEN(SUBSTITUTE(Table1[[#This Row],[PitStopLaps]],",",""))+1)</f>
        <v>1</v>
      </c>
      <c r="U566">
        <f>Table1[[#This Row],[StartPosition]]-Table1[[#This Row],[FinishPosition]]</f>
        <v>-1</v>
      </c>
    </row>
    <row r="567" spans="1:21" x14ac:dyDescent="0.3">
      <c r="A567">
        <v>2019</v>
      </c>
      <c r="B567">
        <v>9</v>
      </c>
      <c r="C567" t="s">
        <v>149</v>
      </c>
      <c r="D567" t="s">
        <v>246</v>
      </c>
      <c r="E567" t="s">
        <v>247</v>
      </c>
      <c r="F567" t="s">
        <v>37</v>
      </c>
      <c r="G567">
        <v>5</v>
      </c>
      <c r="H567">
        <v>6</v>
      </c>
      <c r="I567">
        <v>8</v>
      </c>
      <c r="J567" t="s">
        <v>34</v>
      </c>
      <c r="K567" t="s">
        <v>65</v>
      </c>
      <c r="L567">
        <v>70</v>
      </c>
      <c r="M567">
        <v>68.698999999999998</v>
      </c>
      <c r="N567">
        <v>69.920327999999998</v>
      </c>
      <c r="O567">
        <v>17.071999999999999</v>
      </c>
      <c r="P567">
        <v>30.477</v>
      </c>
      <c r="Q567">
        <v>20.809000000000001</v>
      </c>
      <c r="R567">
        <v>25</v>
      </c>
      <c r="S567" t="s">
        <v>83</v>
      </c>
      <c r="T567">
        <f>IF(TRIM(Table1[[#This Row],[PitStopLaps]])="",0,
LEN(Table1[[#This Row],[PitStopLaps]])-LEN(SUBSTITUTE(Table1[[#This Row],[PitStopLaps]],",",""))+1)</f>
        <v>1</v>
      </c>
      <c r="U567">
        <f>Table1[[#This Row],[StartPosition]]-Table1[[#This Row],[FinishPosition]]</f>
        <v>-1</v>
      </c>
    </row>
    <row r="568" spans="1:21" x14ac:dyDescent="0.3">
      <c r="A568">
        <v>2019</v>
      </c>
      <c r="B568">
        <v>9</v>
      </c>
      <c r="C568" t="s">
        <v>149</v>
      </c>
      <c r="D568" t="s">
        <v>73</v>
      </c>
      <c r="E568" t="s">
        <v>74</v>
      </c>
      <c r="F568" t="s">
        <v>33</v>
      </c>
      <c r="G568">
        <v>8</v>
      </c>
      <c r="H568">
        <v>7</v>
      </c>
      <c r="I568">
        <v>6</v>
      </c>
      <c r="J568" t="s">
        <v>34</v>
      </c>
      <c r="K568" t="s">
        <v>65</v>
      </c>
      <c r="L568">
        <v>70</v>
      </c>
      <c r="M568">
        <v>68.790000000000006</v>
      </c>
      <c r="N568">
        <v>70.006656000000007</v>
      </c>
      <c r="O568">
        <v>17.036000000000001</v>
      </c>
      <c r="P568">
        <v>30.7</v>
      </c>
      <c r="Q568">
        <v>20.646999999999998</v>
      </c>
      <c r="R568">
        <v>25</v>
      </c>
      <c r="S568" t="s">
        <v>83</v>
      </c>
      <c r="T568">
        <f>IF(TRIM(Table1[[#This Row],[PitStopLaps]])="",0,
LEN(Table1[[#This Row],[PitStopLaps]])-LEN(SUBSTITUTE(Table1[[#This Row],[PitStopLaps]],",",""))+1)</f>
        <v>1</v>
      </c>
      <c r="U568">
        <f>Table1[[#This Row],[StartPosition]]-Table1[[#This Row],[FinishPosition]]</f>
        <v>1</v>
      </c>
    </row>
    <row r="569" spans="1:21" x14ac:dyDescent="0.3">
      <c r="A569">
        <v>2019</v>
      </c>
      <c r="B569">
        <v>9</v>
      </c>
      <c r="C569" t="s">
        <v>149</v>
      </c>
      <c r="D569" t="s">
        <v>47</v>
      </c>
      <c r="E569" t="s">
        <v>48</v>
      </c>
      <c r="F569" t="s">
        <v>37</v>
      </c>
      <c r="G569">
        <v>19</v>
      </c>
      <c r="H569">
        <v>8</v>
      </c>
      <c r="I569">
        <v>4</v>
      </c>
      <c r="J569" t="s">
        <v>34</v>
      </c>
      <c r="K569" t="s">
        <v>65</v>
      </c>
      <c r="L569">
        <v>70</v>
      </c>
      <c r="M569">
        <v>68.117000000000004</v>
      </c>
      <c r="N569">
        <v>70.135597000000004</v>
      </c>
      <c r="O569">
        <v>16.882999999999999</v>
      </c>
      <c r="P569">
        <v>30.385999999999999</v>
      </c>
      <c r="Q569">
        <v>20.341999999999999</v>
      </c>
      <c r="R569">
        <v>41</v>
      </c>
      <c r="S569" t="s">
        <v>83</v>
      </c>
      <c r="T569">
        <f>IF(TRIM(Table1[[#This Row],[PitStopLaps]])="",0,
LEN(Table1[[#This Row],[PitStopLaps]])-LEN(SUBSTITUTE(Table1[[#This Row],[PitStopLaps]],",",""))+1)</f>
        <v>1</v>
      </c>
      <c r="U569">
        <f>Table1[[#This Row],[StartPosition]]-Table1[[#This Row],[FinishPosition]]</f>
        <v>11</v>
      </c>
    </row>
    <row r="570" spans="1:21" x14ac:dyDescent="0.3">
      <c r="A570">
        <v>2019</v>
      </c>
      <c r="B570">
        <v>9</v>
      </c>
      <c r="C570" t="s">
        <v>149</v>
      </c>
      <c r="D570" t="s">
        <v>29</v>
      </c>
      <c r="E570" t="s">
        <v>30</v>
      </c>
      <c r="F570" t="s">
        <v>243</v>
      </c>
      <c r="G570">
        <v>6</v>
      </c>
      <c r="H570">
        <v>9</v>
      </c>
      <c r="I570">
        <v>2</v>
      </c>
      <c r="J570" t="s">
        <v>34</v>
      </c>
      <c r="K570" t="s">
        <v>65</v>
      </c>
      <c r="L570">
        <v>70</v>
      </c>
      <c r="M570">
        <v>69.126000000000005</v>
      </c>
      <c r="N570">
        <v>70.229776000000001</v>
      </c>
      <c r="O570">
        <v>17.216999999999999</v>
      </c>
      <c r="P570">
        <v>30.561</v>
      </c>
      <c r="Q570">
        <v>20.968</v>
      </c>
      <c r="R570">
        <v>23</v>
      </c>
      <c r="S570" t="s">
        <v>83</v>
      </c>
      <c r="T570">
        <f>IF(TRIM(Table1[[#This Row],[PitStopLaps]])="",0,
LEN(Table1[[#This Row],[PitStopLaps]])-LEN(SUBSTITUTE(Table1[[#This Row],[PitStopLaps]],",",""))+1)</f>
        <v>1</v>
      </c>
      <c r="U570">
        <f>Table1[[#This Row],[StartPosition]]-Table1[[#This Row],[FinishPosition]]</f>
        <v>-3</v>
      </c>
    </row>
    <row r="571" spans="1:21" x14ac:dyDescent="0.3">
      <c r="A571">
        <v>2019</v>
      </c>
      <c r="B571">
        <v>9</v>
      </c>
      <c r="C571" t="s">
        <v>149</v>
      </c>
      <c r="D571" t="s">
        <v>250</v>
      </c>
      <c r="E571" t="s">
        <v>251</v>
      </c>
      <c r="F571" t="s">
        <v>243</v>
      </c>
      <c r="G571">
        <v>7</v>
      </c>
      <c r="H571">
        <v>10</v>
      </c>
      <c r="I571">
        <v>1</v>
      </c>
      <c r="J571" t="s">
        <v>34</v>
      </c>
      <c r="K571" t="s">
        <v>65</v>
      </c>
      <c r="L571">
        <v>70</v>
      </c>
      <c r="M571">
        <v>69.051000000000002</v>
      </c>
      <c r="N571">
        <v>70.216626000000005</v>
      </c>
      <c r="O571">
        <v>17.047000000000001</v>
      </c>
      <c r="P571">
        <v>30.898</v>
      </c>
      <c r="Q571">
        <v>20.794</v>
      </c>
      <c r="R571">
        <v>24</v>
      </c>
      <c r="S571" t="s">
        <v>83</v>
      </c>
      <c r="T571">
        <f>IF(TRIM(Table1[[#This Row],[PitStopLaps]])="",0,
LEN(Table1[[#This Row],[PitStopLaps]])-LEN(SUBSTITUTE(Table1[[#This Row],[PitStopLaps]],",",""))+1)</f>
        <v>1</v>
      </c>
      <c r="U571">
        <f>Table1[[#This Row],[StartPosition]]-Table1[[#This Row],[FinishPosition]]</f>
        <v>-3</v>
      </c>
    </row>
    <row r="572" spans="1:21" x14ac:dyDescent="0.3">
      <c r="A572">
        <v>2019</v>
      </c>
      <c r="B572">
        <v>9</v>
      </c>
      <c r="C572" t="s">
        <v>149</v>
      </c>
      <c r="D572" t="s">
        <v>49</v>
      </c>
      <c r="E572" t="s">
        <v>50</v>
      </c>
      <c r="F572" t="s">
        <v>192</v>
      </c>
      <c r="G572">
        <v>13</v>
      </c>
      <c r="H572">
        <v>11</v>
      </c>
      <c r="I572">
        <v>0</v>
      </c>
      <c r="J572" t="s">
        <v>34</v>
      </c>
      <c r="K572" t="s">
        <v>65</v>
      </c>
      <c r="L572">
        <v>70</v>
      </c>
      <c r="M572">
        <v>69.061000000000007</v>
      </c>
      <c r="N572">
        <v>70.237880000000004</v>
      </c>
      <c r="O572">
        <v>17.036999999999999</v>
      </c>
      <c r="P572">
        <v>30.814</v>
      </c>
      <c r="Q572">
        <v>20.867000000000001</v>
      </c>
      <c r="R572">
        <v>28</v>
      </c>
      <c r="S572" t="s">
        <v>83</v>
      </c>
      <c r="T572">
        <f>IF(TRIM(Table1[[#This Row],[PitStopLaps]])="",0,
LEN(Table1[[#This Row],[PitStopLaps]])-LEN(SUBSTITUTE(Table1[[#This Row],[PitStopLaps]],",",""))+1)</f>
        <v>1</v>
      </c>
      <c r="U572">
        <f>Table1[[#This Row],[StartPosition]]-Table1[[#This Row],[FinishPosition]]</f>
        <v>2</v>
      </c>
    </row>
    <row r="573" spans="1:21" x14ac:dyDescent="0.3">
      <c r="A573">
        <v>2019</v>
      </c>
      <c r="B573">
        <v>9</v>
      </c>
      <c r="C573" t="s">
        <v>149</v>
      </c>
      <c r="D573" t="s">
        <v>31</v>
      </c>
      <c r="E573" t="s">
        <v>32</v>
      </c>
      <c r="F573" t="s">
        <v>42</v>
      </c>
      <c r="G573">
        <v>12</v>
      </c>
      <c r="H573">
        <v>12</v>
      </c>
      <c r="I573">
        <v>0</v>
      </c>
      <c r="J573" t="s">
        <v>34</v>
      </c>
      <c r="K573" t="s">
        <v>65</v>
      </c>
      <c r="L573">
        <v>70</v>
      </c>
      <c r="M573">
        <v>68.019000000000005</v>
      </c>
      <c r="N573">
        <v>70.214641</v>
      </c>
      <c r="O573">
        <v>17.081</v>
      </c>
      <c r="P573">
        <v>30.332999999999998</v>
      </c>
      <c r="Q573">
        <v>20.396000000000001</v>
      </c>
      <c r="R573">
        <v>46</v>
      </c>
      <c r="S573" t="s">
        <v>83</v>
      </c>
      <c r="T573">
        <f>IF(TRIM(Table1[[#This Row],[PitStopLaps]])="",0,
LEN(Table1[[#This Row],[PitStopLaps]])-LEN(SUBSTITUTE(Table1[[#This Row],[PitStopLaps]],",",""))+1)</f>
        <v>1</v>
      </c>
      <c r="U573">
        <f>Table1[[#This Row],[StartPosition]]-Table1[[#This Row],[FinishPosition]]</f>
        <v>0</v>
      </c>
    </row>
    <row r="574" spans="1:21" x14ac:dyDescent="0.3">
      <c r="A574">
        <v>2019</v>
      </c>
      <c r="B574">
        <v>9</v>
      </c>
      <c r="C574" t="s">
        <v>149</v>
      </c>
      <c r="D574" t="s">
        <v>40</v>
      </c>
      <c r="E574" t="s">
        <v>41</v>
      </c>
      <c r="F574" t="s">
        <v>42</v>
      </c>
      <c r="G574">
        <v>15</v>
      </c>
      <c r="H574">
        <v>13</v>
      </c>
      <c r="I574">
        <v>0</v>
      </c>
      <c r="J574" t="s">
        <v>34</v>
      </c>
      <c r="K574" t="s">
        <v>65</v>
      </c>
      <c r="L574">
        <v>70</v>
      </c>
      <c r="M574">
        <v>69.248000000000005</v>
      </c>
      <c r="N574">
        <v>70.286507</v>
      </c>
      <c r="O574">
        <v>17.111999999999998</v>
      </c>
      <c r="P574">
        <v>30.754000000000001</v>
      </c>
      <c r="Q574">
        <v>20.92</v>
      </c>
      <c r="R574">
        <v>26</v>
      </c>
      <c r="S574" t="s">
        <v>83</v>
      </c>
      <c r="T574">
        <f>IF(TRIM(Table1[[#This Row],[PitStopLaps]])="",0,
LEN(Table1[[#This Row],[PitStopLaps]])-LEN(SUBSTITUTE(Table1[[#This Row],[PitStopLaps]],",",""))+1)</f>
        <v>1</v>
      </c>
      <c r="U574">
        <f>Table1[[#This Row],[StartPosition]]-Table1[[#This Row],[FinishPosition]]</f>
        <v>2</v>
      </c>
    </row>
    <row r="575" spans="1:21" x14ac:dyDescent="0.3">
      <c r="A575">
        <v>2019</v>
      </c>
      <c r="B575">
        <v>9</v>
      </c>
      <c r="C575" t="s">
        <v>149</v>
      </c>
      <c r="D575" t="s">
        <v>58</v>
      </c>
      <c r="E575" t="s">
        <v>59</v>
      </c>
      <c r="F575" t="s">
        <v>192</v>
      </c>
      <c r="G575">
        <v>14</v>
      </c>
      <c r="H575">
        <v>14</v>
      </c>
      <c r="I575">
        <v>0</v>
      </c>
      <c r="J575" t="s">
        <v>34</v>
      </c>
      <c r="K575" t="s">
        <v>65</v>
      </c>
      <c r="L575">
        <v>70</v>
      </c>
      <c r="M575">
        <v>69.287999999999997</v>
      </c>
      <c r="N575">
        <v>70.380566999999999</v>
      </c>
      <c r="O575">
        <v>17.155999999999999</v>
      </c>
      <c r="P575">
        <v>30.811</v>
      </c>
      <c r="Q575">
        <v>20.856000000000002</v>
      </c>
      <c r="R575">
        <v>25</v>
      </c>
      <c r="S575" t="s">
        <v>83</v>
      </c>
      <c r="T575">
        <f>IF(TRIM(Table1[[#This Row],[PitStopLaps]])="",0,
LEN(Table1[[#This Row],[PitStopLaps]])-LEN(SUBSTITUTE(Table1[[#This Row],[PitStopLaps]],",",""))+1)</f>
        <v>1</v>
      </c>
      <c r="U575">
        <f>Table1[[#This Row],[StartPosition]]-Table1[[#This Row],[FinishPosition]]</f>
        <v>0</v>
      </c>
    </row>
    <row r="576" spans="1:21" x14ac:dyDescent="0.3">
      <c r="A576">
        <v>2019</v>
      </c>
      <c r="B576">
        <v>9</v>
      </c>
      <c r="C576" t="s">
        <v>149</v>
      </c>
      <c r="D576" t="s">
        <v>248</v>
      </c>
      <c r="E576" t="s">
        <v>249</v>
      </c>
      <c r="F576" t="s">
        <v>64</v>
      </c>
      <c r="G576">
        <v>18</v>
      </c>
      <c r="H576">
        <v>15</v>
      </c>
      <c r="I576">
        <v>0</v>
      </c>
      <c r="J576" t="s">
        <v>34</v>
      </c>
      <c r="K576" t="s">
        <v>65</v>
      </c>
      <c r="L576">
        <v>70</v>
      </c>
      <c r="M576">
        <v>68.945999999999998</v>
      </c>
      <c r="N576">
        <v>70.361655999999996</v>
      </c>
      <c r="O576">
        <v>17.125</v>
      </c>
      <c r="P576">
        <v>30.609000000000002</v>
      </c>
      <c r="Q576">
        <v>20.757000000000001</v>
      </c>
      <c r="R576">
        <v>35</v>
      </c>
      <c r="S576" t="s">
        <v>83</v>
      </c>
      <c r="T576">
        <f>IF(TRIM(Table1[[#This Row],[PitStopLaps]])="",0,
LEN(Table1[[#This Row],[PitStopLaps]])-LEN(SUBSTITUTE(Table1[[#This Row],[PitStopLaps]],",",""))+1)</f>
        <v>1</v>
      </c>
      <c r="U576">
        <f>Table1[[#This Row],[StartPosition]]-Table1[[#This Row],[FinishPosition]]</f>
        <v>3</v>
      </c>
    </row>
    <row r="577" spans="1:21" x14ac:dyDescent="0.3">
      <c r="A577">
        <v>2019</v>
      </c>
      <c r="B577">
        <v>9</v>
      </c>
      <c r="C577" t="s">
        <v>149</v>
      </c>
      <c r="D577" t="s">
        <v>67</v>
      </c>
      <c r="E577" t="s">
        <v>68</v>
      </c>
      <c r="F577" t="s">
        <v>69</v>
      </c>
      <c r="G577">
        <v>11</v>
      </c>
      <c r="H577">
        <v>16</v>
      </c>
      <c r="I577">
        <v>0</v>
      </c>
      <c r="J577" t="s">
        <v>34</v>
      </c>
      <c r="K577" t="s">
        <v>65</v>
      </c>
      <c r="L577">
        <v>70</v>
      </c>
      <c r="M577">
        <v>68.986999999999995</v>
      </c>
      <c r="N577">
        <v>70.468686000000005</v>
      </c>
      <c r="O577">
        <v>17.545000000000002</v>
      </c>
      <c r="P577">
        <v>30.547999999999998</v>
      </c>
      <c r="Q577">
        <v>20.552</v>
      </c>
      <c r="R577">
        <v>34</v>
      </c>
      <c r="S577" t="s">
        <v>83</v>
      </c>
      <c r="T577">
        <f>IF(TRIM(Table1[[#This Row],[PitStopLaps]])="",0,
LEN(Table1[[#This Row],[PitStopLaps]])-LEN(SUBSTITUTE(Table1[[#This Row],[PitStopLaps]],",",""))+1)</f>
        <v>1</v>
      </c>
      <c r="U577">
        <f>Table1[[#This Row],[StartPosition]]-Table1[[#This Row],[FinishPosition]]</f>
        <v>-5</v>
      </c>
    </row>
    <row r="578" spans="1:21" x14ac:dyDescent="0.3">
      <c r="A578">
        <v>2019</v>
      </c>
      <c r="B578">
        <v>9</v>
      </c>
      <c r="C578" t="s">
        <v>149</v>
      </c>
      <c r="D578" t="s">
        <v>244</v>
      </c>
      <c r="E578" t="s">
        <v>245</v>
      </c>
      <c r="F578" t="s">
        <v>64</v>
      </c>
      <c r="G578">
        <v>16</v>
      </c>
      <c r="H578">
        <v>17</v>
      </c>
      <c r="I578">
        <v>0</v>
      </c>
      <c r="J578" t="s">
        <v>34</v>
      </c>
      <c r="K578" t="s">
        <v>65</v>
      </c>
      <c r="L578">
        <v>70</v>
      </c>
      <c r="M578">
        <v>69.498000000000005</v>
      </c>
      <c r="N578">
        <v>70.747416999999999</v>
      </c>
      <c r="O578">
        <v>17.350999999999999</v>
      </c>
      <c r="P578">
        <v>30.702999999999999</v>
      </c>
      <c r="Q578">
        <v>20.989000000000001</v>
      </c>
      <c r="R578">
        <v>32</v>
      </c>
      <c r="S578" t="s">
        <v>83</v>
      </c>
      <c r="T578">
        <f>IF(TRIM(Table1[[#This Row],[PitStopLaps]])="",0,
LEN(Table1[[#This Row],[PitStopLaps]])-LEN(SUBSTITUTE(Table1[[#This Row],[PitStopLaps]],",",""))+1)</f>
        <v>1</v>
      </c>
      <c r="U578">
        <f>Table1[[#This Row],[StartPosition]]-Table1[[#This Row],[FinishPosition]]</f>
        <v>-1</v>
      </c>
    </row>
    <row r="579" spans="1:21" x14ac:dyDescent="0.3">
      <c r="A579">
        <v>2019</v>
      </c>
      <c r="B579">
        <v>9</v>
      </c>
      <c r="C579" t="s">
        <v>149</v>
      </c>
      <c r="D579" t="s">
        <v>252</v>
      </c>
      <c r="E579" t="s">
        <v>253</v>
      </c>
      <c r="F579" t="s">
        <v>60</v>
      </c>
      <c r="G579">
        <v>0</v>
      </c>
      <c r="H579">
        <v>18</v>
      </c>
      <c r="I579">
        <v>0</v>
      </c>
      <c r="J579" t="s">
        <v>34</v>
      </c>
      <c r="K579" t="s">
        <v>127</v>
      </c>
      <c r="L579">
        <v>69</v>
      </c>
      <c r="M579">
        <v>69.926000000000002</v>
      </c>
      <c r="N579">
        <v>71.085786999999996</v>
      </c>
      <c r="O579">
        <v>17.332000000000001</v>
      </c>
      <c r="P579">
        <v>31.079000000000001</v>
      </c>
      <c r="Q579">
        <v>21.170999999999999</v>
      </c>
      <c r="R579">
        <v>27</v>
      </c>
      <c r="S579" t="s">
        <v>83</v>
      </c>
      <c r="T579">
        <f>IF(TRIM(Table1[[#This Row],[PitStopLaps]])="",0,
LEN(Table1[[#This Row],[PitStopLaps]])-LEN(SUBSTITUTE(Table1[[#This Row],[PitStopLaps]],",",""))+1)</f>
        <v>1</v>
      </c>
      <c r="U579">
        <f>Table1[[#This Row],[StartPosition]]-Table1[[#This Row],[FinishPosition]]</f>
        <v>-18</v>
      </c>
    </row>
    <row r="580" spans="1:21" x14ac:dyDescent="0.3">
      <c r="A580">
        <v>2019</v>
      </c>
      <c r="B580">
        <v>9</v>
      </c>
      <c r="C580" t="s">
        <v>149</v>
      </c>
      <c r="D580" t="s">
        <v>71</v>
      </c>
      <c r="E580" t="s">
        <v>72</v>
      </c>
      <c r="F580" t="s">
        <v>69</v>
      </c>
      <c r="G580">
        <v>10</v>
      </c>
      <c r="H580">
        <v>19</v>
      </c>
      <c r="I580">
        <v>0</v>
      </c>
      <c r="J580" t="s">
        <v>34</v>
      </c>
      <c r="K580" t="s">
        <v>127</v>
      </c>
      <c r="L580">
        <v>69</v>
      </c>
      <c r="M580">
        <v>68.903000000000006</v>
      </c>
      <c r="N580">
        <v>70.867596000000006</v>
      </c>
      <c r="O580">
        <v>17.654</v>
      </c>
      <c r="P580">
        <v>30.547000000000001</v>
      </c>
      <c r="Q580">
        <v>20.701999999999899</v>
      </c>
      <c r="R580" t="s">
        <v>328</v>
      </c>
      <c r="S580" t="s">
        <v>83</v>
      </c>
      <c r="T580">
        <f>IF(TRIM(Table1[[#This Row],[PitStopLaps]])="",0,
LEN(Table1[[#This Row],[PitStopLaps]])-LEN(SUBSTITUTE(Table1[[#This Row],[PitStopLaps]],",",""))+1)</f>
        <v>3</v>
      </c>
      <c r="U580">
        <f>Table1[[#This Row],[StartPosition]]-Table1[[#This Row],[FinishPosition]]</f>
        <v>-9</v>
      </c>
    </row>
    <row r="581" spans="1:21" x14ac:dyDescent="0.3">
      <c r="A581">
        <v>2019</v>
      </c>
      <c r="B581">
        <v>9</v>
      </c>
      <c r="C581" t="s">
        <v>149</v>
      </c>
      <c r="D581" t="s">
        <v>255</v>
      </c>
      <c r="E581" t="s">
        <v>256</v>
      </c>
      <c r="F581" t="s">
        <v>60</v>
      </c>
      <c r="G581">
        <v>17</v>
      </c>
      <c r="H581">
        <v>20</v>
      </c>
      <c r="I581">
        <v>0</v>
      </c>
      <c r="J581" t="s">
        <v>34</v>
      </c>
      <c r="K581" t="s">
        <v>130</v>
      </c>
      <c r="L581">
        <v>68</v>
      </c>
      <c r="M581">
        <v>70.963999999999999</v>
      </c>
      <c r="N581">
        <v>72.142476000000002</v>
      </c>
      <c r="O581">
        <v>17.501000000000001</v>
      </c>
      <c r="P581">
        <v>31.556000000000001</v>
      </c>
      <c r="Q581">
        <v>21.606999999999999</v>
      </c>
      <c r="R581">
        <v>19</v>
      </c>
      <c r="S581" t="s">
        <v>83</v>
      </c>
      <c r="T581">
        <f>IF(TRIM(Table1[[#This Row],[PitStopLaps]])="",0,
LEN(Table1[[#This Row],[PitStopLaps]])-LEN(SUBSTITUTE(Table1[[#This Row],[PitStopLaps]],",",""))+1)</f>
        <v>1</v>
      </c>
      <c r="U581">
        <f>Table1[[#This Row],[StartPosition]]-Table1[[#This Row],[FinishPosition]]</f>
        <v>-3</v>
      </c>
    </row>
    <row r="582" spans="1:21" x14ac:dyDescent="0.3">
      <c r="A582">
        <v>2019</v>
      </c>
      <c r="B582">
        <v>10</v>
      </c>
      <c r="C582" t="s">
        <v>157</v>
      </c>
      <c r="D582" t="s">
        <v>26</v>
      </c>
      <c r="E582" t="s">
        <v>27</v>
      </c>
      <c r="F582" t="s">
        <v>28</v>
      </c>
      <c r="G582">
        <v>2</v>
      </c>
      <c r="H582">
        <v>1</v>
      </c>
      <c r="I582">
        <v>26</v>
      </c>
      <c r="J582" t="s">
        <v>23</v>
      </c>
      <c r="K582" t="s">
        <v>24</v>
      </c>
      <c r="L582">
        <v>52</v>
      </c>
      <c r="M582">
        <v>87.369</v>
      </c>
      <c r="N582">
        <v>89.895510000000002</v>
      </c>
      <c r="O582">
        <v>28.074999999999999</v>
      </c>
      <c r="P582">
        <v>35.375</v>
      </c>
      <c r="Q582">
        <v>23.919</v>
      </c>
      <c r="R582">
        <v>20</v>
      </c>
      <c r="S582" t="s">
        <v>83</v>
      </c>
      <c r="T582">
        <f>IF(TRIM(Table1[[#This Row],[PitStopLaps]])="",0,
LEN(Table1[[#This Row],[PitStopLaps]])-LEN(SUBSTITUTE(Table1[[#This Row],[PitStopLaps]],",",""))+1)</f>
        <v>1</v>
      </c>
      <c r="U582">
        <f>Table1[[#This Row],[StartPosition]]-Table1[[#This Row],[FinishPosition]]</f>
        <v>1</v>
      </c>
    </row>
    <row r="583" spans="1:21" x14ac:dyDescent="0.3">
      <c r="A583">
        <v>2019</v>
      </c>
      <c r="B583">
        <v>10</v>
      </c>
      <c r="C583" t="s">
        <v>157</v>
      </c>
      <c r="D583" t="s">
        <v>43</v>
      </c>
      <c r="E583" t="s">
        <v>44</v>
      </c>
      <c r="F583" t="s">
        <v>28</v>
      </c>
      <c r="G583">
        <v>1</v>
      </c>
      <c r="H583">
        <v>2</v>
      </c>
      <c r="I583">
        <v>18</v>
      </c>
      <c r="J583" t="s">
        <v>23</v>
      </c>
      <c r="K583" t="s">
        <v>24</v>
      </c>
      <c r="L583">
        <v>52</v>
      </c>
      <c r="M583">
        <v>87.406000000000006</v>
      </c>
      <c r="N583">
        <v>89.975976000000003</v>
      </c>
      <c r="O583">
        <v>28.027000000000001</v>
      </c>
      <c r="P583">
        <v>35.332000000000001</v>
      </c>
      <c r="Q583">
        <v>24.047000000000001</v>
      </c>
      <c r="R583" t="s">
        <v>329</v>
      </c>
      <c r="S583" t="s">
        <v>83</v>
      </c>
      <c r="T583">
        <f>IF(TRIM(Table1[[#This Row],[PitStopLaps]])="",0,
LEN(Table1[[#This Row],[PitStopLaps]])-LEN(SUBSTITUTE(Table1[[#This Row],[PitStopLaps]],",",""))+1)</f>
        <v>2</v>
      </c>
      <c r="U583">
        <f>Table1[[#This Row],[StartPosition]]-Table1[[#This Row],[FinishPosition]]</f>
        <v>-1</v>
      </c>
    </row>
    <row r="584" spans="1:21" x14ac:dyDescent="0.3">
      <c r="A584">
        <v>2019</v>
      </c>
      <c r="B584">
        <v>10</v>
      </c>
      <c r="C584" t="s">
        <v>157</v>
      </c>
      <c r="D584" t="s">
        <v>54</v>
      </c>
      <c r="E584" t="s">
        <v>55</v>
      </c>
      <c r="F584" t="s">
        <v>22</v>
      </c>
      <c r="G584">
        <v>3</v>
      </c>
      <c r="H584">
        <v>3</v>
      </c>
      <c r="I584">
        <v>15</v>
      </c>
      <c r="J584" t="s">
        <v>23</v>
      </c>
      <c r="K584" t="s">
        <v>24</v>
      </c>
      <c r="L584">
        <v>52</v>
      </c>
      <c r="M584">
        <v>89.313000000000002</v>
      </c>
      <c r="N584">
        <v>90.644999999999996</v>
      </c>
      <c r="O584">
        <v>28.158999999999999</v>
      </c>
      <c r="P584">
        <v>36.177999999999997</v>
      </c>
      <c r="Q584">
        <v>24.491</v>
      </c>
      <c r="R584" t="s">
        <v>330</v>
      </c>
      <c r="S584" t="s">
        <v>83</v>
      </c>
      <c r="T584">
        <f>IF(TRIM(Table1[[#This Row],[PitStopLaps]])="",0,
LEN(Table1[[#This Row],[PitStopLaps]])-LEN(SUBSTITUTE(Table1[[#This Row],[PitStopLaps]],",",""))+1)</f>
        <v>2</v>
      </c>
      <c r="U584">
        <f>Table1[[#This Row],[StartPosition]]-Table1[[#This Row],[FinishPosition]]</f>
        <v>0</v>
      </c>
    </row>
    <row r="585" spans="1:21" x14ac:dyDescent="0.3">
      <c r="A585">
        <v>2019</v>
      </c>
      <c r="B585">
        <v>10</v>
      </c>
      <c r="C585" t="s">
        <v>157</v>
      </c>
      <c r="D585" t="s">
        <v>73</v>
      </c>
      <c r="E585" t="s">
        <v>74</v>
      </c>
      <c r="F585" t="s">
        <v>33</v>
      </c>
      <c r="G585">
        <v>5</v>
      </c>
      <c r="H585">
        <v>4</v>
      </c>
      <c r="I585">
        <v>12</v>
      </c>
      <c r="J585" t="s">
        <v>34</v>
      </c>
      <c r="K585" t="s">
        <v>24</v>
      </c>
      <c r="L585">
        <v>52</v>
      </c>
      <c r="M585">
        <v>89.543999999999997</v>
      </c>
      <c r="N585">
        <v>90.848155000000006</v>
      </c>
      <c r="O585">
        <v>28.443999999999999</v>
      </c>
      <c r="P585">
        <v>36.328000000000003</v>
      </c>
      <c r="Q585">
        <v>24.673999999999999</v>
      </c>
      <c r="R585">
        <v>12</v>
      </c>
      <c r="S585" t="s">
        <v>83</v>
      </c>
      <c r="T585">
        <f>IF(TRIM(Table1[[#This Row],[PitStopLaps]])="",0,
LEN(Table1[[#This Row],[PitStopLaps]])-LEN(SUBSTITUTE(Table1[[#This Row],[PitStopLaps]],",",""))+1)</f>
        <v>1</v>
      </c>
      <c r="U585">
        <f>Table1[[#This Row],[StartPosition]]-Table1[[#This Row],[FinishPosition]]</f>
        <v>1</v>
      </c>
    </row>
    <row r="586" spans="1:21" x14ac:dyDescent="0.3">
      <c r="A586">
        <v>2019</v>
      </c>
      <c r="B586">
        <v>10</v>
      </c>
      <c r="C586" t="s">
        <v>157</v>
      </c>
      <c r="D586" t="s">
        <v>38</v>
      </c>
      <c r="E586" t="s">
        <v>39</v>
      </c>
      <c r="F586" t="s">
        <v>33</v>
      </c>
      <c r="G586">
        <v>4</v>
      </c>
      <c r="H586">
        <v>5</v>
      </c>
      <c r="I586">
        <v>10</v>
      </c>
      <c r="J586" t="s">
        <v>34</v>
      </c>
      <c r="K586" t="s">
        <v>24</v>
      </c>
      <c r="L586">
        <v>52</v>
      </c>
      <c r="M586">
        <v>89.272000000000006</v>
      </c>
      <c r="N586">
        <v>90.861465999999993</v>
      </c>
      <c r="O586">
        <v>28.282</v>
      </c>
      <c r="P586">
        <v>36.238999999999997</v>
      </c>
      <c r="Q586">
        <v>24.573</v>
      </c>
      <c r="R586" t="s">
        <v>331</v>
      </c>
      <c r="S586" t="s">
        <v>83</v>
      </c>
      <c r="T586">
        <f>IF(TRIM(Table1[[#This Row],[PitStopLaps]])="",0,
LEN(Table1[[#This Row],[PitStopLaps]])-LEN(SUBSTITUTE(Table1[[#This Row],[PitStopLaps]],",",""))+1)</f>
        <v>2</v>
      </c>
      <c r="U586">
        <f>Table1[[#This Row],[StartPosition]]-Table1[[#This Row],[FinishPosition]]</f>
        <v>-1</v>
      </c>
    </row>
    <row r="587" spans="1:21" x14ac:dyDescent="0.3">
      <c r="A587">
        <v>2019</v>
      </c>
      <c r="B587">
        <v>10</v>
      </c>
      <c r="C587" t="s">
        <v>157</v>
      </c>
      <c r="D587" t="s">
        <v>47</v>
      </c>
      <c r="E587" t="s">
        <v>48</v>
      </c>
      <c r="F587" t="s">
        <v>37</v>
      </c>
      <c r="G587">
        <v>13</v>
      </c>
      <c r="H587">
        <v>6</v>
      </c>
      <c r="I587">
        <v>8</v>
      </c>
      <c r="J587" t="s">
        <v>34</v>
      </c>
      <c r="K587" t="s">
        <v>24</v>
      </c>
      <c r="L587">
        <v>52</v>
      </c>
      <c r="M587">
        <v>89.757000000000005</v>
      </c>
      <c r="N587">
        <v>91.602170000000001</v>
      </c>
      <c r="O587">
        <v>28.672000000000001</v>
      </c>
      <c r="P587">
        <v>36.207000000000001</v>
      </c>
      <c r="Q587">
        <v>24.613</v>
      </c>
      <c r="R587">
        <v>20</v>
      </c>
      <c r="S587" t="s">
        <v>83</v>
      </c>
      <c r="T587">
        <f>IF(TRIM(Table1[[#This Row],[PitStopLaps]])="",0,
LEN(Table1[[#This Row],[PitStopLaps]])-LEN(SUBSTITUTE(Table1[[#This Row],[PitStopLaps]],",",""))+1)</f>
        <v>1</v>
      </c>
      <c r="U587">
        <f>Table1[[#This Row],[StartPosition]]-Table1[[#This Row],[FinishPosition]]</f>
        <v>7</v>
      </c>
    </row>
    <row r="588" spans="1:21" x14ac:dyDescent="0.3">
      <c r="A588">
        <v>2019</v>
      </c>
      <c r="B588">
        <v>10</v>
      </c>
      <c r="C588" t="s">
        <v>157</v>
      </c>
      <c r="D588" t="s">
        <v>31</v>
      </c>
      <c r="E588" t="s">
        <v>32</v>
      </c>
      <c r="F588" t="s">
        <v>42</v>
      </c>
      <c r="G588">
        <v>7</v>
      </c>
      <c r="H588">
        <v>7</v>
      </c>
      <c r="I588">
        <v>6</v>
      </c>
      <c r="J588" t="s">
        <v>34</v>
      </c>
      <c r="K588" t="s">
        <v>24</v>
      </c>
      <c r="L588">
        <v>52</v>
      </c>
      <c r="M588">
        <v>89.623999999999995</v>
      </c>
      <c r="N588">
        <v>91.433154999999999</v>
      </c>
      <c r="O588">
        <v>28.178000000000001</v>
      </c>
      <c r="P588">
        <v>36.447000000000003</v>
      </c>
      <c r="Q588">
        <v>24.681999999999999</v>
      </c>
      <c r="R588" t="s">
        <v>332</v>
      </c>
      <c r="S588" t="s">
        <v>83</v>
      </c>
      <c r="T588">
        <f>IF(TRIM(Table1[[#This Row],[PitStopLaps]])="",0,
LEN(Table1[[#This Row],[PitStopLaps]])-LEN(SUBSTITUTE(Table1[[#This Row],[PitStopLaps]],",",""))+1)</f>
        <v>2</v>
      </c>
      <c r="U588">
        <f>Table1[[#This Row],[StartPosition]]-Table1[[#This Row],[FinishPosition]]</f>
        <v>0</v>
      </c>
    </row>
    <row r="589" spans="1:21" x14ac:dyDescent="0.3">
      <c r="A589">
        <v>2019</v>
      </c>
      <c r="B589">
        <v>10</v>
      </c>
      <c r="C589" t="s">
        <v>157</v>
      </c>
      <c r="D589" t="s">
        <v>29</v>
      </c>
      <c r="E589" t="s">
        <v>30</v>
      </c>
      <c r="F589" t="s">
        <v>243</v>
      </c>
      <c r="G589">
        <v>12</v>
      </c>
      <c r="H589">
        <v>8</v>
      </c>
      <c r="I589">
        <v>4</v>
      </c>
      <c r="J589" t="s">
        <v>34</v>
      </c>
      <c r="K589" t="s">
        <v>24</v>
      </c>
      <c r="L589">
        <v>52</v>
      </c>
      <c r="M589">
        <v>90.034000000000006</v>
      </c>
      <c r="N589">
        <v>91.944511000000006</v>
      </c>
      <c r="O589">
        <v>28.648</v>
      </c>
      <c r="P589">
        <v>36.408000000000001</v>
      </c>
      <c r="Q589">
        <v>24.486000000000001</v>
      </c>
      <c r="R589">
        <v>17</v>
      </c>
      <c r="S589" t="s">
        <v>83</v>
      </c>
      <c r="T589">
        <f>IF(TRIM(Table1[[#This Row],[PitStopLaps]])="",0,
LEN(Table1[[#This Row],[PitStopLaps]])-LEN(SUBSTITUTE(Table1[[#This Row],[PitStopLaps]],",",""))+1)</f>
        <v>1</v>
      </c>
      <c r="U589">
        <f>Table1[[#This Row],[StartPosition]]-Table1[[#This Row],[FinishPosition]]</f>
        <v>4</v>
      </c>
    </row>
    <row r="590" spans="1:21" x14ac:dyDescent="0.3">
      <c r="A590">
        <v>2019</v>
      </c>
      <c r="B590">
        <v>10</v>
      </c>
      <c r="C590" t="s">
        <v>157</v>
      </c>
      <c r="D590" t="s">
        <v>244</v>
      </c>
      <c r="E590" t="s">
        <v>245</v>
      </c>
      <c r="F590" t="s">
        <v>64</v>
      </c>
      <c r="G590">
        <v>17</v>
      </c>
      <c r="H590">
        <v>9</v>
      </c>
      <c r="I590">
        <v>2</v>
      </c>
      <c r="J590" t="s">
        <v>34</v>
      </c>
      <c r="K590" t="s">
        <v>24</v>
      </c>
      <c r="L590">
        <v>52</v>
      </c>
      <c r="M590">
        <v>89.91</v>
      </c>
      <c r="N590">
        <v>91.889043999999998</v>
      </c>
      <c r="O590">
        <v>28.420999999999999</v>
      </c>
      <c r="P590">
        <v>36.380000000000003</v>
      </c>
      <c r="Q590">
        <v>24.48</v>
      </c>
      <c r="R590" t="s">
        <v>333</v>
      </c>
      <c r="S590" t="s">
        <v>83</v>
      </c>
      <c r="T590">
        <f>IF(TRIM(Table1[[#This Row],[PitStopLaps]])="",0,
LEN(Table1[[#This Row],[PitStopLaps]])-LEN(SUBSTITUTE(Table1[[#This Row],[PitStopLaps]],",",""))+1)</f>
        <v>2</v>
      </c>
      <c r="U590">
        <f>Table1[[#This Row],[StartPosition]]-Table1[[#This Row],[FinishPosition]]</f>
        <v>8</v>
      </c>
    </row>
    <row r="591" spans="1:21" x14ac:dyDescent="0.3">
      <c r="A591">
        <v>2019</v>
      </c>
      <c r="B591">
        <v>10</v>
      </c>
      <c r="C591" t="s">
        <v>157</v>
      </c>
      <c r="D591" t="s">
        <v>40</v>
      </c>
      <c r="E591" t="s">
        <v>41</v>
      </c>
      <c r="F591" t="s">
        <v>42</v>
      </c>
      <c r="G591">
        <v>10</v>
      </c>
      <c r="H591">
        <v>10</v>
      </c>
      <c r="I591">
        <v>1</v>
      </c>
      <c r="J591" t="s">
        <v>34</v>
      </c>
      <c r="K591" t="s">
        <v>24</v>
      </c>
      <c r="L591">
        <v>52</v>
      </c>
      <c r="M591">
        <v>89.948999999999998</v>
      </c>
      <c r="N591">
        <v>91.939421999999993</v>
      </c>
      <c r="O591">
        <v>28.422000000000001</v>
      </c>
      <c r="P591">
        <v>36.558999999999997</v>
      </c>
      <c r="Q591">
        <v>24.414999999999999</v>
      </c>
      <c r="R591">
        <v>13</v>
      </c>
      <c r="S591" t="s">
        <v>83</v>
      </c>
      <c r="T591">
        <f>IF(TRIM(Table1[[#This Row],[PitStopLaps]])="",0,
LEN(Table1[[#This Row],[PitStopLaps]])-LEN(SUBSTITUTE(Table1[[#This Row],[PitStopLaps]],",",""))+1)</f>
        <v>1</v>
      </c>
      <c r="U591">
        <f>Table1[[#This Row],[StartPosition]]-Table1[[#This Row],[FinishPosition]]</f>
        <v>0</v>
      </c>
    </row>
    <row r="592" spans="1:21" x14ac:dyDescent="0.3">
      <c r="A592">
        <v>2019</v>
      </c>
      <c r="B592">
        <v>10</v>
      </c>
      <c r="C592" t="s">
        <v>157</v>
      </c>
      <c r="D592" t="s">
        <v>246</v>
      </c>
      <c r="E592" t="s">
        <v>247</v>
      </c>
      <c r="F592" t="s">
        <v>37</v>
      </c>
      <c r="G592">
        <v>8</v>
      </c>
      <c r="H592">
        <v>11</v>
      </c>
      <c r="I592">
        <v>0</v>
      </c>
      <c r="J592" t="s">
        <v>34</v>
      </c>
      <c r="K592" t="s">
        <v>24</v>
      </c>
      <c r="L592">
        <v>52</v>
      </c>
      <c r="M592">
        <v>89.635999999999996</v>
      </c>
      <c r="N592">
        <v>91.512208999999999</v>
      </c>
      <c r="O592">
        <v>28.356000000000002</v>
      </c>
      <c r="P592">
        <v>36.223999999999997</v>
      </c>
      <c r="Q592">
        <v>24.498000000000001</v>
      </c>
      <c r="R592" t="s">
        <v>334</v>
      </c>
      <c r="S592" t="s">
        <v>83</v>
      </c>
      <c r="T592">
        <f>IF(TRIM(Table1[[#This Row],[PitStopLaps]])="",0,
LEN(Table1[[#This Row],[PitStopLaps]])-LEN(SUBSTITUTE(Table1[[#This Row],[PitStopLaps]],",",""))+1)</f>
        <v>2</v>
      </c>
      <c r="U592">
        <f>Table1[[#This Row],[StartPosition]]-Table1[[#This Row],[FinishPosition]]</f>
        <v>-3</v>
      </c>
    </row>
    <row r="593" spans="1:21" x14ac:dyDescent="0.3">
      <c r="A593">
        <v>2019</v>
      </c>
      <c r="B593">
        <v>10</v>
      </c>
      <c r="C593" t="s">
        <v>157</v>
      </c>
      <c r="D593" t="s">
        <v>248</v>
      </c>
      <c r="E593" t="s">
        <v>249</v>
      </c>
      <c r="F593" t="s">
        <v>64</v>
      </c>
      <c r="G593">
        <v>9</v>
      </c>
      <c r="H593">
        <v>12</v>
      </c>
      <c r="I593">
        <v>0</v>
      </c>
      <c r="J593" t="s">
        <v>34</v>
      </c>
      <c r="K593" t="s">
        <v>24</v>
      </c>
      <c r="L593">
        <v>52</v>
      </c>
      <c r="M593">
        <v>90.872</v>
      </c>
      <c r="N593">
        <v>91.986110999999994</v>
      </c>
      <c r="O593">
        <v>28.533000000000001</v>
      </c>
      <c r="P593">
        <v>37.063000000000002</v>
      </c>
      <c r="Q593">
        <v>24.969000000000001</v>
      </c>
      <c r="R593">
        <v>13</v>
      </c>
      <c r="S593" t="s">
        <v>83</v>
      </c>
      <c r="T593">
        <f>IF(TRIM(Table1[[#This Row],[PitStopLaps]])="",0,
LEN(Table1[[#This Row],[PitStopLaps]])-LEN(SUBSTITUTE(Table1[[#This Row],[PitStopLaps]],",",""))+1)</f>
        <v>1</v>
      </c>
      <c r="U593">
        <f>Table1[[#This Row],[StartPosition]]-Table1[[#This Row],[FinishPosition]]</f>
        <v>-3</v>
      </c>
    </row>
    <row r="594" spans="1:21" x14ac:dyDescent="0.3">
      <c r="A594">
        <v>2019</v>
      </c>
      <c r="B594">
        <v>10</v>
      </c>
      <c r="C594" t="s">
        <v>157</v>
      </c>
      <c r="D594" t="s">
        <v>58</v>
      </c>
      <c r="E594" t="s">
        <v>59</v>
      </c>
      <c r="F594" t="s">
        <v>192</v>
      </c>
      <c r="G594">
        <v>18</v>
      </c>
      <c r="H594">
        <v>13</v>
      </c>
      <c r="I594">
        <v>0</v>
      </c>
      <c r="J594" t="s">
        <v>34</v>
      </c>
      <c r="K594" t="s">
        <v>24</v>
      </c>
      <c r="L594">
        <v>52</v>
      </c>
      <c r="M594">
        <v>89.39</v>
      </c>
      <c r="N594">
        <v>91.758045999999993</v>
      </c>
      <c r="O594">
        <v>28.484999999999999</v>
      </c>
      <c r="P594">
        <v>36.106000000000002</v>
      </c>
      <c r="Q594">
        <v>24.638999999999999</v>
      </c>
      <c r="R594" t="s">
        <v>335</v>
      </c>
      <c r="S594" t="s">
        <v>83</v>
      </c>
      <c r="T594">
        <f>IF(TRIM(Table1[[#This Row],[PitStopLaps]])="",0,
LEN(Table1[[#This Row],[PitStopLaps]])-LEN(SUBSTITUTE(Table1[[#This Row],[PitStopLaps]],",",""))+1)</f>
        <v>2</v>
      </c>
      <c r="U594">
        <f>Table1[[#This Row],[StartPosition]]-Table1[[#This Row],[FinishPosition]]</f>
        <v>5</v>
      </c>
    </row>
    <row r="595" spans="1:21" x14ac:dyDescent="0.3">
      <c r="A595">
        <v>2019</v>
      </c>
      <c r="B595">
        <v>10</v>
      </c>
      <c r="C595" t="s">
        <v>157</v>
      </c>
      <c r="D595" t="s">
        <v>252</v>
      </c>
      <c r="E595" t="s">
        <v>253</v>
      </c>
      <c r="F595" t="s">
        <v>60</v>
      </c>
      <c r="G595">
        <v>19</v>
      </c>
      <c r="H595">
        <v>14</v>
      </c>
      <c r="I595">
        <v>0</v>
      </c>
      <c r="J595" t="s">
        <v>34</v>
      </c>
      <c r="K595" t="s">
        <v>65</v>
      </c>
      <c r="L595">
        <v>51</v>
      </c>
      <c r="M595">
        <v>91.013000000000005</v>
      </c>
      <c r="N595">
        <v>93.219565000000003</v>
      </c>
      <c r="O595">
        <v>28.992000000000001</v>
      </c>
      <c r="P595">
        <v>36.893000000000001</v>
      </c>
      <c r="Q595">
        <v>25.128</v>
      </c>
      <c r="R595">
        <v>21</v>
      </c>
      <c r="S595" t="s">
        <v>83</v>
      </c>
      <c r="T595">
        <f>IF(TRIM(Table1[[#This Row],[PitStopLaps]])="",0,
LEN(Table1[[#This Row],[PitStopLaps]])-LEN(SUBSTITUTE(Table1[[#This Row],[PitStopLaps]],",",""))+1)</f>
        <v>1</v>
      </c>
      <c r="U595">
        <f>Table1[[#This Row],[StartPosition]]-Table1[[#This Row],[FinishPosition]]</f>
        <v>5</v>
      </c>
    </row>
    <row r="596" spans="1:21" x14ac:dyDescent="0.3">
      <c r="A596">
        <v>2019</v>
      </c>
      <c r="B596">
        <v>10</v>
      </c>
      <c r="C596" t="s">
        <v>157</v>
      </c>
      <c r="D596" t="s">
        <v>255</v>
      </c>
      <c r="E596" t="s">
        <v>256</v>
      </c>
      <c r="F596" t="s">
        <v>60</v>
      </c>
      <c r="G596">
        <v>20</v>
      </c>
      <c r="H596">
        <v>15</v>
      </c>
      <c r="I596">
        <v>0</v>
      </c>
      <c r="J596" t="s">
        <v>34</v>
      </c>
      <c r="K596" t="s">
        <v>65</v>
      </c>
      <c r="L596">
        <v>51</v>
      </c>
      <c r="M596">
        <v>91.509</v>
      </c>
      <c r="N596">
        <v>93.563064999999995</v>
      </c>
      <c r="O596">
        <v>29.065999999999999</v>
      </c>
      <c r="P596">
        <v>37.154000000000003</v>
      </c>
      <c r="Q596">
        <v>25.132999999999999</v>
      </c>
      <c r="R596">
        <v>20</v>
      </c>
      <c r="S596" t="s">
        <v>83</v>
      </c>
      <c r="T596">
        <f>IF(TRIM(Table1[[#This Row],[PitStopLaps]])="",0,
LEN(Table1[[#This Row],[PitStopLaps]])-LEN(SUBSTITUTE(Table1[[#This Row],[PitStopLaps]],",",""))+1)</f>
        <v>1</v>
      </c>
      <c r="U596">
        <f>Table1[[#This Row],[StartPosition]]-Table1[[#This Row],[FinishPosition]]</f>
        <v>5</v>
      </c>
    </row>
    <row r="597" spans="1:21" x14ac:dyDescent="0.3">
      <c r="A597">
        <v>2019</v>
      </c>
      <c r="B597">
        <v>10</v>
      </c>
      <c r="C597" t="s">
        <v>157</v>
      </c>
      <c r="D597" t="s">
        <v>20</v>
      </c>
      <c r="E597" t="s">
        <v>21</v>
      </c>
      <c r="F597" t="s">
        <v>22</v>
      </c>
      <c r="G597">
        <v>6</v>
      </c>
      <c r="H597">
        <v>16</v>
      </c>
      <c r="I597">
        <v>0</v>
      </c>
      <c r="J597" t="s">
        <v>34</v>
      </c>
      <c r="K597" t="s">
        <v>65</v>
      </c>
      <c r="L597">
        <v>51</v>
      </c>
      <c r="M597">
        <v>88.733000000000004</v>
      </c>
      <c r="N597">
        <v>90.972204000000005</v>
      </c>
      <c r="O597">
        <v>28.358000000000001</v>
      </c>
      <c r="P597">
        <v>35.875</v>
      </c>
      <c r="Q597">
        <v>24.297000000000001</v>
      </c>
      <c r="R597" t="s">
        <v>336</v>
      </c>
      <c r="S597" t="s">
        <v>83</v>
      </c>
      <c r="T597">
        <f>IF(TRIM(Table1[[#This Row],[PitStopLaps]])="",0,
LEN(Table1[[#This Row],[PitStopLaps]])-LEN(SUBSTITUTE(Table1[[#This Row],[PitStopLaps]],",",""))+1)</f>
        <v>2</v>
      </c>
      <c r="U597">
        <f>Table1[[#This Row],[StartPosition]]-Table1[[#This Row],[FinishPosition]]</f>
        <v>-10</v>
      </c>
    </row>
    <row r="598" spans="1:21" x14ac:dyDescent="0.3">
      <c r="A598">
        <v>2019</v>
      </c>
      <c r="B598">
        <v>10</v>
      </c>
      <c r="C598" t="s">
        <v>157</v>
      </c>
      <c r="D598" t="s">
        <v>49</v>
      </c>
      <c r="E598" t="s">
        <v>50</v>
      </c>
      <c r="F598" t="s">
        <v>192</v>
      </c>
      <c r="G598">
        <v>15</v>
      </c>
      <c r="H598">
        <v>17</v>
      </c>
      <c r="I598">
        <v>0</v>
      </c>
      <c r="J598" t="s">
        <v>34</v>
      </c>
      <c r="K598" t="s">
        <v>65</v>
      </c>
      <c r="L598">
        <v>51</v>
      </c>
      <c r="M598">
        <v>89.456000000000003</v>
      </c>
      <c r="N598">
        <v>91.800725</v>
      </c>
      <c r="O598">
        <v>28.431999999999999</v>
      </c>
      <c r="P598">
        <v>36.253999999999998</v>
      </c>
      <c r="Q598">
        <v>24.728000000000002</v>
      </c>
      <c r="R598" t="s">
        <v>337</v>
      </c>
      <c r="S598" t="s">
        <v>83</v>
      </c>
      <c r="T598">
        <f>IF(TRIM(Table1[[#This Row],[PitStopLaps]])="",0,
LEN(Table1[[#This Row],[PitStopLaps]])-LEN(SUBSTITUTE(Table1[[#This Row],[PitStopLaps]],",",""))+1)</f>
        <v>3</v>
      </c>
      <c r="U598">
        <f>Table1[[#This Row],[StartPosition]]-Table1[[#This Row],[FinishPosition]]</f>
        <v>-2</v>
      </c>
    </row>
    <row r="599" spans="1:21" x14ac:dyDescent="0.3">
      <c r="A599">
        <v>2019</v>
      </c>
      <c r="B599">
        <v>10</v>
      </c>
      <c r="C599" t="s">
        <v>157</v>
      </c>
      <c r="D599" t="s">
        <v>250</v>
      </c>
      <c r="E599" t="s">
        <v>251</v>
      </c>
      <c r="F599" t="s">
        <v>243</v>
      </c>
      <c r="G599">
        <v>11</v>
      </c>
      <c r="H599">
        <v>18</v>
      </c>
      <c r="I599">
        <v>0</v>
      </c>
      <c r="J599" t="s">
        <v>34</v>
      </c>
      <c r="K599" t="s">
        <v>338</v>
      </c>
      <c r="L599">
        <v>19</v>
      </c>
      <c r="M599">
        <v>92.463999999999999</v>
      </c>
      <c r="N599">
        <v>93.440293999999994</v>
      </c>
      <c r="O599">
        <v>29.242999999999999</v>
      </c>
      <c r="P599">
        <v>37.482999999999997</v>
      </c>
      <c r="Q599">
        <v>25.363</v>
      </c>
      <c r="S599" t="s">
        <v>83</v>
      </c>
      <c r="T599">
        <f>IF(TRIM(Table1[[#This Row],[PitStopLaps]])="",0,
LEN(Table1[[#This Row],[PitStopLaps]])-LEN(SUBSTITUTE(Table1[[#This Row],[PitStopLaps]],",",""))+1)</f>
        <v>0</v>
      </c>
      <c r="U599">
        <f>Table1[[#This Row],[StartPosition]]-Table1[[#This Row],[FinishPosition]]</f>
        <v>-7</v>
      </c>
    </row>
    <row r="600" spans="1:21" x14ac:dyDescent="0.3">
      <c r="A600">
        <v>2019</v>
      </c>
      <c r="B600">
        <v>10</v>
      </c>
      <c r="C600" t="s">
        <v>157</v>
      </c>
      <c r="D600" t="s">
        <v>67</v>
      </c>
      <c r="E600" t="s">
        <v>68</v>
      </c>
      <c r="F600" t="s">
        <v>69</v>
      </c>
      <c r="G600">
        <v>14</v>
      </c>
      <c r="H600">
        <v>19</v>
      </c>
      <c r="I600">
        <v>0</v>
      </c>
      <c r="J600" t="s">
        <v>34</v>
      </c>
      <c r="K600" t="s">
        <v>124</v>
      </c>
      <c r="L600">
        <v>9</v>
      </c>
      <c r="M600">
        <v>94.35</v>
      </c>
      <c r="N600">
        <v>95.169832999999997</v>
      </c>
      <c r="O600">
        <v>29.773</v>
      </c>
      <c r="P600">
        <v>38.505000000000003</v>
      </c>
      <c r="Q600">
        <v>25.832000000000001</v>
      </c>
      <c r="R600" t="s">
        <v>339</v>
      </c>
      <c r="S600" t="s">
        <v>83</v>
      </c>
      <c r="T600">
        <f>IF(TRIM(Table1[[#This Row],[PitStopLaps]])="",0,
LEN(Table1[[#This Row],[PitStopLaps]])-LEN(SUBSTITUTE(Table1[[#This Row],[PitStopLaps]],",",""))+1)</f>
        <v>2</v>
      </c>
      <c r="U600">
        <f>Table1[[#This Row],[StartPosition]]-Table1[[#This Row],[FinishPosition]]</f>
        <v>-5</v>
      </c>
    </row>
    <row r="601" spans="1:21" x14ac:dyDescent="0.3">
      <c r="A601">
        <v>2019</v>
      </c>
      <c r="B601">
        <v>10</v>
      </c>
      <c r="C601" t="s">
        <v>157</v>
      </c>
      <c r="D601" t="s">
        <v>71</v>
      </c>
      <c r="E601" t="s">
        <v>72</v>
      </c>
      <c r="F601" t="s">
        <v>69</v>
      </c>
      <c r="G601">
        <v>16</v>
      </c>
      <c r="H601">
        <v>20</v>
      </c>
      <c r="I601">
        <v>0</v>
      </c>
      <c r="J601" t="s">
        <v>34</v>
      </c>
      <c r="K601" t="s">
        <v>124</v>
      </c>
      <c r="L601">
        <v>6</v>
      </c>
      <c r="M601">
        <v>93.424999999999997</v>
      </c>
      <c r="N601">
        <v>99.087333000000001</v>
      </c>
      <c r="O601">
        <v>29.658000000000001</v>
      </c>
      <c r="P601">
        <v>37.950000000000003</v>
      </c>
      <c r="Q601">
        <v>25.678999999999998</v>
      </c>
      <c r="R601" t="s">
        <v>340</v>
      </c>
      <c r="S601" t="s">
        <v>83</v>
      </c>
      <c r="T601">
        <f>IF(TRIM(Table1[[#This Row],[PitStopLaps]])="",0,
LEN(Table1[[#This Row],[PitStopLaps]])-LEN(SUBSTITUTE(Table1[[#This Row],[PitStopLaps]],",",""))+1)</f>
        <v>2</v>
      </c>
      <c r="U601">
        <f>Table1[[#This Row],[StartPosition]]-Table1[[#This Row],[FinishPosition]]</f>
        <v>-4</v>
      </c>
    </row>
    <row r="602" spans="1:21" x14ac:dyDescent="0.3">
      <c r="A602">
        <v>2019</v>
      </c>
      <c r="B602">
        <v>11</v>
      </c>
      <c r="C602" t="s">
        <v>168</v>
      </c>
      <c r="D602" t="s">
        <v>38</v>
      </c>
      <c r="E602" t="s">
        <v>39</v>
      </c>
      <c r="F602" t="s">
        <v>33</v>
      </c>
      <c r="G602">
        <v>2</v>
      </c>
      <c r="H602">
        <v>1</v>
      </c>
      <c r="I602">
        <v>26</v>
      </c>
      <c r="J602" t="s">
        <v>23</v>
      </c>
      <c r="K602" t="s">
        <v>24</v>
      </c>
      <c r="L602">
        <v>64</v>
      </c>
      <c r="M602">
        <v>76.644999999999996</v>
      </c>
      <c r="N602">
        <v>86.191749999999999</v>
      </c>
      <c r="O602">
        <v>16.835000000000001</v>
      </c>
      <c r="P602">
        <v>36.433999999999997</v>
      </c>
      <c r="Q602">
        <v>23.295000000000002</v>
      </c>
      <c r="R602" t="s">
        <v>341</v>
      </c>
      <c r="S602" t="s">
        <v>25</v>
      </c>
      <c r="T602">
        <f>IF(TRIM(Table1[[#This Row],[PitStopLaps]])="",0,
LEN(Table1[[#This Row],[PitStopLaps]])-LEN(SUBSTITUTE(Table1[[#This Row],[PitStopLaps]],",",""))+1)</f>
        <v>5</v>
      </c>
      <c r="U602">
        <f>Table1[[#This Row],[StartPosition]]-Table1[[#This Row],[FinishPosition]]</f>
        <v>1</v>
      </c>
    </row>
    <row r="603" spans="1:21" x14ac:dyDescent="0.3">
      <c r="A603">
        <v>2019</v>
      </c>
      <c r="B603">
        <v>11</v>
      </c>
      <c r="C603" t="s">
        <v>168</v>
      </c>
      <c r="D603" t="s">
        <v>20</v>
      </c>
      <c r="E603" t="s">
        <v>21</v>
      </c>
      <c r="F603" t="s">
        <v>22</v>
      </c>
      <c r="G603">
        <v>20</v>
      </c>
      <c r="H603">
        <v>2</v>
      </c>
      <c r="I603">
        <v>18</v>
      </c>
      <c r="J603" t="s">
        <v>23</v>
      </c>
      <c r="K603" t="s">
        <v>24</v>
      </c>
      <c r="L603">
        <v>64</v>
      </c>
      <c r="M603">
        <v>76.793999999999997</v>
      </c>
      <c r="N603">
        <v>87.782224999999997</v>
      </c>
      <c r="O603">
        <v>16.838000000000001</v>
      </c>
      <c r="P603">
        <v>35.997</v>
      </c>
      <c r="Q603">
        <v>23.765000000000001</v>
      </c>
      <c r="R603" t="s">
        <v>342</v>
      </c>
      <c r="S603" t="s">
        <v>25</v>
      </c>
      <c r="T603">
        <f>IF(TRIM(Table1[[#This Row],[PitStopLaps]])="",0,
LEN(Table1[[#This Row],[PitStopLaps]])-LEN(SUBSTITUTE(Table1[[#This Row],[PitStopLaps]],",",""))+1)</f>
        <v>5</v>
      </c>
      <c r="U603">
        <f>Table1[[#This Row],[StartPosition]]-Table1[[#This Row],[FinishPosition]]</f>
        <v>18</v>
      </c>
    </row>
    <row r="604" spans="1:21" x14ac:dyDescent="0.3">
      <c r="A604">
        <v>2019</v>
      </c>
      <c r="B604">
        <v>11</v>
      </c>
      <c r="C604" t="s">
        <v>168</v>
      </c>
      <c r="D604" t="s">
        <v>244</v>
      </c>
      <c r="E604" t="s">
        <v>245</v>
      </c>
      <c r="F604" t="s">
        <v>64</v>
      </c>
      <c r="G604">
        <v>14</v>
      </c>
      <c r="H604">
        <v>3</v>
      </c>
      <c r="I604">
        <v>15</v>
      </c>
      <c r="J604" t="s">
        <v>23</v>
      </c>
      <c r="K604" t="s">
        <v>24</v>
      </c>
      <c r="L604">
        <v>64</v>
      </c>
      <c r="M604">
        <v>77.707999999999998</v>
      </c>
      <c r="N604">
        <v>88.346682000000001</v>
      </c>
      <c r="O604">
        <v>17.013999999999999</v>
      </c>
      <c r="P604">
        <v>36.741999999999997</v>
      </c>
      <c r="Q604">
        <v>23.763999999999999</v>
      </c>
      <c r="R604" t="s">
        <v>343</v>
      </c>
      <c r="S604" t="s">
        <v>25</v>
      </c>
      <c r="T604">
        <f>IF(TRIM(Table1[[#This Row],[PitStopLaps]])="",0,
LEN(Table1[[#This Row],[PitStopLaps]])-LEN(SUBSTITUTE(Table1[[#This Row],[PitStopLaps]],",",""))+1)</f>
        <v>4</v>
      </c>
      <c r="U604">
        <f>Table1[[#This Row],[StartPosition]]-Table1[[#This Row],[FinishPosition]]</f>
        <v>11</v>
      </c>
    </row>
    <row r="605" spans="1:21" x14ac:dyDescent="0.3">
      <c r="A605">
        <v>2019</v>
      </c>
      <c r="B605">
        <v>11</v>
      </c>
      <c r="C605" t="s">
        <v>168</v>
      </c>
      <c r="D605" t="s">
        <v>58</v>
      </c>
      <c r="E605" t="s">
        <v>59</v>
      </c>
      <c r="F605" t="s">
        <v>192</v>
      </c>
      <c r="G605">
        <v>15</v>
      </c>
      <c r="H605">
        <v>4</v>
      </c>
      <c r="I605">
        <v>12</v>
      </c>
      <c r="J605" t="s">
        <v>34</v>
      </c>
      <c r="K605" t="s">
        <v>24</v>
      </c>
      <c r="L605">
        <v>64</v>
      </c>
      <c r="M605">
        <v>77.831000000000003</v>
      </c>
      <c r="N605">
        <v>87.778762999999998</v>
      </c>
      <c r="O605">
        <v>17.001000000000001</v>
      </c>
      <c r="P605">
        <v>36.713000000000001</v>
      </c>
      <c r="Q605">
        <v>24.004000000000001</v>
      </c>
      <c r="R605" t="s">
        <v>344</v>
      </c>
      <c r="S605" t="s">
        <v>25</v>
      </c>
      <c r="T605">
        <f>IF(TRIM(Table1[[#This Row],[PitStopLaps]])="",0,
LEN(Table1[[#This Row],[PitStopLaps]])-LEN(SUBSTITUTE(Table1[[#This Row],[PitStopLaps]],",",""))+1)</f>
        <v>5</v>
      </c>
      <c r="U605">
        <f>Table1[[#This Row],[StartPosition]]-Table1[[#This Row],[FinishPosition]]</f>
        <v>11</v>
      </c>
    </row>
    <row r="606" spans="1:21" x14ac:dyDescent="0.3">
      <c r="A606">
        <v>2019</v>
      </c>
      <c r="B606">
        <v>11</v>
      </c>
      <c r="C606" t="s">
        <v>168</v>
      </c>
      <c r="D606" t="s">
        <v>47</v>
      </c>
      <c r="E606" t="s">
        <v>48</v>
      </c>
      <c r="F606" t="s">
        <v>37</v>
      </c>
      <c r="G606">
        <v>7</v>
      </c>
      <c r="H606">
        <v>5</v>
      </c>
      <c r="I606">
        <v>10</v>
      </c>
      <c r="J606" t="s">
        <v>34</v>
      </c>
      <c r="K606" t="s">
        <v>24</v>
      </c>
      <c r="L606">
        <v>64</v>
      </c>
      <c r="M606">
        <v>77.840999999999994</v>
      </c>
      <c r="N606">
        <v>88.748761000000002</v>
      </c>
      <c r="O606">
        <v>17.099</v>
      </c>
      <c r="P606">
        <v>36.664000000000001</v>
      </c>
      <c r="Q606">
        <v>24.018999999999998</v>
      </c>
      <c r="R606" t="s">
        <v>345</v>
      </c>
      <c r="S606" t="s">
        <v>25</v>
      </c>
      <c r="T606">
        <f>IF(TRIM(Table1[[#This Row],[PitStopLaps]])="",0,
LEN(Table1[[#This Row],[PitStopLaps]])-LEN(SUBSTITUTE(Table1[[#This Row],[PitStopLaps]],",",""))+1)</f>
        <v>3</v>
      </c>
      <c r="U606">
        <f>Table1[[#This Row],[StartPosition]]-Table1[[#This Row],[FinishPosition]]</f>
        <v>2</v>
      </c>
    </row>
    <row r="607" spans="1:21" x14ac:dyDescent="0.3">
      <c r="A607">
        <v>2019</v>
      </c>
      <c r="B607">
        <v>11</v>
      </c>
      <c r="C607" t="s">
        <v>168</v>
      </c>
      <c r="D607" t="s">
        <v>248</v>
      </c>
      <c r="E607" t="s">
        <v>249</v>
      </c>
      <c r="F607" t="s">
        <v>64</v>
      </c>
      <c r="G607">
        <v>16</v>
      </c>
      <c r="H607">
        <v>6</v>
      </c>
      <c r="I607">
        <v>8</v>
      </c>
      <c r="J607" t="s">
        <v>34</v>
      </c>
      <c r="K607" t="s">
        <v>24</v>
      </c>
      <c r="L607">
        <v>64</v>
      </c>
      <c r="M607">
        <v>77.849999999999994</v>
      </c>
      <c r="N607">
        <v>87.980046999999999</v>
      </c>
      <c r="O607">
        <v>16.905000000000001</v>
      </c>
      <c r="P607">
        <v>36.465000000000003</v>
      </c>
      <c r="Q607">
        <v>23.899000000000001</v>
      </c>
      <c r="R607" t="s">
        <v>346</v>
      </c>
      <c r="S607" t="s">
        <v>25</v>
      </c>
      <c r="T607">
        <f>IF(TRIM(Table1[[#This Row],[PitStopLaps]])="",0,
LEN(Table1[[#This Row],[PitStopLaps]])-LEN(SUBSTITUTE(Table1[[#This Row],[PitStopLaps]],",",""))+1)</f>
        <v>4</v>
      </c>
      <c r="U607">
        <f>Table1[[#This Row],[StartPosition]]-Table1[[#This Row],[FinishPosition]]</f>
        <v>10</v>
      </c>
    </row>
    <row r="608" spans="1:21" x14ac:dyDescent="0.3">
      <c r="A608">
        <v>2019</v>
      </c>
      <c r="B608">
        <v>11</v>
      </c>
      <c r="C608" t="s">
        <v>168</v>
      </c>
      <c r="D608" t="s">
        <v>67</v>
      </c>
      <c r="E608" t="s">
        <v>68</v>
      </c>
      <c r="F608" t="s">
        <v>69</v>
      </c>
      <c r="G608">
        <v>6</v>
      </c>
      <c r="H608">
        <v>7</v>
      </c>
      <c r="I608">
        <v>6</v>
      </c>
      <c r="J608" t="s">
        <v>34</v>
      </c>
      <c r="K608" t="s">
        <v>24</v>
      </c>
      <c r="L608">
        <v>64</v>
      </c>
      <c r="M608">
        <v>78.811000000000007</v>
      </c>
      <c r="N608">
        <v>88.919145999999998</v>
      </c>
      <c r="O608">
        <v>17.265000000000001</v>
      </c>
      <c r="P608">
        <v>37.204000000000001</v>
      </c>
      <c r="Q608">
        <v>24.184999999999999</v>
      </c>
      <c r="R608" t="s">
        <v>347</v>
      </c>
      <c r="S608" t="s">
        <v>25</v>
      </c>
      <c r="T608">
        <f>IF(TRIM(Table1[[#This Row],[PitStopLaps]])="",0,
LEN(Table1[[#This Row],[PitStopLaps]])-LEN(SUBSTITUTE(Table1[[#This Row],[PitStopLaps]],",",""))+1)</f>
        <v>5</v>
      </c>
      <c r="U608">
        <f>Table1[[#This Row],[StartPosition]]-Table1[[#This Row],[FinishPosition]]</f>
        <v>-1</v>
      </c>
    </row>
    <row r="609" spans="1:21" x14ac:dyDescent="0.3">
      <c r="A609">
        <v>2019</v>
      </c>
      <c r="B609">
        <v>11</v>
      </c>
      <c r="C609" t="s">
        <v>168</v>
      </c>
      <c r="D609" t="s">
        <v>71</v>
      </c>
      <c r="E609" t="s">
        <v>72</v>
      </c>
      <c r="F609" t="s">
        <v>69</v>
      </c>
      <c r="G609">
        <v>12</v>
      </c>
      <c r="H609">
        <v>8</v>
      </c>
      <c r="I609">
        <v>4</v>
      </c>
      <c r="J609" t="s">
        <v>34</v>
      </c>
      <c r="K609" t="s">
        <v>24</v>
      </c>
      <c r="L609">
        <v>64</v>
      </c>
      <c r="M609">
        <v>79.061999999999998</v>
      </c>
      <c r="N609">
        <v>88.471675000000005</v>
      </c>
      <c r="O609">
        <v>17.32</v>
      </c>
      <c r="P609">
        <v>37.223999999999997</v>
      </c>
      <c r="Q609">
        <v>24.332000000000001</v>
      </c>
      <c r="R609" t="s">
        <v>348</v>
      </c>
      <c r="S609" t="s">
        <v>25</v>
      </c>
      <c r="T609">
        <f>IF(TRIM(Table1[[#This Row],[PitStopLaps]])="",0,
LEN(Table1[[#This Row],[PitStopLaps]])-LEN(SUBSTITUTE(Table1[[#This Row],[PitStopLaps]],",",""))+1)</f>
        <v>6</v>
      </c>
      <c r="U609">
        <f>Table1[[#This Row],[StartPosition]]-Table1[[#This Row],[FinishPosition]]</f>
        <v>4</v>
      </c>
    </row>
    <row r="610" spans="1:21" x14ac:dyDescent="0.3">
      <c r="A610">
        <v>2019</v>
      </c>
      <c r="B610">
        <v>11</v>
      </c>
      <c r="C610" t="s">
        <v>168</v>
      </c>
      <c r="D610" t="s">
        <v>26</v>
      </c>
      <c r="E610" t="s">
        <v>27</v>
      </c>
      <c r="F610" t="s">
        <v>28</v>
      </c>
      <c r="G610">
        <v>1</v>
      </c>
      <c r="H610">
        <v>9</v>
      </c>
      <c r="I610">
        <v>2</v>
      </c>
      <c r="J610" t="s">
        <v>34</v>
      </c>
      <c r="K610" t="s">
        <v>24</v>
      </c>
      <c r="L610">
        <v>64</v>
      </c>
      <c r="M610">
        <v>77.484999999999999</v>
      </c>
      <c r="N610">
        <v>87.742199999999997</v>
      </c>
      <c r="O610">
        <v>17.004000000000001</v>
      </c>
      <c r="P610">
        <v>36.500999999999998</v>
      </c>
      <c r="Q610">
        <v>23.693999999999999</v>
      </c>
      <c r="R610" t="s">
        <v>349</v>
      </c>
      <c r="S610" t="s">
        <v>25</v>
      </c>
      <c r="T610">
        <f>IF(TRIM(Table1[[#This Row],[PitStopLaps]])="",0,
LEN(Table1[[#This Row],[PitStopLaps]])-LEN(SUBSTITUTE(Table1[[#This Row],[PitStopLaps]],",",""))+1)</f>
        <v>6</v>
      </c>
      <c r="U610">
        <f>Table1[[#This Row],[StartPosition]]-Table1[[#This Row],[FinishPosition]]</f>
        <v>-8</v>
      </c>
    </row>
    <row r="611" spans="1:21" x14ac:dyDescent="0.3">
      <c r="A611">
        <v>2019</v>
      </c>
      <c r="B611">
        <v>11</v>
      </c>
      <c r="C611" t="s">
        <v>168</v>
      </c>
      <c r="D611" t="s">
        <v>255</v>
      </c>
      <c r="E611" t="s">
        <v>256</v>
      </c>
      <c r="F611" t="s">
        <v>60</v>
      </c>
      <c r="G611">
        <v>18</v>
      </c>
      <c r="H611">
        <v>10</v>
      </c>
      <c r="I611">
        <v>1</v>
      </c>
      <c r="J611" t="s">
        <v>34</v>
      </c>
      <c r="K611" t="s">
        <v>24</v>
      </c>
      <c r="L611">
        <v>64</v>
      </c>
      <c r="M611">
        <v>79.563000000000002</v>
      </c>
      <c r="N611">
        <v>89.996793999999994</v>
      </c>
      <c r="O611">
        <v>17.437000000000001</v>
      </c>
      <c r="P611">
        <v>37.319000000000003</v>
      </c>
      <c r="Q611">
        <v>24.428000000000001</v>
      </c>
      <c r="R611" t="s">
        <v>350</v>
      </c>
      <c r="S611" t="s">
        <v>25</v>
      </c>
      <c r="T611">
        <f>IF(TRIM(Table1[[#This Row],[PitStopLaps]])="",0,
LEN(Table1[[#This Row],[PitStopLaps]])-LEN(SUBSTITUTE(Table1[[#This Row],[PitStopLaps]],",",""))+1)</f>
        <v>5</v>
      </c>
      <c r="U611">
        <f>Table1[[#This Row],[StartPosition]]-Table1[[#This Row],[FinishPosition]]</f>
        <v>8</v>
      </c>
    </row>
    <row r="612" spans="1:21" x14ac:dyDescent="0.3">
      <c r="A612">
        <v>2019</v>
      </c>
      <c r="B612">
        <v>11</v>
      </c>
      <c r="C612" t="s">
        <v>168</v>
      </c>
      <c r="D612" t="s">
        <v>252</v>
      </c>
      <c r="E612" t="s">
        <v>253</v>
      </c>
      <c r="F612" t="s">
        <v>60</v>
      </c>
      <c r="G612">
        <v>17</v>
      </c>
      <c r="H612">
        <v>11</v>
      </c>
      <c r="I612">
        <v>0</v>
      </c>
      <c r="J612" t="s">
        <v>34</v>
      </c>
      <c r="K612" t="s">
        <v>24</v>
      </c>
      <c r="L612">
        <v>64</v>
      </c>
      <c r="M612">
        <v>79.3</v>
      </c>
      <c r="N612">
        <v>90.055705000000003</v>
      </c>
      <c r="O612">
        <v>17.443000000000001</v>
      </c>
      <c r="P612">
        <v>37.445</v>
      </c>
      <c r="Q612">
        <v>24.391999999999999</v>
      </c>
      <c r="R612" t="s">
        <v>351</v>
      </c>
      <c r="S612" t="s">
        <v>25</v>
      </c>
      <c r="T612">
        <f>IF(TRIM(Table1[[#This Row],[PitStopLaps]])="",0,
LEN(Table1[[#This Row],[PitStopLaps]])-LEN(SUBSTITUTE(Table1[[#This Row],[PitStopLaps]],",",""))+1)</f>
        <v>5</v>
      </c>
      <c r="U612">
        <f>Table1[[#This Row],[StartPosition]]-Table1[[#This Row],[FinishPosition]]</f>
        <v>6</v>
      </c>
    </row>
    <row r="613" spans="1:21" x14ac:dyDescent="0.3">
      <c r="A613">
        <v>2019</v>
      </c>
      <c r="B613">
        <v>11</v>
      </c>
      <c r="C613" t="s">
        <v>168</v>
      </c>
      <c r="D613" t="s">
        <v>29</v>
      </c>
      <c r="E613" t="s">
        <v>30</v>
      </c>
      <c r="F613" t="s">
        <v>243</v>
      </c>
      <c r="G613">
        <v>5</v>
      </c>
      <c r="H613">
        <v>12</v>
      </c>
      <c r="I613">
        <v>0</v>
      </c>
      <c r="J613" t="s">
        <v>34</v>
      </c>
      <c r="K613" t="s">
        <v>24</v>
      </c>
      <c r="L613">
        <v>64</v>
      </c>
      <c r="M613">
        <v>77.745999999999995</v>
      </c>
      <c r="N613">
        <v>88.1524</v>
      </c>
      <c r="O613">
        <v>17.056000000000001</v>
      </c>
      <c r="P613">
        <v>36.195999999999998</v>
      </c>
      <c r="Q613">
        <v>23.919</v>
      </c>
      <c r="R613" t="s">
        <v>352</v>
      </c>
      <c r="S613" t="s">
        <v>25</v>
      </c>
      <c r="T613">
        <f>IF(TRIM(Table1[[#This Row],[PitStopLaps]])="",0,
LEN(Table1[[#This Row],[PitStopLaps]])-LEN(SUBSTITUTE(Table1[[#This Row],[PitStopLaps]],",",""))+1)</f>
        <v>4</v>
      </c>
      <c r="U613">
        <f>Table1[[#This Row],[StartPosition]]-Table1[[#This Row],[FinishPosition]]</f>
        <v>-7</v>
      </c>
    </row>
    <row r="614" spans="1:21" x14ac:dyDescent="0.3">
      <c r="A614">
        <v>2019</v>
      </c>
      <c r="B614">
        <v>11</v>
      </c>
      <c r="C614" t="s">
        <v>168</v>
      </c>
      <c r="D614" t="s">
        <v>250</v>
      </c>
      <c r="E614" t="s">
        <v>251</v>
      </c>
      <c r="F614" t="s">
        <v>243</v>
      </c>
      <c r="G614">
        <v>11</v>
      </c>
      <c r="H614">
        <v>13</v>
      </c>
      <c r="I614">
        <v>0</v>
      </c>
      <c r="J614" t="s">
        <v>34</v>
      </c>
      <c r="K614" t="s">
        <v>24</v>
      </c>
      <c r="L614">
        <v>64</v>
      </c>
      <c r="M614">
        <v>77.507000000000005</v>
      </c>
      <c r="N614">
        <v>88.460609000000005</v>
      </c>
      <c r="O614">
        <v>17.187000000000001</v>
      </c>
      <c r="P614">
        <v>36.451000000000001</v>
      </c>
      <c r="Q614">
        <v>23.701000000000001</v>
      </c>
      <c r="R614" t="s">
        <v>352</v>
      </c>
      <c r="S614" t="s">
        <v>25</v>
      </c>
      <c r="T614">
        <f>IF(TRIM(Table1[[#This Row],[PitStopLaps]])="",0,
LEN(Table1[[#This Row],[PitStopLaps]])-LEN(SUBSTITUTE(Table1[[#This Row],[PitStopLaps]],",",""))+1)</f>
        <v>4</v>
      </c>
      <c r="U614">
        <f>Table1[[#This Row],[StartPosition]]-Table1[[#This Row],[FinishPosition]]</f>
        <v>-2</v>
      </c>
    </row>
    <row r="615" spans="1:21" x14ac:dyDescent="0.3">
      <c r="A615">
        <v>2019</v>
      </c>
      <c r="B615">
        <v>11</v>
      </c>
      <c r="C615" t="s">
        <v>168</v>
      </c>
      <c r="D615" t="s">
        <v>73</v>
      </c>
      <c r="E615" t="s">
        <v>74</v>
      </c>
      <c r="F615" t="s">
        <v>33</v>
      </c>
      <c r="G615">
        <v>4</v>
      </c>
      <c r="H615">
        <v>14</v>
      </c>
      <c r="I615">
        <v>0</v>
      </c>
      <c r="J615" t="s">
        <v>34</v>
      </c>
      <c r="K615" t="s">
        <v>124</v>
      </c>
      <c r="L615">
        <v>62</v>
      </c>
      <c r="M615">
        <v>77.495000000000005</v>
      </c>
      <c r="N615">
        <v>89.070526000000001</v>
      </c>
      <c r="O615">
        <v>17.164000000000001</v>
      </c>
      <c r="P615">
        <v>36.448999999999998</v>
      </c>
      <c r="Q615">
        <v>23.635999999999999</v>
      </c>
      <c r="R615" t="s">
        <v>353</v>
      </c>
      <c r="S615" t="s">
        <v>25</v>
      </c>
      <c r="T615">
        <f>IF(TRIM(Table1[[#This Row],[PitStopLaps]])="",0,
LEN(Table1[[#This Row],[PitStopLaps]])-LEN(SUBSTITUTE(Table1[[#This Row],[PitStopLaps]],",",""))+1)</f>
        <v>4</v>
      </c>
      <c r="U615">
        <f>Table1[[#This Row],[StartPosition]]-Table1[[#This Row],[FinishPosition]]</f>
        <v>-10</v>
      </c>
    </row>
    <row r="616" spans="1:21" x14ac:dyDescent="0.3">
      <c r="A616">
        <v>2019</v>
      </c>
      <c r="B616">
        <v>11</v>
      </c>
      <c r="C616" t="s">
        <v>168</v>
      </c>
      <c r="D616" t="s">
        <v>43</v>
      </c>
      <c r="E616" t="s">
        <v>44</v>
      </c>
      <c r="F616" t="s">
        <v>28</v>
      </c>
      <c r="G616">
        <v>3</v>
      </c>
      <c r="H616">
        <v>15</v>
      </c>
      <c r="I616">
        <v>0</v>
      </c>
      <c r="J616" t="s">
        <v>34</v>
      </c>
      <c r="K616" t="s">
        <v>123</v>
      </c>
      <c r="L616">
        <v>57</v>
      </c>
      <c r="M616">
        <v>78.272000000000006</v>
      </c>
      <c r="N616">
        <v>88.012944000000005</v>
      </c>
      <c r="O616">
        <v>17.172000000000001</v>
      </c>
      <c r="P616">
        <v>36.781999999999996</v>
      </c>
      <c r="Q616">
        <v>24.120999999999999</v>
      </c>
      <c r="R616" t="s">
        <v>354</v>
      </c>
      <c r="S616" t="s">
        <v>25</v>
      </c>
      <c r="T616">
        <f>IF(TRIM(Table1[[#This Row],[PitStopLaps]])="",0,
LEN(Table1[[#This Row],[PitStopLaps]])-LEN(SUBSTITUTE(Table1[[#This Row],[PitStopLaps]],",",""))+1)</f>
        <v>4</v>
      </c>
      <c r="U616">
        <f>Table1[[#This Row],[StartPosition]]-Table1[[#This Row],[FinishPosition]]</f>
        <v>-12</v>
      </c>
    </row>
    <row r="617" spans="1:21" x14ac:dyDescent="0.3">
      <c r="A617">
        <v>2019</v>
      </c>
      <c r="B617">
        <v>11</v>
      </c>
      <c r="C617" t="s">
        <v>168</v>
      </c>
      <c r="D617" t="s">
        <v>40</v>
      </c>
      <c r="E617" t="s">
        <v>41</v>
      </c>
      <c r="F617" t="s">
        <v>42</v>
      </c>
      <c r="G617">
        <v>9</v>
      </c>
      <c r="H617">
        <v>16</v>
      </c>
      <c r="I617">
        <v>0</v>
      </c>
      <c r="J617" t="s">
        <v>34</v>
      </c>
      <c r="K617" t="s">
        <v>123</v>
      </c>
      <c r="L617">
        <v>40</v>
      </c>
      <c r="M617">
        <v>89.575999999999993</v>
      </c>
      <c r="N617">
        <v>91.892769000000001</v>
      </c>
      <c r="O617">
        <v>19.904</v>
      </c>
      <c r="P617">
        <v>40.814</v>
      </c>
      <c r="Q617">
        <v>28.484000000000002</v>
      </c>
      <c r="R617" t="s">
        <v>355</v>
      </c>
      <c r="S617" t="s">
        <v>25</v>
      </c>
      <c r="T617">
        <f>IF(TRIM(Table1[[#This Row],[PitStopLaps]])="",0,
LEN(Table1[[#This Row],[PitStopLaps]])-LEN(SUBSTITUTE(Table1[[#This Row],[PitStopLaps]],",",""))+1)</f>
        <v>3</v>
      </c>
      <c r="U617">
        <f>Table1[[#This Row],[StartPosition]]-Table1[[#This Row],[FinishPosition]]</f>
        <v>-7</v>
      </c>
    </row>
    <row r="618" spans="1:21" x14ac:dyDescent="0.3">
      <c r="A618">
        <v>2019</v>
      </c>
      <c r="B618">
        <v>11</v>
      </c>
      <c r="C618" t="s">
        <v>168</v>
      </c>
      <c r="D618" t="s">
        <v>54</v>
      </c>
      <c r="E618" t="s">
        <v>55</v>
      </c>
      <c r="F618" t="s">
        <v>22</v>
      </c>
      <c r="G618">
        <v>10</v>
      </c>
      <c r="H618">
        <v>17</v>
      </c>
      <c r="I618">
        <v>0</v>
      </c>
      <c r="J618" t="s">
        <v>34</v>
      </c>
      <c r="K618" t="s">
        <v>123</v>
      </c>
      <c r="L618">
        <v>27</v>
      </c>
      <c r="M618">
        <v>87.697000000000003</v>
      </c>
      <c r="N618">
        <v>91.287149999999997</v>
      </c>
      <c r="O618">
        <v>19.12</v>
      </c>
      <c r="P618">
        <v>40.356000000000002</v>
      </c>
      <c r="Q618">
        <v>28.221</v>
      </c>
      <c r="R618" t="s">
        <v>356</v>
      </c>
      <c r="S618" t="s">
        <v>25</v>
      </c>
      <c r="T618">
        <f>IF(TRIM(Table1[[#This Row],[PitStopLaps]])="",0,
LEN(Table1[[#This Row],[PitStopLaps]])-LEN(SUBSTITUTE(Table1[[#This Row],[PitStopLaps]],",",""))+1)</f>
        <v>3</v>
      </c>
      <c r="U618">
        <f>Table1[[#This Row],[StartPosition]]-Table1[[#This Row],[FinishPosition]]</f>
        <v>-7</v>
      </c>
    </row>
    <row r="619" spans="1:21" x14ac:dyDescent="0.3">
      <c r="A619">
        <v>2019</v>
      </c>
      <c r="B619">
        <v>11</v>
      </c>
      <c r="C619" t="s">
        <v>168</v>
      </c>
      <c r="D619" t="s">
        <v>246</v>
      </c>
      <c r="E619" t="s">
        <v>247</v>
      </c>
      <c r="F619" t="s">
        <v>37</v>
      </c>
      <c r="G619">
        <v>19</v>
      </c>
      <c r="H619">
        <v>18</v>
      </c>
      <c r="I619">
        <v>0</v>
      </c>
      <c r="J619" t="s">
        <v>34</v>
      </c>
      <c r="K619" t="s">
        <v>186</v>
      </c>
      <c r="L619">
        <v>25</v>
      </c>
      <c r="M619">
        <v>91.081000000000003</v>
      </c>
      <c r="N619">
        <v>93.061312000000001</v>
      </c>
      <c r="O619">
        <v>19.87</v>
      </c>
      <c r="P619">
        <v>41.398000000000003</v>
      </c>
      <c r="Q619">
        <v>28.97</v>
      </c>
      <c r="R619" t="s">
        <v>357</v>
      </c>
      <c r="S619" t="s">
        <v>25</v>
      </c>
      <c r="T619">
        <f>IF(TRIM(Table1[[#This Row],[PitStopLaps]])="",0,
LEN(Table1[[#This Row],[PitStopLaps]])-LEN(SUBSTITUTE(Table1[[#This Row],[PitStopLaps]],",",""))+1)</f>
        <v>2</v>
      </c>
      <c r="U619">
        <f>Table1[[#This Row],[StartPosition]]-Table1[[#This Row],[FinishPosition]]</f>
        <v>1</v>
      </c>
    </row>
    <row r="620" spans="1:21" x14ac:dyDescent="0.3">
      <c r="A620">
        <v>2019</v>
      </c>
      <c r="B620">
        <v>11</v>
      </c>
      <c r="C620" t="s">
        <v>168</v>
      </c>
      <c r="D620" t="s">
        <v>31</v>
      </c>
      <c r="E620" t="s">
        <v>32</v>
      </c>
      <c r="F620" t="s">
        <v>42</v>
      </c>
      <c r="G620">
        <v>13</v>
      </c>
      <c r="H620">
        <v>19</v>
      </c>
      <c r="I620">
        <v>0</v>
      </c>
      <c r="J620" t="s">
        <v>34</v>
      </c>
      <c r="K620" t="s">
        <v>145</v>
      </c>
      <c r="L620">
        <v>14</v>
      </c>
      <c r="M620">
        <v>92.653999999999996</v>
      </c>
      <c r="N620">
        <v>95.132887999999994</v>
      </c>
      <c r="O620">
        <v>20.562999999999999</v>
      </c>
      <c r="P620">
        <v>42.444000000000003</v>
      </c>
      <c r="Q620">
        <v>29.254000000000001</v>
      </c>
      <c r="R620">
        <v>3</v>
      </c>
      <c r="S620" t="s">
        <v>25</v>
      </c>
      <c r="T620">
        <f>IF(TRIM(Table1[[#This Row],[PitStopLaps]])="",0,
LEN(Table1[[#This Row],[PitStopLaps]])-LEN(SUBSTITUTE(Table1[[#This Row],[PitStopLaps]],",",""))+1)</f>
        <v>1</v>
      </c>
      <c r="U620">
        <f>Table1[[#This Row],[StartPosition]]-Table1[[#This Row],[FinishPosition]]</f>
        <v>-6</v>
      </c>
    </row>
    <row r="621" spans="1:21" x14ac:dyDescent="0.3">
      <c r="A621">
        <v>2019</v>
      </c>
      <c r="B621">
        <v>11</v>
      </c>
      <c r="C621" t="s">
        <v>168</v>
      </c>
      <c r="D621" t="s">
        <v>49</v>
      </c>
      <c r="E621" t="s">
        <v>50</v>
      </c>
      <c r="F621" t="s">
        <v>192</v>
      </c>
      <c r="G621">
        <v>8</v>
      </c>
      <c r="H621">
        <v>20</v>
      </c>
      <c r="I621">
        <v>0</v>
      </c>
      <c r="J621" t="s">
        <v>34</v>
      </c>
      <c r="K621" t="s">
        <v>338</v>
      </c>
      <c r="L621">
        <v>2</v>
      </c>
      <c r="S621" t="s">
        <v>25</v>
      </c>
      <c r="T621">
        <f>IF(TRIM(Table1[[#This Row],[PitStopLaps]])="",0,
LEN(Table1[[#This Row],[PitStopLaps]])-LEN(SUBSTITUTE(Table1[[#This Row],[PitStopLaps]],",",""))+1)</f>
        <v>0</v>
      </c>
      <c r="U621">
        <f>Table1[[#This Row],[StartPosition]]-Table1[[#This Row],[FinishPosition]]</f>
        <v>-12</v>
      </c>
    </row>
    <row r="622" spans="1:21" x14ac:dyDescent="0.3">
      <c r="A622">
        <v>2019</v>
      </c>
      <c r="B622">
        <v>12</v>
      </c>
      <c r="C622" t="s">
        <v>183</v>
      </c>
      <c r="D622" t="s">
        <v>26</v>
      </c>
      <c r="E622" t="s">
        <v>27</v>
      </c>
      <c r="F622" t="s">
        <v>28</v>
      </c>
      <c r="G622">
        <v>3</v>
      </c>
      <c r="H622">
        <v>1</v>
      </c>
      <c r="I622">
        <v>25</v>
      </c>
      <c r="J622" t="s">
        <v>23</v>
      </c>
      <c r="K622" t="s">
        <v>24</v>
      </c>
      <c r="L622">
        <v>70</v>
      </c>
      <c r="M622">
        <v>78.528000000000006</v>
      </c>
      <c r="N622">
        <v>80.808706999999998</v>
      </c>
      <c r="O622">
        <v>28.481999999999999</v>
      </c>
      <c r="P622">
        <v>27.859000000000002</v>
      </c>
      <c r="Q622">
        <v>22.04</v>
      </c>
      <c r="R622" t="s">
        <v>358</v>
      </c>
      <c r="S622" t="s">
        <v>83</v>
      </c>
      <c r="T622">
        <f>IF(TRIM(Table1[[#This Row],[PitStopLaps]])="",0,
LEN(Table1[[#This Row],[PitStopLaps]])-LEN(SUBSTITUTE(Table1[[#This Row],[PitStopLaps]],",",""))+1)</f>
        <v>2</v>
      </c>
      <c r="U622">
        <f>Table1[[#This Row],[StartPosition]]-Table1[[#This Row],[FinishPosition]]</f>
        <v>2</v>
      </c>
    </row>
    <row r="623" spans="1:21" x14ac:dyDescent="0.3">
      <c r="A623">
        <v>2019</v>
      </c>
      <c r="B623">
        <v>12</v>
      </c>
      <c r="C623" t="s">
        <v>183</v>
      </c>
      <c r="D623" t="s">
        <v>38</v>
      </c>
      <c r="E623" t="s">
        <v>39</v>
      </c>
      <c r="F623" t="s">
        <v>33</v>
      </c>
      <c r="G623">
        <v>1</v>
      </c>
      <c r="H623">
        <v>2</v>
      </c>
      <c r="I623">
        <v>19</v>
      </c>
      <c r="J623" t="s">
        <v>23</v>
      </c>
      <c r="K623" t="s">
        <v>24</v>
      </c>
      <c r="L623">
        <v>70</v>
      </c>
      <c r="M623">
        <v>77.102999999999994</v>
      </c>
      <c r="N623">
        <v>81.025199999999998</v>
      </c>
      <c r="O623">
        <v>28.216000000000001</v>
      </c>
      <c r="P623">
        <v>27.123999999999999</v>
      </c>
      <c r="Q623">
        <v>21.763000000000002</v>
      </c>
      <c r="R623" t="s">
        <v>359</v>
      </c>
      <c r="S623" t="s">
        <v>83</v>
      </c>
      <c r="T623">
        <f>IF(TRIM(Table1[[#This Row],[PitStopLaps]])="",0,
LEN(Table1[[#This Row],[PitStopLaps]])-LEN(SUBSTITUTE(Table1[[#This Row],[PitStopLaps]],",",""))+1)</f>
        <v>2</v>
      </c>
      <c r="U623">
        <f>Table1[[#This Row],[StartPosition]]-Table1[[#This Row],[FinishPosition]]</f>
        <v>-1</v>
      </c>
    </row>
    <row r="624" spans="1:21" x14ac:dyDescent="0.3">
      <c r="A624">
        <v>2019</v>
      </c>
      <c r="B624">
        <v>12</v>
      </c>
      <c r="C624" t="s">
        <v>183</v>
      </c>
      <c r="D624" t="s">
        <v>20</v>
      </c>
      <c r="E624" t="s">
        <v>21</v>
      </c>
      <c r="F624" t="s">
        <v>22</v>
      </c>
      <c r="G624">
        <v>5</v>
      </c>
      <c r="H624">
        <v>3</v>
      </c>
      <c r="I624">
        <v>15</v>
      </c>
      <c r="J624" t="s">
        <v>23</v>
      </c>
      <c r="K624" t="s">
        <v>24</v>
      </c>
      <c r="L624">
        <v>70</v>
      </c>
      <c r="M624">
        <v>79.786000000000001</v>
      </c>
      <c r="N624">
        <v>81.879357999999996</v>
      </c>
      <c r="O624">
        <v>28.594000000000001</v>
      </c>
      <c r="P624">
        <v>28.501999999999999</v>
      </c>
      <c r="Q624">
        <v>22.524999999999999</v>
      </c>
      <c r="R624">
        <v>39</v>
      </c>
      <c r="S624" t="s">
        <v>83</v>
      </c>
      <c r="T624">
        <f>IF(TRIM(Table1[[#This Row],[PitStopLaps]])="",0,
LEN(Table1[[#This Row],[PitStopLaps]])-LEN(SUBSTITUTE(Table1[[#This Row],[PitStopLaps]],",",""))+1)</f>
        <v>1</v>
      </c>
      <c r="U624">
        <f>Table1[[#This Row],[StartPosition]]-Table1[[#This Row],[FinishPosition]]</f>
        <v>2</v>
      </c>
    </row>
    <row r="625" spans="1:21" x14ac:dyDescent="0.3">
      <c r="A625">
        <v>2019</v>
      </c>
      <c r="B625">
        <v>12</v>
      </c>
      <c r="C625" t="s">
        <v>183</v>
      </c>
      <c r="D625" t="s">
        <v>54</v>
      </c>
      <c r="E625" t="s">
        <v>55</v>
      </c>
      <c r="F625" t="s">
        <v>22</v>
      </c>
      <c r="G625">
        <v>4</v>
      </c>
      <c r="H625">
        <v>4</v>
      </c>
      <c r="I625">
        <v>12</v>
      </c>
      <c r="J625" t="s">
        <v>34</v>
      </c>
      <c r="K625" t="s">
        <v>24</v>
      </c>
      <c r="L625">
        <v>70</v>
      </c>
      <c r="M625">
        <v>80.492999999999995</v>
      </c>
      <c r="N625">
        <v>81.991551999999999</v>
      </c>
      <c r="O625">
        <v>28.87</v>
      </c>
      <c r="P625">
        <v>28.632999999999999</v>
      </c>
      <c r="Q625">
        <v>22.733000000000001</v>
      </c>
      <c r="R625">
        <v>27</v>
      </c>
      <c r="S625" t="s">
        <v>83</v>
      </c>
      <c r="T625">
        <f>IF(TRIM(Table1[[#This Row],[PitStopLaps]])="",0,
LEN(Table1[[#This Row],[PitStopLaps]])-LEN(SUBSTITUTE(Table1[[#This Row],[PitStopLaps]],",",""))+1)</f>
        <v>1</v>
      </c>
      <c r="U625">
        <f>Table1[[#This Row],[StartPosition]]-Table1[[#This Row],[FinishPosition]]</f>
        <v>0</v>
      </c>
    </row>
    <row r="626" spans="1:21" x14ac:dyDescent="0.3">
      <c r="A626">
        <v>2019</v>
      </c>
      <c r="B626">
        <v>12</v>
      </c>
      <c r="C626" t="s">
        <v>183</v>
      </c>
      <c r="D626" t="s">
        <v>47</v>
      </c>
      <c r="E626" t="s">
        <v>48</v>
      </c>
      <c r="F626" t="s">
        <v>37</v>
      </c>
      <c r="G626">
        <v>8</v>
      </c>
      <c r="H626">
        <v>5</v>
      </c>
      <c r="I626">
        <v>10</v>
      </c>
      <c r="J626" t="s">
        <v>34</v>
      </c>
      <c r="K626" t="s">
        <v>65</v>
      </c>
      <c r="L626">
        <v>69</v>
      </c>
      <c r="M626">
        <v>81.001999999999995</v>
      </c>
      <c r="N626">
        <v>82.617484000000005</v>
      </c>
      <c r="O626">
        <v>29.050999999999998</v>
      </c>
      <c r="P626">
        <v>28.928000000000001</v>
      </c>
      <c r="Q626">
        <v>22.783000000000001</v>
      </c>
      <c r="R626">
        <v>29</v>
      </c>
      <c r="S626" t="s">
        <v>83</v>
      </c>
      <c r="T626">
        <f>IF(TRIM(Table1[[#This Row],[PitStopLaps]])="",0,
LEN(Table1[[#This Row],[PitStopLaps]])-LEN(SUBSTITUTE(Table1[[#This Row],[PitStopLaps]],",",""))+1)</f>
        <v>1</v>
      </c>
      <c r="U626">
        <f>Table1[[#This Row],[StartPosition]]-Table1[[#This Row],[FinishPosition]]</f>
        <v>3</v>
      </c>
    </row>
    <row r="627" spans="1:21" x14ac:dyDescent="0.3">
      <c r="A627">
        <v>2019</v>
      </c>
      <c r="B627">
        <v>12</v>
      </c>
      <c r="C627" t="s">
        <v>183</v>
      </c>
      <c r="D627" t="s">
        <v>73</v>
      </c>
      <c r="E627" t="s">
        <v>74</v>
      </c>
      <c r="F627" t="s">
        <v>33</v>
      </c>
      <c r="G627">
        <v>6</v>
      </c>
      <c r="H627">
        <v>6</v>
      </c>
      <c r="I627">
        <v>8</v>
      </c>
      <c r="J627" t="s">
        <v>34</v>
      </c>
      <c r="K627" t="s">
        <v>65</v>
      </c>
      <c r="L627">
        <v>69</v>
      </c>
      <c r="M627">
        <v>81.045000000000002</v>
      </c>
      <c r="N627">
        <v>82.630030000000005</v>
      </c>
      <c r="O627">
        <v>28.959</v>
      </c>
      <c r="P627">
        <v>29.056000000000001</v>
      </c>
      <c r="Q627">
        <v>22.814</v>
      </c>
      <c r="R627">
        <v>28</v>
      </c>
      <c r="S627" t="s">
        <v>83</v>
      </c>
      <c r="T627">
        <f>IF(TRIM(Table1[[#This Row],[PitStopLaps]])="",0,
LEN(Table1[[#This Row],[PitStopLaps]])-LEN(SUBSTITUTE(Table1[[#This Row],[PitStopLaps]],",",""))+1)</f>
        <v>1</v>
      </c>
      <c r="U627">
        <f>Table1[[#This Row],[StartPosition]]-Table1[[#This Row],[FinishPosition]]</f>
        <v>0</v>
      </c>
    </row>
    <row r="628" spans="1:21" x14ac:dyDescent="0.3">
      <c r="A628">
        <v>2019</v>
      </c>
      <c r="B628">
        <v>12</v>
      </c>
      <c r="C628" t="s">
        <v>183</v>
      </c>
      <c r="D628" t="s">
        <v>29</v>
      </c>
      <c r="E628" t="s">
        <v>30</v>
      </c>
      <c r="F628" t="s">
        <v>243</v>
      </c>
      <c r="G628">
        <v>10</v>
      </c>
      <c r="H628">
        <v>7</v>
      </c>
      <c r="I628">
        <v>6</v>
      </c>
      <c r="J628" t="s">
        <v>34</v>
      </c>
      <c r="K628" t="s">
        <v>65</v>
      </c>
      <c r="L628">
        <v>69</v>
      </c>
      <c r="M628">
        <v>80.88</v>
      </c>
      <c r="N628">
        <v>82.662983999999994</v>
      </c>
      <c r="O628">
        <v>29.195</v>
      </c>
      <c r="P628">
        <v>28.759</v>
      </c>
      <c r="Q628">
        <v>22.751999999999999</v>
      </c>
      <c r="R628">
        <v>29</v>
      </c>
      <c r="S628" t="s">
        <v>83</v>
      </c>
      <c r="T628">
        <f>IF(TRIM(Table1[[#This Row],[PitStopLaps]])="",0,
LEN(Table1[[#This Row],[PitStopLaps]])-LEN(SUBSTITUTE(Table1[[#This Row],[PitStopLaps]],",",""))+1)</f>
        <v>1</v>
      </c>
      <c r="U628">
        <f>Table1[[#This Row],[StartPosition]]-Table1[[#This Row],[FinishPosition]]</f>
        <v>3</v>
      </c>
    </row>
    <row r="629" spans="1:21" x14ac:dyDescent="0.3">
      <c r="A629">
        <v>2019</v>
      </c>
      <c r="B629">
        <v>12</v>
      </c>
      <c r="C629" t="s">
        <v>183</v>
      </c>
      <c r="D629" t="s">
        <v>43</v>
      </c>
      <c r="E629" t="s">
        <v>44</v>
      </c>
      <c r="F629" t="s">
        <v>28</v>
      </c>
      <c r="G629">
        <v>2</v>
      </c>
      <c r="H629">
        <v>8</v>
      </c>
      <c r="I629">
        <v>4</v>
      </c>
      <c r="J629" t="s">
        <v>34</v>
      </c>
      <c r="K629" t="s">
        <v>65</v>
      </c>
      <c r="L629">
        <v>69</v>
      </c>
      <c r="M629">
        <v>79.331000000000003</v>
      </c>
      <c r="N629">
        <v>82.228686999999994</v>
      </c>
      <c r="O629">
        <v>28.6</v>
      </c>
      <c r="P629">
        <v>28.225000000000001</v>
      </c>
      <c r="Q629">
        <v>22.4</v>
      </c>
      <c r="R629" t="s">
        <v>360</v>
      </c>
      <c r="S629" t="s">
        <v>83</v>
      </c>
      <c r="T629">
        <f>IF(TRIM(Table1[[#This Row],[PitStopLaps]])="",0,
LEN(Table1[[#This Row],[PitStopLaps]])-LEN(SUBSTITUTE(Table1[[#This Row],[PitStopLaps]],",",""))+1)</f>
        <v>2</v>
      </c>
      <c r="U629">
        <f>Table1[[#This Row],[StartPosition]]-Table1[[#This Row],[FinishPosition]]</f>
        <v>-6</v>
      </c>
    </row>
    <row r="630" spans="1:21" x14ac:dyDescent="0.3">
      <c r="A630">
        <v>2019</v>
      </c>
      <c r="B630">
        <v>12</v>
      </c>
      <c r="C630" t="s">
        <v>183</v>
      </c>
      <c r="D630" t="s">
        <v>246</v>
      </c>
      <c r="E630" t="s">
        <v>247</v>
      </c>
      <c r="F630" t="s">
        <v>37</v>
      </c>
      <c r="G630">
        <v>7</v>
      </c>
      <c r="H630">
        <v>9</v>
      </c>
      <c r="I630">
        <v>2</v>
      </c>
      <c r="J630" t="s">
        <v>34</v>
      </c>
      <c r="K630" t="s">
        <v>65</v>
      </c>
      <c r="L630">
        <v>69</v>
      </c>
      <c r="M630">
        <v>81.188000000000002</v>
      </c>
      <c r="N630">
        <v>82.666923999999995</v>
      </c>
      <c r="O630">
        <v>28.861999999999998</v>
      </c>
      <c r="P630">
        <v>29.018000000000001</v>
      </c>
      <c r="Q630">
        <v>22.888000000000002</v>
      </c>
      <c r="R630">
        <v>28</v>
      </c>
      <c r="S630" t="s">
        <v>83</v>
      </c>
      <c r="T630">
        <f>IF(TRIM(Table1[[#This Row],[PitStopLaps]])="",0,
LEN(Table1[[#This Row],[PitStopLaps]])-LEN(SUBSTITUTE(Table1[[#This Row],[PitStopLaps]],",",""))+1)</f>
        <v>1</v>
      </c>
      <c r="U630">
        <f>Table1[[#This Row],[StartPosition]]-Table1[[#This Row],[FinishPosition]]</f>
        <v>-2</v>
      </c>
    </row>
    <row r="631" spans="1:21" x14ac:dyDescent="0.3">
      <c r="A631">
        <v>2019</v>
      </c>
      <c r="B631">
        <v>12</v>
      </c>
      <c r="C631" t="s">
        <v>183</v>
      </c>
      <c r="D631" t="s">
        <v>248</v>
      </c>
      <c r="E631" t="s">
        <v>249</v>
      </c>
      <c r="F631" t="s">
        <v>64</v>
      </c>
      <c r="G631">
        <v>12</v>
      </c>
      <c r="H631">
        <v>10</v>
      </c>
      <c r="I631">
        <v>1</v>
      </c>
      <c r="J631" t="s">
        <v>34</v>
      </c>
      <c r="K631" t="s">
        <v>65</v>
      </c>
      <c r="L631">
        <v>69</v>
      </c>
      <c r="M631">
        <v>80.620999999999995</v>
      </c>
      <c r="N631">
        <v>83.133135999999993</v>
      </c>
      <c r="O631">
        <v>29.06</v>
      </c>
      <c r="P631">
        <v>28.809000000000001</v>
      </c>
      <c r="Q631">
        <v>22.666</v>
      </c>
      <c r="R631">
        <v>28</v>
      </c>
      <c r="S631" t="s">
        <v>83</v>
      </c>
      <c r="T631">
        <f>IF(TRIM(Table1[[#This Row],[PitStopLaps]])="",0,
LEN(Table1[[#This Row],[PitStopLaps]])-LEN(SUBSTITUTE(Table1[[#This Row],[PitStopLaps]],",",""))+1)</f>
        <v>1</v>
      </c>
      <c r="U631">
        <f>Table1[[#This Row],[StartPosition]]-Table1[[#This Row],[FinishPosition]]</f>
        <v>2</v>
      </c>
    </row>
    <row r="632" spans="1:21" x14ac:dyDescent="0.3">
      <c r="A632">
        <v>2019</v>
      </c>
      <c r="B632">
        <v>12</v>
      </c>
      <c r="C632" t="s">
        <v>183</v>
      </c>
      <c r="D632" t="s">
        <v>49</v>
      </c>
      <c r="E632" t="s">
        <v>50</v>
      </c>
      <c r="F632" t="s">
        <v>192</v>
      </c>
      <c r="G632">
        <v>16</v>
      </c>
      <c r="H632">
        <v>11</v>
      </c>
      <c r="I632">
        <v>0</v>
      </c>
      <c r="J632" t="s">
        <v>34</v>
      </c>
      <c r="K632" t="s">
        <v>65</v>
      </c>
      <c r="L632">
        <v>69</v>
      </c>
      <c r="M632">
        <v>81.733999999999995</v>
      </c>
      <c r="N632">
        <v>83.328833000000003</v>
      </c>
      <c r="O632">
        <v>29.187999999999999</v>
      </c>
      <c r="P632">
        <v>29.382999999999999</v>
      </c>
      <c r="Q632">
        <v>22.914000000000001</v>
      </c>
      <c r="R632">
        <v>18</v>
      </c>
      <c r="S632" t="s">
        <v>83</v>
      </c>
      <c r="T632">
        <f>IF(TRIM(Table1[[#This Row],[PitStopLaps]])="",0,
LEN(Table1[[#This Row],[PitStopLaps]])-LEN(SUBSTITUTE(Table1[[#This Row],[PitStopLaps]],",",""))+1)</f>
        <v>1</v>
      </c>
      <c r="U632">
        <f>Table1[[#This Row],[StartPosition]]-Table1[[#This Row],[FinishPosition]]</f>
        <v>5</v>
      </c>
    </row>
    <row r="633" spans="1:21" x14ac:dyDescent="0.3">
      <c r="A633">
        <v>2019</v>
      </c>
      <c r="B633">
        <v>12</v>
      </c>
      <c r="C633" t="s">
        <v>183</v>
      </c>
      <c r="D633" t="s">
        <v>40</v>
      </c>
      <c r="E633" t="s">
        <v>41</v>
      </c>
      <c r="F633" t="s">
        <v>42</v>
      </c>
      <c r="G633">
        <v>11</v>
      </c>
      <c r="H633">
        <v>12</v>
      </c>
      <c r="I633">
        <v>0</v>
      </c>
      <c r="J633" t="s">
        <v>34</v>
      </c>
      <c r="K633" t="s">
        <v>65</v>
      </c>
      <c r="L633">
        <v>69</v>
      </c>
      <c r="M633">
        <v>81.650000000000006</v>
      </c>
      <c r="N633">
        <v>83.341635999999994</v>
      </c>
      <c r="O633">
        <v>29.167000000000002</v>
      </c>
      <c r="P633">
        <v>29.28</v>
      </c>
      <c r="Q633">
        <v>22.975999999999999</v>
      </c>
      <c r="R633">
        <v>36</v>
      </c>
      <c r="S633" t="s">
        <v>83</v>
      </c>
      <c r="T633">
        <f>IF(TRIM(Table1[[#This Row],[PitStopLaps]])="",0,
LEN(Table1[[#This Row],[PitStopLaps]])-LEN(SUBSTITUTE(Table1[[#This Row],[PitStopLaps]],",",""))+1)</f>
        <v>1</v>
      </c>
      <c r="U633">
        <f>Table1[[#This Row],[StartPosition]]-Table1[[#This Row],[FinishPosition]]</f>
        <v>-1</v>
      </c>
    </row>
    <row r="634" spans="1:21" x14ac:dyDescent="0.3">
      <c r="A634">
        <v>2019</v>
      </c>
      <c r="B634">
        <v>12</v>
      </c>
      <c r="C634" t="s">
        <v>183</v>
      </c>
      <c r="D634" t="s">
        <v>71</v>
      </c>
      <c r="E634" t="s">
        <v>72</v>
      </c>
      <c r="F634" t="s">
        <v>69</v>
      </c>
      <c r="G634">
        <v>14</v>
      </c>
      <c r="H634">
        <v>13</v>
      </c>
      <c r="I634">
        <v>0</v>
      </c>
      <c r="J634" t="s">
        <v>34</v>
      </c>
      <c r="K634" t="s">
        <v>65</v>
      </c>
      <c r="L634">
        <v>69</v>
      </c>
      <c r="M634">
        <v>81.007999999999996</v>
      </c>
      <c r="N634">
        <v>83.328106000000005</v>
      </c>
      <c r="O634">
        <v>29.154</v>
      </c>
      <c r="P634">
        <v>28.96</v>
      </c>
      <c r="Q634">
        <v>22.817</v>
      </c>
      <c r="R634">
        <v>38</v>
      </c>
      <c r="S634" t="s">
        <v>83</v>
      </c>
      <c r="T634">
        <f>IF(TRIM(Table1[[#This Row],[PitStopLaps]])="",0,
LEN(Table1[[#This Row],[PitStopLaps]])-LEN(SUBSTITUTE(Table1[[#This Row],[PitStopLaps]],",",""))+1)</f>
        <v>1</v>
      </c>
      <c r="U634">
        <f>Table1[[#This Row],[StartPosition]]-Table1[[#This Row],[FinishPosition]]</f>
        <v>1</v>
      </c>
    </row>
    <row r="635" spans="1:21" x14ac:dyDescent="0.3">
      <c r="A635">
        <v>2019</v>
      </c>
      <c r="B635">
        <v>12</v>
      </c>
      <c r="C635" t="s">
        <v>183</v>
      </c>
      <c r="D635" t="s">
        <v>31</v>
      </c>
      <c r="E635" t="s">
        <v>32</v>
      </c>
      <c r="F635" t="s">
        <v>42</v>
      </c>
      <c r="G635">
        <v>20</v>
      </c>
      <c r="H635">
        <v>14</v>
      </c>
      <c r="I635">
        <v>0</v>
      </c>
      <c r="J635" t="s">
        <v>34</v>
      </c>
      <c r="K635" t="s">
        <v>65</v>
      </c>
      <c r="L635">
        <v>69</v>
      </c>
      <c r="M635">
        <v>80.838999999999999</v>
      </c>
      <c r="N635">
        <v>83.307636000000002</v>
      </c>
      <c r="O635">
        <v>28.998999999999999</v>
      </c>
      <c r="P635">
        <v>28.966999999999999</v>
      </c>
      <c r="Q635">
        <v>22.678000000000001</v>
      </c>
      <c r="R635">
        <v>46</v>
      </c>
      <c r="S635" t="s">
        <v>83</v>
      </c>
      <c r="T635">
        <f>IF(TRIM(Table1[[#This Row],[PitStopLaps]])="",0,
LEN(Table1[[#This Row],[PitStopLaps]])-LEN(SUBSTITUTE(Table1[[#This Row],[PitStopLaps]],",",""))+1)</f>
        <v>1</v>
      </c>
      <c r="U635">
        <f>Table1[[#This Row],[StartPosition]]-Table1[[#This Row],[FinishPosition]]</f>
        <v>6</v>
      </c>
    </row>
    <row r="636" spans="1:21" x14ac:dyDescent="0.3">
      <c r="A636">
        <v>2019</v>
      </c>
      <c r="B636">
        <v>12</v>
      </c>
      <c r="C636" t="s">
        <v>183</v>
      </c>
      <c r="D636" t="s">
        <v>244</v>
      </c>
      <c r="E636" t="s">
        <v>245</v>
      </c>
      <c r="F636" t="s">
        <v>64</v>
      </c>
      <c r="G636">
        <v>13</v>
      </c>
      <c r="H636">
        <v>15</v>
      </c>
      <c r="I636">
        <v>0</v>
      </c>
      <c r="J636" t="s">
        <v>34</v>
      </c>
      <c r="K636" t="s">
        <v>127</v>
      </c>
      <c r="L636">
        <v>68</v>
      </c>
      <c r="M636">
        <v>81.932000000000002</v>
      </c>
      <c r="N636">
        <v>83.447338000000002</v>
      </c>
      <c r="O636">
        <v>29.315000000000001</v>
      </c>
      <c r="P636">
        <v>29.268000000000001</v>
      </c>
      <c r="Q636">
        <v>23.077999999999999</v>
      </c>
      <c r="R636">
        <v>21</v>
      </c>
      <c r="S636" t="s">
        <v>83</v>
      </c>
      <c r="T636">
        <f>IF(TRIM(Table1[[#This Row],[PitStopLaps]])="",0,
LEN(Table1[[#This Row],[PitStopLaps]])-LEN(SUBSTITUTE(Table1[[#This Row],[PitStopLaps]],",",""))+1)</f>
        <v>1</v>
      </c>
      <c r="U636">
        <f>Table1[[#This Row],[StartPosition]]-Table1[[#This Row],[FinishPosition]]</f>
        <v>-2</v>
      </c>
    </row>
    <row r="637" spans="1:21" x14ac:dyDescent="0.3">
      <c r="A637">
        <v>2019</v>
      </c>
      <c r="B637">
        <v>12</v>
      </c>
      <c r="C637" t="s">
        <v>183</v>
      </c>
      <c r="D637" t="s">
        <v>252</v>
      </c>
      <c r="E637" t="s">
        <v>253</v>
      </c>
      <c r="F637" t="s">
        <v>60</v>
      </c>
      <c r="G637">
        <v>15</v>
      </c>
      <c r="H637">
        <v>16</v>
      </c>
      <c r="I637">
        <v>0</v>
      </c>
      <c r="J637" t="s">
        <v>34</v>
      </c>
      <c r="K637" t="s">
        <v>127</v>
      </c>
      <c r="L637">
        <v>68</v>
      </c>
      <c r="M637">
        <v>82.385999999999996</v>
      </c>
      <c r="N637">
        <v>84.301260999999997</v>
      </c>
      <c r="O637">
        <v>29.343</v>
      </c>
      <c r="P637">
        <v>29.466999999999999</v>
      </c>
      <c r="Q637">
        <v>23.138999999999999</v>
      </c>
      <c r="R637">
        <v>16</v>
      </c>
      <c r="S637" t="s">
        <v>83</v>
      </c>
      <c r="T637">
        <f>IF(TRIM(Table1[[#This Row],[PitStopLaps]])="",0,
LEN(Table1[[#This Row],[PitStopLaps]])-LEN(SUBSTITUTE(Table1[[#This Row],[PitStopLaps]],",",""))+1)</f>
        <v>1</v>
      </c>
      <c r="U637">
        <f>Table1[[#This Row],[StartPosition]]-Table1[[#This Row],[FinishPosition]]</f>
        <v>-1</v>
      </c>
    </row>
    <row r="638" spans="1:21" x14ac:dyDescent="0.3">
      <c r="A638">
        <v>2019</v>
      </c>
      <c r="B638">
        <v>12</v>
      </c>
      <c r="C638" t="s">
        <v>183</v>
      </c>
      <c r="D638" t="s">
        <v>58</v>
      </c>
      <c r="E638" t="s">
        <v>59</v>
      </c>
      <c r="F638" t="s">
        <v>192</v>
      </c>
      <c r="G638">
        <v>18</v>
      </c>
      <c r="H638">
        <v>17</v>
      </c>
      <c r="I638">
        <v>0</v>
      </c>
      <c r="J638" t="s">
        <v>34</v>
      </c>
      <c r="K638" t="s">
        <v>127</v>
      </c>
      <c r="L638">
        <v>68</v>
      </c>
      <c r="M638">
        <v>80.602999999999994</v>
      </c>
      <c r="N638">
        <v>84.046603000000005</v>
      </c>
      <c r="O638">
        <v>28.553000000000001</v>
      </c>
      <c r="P638">
        <v>29.201000000000001</v>
      </c>
      <c r="Q638">
        <v>22.849</v>
      </c>
      <c r="R638" t="s">
        <v>361</v>
      </c>
      <c r="S638" t="s">
        <v>83</v>
      </c>
      <c r="T638">
        <f>IF(TRIM(Table1[[#This Row],[PitStopLaps]])="",0,
LEN(Table1[[#This Row],[PitStopLaps]])-LEN(SUBSTITUTE(Table1[[#This Row],[PitStopLaps]],",",""))+1)</f>
        <v>2</v>
      </c>
      <c r="U638">
        <f>Table1[[#This Row],[StartPosition]]-Table1[[#This Row],[FinishPosition]]</f>
        <v>1</v>
      </c>
    </row>
    <row r="639" spans="1:21" x14ac:dyDescent="0.3">
      <c r="A639">
        <v>2019</v>
      </c>
      <c r="B639">
        <v>12</v>
      </c>
      <c r="C639" t="s">
        <v>183</v>
      </c>
      <c r="D639" t="s">
        <v>250</v>
      </c>
      <c r="E639" t="s">
        <v>251</v>
      </c>
      <c r="F639" t="s">
        <v>243</v>
      </c>
      <c r="G639">
        <v>17</v>
      </c>
      <c r="H639">
        <v>18</v>
      </c>
      <c r="I639">
        <v>0</v>
      </c>
      <c r="J639" t="s">
        <v>34</v>
      </c>
      <c r="K639" t="s">
        <v>127</v>
      </c>
      <c r="L639">
        <v>68</v>
      </c>
      <c r="M639">
        <v>83.134</v>
      </c>
      <c r="N639">
        <v>84.42783</v>
      </c>
      <c r="O639">
        <v>29.477</v>
      </c>
      <c r="P639">
        <v>29.872</v>
      </c>
      <c r="Q639">
        <v>23.388000000000002</v>
      </c>
      <c r="R639">
        <v>15</v>
      </c>
      <c r="S639" t="s">
        <v>83</v>
      </c>
      <c r="T639">
        <f>IF(TRIM(Table1[[#This Row],[PitStopLaps]])="",0,
LEN(Table1[[#This Row],[PitStopLaps]])-LEN(SUBSTITUTE(Table1[[#This Row],[PitStopLaps]],",",""))+1)</f>
        <v>1</v>
      </c>
      <c r="U639">
        <f>Table1[[#This Row],[StartPosition]]-Table1[[#This Row],[FinishPosition]]</f>
        <v>-1</v>
      </c>
    </row>
    <row r="640" spans="1:21" x14ac:dyDescent="0.3">
      <c r="A640">
        <v>2019</v>
      </c>
      <c r="B640">
        <v>12</v>
      </c>
      <c r="C640" t="s">
        <v>183</v>
      </c>
      <c r="D640" t="s">
        <v>255</v>
      </c>
      <c r="E640" t="s">
        <v>256</v>
      </c>
      <c r="F640" t="s">
        <v>60</v>
      </c>
      <c r="G640">
        <v>19</v>
      </c>
      <c r="H640">
        <v>19</v>
      </c>
      <c r="I640">
        <v>0</v>
      </c>
      <c r="J640" t="s">
        <v>34</v>
      </c>
      <c r="K640" t="s">
        <v>130</v>
      </c>
      <c r="L640">
        <v>67</v>
      </c>
      <c r="M640">
        <v>83.436000000000007</v>
      </c>
      <c r="N640">
        <v>84.725875000000002</v>
      </c>
      <c r="O640">
        <v>29.616</v>
      </c>
      <c r="P640">
        <v>29.948</v>
      </c>
      <c r="Q640">
        <v>23.564</v>
      </c>
      <c r="R640">
        <v>18</v>
      </c>
      <c r="S640" t="s">
        <v>83</v>
      </c>
      <c r="T640">
        <f>IF(TRIM(Table1[[#This Row],[PitStopLaps]])="",0,
LEN(Table1[[#This Row],[PitStopLaps]])-LEN(SUBSTITUTE(Table1[[#This Row],[PitStopLaps]],",",""))+1)</f>
        <v>1</v>
      </c>
      <c r="U640">
        <f>Table1[[#This Row],[StartPosition]]-Table1[[#This Row],[FinishPosition]]</f>
        <v>0</v>
      </c>
    </row>
    <row r="641" spans="1:21" x14ac:dyDescent="0.3">
      <c r="A641">
        <v>2019</v>
      </c>
      <c r="B641">
        <v>12</v>
      </c>
      <c r="C641" t="s">
        <v>183</v>
      </c>
      <c r="D641" t="s">
        <v>67</v>
      </c>
      <c r="E641" t="s">
        <v>68</v>
      </c>
      <c r="F641" t="s">
        <v>69</v>
      </c>
      <c r="G641">
        <v>9</v>
      </c>
      <c r="H641">
        <v>20</v>
      </c>
      <c r="I641">
        <v>0</v>
      </c>
      <c r="J641" t="s">
        <v>34</v>
      </c>
      <c r="K641" t="s">
        <v>362</v>
      </c>
      <c r="L641">
        <v>49</v>
      </c>
      <c r="M641">
        <v>82.808999999999997</v>
      </c>
      <c r="N641">
        <v>84.014066</v>
      </c>
      <c r="O641">
        <v>29.645</v>
      </c>
      <c r="P641">
        <v>29.704000000000001</v>
      </c>
      <c r="Q641">
        <v>23.384</v>
      </c>
      <c r="R641" t="s">
        <v>363</v>
      </c>
      <c r="S641" t="s">
        <v>83</v>
      </c>
      <c r="T641">
        <f>IF(TRIM(Table1[[#This Row],[PitStopLaps]])="",0,
LEN(Table1[[#This Row],[PitStopLaps]])-LEN(SUBSTITUTE(Table1[[#This Row],[PitStopLaps]],",",""))+1)</f>
        <v>2</v>
      </c>
      <c r="U641">
        <f>Table1[[#This Row],[StartPosition]]-Table1[[#This Row],[FinishPosition]]</f>
        <v>-11</v>
      </c>
    </row>
    <row r="642" spans="1:21" x14ac:dyDescent="0.3">
      <c r="A642">
        <v>2019</v>
      </c>
      <c r="B642">
        <v>13</v>
      </c>
      <c r="C642" t="s">
        <v>188</v>
      </c>
      <c r="D642" t="s">
        <v>54</v>
      </c>
      <c r="E642" t="s">
        <v>55</v>
      </c>
      <c r="F642" t="s">
        <v>22</v>
      </c>
      <c r="G642">
        <v>1</v>
      </c>
      <c r="H642">
        <v>1</v>
      </c>
      <c r="I642">
        <v>25</v>
      </c>
      <c r="J642" t="s">
        <v>23</v>
      </c>
      <c r="K642" t="s">
        <v>24</v>
      </c>
      <c r="L642">
        <v>44</v>
      </c>
      <c r="M642">
        <v>106.664</v>
      </c>
      <c r="N642">
        <v>108.351868</v>
      </c>
      <c r="O642">
        <v>30.850999999999999</v>
      </c>
      <c r="P642">
        <v>46.807000000000002</v>
      </c>
      <c r="Q642">
        <v>28.805</v>
      </c>
      <c r="R642">
        <v>21</v>
      </c>
      <c r="S642" t="s">
        <v>83</v>
      </c>
      <c r="T642">
        <f>IF(TRIM(Table1[[#This Row],[PitStopLaps]])="",0,
LEN(Table1[[#This Row],[PitStopLaps]])-LEN(SUBSTITUTE(Table1[[#This Row],[PitStopLaps]],",",""))+1)</f>
        <v>1</v>
      </c>
      <c r="U642">
        <f>Table1[[#This Row],[StartPosition]]-Table1[[#This Row],[FinishPosition]]</f>
        <v>0</v>
      </c>
    </row>
    <row r="643" spans="1:21" x14ac:dyDescent="0.3">
      <c r="A643">
        <v>2019</v>
      </c>
      <c r="B643">
        <v>13</v>
      </c>
      <c r="C643" t="s">
        <v>188</v>
      </c>
      <c r="D643" t="s">
        <v>26</v>
      </c>
      <c r="E643" t="s">
        <v>27</v>
      </c>
      <c r="F643" t="s">
        <v>28</v>
      </c>
      <c r="G643">
        <v>3</v>
      </c>
      <c r="H643">
        <v>2</v>
      </c>
      <c r="I643">
        <v>18</v>
      </c>
      <c r="J643" t="s">
        <v>23</v>
      </c>
      <c r="K643" t="s">
        <v>24</v>
      </c>
      <c r="L643">
        <v>44</v>
      </c>
      <c r="M643">
        <v>106.58</v>
      </c>
      <c r="N643">
        <v>108.326526</v>
      </c>
      <c r="O643">
        <v>30.815000000000001</v>
      </c>
      <c r="P643">
        <v>46.225000000000001</v>
      </c>
      <c r="Q643">
        <v>28.981999999999999</v>
      </c>
      <c r="R643">
        <v>22</v>
      </c>
      <c r="S643" t="s">
        <v>83</v>
      </c>
      <c r="T643">
        <f>IF(TRIM(Table1[[#This Row],[PitStopLaps]])="",0,
LEN(Table1[[#This Row],[PitStopLaps]])-LEN(SUBSTITUTE(Table1[[#This Row],[PitStopLaps]],",",""))+1)</f>
        <v>1</v>
      </c>
      <c r="U643">
        <f>Table1[[#This Row],[StartPosition]]-Table1[[#This Row],[FinishPosition]]</f>
        <v>1</v>
      </c>
    </row>
    <row r="644" spans="1:21" x14ac:dyDescent="0.3">
      <c r="A644">
        <v>2019</v>
      </c>
      <c r="B644">
        <v>13</v>
      </c>
      <c r="C644" t="s">
        <v>188</v>
      </c>
      <c r="D644" t="s">
        <v>43</v>
      </c>
      <c r="E644" t="s">
        <v>44</v>
      </c>
      <c r="F644" t="s">
        <v>28</v>
      </c>
      <c r="G644">
        <v>4</v>
      </c>
      <c r="H644">
        <v>3</v>
      </c>
      <c r="I644">
        <v>15</v>
      </c>
      <c r="J644" t="s">
        <v>23</v>
      </c>
      <c r="K644" t="s">
        <v>24</v>
      </c>
      <c r="L644">
        <v>44</v>
      </c>
      <c r="M644">
        <v>106.465</v>
      </c>
      <c r="N644">
        <v>108.643947</v>
      </c>
      <c r="O644">
        <v>31.103999999999999</v>
      </c>
      <c r="P644">
        <v>46.23</v>
      </c>
      <c r="Q644">
        <v>28.986999999999998</v>
      </c>
      <c r="R644">
        <v>23</v>
      </c>
      <c r="S644" t="s">
        <v>83</v>
      </c>
      <c r="T644">
        <f>IF(TRIM(Table1[[#This Row],[PitStopLaps]])="",0,
LEN(Table1[[#This Row],[PitStopLaps]])-LEN(SUBSTITUTE(Table1[[#This Row],[PitStopLaps]],",",""))+1)</f>
        <v>1</v>
      </c>
      <c r="U644">
        <f>Table1[[#This Row],[StartPosition]]-Table1[[#This Row],[FinishPosition]]</f>
        <v>1</v>
      </c>
    </row>
    <row r="645" spans="1:21" x14ac:dyDescent="0.3">
      <c r="A645">
        <v>2019</v>
      </c>
      <c r="B645">
        <v>13</v>
      </c>
      <c r="C645" t="s">
        <v>188</v>
      </c>
      <c r="D645" t="s">
        <v>20</v>
      </c>
      <c r="E645" t="s">
        <v>21</v>
      </c>
      <c r="F645" t="s">
        <v>22</v>
      </c>
      <c r="G645">
        <v>2</v>
      </c>
      <c r="H645">
        <v>4</v>
      </c>
      <c r="I645">
        <v>13</v>
      </c>
      <c r="J645" t="s">
        <v>34</v>
      </c>
      <c r="K645" t="s">
        <v>24</v>
      </c>
      <c r="L645">
        <v>44</v>
      </c>
      <c r="M645">
        <v>106.40900000000001</v>
      </c>
      <c r="N645">
        <v>108.522777</v>
      </c>
      <c r="O645">
        <v>30.44</v>
      </c>
      <c r="P645">
        <v>46.774000000000001</v>
      </c>
      <c r="Q645">
        <v>28.83</v>
      </c>
      <c r="R645" t="s">
        <v>364</v>
      </c>
      <c r="S645" t="s">
        <v>83</v>
      </c>
      <c r="T645">
        <f>IF(TRIM(Table1[[#This Row],[PitStopLaps]])="",0,
LEN(Table1[[#This Row],[PitStopLaps]])-LEN(SUBSTITUTE(Table1[[#This Row],[PitStopLaps]],",",""))+1)</f>
        <v>2</v>
      </c>
      <c r="U645">
        <f>Table1[[#This Row],[StartPosition]]-Table1[[#This Row],[FinishPosition]]</f>
        <v>-2</v>
      </c>
    </row>
    <row r="646" spans="1:21" x14ac:dyDescent="0.3">
      <c r="A646">
        <v>2019</v>
      </c>
      <c r="B646">
        <v>13</v>
      </c>
      <c r="C646" t="s">
        <v>188</v>
      </c>
      <c r="D646" t="s">
        <v>248</v>
      </c>
      <c r="E646" t="s">
        <v>249</v>
      </c>
      <c r="F646" t="s">
        <v>33</v>
      </c>
      <c r="G646">
        <v>17</v>
      </c>
      <c r="H646">
        <v>5</v>
      </c>
      <c r="I646">
        <v>10</v>
      </c>
      <c r="J646" t="s">
        <v>34</v>
      </c>
      <c r="K646" t="s">
        <v>24</v>
      </c>
      <c r="L646">
        <v>44</v>
      </c>
      <c r="M646">
        <v>107.50700000000001</v>
      </c>
      <c r="N646">
        <v>110.258921</v>
      </c>
      <c r="O646">
        <v>30.643000000000001</v>
      </c>
      <c r="P646">
        <v>47.036000000000001</v>
      </c>
      <c r="Q646">
        <v>28.998000000000001</v>
      </c>
      <c r="R646">
        <v>23</v>
      </c>
      <c r="S646" t="s">
        <v>83</v>
      </c>
      <c r="T646">
        <f>IF(TRIM(Table1[[#This Row],[PitStopLaps]])="",0,
LEN(Table1[[#This Row],[PitStopLaps]])-LEN(SUBSTITUTE(Table1[[#This Row],[PitStopLaps]],",",""))+1)</f>
        <v>1</v>
      </c>
      <c r="U646">
        <f>Table1[[#This Row],[StartPosition]]-Table1[[#This Row],[FinishPosition]]</f>
        <v>12</v>
      </c>
    </row>
    <row r="647" spans="1:21" x14ac:dyDescent="0.3">
      <c r="A647">
        <v>2019</v>
      </c>
      <c r="B647">
        <v>13</v>
      </c>
      <c r="C647" t="s">
        <v>188</v>
      </c>
      <c r="D647" t="s">
        <v>49</v>
      </c>
      <c r="E647" t="s">
        <v>50</v>
      </c>
      <c r="F647" t="s">
        <v>192</v>
      </c>
      <c r="G647">
        <v>7</v>
      </c>
      <c r="H647">
        <v>6</v>
      </c>
      <c r="I647">
        <v>8</v>
      </c>
      <c r="J647" t="s">
        <v>34</v>
      </c>
      <c r="K647" t="s">
        <v>24</v>
      </c>
      <c r="L647">
        <v>44</v>
      </c>
      <c r="M647">
        <v>108.78100000000001</v>
      </c>
      <c r="N647">
        <v>110.32678900000001</v>
      </c>
      <c r="O647">
        <v>30.777000000000001</v>
      </c>
      <c r="P647">
        <v>48.295999999999999</v>
      </c>
      <c r="Q647">
        <v>29.369</v>
      </c>
      <c r="R647">
        <v>15</v>
      </c>
      <c r="S647" t="s">
        <v>83</v>
      </c>
      <c r="T647">
        <f>IF(TRIM(Table1[[#This Row],[PitStopLaps]])="",0,
LEN(Table1[[#This Row],[PitStopLaps]])-LEN(SUBSTITUTE(Table1[[#This Row],[PitStopLaps]],",",""))+1)</f>
        <v>1</v>
      </c>
      <c r="U647">
        <f>Table1[[#This Row],[StartPosition]]-Table1[[#This Row],[FinishPosition]]</f>
        <v>1</v>
      </c>
    </row>
    <row r="648" spans="1:21" x14ac:dyDescent="0.3">
      <c r="A648">
        <v>2019</v>
      </c>
      <c r="B648">
        <v>13</v>
      </c>
      <c r="C648" t="s">
        <v>188</v>
      </c>
      <c r="D648" t="s">
        <v>244</v>
      </c>
      <c r="E648" t="s">
        <v>245</v>
      </c>
      <c r="F648" t="s">
        <v>64</v>
      </c>
      <c r="G648">
        <v>19</v>
      </c>
      <c r="H648">
        <v>7</v>
      </c>
      <c r="I648">
        <v>6</v>
      </c>
      <c r="J648" t="s">
        <v>34</v>
      </c>
      <c r="K648" t="s">
        <v>24</v>
      </c>
      <c r="L648">
        <v>44</v>
      </c>
      <c r="M648">
        <v>108.143</v>
      </c>
      <c r="N648">
        <v>110.526</v>
      </c>
      <c r="O648">
        <v>30.603999999999999</v>
      </c>
      <c r="P648">
        <v>47.44</v>
      </c>
      <c r="Q648">
        <v>29.183</v>
      </c>
      <c r="R648">
        <v>24</v>
      </c>
      <c r="S648" t="s">
        <v>83</v>
      </c>
      <c r="T648">
        <f>IF(TRIM(Table1[[#This Row],[PitStopLaps]])="",0,
LEN(Table1[[#This Row],[PitStopLaps]])-LEN(SUBSTITUTE(Table1[[#This Row],[PitStopLaps]],",",""))+1)</f>
        <v>1</v>
      </c>
      <c r="U648">
        <f>Table1[[#This Row],[StartPosition]]-Table1[[#This Row],[FinishPosition]]</f>
        <v>12</v>
      </c>
    </row>
    <row r="649" spans="1:21" x14ac:dyDescent="0.3">
      <c r="A649">
        <v>2019</v>
      </c>
      <c r="B649">
        <v>13</v>
      </c>
      <c r="C649" t="s">
        <v>188</v>
      </c>
      <c r="D649" t="s">
        <v>40</v>
      </c>
      <c r="E649" t="s">
        <v>41</v>
      </c>
      <c r="F649" t="s">
        <v>42</v>
      </c>
      <c r="G649">
        <v>12</v>
      </c>
      <c r="H649">
        <v>8</v>
      </c>
      <c r="I649">
        <v>4</v>
      </c>
      <c r="J649" t="s">
        <v>34</v>
      </c>
      <c r="K649" t="s">
        <v>24</v>
      </c>
      <c r="L649">
        <v>44</v>
      </c>
      <c r="M649">
        <v>108.349</v>
      </c>
      <c r="N649">
        <v>110.41027699999999</v>
      </c>
      <c r="O649">
        <v>30.774999999999999</v>
      </c>
      <c r="P649">
        <v>47.779000000000003</v>
      </c>
      <c r="Q649">
        <v>29.305</v>
      </c>
      <c r="R649" t="s">
        <v>104</v>
      </c>
      <c r="S649" t="s">
        <v>83</v>
      </c>
      <c r="T649">
        <f>IF(TRIM(Table1[[#This Row],[PitStopLaps]])="",0,
LEN(Table1[[#This Row],[PitStopLaps]])-LEN(SUBSTITUTE(Table1[[#This Row],[PitStopLaps]],",",""))+1)</f>
        <v>2</v>
      </c>
      <c r="U649">
        <f>Table1[[#This Row],[StartPosition]]-Table1[[#This Row],[FinishPosition]]</f>
        <v>4</v>
      </c>
    </row>
    <row r="650" spans="1:21" x14ac:dyDescent="0.3">
      <c r="A650">
        <v>2019</v>
      </c>
      <c r="B650">
        <v>13</v>
      </c>
      <c r="C650" t="s">
        <v>188</v>
      </c>
      <c r="D650" t="s">
        <v>73</v>
      </c>
      <c r="E650" t="s">
        <v>74</v>
      </c>
      <c r="F650" t="s">
        <v>64</v>
      </c>
      <c r="G650">
        <v>13</v>
      </c>
      <c r="H650">
        <v>9</v>
      </c>
      <c r="I650">
        <v>2</v>
      </c>
      <c r="J650" t="s">
        <v>34</v>
      </c>
      <c r="K650" t="s">
        <v>24</v>
      </c>
      <c r="L650">
        <v>44</v>
      </c>
      <c r="M650">
        <v>109.7</v>
      </c>
      <c r="N650">
        <v>111.051605</v>
      </c>
      <c r="O650">
        <v>30.847000000000001</v>
      </c>
      <c r="P650">
        <v>47.981000000000002</v>
      </c>
      <c r="Q650">
        <v>29.335999999999999</v>
      </c>
      <c r="R650">
        <v>13</v>
      </c>
      <c r="S650" t="s">
        <v>83</v>
      </c>
      <c r="T650">
        <f>IF(TRIM(Table1[[#This Row],[PitStopLaps]])="",0,
LEN(Table1[[#This Row],[PitStopLaps]])-LEN(SUBSTITUTE(Table1[[#This Row],[PitStopLaps]],",",""))+1)</f>
        <v>1</v>
      </c>
      <c r="U650">
        <f>Table1[[#This Row],[StartPosition]]-Table1[[#This Row],[FinishPosition]]</f>
        <v>4</v>
      </c>
    </row>
    <row r="651" spans="1:21" x14ac:dyDescent="0.3">
      <c r="A651">
        <v>2019</v>
      </c>
      <c r="B651">
        <v>13</v>
      </c>
      <c r="C651" t="s">
        <v>188</v>
      </c>
      <c r="D651" t="s">
        <v>58</v>
      </c>
      <c r="E651" t="s">
        <v>59</v>
      </c>
      <c r="F651" t="s">
        <v>192</v>
      </c>
      <c r="G651">
        <v>16</v>
      </c>
      <c r="H651">
        <v>10</v>
      </c>
      <c r="I651">
        <v>1</v>
      </c>
      <c r="J651" t="s">
        <v>34</v>
      </c>
      <c r="K651" t="s">
        <v>24</v>
      </c>
      <c r="L651">
        <v>44</v>
      </c>
      <c r="M651">
        <v>108.357</v>
      </c>
      <c r="N651">
        <v>110.53180500000001</v>
      </c>
      <c r="O651">
        <v>30.524999999999999</v>
      </c>
      <c r="P651">
        <v>48.191000000000003</v>
      </c>
      <c r="Q651">
        <v>29.135000000000002</v>
      </c>
      <c r="R651" t="s">
        <v>365</v>
      </c>
      <c r="S651" t="s">
        <v>83</v>
      </c>
      <c r="T651">
        <f>IF(TRIM(Table1[[#This Row],[PitStopLaps]])="",0,
LEN(Table1[[#This Row],[PitStopLaps]])-LEN(SUBSTITUTE(Table1[[#This Row],[PitStopLaps]],",",""))+1)</f>
        <v>2</v>
      </c>
      <c r="U651">
        <f>Table1[[#This Row],[StartPosition]]-Table1[[#This Row],[FinishPosition]]</f>
        <v>6</v>
      </c>
    </row>
    <row r="652" spans="1:21" x14ac:dyDescent="0.3">
      <c r="A652">
        <v>2019</v>
      </c>
      <c r="B652">
        <v>13</v>
      </c>
      <c r="C652" t="s">
        <v>188</v>
      </c>
      <c r="D652" t="s">
        <v>246</v>
      </c>
      <c r="E652" t="s">
        <v>247</v>
      </c>
      <c r="F652" t="s">
        <v>37</v>
      </c>
      <c r="G652">
        <v>11</v>
      </c>
      <c r="H652">
        <v>11</v>
      </c>
      <c r="I652">
        <v>0</v>
      </c>
      <c r="J652" t="s">
        <v>34</v>
      </c>
      <c r="K652" t="s">
        <v>75</v>
      </c>
      <c r="L652">
        <v>44</v>
      </c>
      <c r="M652">
        <v>108.321</v>
      </c>
      <c r="N652">
        <v>109.933378</v>
      </c>
      <c r="O652">
        <v>30.863</v>
      </c>
      <c r="P652">
        <v>47.960999999999999</v>
      </c>
      <c r="Q652">
        <v>29.314</v>
      </c>
      <c r="R652">
        <v>19</v>
      </c>
      <c r="S652" t="s">
        <v>83</v>
      </c>
      <c r="T652">
        <f>IF(TRIM(Table1[[#This Row],[PitStopLaps]])="",0,
LEN(Table1[[#This Row],[PitStopLaps]])-LEN(SUBSTITUTE(Table1[[#This Row],[PitStopLaps]],",",""))+1)</f>
        <v>1</v>
      </c>
      <c r="U652">
        <f>Table1[[#This Row],[StartPosition]]-Table1[[#This Row],[FinishPosition]]</f>
        <v>0</v>
      </c>
    </row>
    <row r="653" spans="1:21" x14ac:dyDescent="0.3">
      <c r="A653">
        <v>2019</v>
      </c>
      <c r="B653">
        <v>13</v>
      </c>
      <c r="C653" t="s">
        <v>188</v>
      </c>
      <c r="D653" t="s">
        <v>71</v>
      </c>
      <c r="E653" t="s">
        <v>72</v>
      </c>
      <c r="F653" t="s">
        <v>69</v>
      </c>
      <c r="G653">
        <v>8</v>
      </c>
      <c r="H653">
        <v>12</v>
      </c>
      <c r="I653">
        <v>0</v>
      </c>
      <c r="J653" t="s">
        <v>34</v>
      </c>
      <c r="K653" t="s">
        <v>65</v>
      </c>
      <c r="L653">
        <v>43</v>
      </c>
      <c r="M653">
        <v>108.67700000000001</v>
      </c>
      <c r="N653">
        <v>111.25981</v>
      </c>
      <c r="O653">
        <v>31.404</v>
      </c>
      <c r="P653">
        <v>47.582999999999998</v>
      </c>
      <c r="Q653">
        <v>29.509</v>
      </c>
      <c r="R653">
        <v>25</v>
      </c>
      <c r="S653" t="s">
        <v>83</v>
      </c>
      <c r="T653">
        <f>IF(TRIM(Table1[[#This Row],[PitStopLaps]])="",0,
LEN(Table1[[#This Row],[PitStopLaps]])-LEN(SUBSTITUTE(Table1[[#This Row],[PitStopLaps]],",",""))+1)</f>
        <v>1</v>
      </c>
      <c r="U653">
        <f>Table1[[#This Row],[StartPosition]]-Table1[[#This Row],[FinishPosition]]</f>
        <v>-4</v>
      </c>
    </row>
    <row r="654" spans="1:21" x14ac:dyDescent="0.3">
      <c r="A654">
        <v>2019</v>
      </c>
      <c r="B654">
        <v>13</v>
      </c>
      <c r="C654" t="s">
        <v>188</v>
      </c>
      <c r="D654" t="s">
        <v>67</v>
      </c>
      <c r="E654" t="s">
        <v>68</v>
      </c>
      <c r="F654" t="s">
        <v>69</v>
      </c>
      <c r="G654">
        <v>9</v>
      </c>
      <c r="H654">
        <v>13</v>
      </c>
      <c r="I654">
        <v>0</v>
      </c>
      <c r="J654" t="s">
        <v>34</v>
      </c>
      <c r="K654" t="s">
        <v>65</v>
      </c>
      <c r="L654">
        <v>43</v>
      </c>
      <c r="M654">
        <v>109.274</v>
      </c>
      <c r="N654">
        <v>111.434162</v>
      </c>
      <c r="O654">
        <v>31.22</v>
      </c>
      <c r="P654">
        <v>48.212000000000003</v>
      </c>
      <c r="Q654">
        <v>29.606000000000002</v>
      </c>
      <c r="R654">
        <v>16</v>
      </c>
      <c r="S654" t="s">
        <v>83</v>
      </c>
      <c r="T654">
        <f>IF(TRIM(Table1[[#This Row],[PitStopLaps]])="",0,
LEN(Table1[[#This Row],[PitStopLaps]])-LEN(SUBSTITUTE(Table1[[#This Row],[PitStopLaps]],",",""))+1)</f>
        <v>1</v>
      </c>
      <c r="U654">
        <f>Table1[[#This Row],[StartPosition]]-Table1[[#This Row],[FinishPosition]]</f>
        <v>-4</v>
      </c>
    </row>
    <row r="655" spans="1:21" x14ac:dyDescent="0.3">
      <c r="A655">
        <v>2019</v>
      </c>
      <c r="B655">
        <v>13</v>
      </c>
      <c r="C655" t="s">
        <v>188</v>
      </c>
      <c r="D655" t="s">
        <v>31</v>
      </c>
      <c r="E655" t="s">
        <v>32</v>
      </c>
      <c r="F655" t="s">
        <v>42</v>
      </c>
      <c r="G655">
        <v>10</v>
      </c>
      <c r="H655">
        <v>14</v>
      </c>
      <c r="I655">
        <v>0</v>
      </c>
      <c r="J655" t="s">
        <v>34</v>
      </c>
      <c r="K655" t="s">
        <v>65</v>
      </c>
      <c r="L655">
        <v>43</v>
      </c>
      <c r="M655">
        <v>110.45099999999999</v>
      </c>
      <c r="N655">
        <v>111.99056400000001</v>
      </c>
      <c r="O655">
        <v>30.664000000000001</v>
      </c>
      <c r="P655">
        <v>49.59</v>
      </c>
      <c r="Q655">
        <v>29.55</v>
      </c>
      <c r="R655">
        <v>1</v>
      </c>
      <c r="S655" t="s">
        <v>83</v>
      </c>
      <c r="T655">
        <f>IF(TRIM(Table1[[#This Row],[PitStopLaps]])="",0,
LEN(Table1[[#This Row],[PitStopLaps]])-LEN(SUBSTITUTE(Table1[[#This Row],[PitStopLaps]],",",""))+1)</f>
        <v>1</v>
      </c>
      <c r="U655">
        <f>Table1[[#This Row],[StartPosition]]-Table1[[#This Row],[FinishPosition]]</f>
        <v>-4</v>
      </c>
    </row>
    <row r="656" spans="1:21" x14ac:dyDescent="0.3">
      <c r="A656">
        <v>2019</v>
      </c>
      <c r="B656">
        <v>13</v>
      </c>
      <c r="C656" t="s">
        <v>188</v>
      </c>
      <c r="D656" t="s">
        <v>252</v>
      </c>
      <c r="E656" t="s">
        <v>253</v>
      </c>
      <c r="F656" t="s">
        <v>60</v>
      </c>
      <c r="G656">
        <v>14</v>
      </c>
      <c r="H656">
        <v>15</v>
      </c>
      <c r="I656">
        <v>0</v>
      </c>
      <c r="J656" t="s">
        <v>34</v>
      </c>
      <c r="K656" t="s">
        <v>65</v>
      </c>
      <c r="L656">
        <v>43</v>
      </c>
      <c r="M656">
        <v>108.86</v>
      </c>
      <c r="N656">
        <v>111.720055</v>
      </c>
      <c r="O656">
        <v>31.582999999999998</v>
      </c>
      <c r="P656">
        <v>47.402999999999999</v>
      </c>
      <c r="Q656">
        <v>29.692</v>
      </c>
      <c r="R656">
        <v>30</v>
      </c>
      <c r="S656" t="s">
        <v>83</v>
      </c>
      <c r="T656">
        <f>IF(TRIM(Table1[[#This Row],[PitStopLaps]])="",0,
LEN(Table1[[#This Row],[PitStopLaps]])-LEN(SUBSTITUTE(Table1[[#This Row],[PitStopLaps]],",",""))+1)</f>
        <v>1</v>
      </c>
      <c r="U656">
        <f>Table1[[#This Row],[StartPosition]]-Table1[[#This Row],[FinishPosition]]</f>
        <v>-1</v>
      </c>
    </row>
    <row r="657" spans="1:21" x14ac:dyDescent="0.3">
      <c r="A657">
        <v>2019</v>
      </c>
      <c r="B657">
        <v>13</v>
      </c>
      <c r="C657" t="s">
        <v>188</v>
      </c>
      <c r="D657" t="s">
        <v>29</v>
      </c>
      <c r="E657" t="s">
        <v>30</v>
      </c>
      <c r="F657" t="s">
        <v>243</v>
      </c>
      <c r="G657">
        <v>6</v>
      </c>
      <c r="H657">
        <v>16</v>
      </c>
      <c r="I657">
        <v>0</v>
      </c>
      <c r="J657" t="s">
        <v>34</v>
      </c>
      <c r="K657" t="s">
        <v>65</v>
      </c>
      <c r="L657">
        <v>43</v>
      </c>
      <c r="M657">
        <v>108.753</v>
      </c>
      <c r="N657">
        <v>111.919837</v>
      </c>
      <c r="O657">
        <v>30.747</v>
      </c>
      <c r="P657">
        <v>48.146000000000001</v>
      </c>
      <c r="Q657">
        <v>29.169</v>
      </c>
      <c r="R657" t="s">
        <v>366</v>
      </c>
      <c r="S657" t="s">
        <v>83</v>
      </c>
      <c r="T657">
        <f>IF(TRIM(Table1[[#This Row],[PitStopLaps]])="",0,
LEN(Table1[[#This Row],[PitStopLaps]])-LEN(SUBSTITUTE(Table1[[#This Row],[PitStopLaps]],",",""))+1)</f>
        <v>3</v>
      </c>
      <c r="U657">
        <f>Table1[[#This Row],[StartPosition]]-Table1[[#This Row],[FinishPosition]]</f>
        <v>-10</v>
      </c>
    </row>
    <row r="658" spans="1:21" x14ac:dyDescent="0.3">
      <c r="A658">
        <v>2019</v>
      </c>
      <c r="B658">
        <v>13</v>
      </c>
      <c r="C658" t="s">
        <v>188</v>
      </c>
      <c r="D658" t="s">
        <v>255</v>
      </c>
      <c r="E658" t="s">
        <v>256</v>
      </c>
      <c r="F658" t="s">
        <v>60</v>
      </c>
      <c r="G658">
        <v>0</v>
      </c>
      <c r="H658">
        <v>17</v>
      </c>
      <c r="I658">
        <v>0</v>
      </c>
      <c r="J658" t="s">
        <v>34</v>
      </c>
      <c r="K658" t="s">
        <v>65</v>
      </c>
      <c r="L658">
        <v>43</v>
      </c>
      <c r="M658">
        <v>109.22</v>
      </c>
      <c r="N658">
        <v>112.18708100000001</v>
      </c>
      <c r="O658">
        <v>31.692</v>
      </c>
      <c r="P658">
        <v>47.636000000000003</v>
      </c>
      <c r="Q658">
        <v>29.736999999999998</v>
      </c>
      <c r="R658">
        <v>31</v>
      </c>
      <c r="S658" t="s">
        <v>83</v>
      </c>
      <c r="T658">
        <f>IF(TRIM(Table1[[#This Row],[PitStopLaps]])="",0,
LEN(Table1[[#This Row],[PitStopLaps]])-LEN(SUBSTITUTE(Table1[[#This Row],[PitStopLaps]],",",""))+1)</f>
        <v>1</v>
      </c>
      <c r="U658">
        <f>Table1[[#This Row],[StartPosition]]-Table1[[#This Row],[FinishPosition]]</f>
        <v>-17</v>
      </c>
    </row>
    <row r="659" spans="1:21" x14ac:dyDescent="0.3">
      <c r="A659">
        <v>2019</v>
      </c>
      <c r="B659">
        <v>13</v>
      </c>
      <c r="C659" t="s">
        <v>188</v>
      </c>
      <c r="D659" t="s">
        <v>250</v>
      </c>
      <c r="E659" t="s">
        <v>251</v>
      </c>
      <c r="F659" t="s">
        <v>243</v>
      </c>
      <c r="G659">
        <v>18</v>
      </c>
      <c r="H659">
        <v>18</v>
      </c>
      <c r="I659">
        <v>0</v>
      </c>
      <c r="J659" t="s">
        <v>34</v>
      </c>
      <c r="K659" t="s">
        <v>123</v>
      </c>
      <c r="L659">
        <v>43</v>
      </c>
      <c r="M659">
        <v>107.56</v>
      </c>
      <c r="N659">
        <v>110.711861</v>
      </c>
      <c r="O659">
        <v>30.675000000000001</v>
      </c>
      <c r="P659">
        <v>47.079000000000001</v>
      </c>
      <c r="Q659">
        <v>29.257000000000001</v>
      </c>
      <c r="R659">
        <v>29</v>
      </c>
      <c r="S659" t="s">
        <v>83</v>
      </c>
      <c r="T659">
        <f>IF(TRIM(Table1[[#This Row],[PitStopLaps]])="",0,
LEN(Table1[[#This Row],[PitStopLaps]])-LEN(SUBSTITUTE(Table1[[#This Row],[PitStopLaps]],",",""))+1)</f>
        <v>1</v>
      </c>
      <c r="U659">
        <f>Table1[[#This Row],[StartPosition]]-Table1[[#This Row],[FinishPosition]]</f>
        <v>0</v>
      </c>
    </row>
    <row r="660" spans="1:21" x14ac:dyDescent="0.3">
      <c r="A660">
        <v>2019</v>
      </c>
      <c r="B660">
        <v>13</v>
      </c>
      <c r="C660" t="s">
        <v>188</v>
      </c>
      <c r="D660" t="s">
        <v>47</v>
      </c>
      <c r="E660" t="s">
        <v>48</v>
      </c>
      <c r="F660" t="s">
        <v>37</v>
      </c>
      <c r="G660">
        <v>15</v>
      </c>
      <c r="H660">
        <v>19</v>
      </c>
      <c r="I660">
        <v>0</v>
      </c>
      <c r="J660" t="s">
        <v>34</v>
      </c>
      <c r="K660" t="s">
        <v>186</v>
      </c>
      <c r="L660">
        <v>1</v>
      </c>
      <c r="R660">
        <v>1</v>
      </c>
      <c r="S660" t="s">
        <v>83</v>
      </c>
      <c r="T660">
        <f>IF(TRIM(Table1[[#This Row],[PitStopLaps]])="",0,
LEN(Table1[[#This Row],[PitStopLaps]])-LEN(SUBSTITUTE(Table1[[#This Row],[PitStopLaps]],",",""))+1)</f>
        <v>1</v>
      </c>
      <c r="U660">
        <f>Table1[[#This Row],[StartPosition]]-Table1[[#This Row],[FinishPosition]]</f>
        <v>-4</v>
      </c>
    </row>
    <row r="661" spans="1:21" x14ac:dyDescent="0.3">
      <c r="A661">
        <v>2019</v>
      </c>
      <c r="B661">
        <v>13</v>
      </c>
      <c r="C661" t="s">
        <v>188</v>
      </c>
      <c r="D661" t="s">
        <v>38</v>
      </c>
      <c r="E661" t="s">
        <v>39</v>
      </c>
      <c r="F661" t="s">
        <v>33</v>
      </c>
      <c r="G661">
        <v>5</v>
      </c>
      <c r="H661">
        <v>20</v>
      </c>
      <c r="I661">
        <v>0</v>
      </c>
      <c r="J661" t="s">
        <v>34</v>
      </c>
      <c r="K661" t="s">
        <v>123</v>
      </c>
      <c r="L661">
        <v>1</v>
      </c>
      <c r="S661" t="s">
        <v>83</v>
      </c>
      <c r="T661">
        <f>IF(TRIM(Table1[[#This Row],[PitStopLaps]])="",0,
LEN(Table1[[#This Row],[PitStopLaps]])-LEN(SUBSTITUTE(Table1[[#This Row],[PitStopLaps]],",",""))+1)</f>
        <v>0</v>
      </c>
      <c r="U661">
        <f>Table1[[#This Row],[StartPosition]]-Table1[[#This Row],[FinishPosition]]</f>
        <v>-15</v>
      </c>
    </row>
    <row r="662" spans="1:21" x14ac:dyDescent="0.3">
      <c r="A662">
        <v>2019</v>
      </c>
      <c r="B662">
        <v>14</v>
      </c>
      <c r="C662" t="s">
        <v>367</v>
      </c>
      <c r="D662" t="s">
        <v>54</v>
      </c>
      <c r="E662" t="s">
        <v>55</v>
      </c>
      <c r="F662" t="s">
        <v>22</v>
      </c>
      <c r="G662">
        <v>1</v>
      </c>
      <c r="H662">
        <v>1</v>
      </c>
      <c r="I662">
        <v>25</v>
      </c>
      <c r="J662" t="s">
        <v>23</v>
      </c>
      <c r="K662" t="s">
        <v>24</v>
      </c>
      <c r="L662">
        <v>53</v>
      </c>
      <c r="M662">
        <v>83.009</v>
      </c>
      <c r="N662">
        <v>84.168082999999996</v>
      </c>
      <c r="O662">
        <v>27.393000000000001</v>
      </c>
      <c r="P662">
        <v>27.855</v>
      </c>
      <c r="Q662">
        <v>27.541</v>
      </c>
      <c r="R662">
        <v>20</v>
      </c>
      <c r="S662" t="s">
        <v>83</v>
      </c>
      <c r="T662">
        <f>IF(TRIM(Table1[[#This Row],[PitStopLaps]])="",0,
LEN(Table1[[#This Row],[PitStopLaps]])-LEN(SUBSTITUTE(Table1[[#This Row],[PitStopLaps]],",",""))+1)</f>
        <v>1</v>
      </c>
      <c r="U662">
        <f>Table1[[#This Row],[StartPosition]]-Table1[[#This Row],[FinishPosition]]</f>
        <v>0</v>
      </c>
    </row>
    <row r="663" spans="1:21" x14ac:dyDescent="0.3">
      <c r="A663">
        <v>2019</v>
      </c>
      <c r="B663">
        <v>14</v>
      </c>
      <c r="C663" t="s">
        <v>367</v>
      </c>
      <c r="D663" t="s">
        <v>43</v>
      </c>
      <c r="E663" t="s">
        <v>44</v>
      </c>
      <c r="F663" t="s">
        <v>28</v>
      </c>
      <c r="G663">
        <v>3</v>
      </c>
      <c r="H663">
        <v>2</v>
      </c>
      <c r="I663">
        <v>18</v>
      </c>
      <c r="J663" t="s">
        <v>23</v>
      </c>
      <c r="K663" t="s">
        <v>24</v>
      </c>
      <c r="L663">
        <v>53</v>
      </c>
      <c r="M663">
        <v>82.858999999999995</v>
      </c>
      <c r="N663">
        <v>84.204499999999996</v>
      </c>
      <c r="O663">
        <v>27.295999999999999</v>
      </c>
      <c r="P663">
        <v>27.751999999999999</v>
      </c>
      <c r="Q663">
        <v>27.280999999999999</v>
      </c>
      <c r="R663">
        <v>27</v>
      </c>
      <c r="S663" t="s">
        <v>83</v>
      </c>
      <c r="T663">
        <f>IF(TRIM(Table1[[#This Row],[PitStopLaps]])="",0,
LEN(Table1[[#This Row],[PitStopLaps]])-LEN(SUBSTITUTE(Table1[[#This Row],[PitStopLaps]],",",""))+1)</f>
        <v>1</v>
      </c>
      <c r="U663">
        <f>Table1[[#This Row],[StartPosition]]-Table1[[#This Row],[FinishPosition]]</f>
        <v>1</v>
      </c>
    </row>
    <row r="664" spans="1:21" x14ac:dyDescent="0.3">
      <c r="A664">
        <v>2019</v>
      </c>
      <c r="B664">
        <v>14</v>
      </c>
      <c r="C664" t="s">
        <v>367</v>
      </c>
      <c r="D664" t="s">
        <v>26</v>
      </c>
      <c r="E664" t="s">
        <v>27</v>
      </c>
      <c r="F664" t="s">
        <v>28</v>
      </c>
      <c r="G664">
        <v>2</v>
      </c>
      <c r="H664">
        <v>3</v>
      </c>
      <c r="I664">
        <v>16</v>
      </c>
      <c r="J664" t="s">
        <v>23</v>
      </c>
      <c r="K664" t="s">
        <v>24</v>
      </c>
      <c r="L664">
        <v>53</v>
      </c>
      <c r="M664">
        <v>81.778999999999996</v>
      </c>
      <c r="N664">
        <v>84.397260000000003</v>
      </c>
      <c r="O664">
        <v>27.495999999999999</v>
      </c>
      <c r="P664">
        <v>27.236000000000001</v>
      </c>
      <c r="Q664">
        <v>27.027000000000001</v>
      </c>
      <c r="R664" t="s">
        <v>363</v>
      </c>
      <c r="S664" t="s">
        <v>83</v>
      </c>
      <c r="T664">
        <f>IF(TRIM(Table1[[#This Row],[PitStopLaps]])="",0,
LEN(Table1[[#This Row],[PitStopLaps]])-LEN(SUBSTITUTE(Table1[[#This Row],[PitStopLaps]],",",""))+1)</f>
        <v>2</v>
      </c>
      <c r="U664">
        <f>Table1[[#This Row],[StartPosition]]-Table1[[#This Row],[FinishPosition]]</f>
        <v>-1</v>
      </c>
    </row>
    <row r="665" spans="1:21" x14ac:dyDescent="0.3">
      <c r="A665">
        <v>2019</v>
      </c>
      <c r="B665">
        <v>14</v>
      </c>
      <c r="C665" t="s">
        <v>367</v>
      </c>
      <c r="D665" t="s">
        <v>31</v>
      </c>
      <c r="E665" t="s">
        <v>32</v>
      </c>
      <c r="F665" t="s">
        <v>42</v>
      </c>
      <c r="G665">
        <v>5</v>
      </c>
      <c r="H665">
        <v>4</v>
      </c>
      <c r="I665">
        <v>12</v>
      </c>
      <c r="J665" t="s">
        <v>34</v>
      </c>
      <c r="K665" t="s">
        <v>24</v>
      </c>
      <c r="L665">
        <v>53</v>
      </c>
      <c r="M665">
        <v>83.465999999999994</v>
      </c>
      <c r="N665">
        <v>85.186693000000005</v>
      </c>
      <c r="O665">
        <v>27.768000000000001</v>
      </c>
      <c r="P665">
        <v>27.864999999999998</v>
      </c>
      <c r="Q665">
        <v>27.745000000000001</v>
      </c>
      <c r="R665">
        <v>30</v>
      </c>
      <c r="S665" t="s">
        <v>83</v>
      </c>
      <c r="T665">
        <f>IF(TRIM(Table1[[#This Row],[PitStopLaps]])="",0,
LEN(Table1[[#This Row],[PitStopLaps]])-LEN(SUBSTITUTE(Table1[[#This Row],[PitStopLaps]],",",""))+1)</f>
        <v>1</v>
      </c>
      <c r="U665">
        <f>Table1[[#This Row],[StartPosition]]-Table1[[#This Row],[FinishPosition]]</f>
        <v>1</v>
      </c>
    </row>
    <row r="666" spans="1:21" x14ac:dyDescent="0.3">
      <c r="A666">
        <v>2019</v>
      </c>
      <c r="B666">
        <v>14</v>
      </c>
      <c r="C666" t="s">
        <v>367</v>
      </c>
      <c r="D666" t="s">
        <v>40</v>
      </c>
      <c r="E666" t="s">
        <v>41</v>
      </c>
      <c r="F666" t="s">
        <v>42</v>
      </c>
      <c r="G666">
        <v>6</v>
      </c>
      <c r="H666">
        <v>5</v>
      </c>
      <c r="I666">
        <v>10</v>
      </c>
      <c r="J666" t="s">
        <v>34</v>
      </c>
      <c r="K666" t="s">
        <v>24</v>
      </c>
      <c r="L666">
        <v>53</v>
      </c>
      <c r="M666">
        <v>83.641000000000005</v>
      </c>
      <c r="N666">
        <v>85.214540999999997</v>
      </c>
      <c r="O666">
        <v>27.657</v>
      </c>
      <c r="P666">
        <v>27.977</v>
      </c>
      <c r="Q666">
        <v>27.741</v>
      </c>
      <c r="R666">
        <v>29</v>
      </c>
      <c r="S666" t="s">
        <v>83</v>
      </c>
      <c r="T666">
        <f>IF(TRIM(Table1[[#This Row],[PitStopLaps]])="",0,
LEN(Table1[[#This Row],[PitStopLaps]])-LEN(SUBSTITUTE(Table1[[#This Row],[PitStopLaps]],",",""))+1)</f>
        <v>1</v>
      </c>
      <c r="U666">
        <f>Table1[[#This Row],[StartPosition]]-Table1[[#This Row],[FinishPosition]]</f>
        <v>1</v>
      </c>
    </row>
    <row r="667" spans="1:21" x14ac:dyDescent="0.3">
      <c r="A667">
        <v>2019</v>
      </c>
      <c r="B667">
        <v>14</v>
      </c>
      <c r="C667" t="s">
        <v>367</v>
      </c>
      <c r="D667" t="s">
        <v>248</v>
      </c>
      <c r="E667" t="s">
        <v>249</v>
      </c>
      <c r="F667" t="s">
        <v>33</v>
      </c>
      <c r="G667">
        <v>8</v>
      </c>
      <c r="H667">
        <v>6</v>
      </c>
      <c r="I667">
        <v>8</v>
      </c>
      <c r="J667" t="s">
        <v>34</v>
      </c>
      <c r="K667" t="s">
        <v>24</v>
      </c>
      <c r="L667">
        <v>53</v>
      </c>
      <c r="M667">
        <v>83.364000000000004</v>
      </c>
      <c r="N667">
        <v>85.032829000000007</v>
      </c>
      <c r="O667">
        <v>27.707000000000001</v>
      </c>
      <c r="P667">
        <v>27.942</v>
      </c>
      <c r="Q667">
        <v>27.504000000000001</v>
      </c>
      <c r="R667">
        <v>26</v>
      </c>
      <c r="S667" t="s">
        <v>83</v>
      </c>
      <c r="T667">
        <f>IF(TRIM(Table1[[#This Row],[PitStopLaps]])="",0,
LEN(Table1[[#This Row],[PitStopLaps]])-LEN(SUBSTITUTE(Table1[[#This Row],[PitStopLaps]],",",""))+1)</f>
        <v>1</v>
      </c>
      <c r="U667">
        <f>Table1[[#This Row],[StartPosition]]-Table1[[#This Row],[FinishPosition]]</f>
        <v>2</v>
      </c>
    </row>
    <row r="668" spans="1:21" x14ac:dyDescent="0.3">
      <c r="A668">
        <v>2019</v>
      </c>
      <c r="B668">
        <v>14</v>
      </c>
      <c r="C668" t="s">
        <v>367</v>
      </c>
      <c r="D668" t="s">
        <v>49</v>
      </c>
      <c r="E668" t="s">
        <v>50</v>
      </c>
      <c r="F668" t="s">
        <v>192</v>
      </c>
      <c r="G668">
        <v>18</v>
      </c>
      <c r="H668">
        <v>7</v>
      </c>
      <c r="I668">
        <v>6</v>
      </c>
      <c r="J668" t="s">
        <v>34</v>
      </c>
      <c r="K668" t="s">
        <v>24</v>
      </c>
      <c r="L668">
        <v>53</v>
      </c>
      <c r="M668">
        <v>83.77</v>
      </c>
      <c r="N668">
        <v>85.475166000000002</v>
      </c>
      <c r="O668">
        <v>27.425000000000001</v>
      </c>
      <c r="P668">
        <v>28.349</v>
      </c>
      <c r="Q668">
        <v>27.812000000000001</v>
      </c>
      <c r="R668">
        <v>28</v>
      </c>
      <c r="S668" t="s">
        <v>83</v>
      </c>
      <c r="T668">
        <f>IF(TRIM(Table1[[#This Row],[PitStopLaps]])="",0,
LEN(Table1[[#This Row],[PitStopLaps]])-LEN(SUBSTITUTE(Table1[[#This Row],[PitStopLaps]],",",""))+1)</f>
        <v>1</v>
      </c>
      <c r="U668">
        <f>Table1[[#This Row],[StartPosition]]-Table1[[#This Row],[FinishPosition]]</f>
        <v>11</v>
      </c>
    </row>
    <row r="669" spans="1:21" x14ac:dyDescent="0.3">
      <c r="A669">
        <v>2019</v>
      </c>
      <c r="B669">
        <v>14</v>
      </c>
      <c r="C669" t="s">
        <v>367</v>
      </c>
      <c r="D669" t="s">
        <v>38</v>
      </c>
      <c r="E669" t="s">
        <v>39</v>
      </c>
      <c r="F669" t="s">
        <v>33</v>
      </c>
      <c r="G669">
        <v>19</v>
      </c>
      <c r="H669">
        <v>8</v>
      </c>
      <c r="I669">
        <v>4</v>
      </c>
      <c r="J669" t="s">
        <v>34</v>
      </c>
      <c r="K669" t="s">
        <v>24</v>
      </c>
      <c r="L669">
        <v>53</v>
      </c>
      <c r="M669">
        <v>83.143000000000001</v>
      </c>
      <c r="N669">
        <v>84.739659000000003</v>
      </c>
      <c r="O669">
        <v>27.561</v>
      </c>
      <c r="P669">
        <v>27.977</v>
      </c>
      <c r="Q669">
        <v>27.425000000000001</v>
      </c>
      <c r="R669" t="s">
        <v>368</v>
      </c>
      <c r="S669" t="s">
        <v>83</v>
      </c>
      <c r="T669">
        <f>IF(TRIM(Table1[[#This Row],[PitStopLaps]])="",0,
LEN(Table1[[#This Row],[PitStopLaps]])-LEN(SUBSTITUTE(Table1[[#This Row],[PitStopLaps]],",",""))+1)</f>
        <v>2</v>
      </c>
      <c r="U669">
        <f>Table1[[#This Row],[StartPosition]]-Table1[[#This Row],[FinishPosition]]</f>
        <v>11</v>
      </c>
    </row>
    <row r="670" spans="1:21" x14ac:dyDescent="0.3">
      <c r="A670">
        <v>2019</v>
      </c>
      <c r="B670">
        <v>14</v>
      </c>
      <c r="C670" t="s">
        <v>367</v>
      </c>
      <c r="D670" t="s">
        <v>250</v>
      </c>
      <c r="E670" t="s">
        <v>251</v>
      </c>
      <c r="F670" t="s">
        <v>243</v>
      </c>
      <c r="G670">
        <v>10</v>
      </c>
      <c r="H670">
        <v>9</v>
      </c>
      <c r="I670">
        <v>2</v>
      </c>
      <c r="J670" t="s">
        <v>34</v>
      </c>
      <c r="K670" t="s">
        <v>65</v>
      </c>
      <c r="L670">
        <v>52</v>
      </c>
      <c r="M670">
        <v>84.503</v>
      </c>
      <c r="N670">
        <v>85.725933999999995</v>
      </c>
      <c r="O670">
        <v>27.946000000000002</v>
      </c>
      <c r="P670">
        <v>28.443999999999999</v>
      </c>
      <c r="Q670">
        <v>27.983000000000001</v>
      </c>
      <c r="R670">
        <v>21</v>
      </c>
      <c r="S670" t="s">
        <v>83</v>
      </c>
      <c r="T670">
        <f>IF(TRIM(Table1[[#This Row],[PitStopLaps]])="",0,
LEN(Table1[[#This Row],[PitStopLaps]])-LEN(SUBSTITUTE(Table1[[#This Row],[PitStopLaps]],",",""))+1)</f>
        <v>1</v>
      </c>
      <c r="U670">
        <f>Table1[[#This Row],[StartPosition]]-Table1[[#This Row],[FinishPosition]]</f>
        <v>1</v>
      </c>
    </row>
    <row r="671" spans="1:21" x14ac:dyDescent="0.3">
      <c r="A671">
        <v>2019</v>
      </c>
      <c r="B671">
        <v>14</v>
      </c>
      <c r="C671" t="s">
        <v>367</v>
      </c>
      <c r="D671" t="s">
        <v>246</v>
      </c>
      <c r="E671" t="s">
        <v>247</v>
      </c>
      <c r="F671" t="s">
        <v>37</v>
      </c>
      <c r="G671">
        <v>16</v>
      </c>
      <c r="H671">
        <v>10</v>
      </c>
      <c r="I671">
        <v>1</v>
      </c>
      <c r="J671" t="s">
        <v>34</v>
      </c>
      <c r="K671" t="s">
        <v>65</v>
      </c>
      <c r="L671">
        <v>52</v>
      </c>
      <c r="M671">
        <v>84.043999999999997</v>
      </c>
      <c r="N671">
        <v>85.694282000000001</v>
      </c>
      <c r="O671">
        <v>27.744</v>
      </c>
      <c r="P671">
        <v>28.491</v>
      </c>
      <c r="Q671">
        <v>27.672000000000001</v>
      </c>
      <c r="R671">
        <v>23</v>
      </c>
      <c r="S671" t="s">
        <v>83</v>
      </c>
      <c r="T671">
        <f>IF(TRIM(Table1[[#This Row],[PitStopLaps]])="",0,
LEN(Table1[[#This Row],[PitStopLaps]])-LEN(SUBSTITUTE(Table1[[#This Row],[PitStopLaps]],",",""))+1)</f>
        <v>1</v>
      </c>
      <c r="U671">
        <f>Table1[[#This Row],[StartPosition]]-Table1[[#This Row],[FinishPosition]]</f>
        <v>6</v>
      </c>
    </row>
    <row r="672" spans="1:21" x14ac:dyDescent="0.3">
      <c r="A672">
        <v>2019</v>
      </c>
      <c r="B672">
        <v>14</v>
      </c>
      <c r="C672" t="s">
        <v>367</v>
      </c>
      <c r="D672" t="s">
        <v>73</v>
      </c>
      <c r="E672" t="s">
        <v>74</v>
      </c>
      <c r="F672" t="s">
        <v>64</v>
      </c>
      <c r="G672">
        <v>17</v>
      </c>
      <c r="H672">
        <v>11</v>
      </c>
      <c r="I672">
        <v>0</v>
      </c>
      <c r="J672" t="s">
        <v>34</v>
      </c>
      <c r="K672" t="s">
        <v>65</v>
      </c>
      <c r="L672">
        <v>52</v>
      </c>
      <c r="M672">
        <v>83.885000000000005</v>
      </c>
      <c r="N672">
        <v>85.878489000000002</v>
      </c>
      <c r="O672">
        <v>27.68</v>
      </c>
      <c r="P672">
        <v>28.076000000000001</v>
      </c>
      <c r="Q672">
        <v>27.709</v>
      </c>
      <c r="R672">
        <v>28</v>
      </c>
      <c r="S672" t="s">
        <v>83</v>
      </c>
      <c r="T672">
        <f>IF(TRIM(Table1[[#This Row],[PitStopLaps]])="",0,
LEN(Table1[[#This Row],[PitStopLaps]])-LEN(SUBSTITUTE(Table1[[#This Row],[PitStopLaps]],",",""))+1)</f>
        <v>1</v>
      </c>
      <c r="U672">
        <f>Table1[[#This Row],[StartPosition]]-Table1[[#This Row],[FinishPosition]]</f>
        <v>6</v>
      </c>
    </row>
    <row r="673" spans="1:21" x14ac:dyDescent="0.3">
      <c r="A673">
        <v>2019</v>
      </c>
      <c r="B673">
        <v>14</v>
      </c>
      <c r="C673" t="s">
        <v>367</v>
      </c>
      <c r="D673" t="s">
        <v>58</v>
      </c>
      <c r="E673" t="s">
        <v>59</v>
      </c>
      <c r="F673" t="s">
        <v>192</v>
      </c>
      <c r="G673">
        <v>9</v>
      </c>
      <c r="H673">
        <v>12</v>
      </c>
      <c r="I673">
        <v>0</v>
      </c>
      <c r="J673" t="s">
        <v>34</v>
      </c>
      <c r="K673" t="s">
        <v>65</v>
      </c>
      <c r="L673">
        <v>52</v>
      </c>
      <c r="M673">
        <v>84.165000000000006</v>
      </c>
      <c r="N673">
        <v>85.676333</v>
      </c>
      <c r="O673">
        <v>27.561</v>
      </c>
      <c r="P673">
        <v>28.367000000000001</v>
      </c>
      <c r="Q673">
        <v>28.032</v>
      </c>
      <c r="R673" t="s">
        <v>369</v>
      </c>
      <c r="S673" t="s">
        <v>83</v>
      </c>
      <c r="T673">
        <f>IF(TRIM(Table1[[#This Row],[PitStopLaps]])="",0,
LEN(Table1[[#This Row],[PitStopLaps]])-LEN(SUBSTITUTE(Table1[[#This Row],[PitStopLaps]],",",""))+1)</f>
        <v>2</v>
      </c>
      <c r="U673">
        <f>Table1[[#This Row],[StartPosition]]-Table1[[#This Row],[FinishPosition]]</f>
        <v>-3</v>
      </c>
    </row>
    <row r="674" spans="1:21" x14ac:dyDescent="0.3">
      <c r="A674">
        <v>2019</v>
      </c>
      <c r="B674">
        <v>14</v>
      </c>
      <c r="C674" t="s">
        <v>367</v>
      </c>
      <c r="D674" t="s">
        <v>20</v>
      </c>
      <c r="E674" t="s">
        <v>21</v>
      </c>
      <c r="F674" t="s">
        <v>22</v>
      </c>
      <c r="G674">
        <v>4</v>
      </c>
      <c r="H674">
        <v>13</v>
      </c>
      <c r="I674">
        <v>0</v>
      </c>
      <c r="J674" t="s">
        <v>34</v>
      </c>
      <c r="K674" t="s">
        <v>65</v>
      </c>
      <c r="L674">
        <v>52</v>
      </c>
      <c r="M674">
        <v>82.799000000000007</v>
      </c>
      <c r="N674">
        <v>84.767185999999995</v>
      </c>
      <c r="O674">
        <v>27.361000000000001</v>
      </c>
      <c r="P674">
        <v>27.648</v>
      </c>
      <c r="Q674">
        <v>27.553000000000001</v>
      </c>
      <c r="R674" t="s">
        <v>370</v>
      </c>
      <c r="S674" t="s">
        <v>83</v>
      </c>
      <c r="T674">
        <f>IF(TRIM(Table1[[#This Row],[PitStopLaps]])="",0,
LEN(Table1[[#This Row],[PitStopLaps]])-LEN(SUBSTITUTE(Table1[[#This Row],[PitStopLaps]],",",""))+1)</f>
        <v>3</v>
      </c>
      <c r="U674">
        <f>Table1[[#This Row],[StartPosition]]-Table1[[#This Row],[FinishPosition]]</f>
        <v>-9</v>
      </c>
    </row>
    <row r="675" spans="1:21" x14ac:dyDescent="0.3">
      <c r="A675">
        <v>2019</v>
      </c>
      <c r="B675">
        <v>14</v>
      </c>
      <c r="C675" t="s">
        <v>367</v>
      </c>
      <c r="D675" t="s">
        <v>252</v>
      </c>
      <c r="E675" t="s">
        <v>253</v>
      </c>
      <c r="F675" t="s">
        <v>60</v>
      </c>
      <c r="G675">
        <v>14</v>
      </c>
      <c r="H675">
        <v>14</v>
      </c>
      <c r="I675">
        <v>0</v>
      </c>
      <c r="J675" t="s">
        <v>34</v>
      </c>
      <c r="K675" t="s">
        <v>65</v>
      </c>
      <c r="L675">
        <v>52</v>
      </c>
      <c r="M675">
        <v>84.841999999999999</v>
      </c>
      <c r="N675">
        <v>86.518062999999998</v>
      </c>
      <c r="O675">
        <v>28.15</v>
      </c>
      <c r="P675">
        <v>28.428000000000001</v>
      </c>
      <c r="Q675">
        <v>28.029</v>
      </c>
      <c r="R675">
        <v>23</v>
      </c>
      <c r="S675" t="s">
        <v>83</v>
      </c>
      <c r="T675">
        <f>IF(TRIM(Table1[[#This Row],[PitStopLaps]])="",0,
LEN(Table1[[#This Row],[PitStopLaps]])-LEN(SUBSTITUTE(Table1[[#This Row],[PitStopLaps]],",",""))+1)</f>
        <v>1</v>
      </c>
      <c r="U675">
        <f>Table1[[#This Row],[StartPosition]]-Table1[[#This Row],[FinishPosition]]</f>
        <v>0</v>
      </c>
    </row>
    <row r="676" spans="1:21" x14ac:dyDescent="0.3">
      <c r="A676">
        <v>2019</v>
      </c>
      <c r="B676">
        <v>14</v>
      </c>
      <c r="C676" t="s">
        <v>367</v>
      </c>
      <c r="D676" t="s">
        <v>29</v>
      </c>
      <c r="E676" t="s">
        <v>30</v>
      </c>
      <c r="F676" t="s">
        <v>243</v>
      </c>
      <c r="G676">
        <v>0</v>
      </c>
      <c r="H676">
        <v>15</v>
      </c>
      <c r="I676">
        <v>0</v>
      </c>
      <c r="J676" t="s">
        <v>34</v>
      </c>
      <c r="K676" t="s">
        <v>65</v>
      </c>
      <c r="L676">
        <v>52</v>
      </c>
      <c r="M676">
        <v>84.418999999999997</v>
      </c>
      <c r="N676">
        <v>86.309931000000006</v>
      </c>
      <c r="O676">
        <v>27.684999999999999</v>
      </c>
      <c r="P676">
        <v>28.323</v>
      </c>
      <c r="Q676">
        <v>27.98</v>
      </c>
      <c r="R676" t="s">
        <v>371</v>
      </c>
      <c r="S676" t="s">
        <v>83</v>
      </c>
      <c r="T676">
        <f>IF(TRIM(Table1[[#This Row],[PitStopLaps]])="",0,
LEN(Table1[[#This Row],[PitStopLaps]])-LEN(SUBSTITUTE(Table1[[#This Row],[PitStopLaps]],",",""))+1)</f>
        <v>2</v>
      </c>
      <c r="U676">
        <f>Table1[[#This Row],[StartPosition]]-Table1[[#This Row],[FinishPosition]]</f>
        <v>-15</v>
      </c>
    </row>
    <row r="677" spans="1:21" x14ac:dyDescent="0.3">
      <c r="A677">
        <v>2019</v>
      </c>
      <c r="B677">
        <v>14</v>
      </c>
      <c r="C677" t="s">
        <v>367</v>
      </c>
      <c r="D677" t="s">
        <v>67</v>
      </c>
      <c r="E677" t="s">
        <v>68</v>
      </c>
      <c r="F677" t="s">
        <v>69</v>
      </c>
      <c r="G677">
        <v>13</v>
      </c>
      <c r="H677">
        <v>16</v>
      </c>
      <c r="I677">
        <v>0</v>
      </c>
      <c r="J677" t="s">
        <v>34</v>
      </c>
      <c r="K677" t="s">
        <v>65</v>
      </c>
      <c r="L677">
        <v>52</v>
      </c>
      <c r="M677">
        <v>84.984999999999999</v>
      </c>
      <c r="N677">
        <v>86.770455999999996</v>
      </c>
      <c r="O677">
        <v>27.908999999999999</v>
      </c>
      <c r="P677">
        <v>28.562000000000001</v>
      </c>
      <c r="Q677">
        <v>28.338000000000001</v>
      </c>
      <c r="R677" t="s">
        <v>372</v>
      </c>
      <c r="S677" t="s">
        <v>83</v>
      </c>
      <c r="T677">
        <f>IF(TRIM(Table1[[#This Row],[PitStopLaps]])="",0,
LEN(Table1[[#This Row],[PitStopLaps]])-LEN(SUBSTITUTE(Table1[[#This Row],[PitStopLaps]],",",""))+1)</f>
        <v>2</v>
      </c>
      <c r="U677">
        <f>Table1[[#This Row],[StartPosition]]-Table1[[#This Row],[FinishPosition]]</f>
        <v>-3</v>
      </c>
    </row>
    <row r="678" spans="1:21" x14ac:dyDescent="0.3">
      <c r="A678">
        <v>2019</v>
      </c>
      <c r="B678">
        <v>14</v>
      </c>
      <c r="C678" t="s">
        <v>367</v>
      </c>
      <c r="D678" t="s">
        <v>255</v>
      </c>
      <c r="E678" t="s">
        <v>256</v>
      </c>
      <c r="F678" t="s">
        <v>60</v>
      </c>
      <c r="G678">
        <v>15</v>
      </c>
      <c r="H678">
        <v>17</v>
      </c>
      <c r="I678">
        <v>0</v>
      </c>
      <c r="J678" t="s">
        <v>34</v>
      </c>
      <c r="K678" t="s">
        <v>127</v>
      </c>
      <c r="L678">
        <v>51</v>
      </c>
      <c r="M678">
        <v>84.989000000000004</v>
      </c>
      <c r="N678">
        <v>87.352688000000001</v>
      </c>
      <c r="O678">
        <v>28.206</v>
      </c>
      <c r="P678">
        <v>28.280999999999999</v>
      </c>
      <c r="Q678">
        <v>28.236999999999998</v>
      </c>
      <c r="R678" t="s">
        <v>373</v>
      </c>
      <c r="S678" t="s">
        <v>83</v>
      </c>
      <c r="T678">
        <f>IF(TRIM(Table1[[#This Row],[PitStopLaps]])="",0,
LEN(Table1[[#This Row],[PitStopLaps]])-LEN(SUBSTITUTE(Table1[[#This Row],[PitStopLaps]],",",""))+1)</f>
        <v>2</v>
      </c>
      <c r="U678">
        <f>Table1[[#This Row],[StartPosition]]-Table1[[#This Row],[FinishPosition]]</f>
        <v>-2</v>
      </c>
    </row>
    <row r="679" spans="1:21" x14ac:dyDescent="0.3">
      <c r="A679">
        <v>2019</v>
      </c>
      <c r="B679">
        <v>14</v>
      </c>
      <c r="C679" t="s">
        <v>367</v>
      </c>
      <c r="D679" t="s">
        <v>71</v>
      </c>
      <c r="E679" t="s">
        <v>72</v>
      </c>
      <c r="F679" t="s">
        <v>69</v>
      </c>
      <c r="G679">
        <v>11</v>
      </c>
      <c r="H679">
        <v>18</v>
      </c>
      <c r="I679">
        <v>0</v>
      </c>
      <c r="J679" t="s">
        <v>34</v>
      </c>
      <c r="K679" t="s">
        <v>155</v>
      </c>
      <c r="L679">
        <v>43</v>
      </c>
      <c r="M679">
        <v>84.442999999999998</v>
      </c>
      <c r="N679">
        <v>86.113911000000002</v>
      </c>
      <c r="O679">
        <v>28.03</v>
      </c>
      <c r="P679">
        <v>28.337</v>
      </c>
      <c r="Q679">
        <v>28.021999999999998</v>
      </c>
      <c r="R679" t="s">
        <v>374</v>
      </c>
      <c r="S679" t="s">
        <v>83</v>
      </c>
      <c r="T679">
        <f>IF(TRIM(Table1[[#This Row],[PitStopLaps]])="",0,
LEN(Table1[[#This Row],[PitStopLaps]])-LEN(SUBSTITUTE(Table1[[#This Row],[PitStopLaps]],",",""))+1)</f>
        <v>3</v>
      </c>
      <c r="U679">
        <f>Table1[[#This Row],[StartPosition]]-Table1[[#This Row],[FinishPosition]]</f>
        <v>-7</v>
      </c>
    </row>
    <row r="680" spans="1:21" x14ac:dyDescent="0.3">
      <c r="A680">
        <v>2019</v>
      </c>
      <c r="B680">
        <v>14</v>
      </c>
      <c r="C680" t="s">
        <v>367</v>
      </c>
      <c r="D680" t="s">
        <v>244</v>
      </c>
      <c r="E680" t="s">
        <v>245</v>
      </c>
      <c r="F680" t="s">
        <v>64</v>
      </c>
      <c r="G680">
        <v>12</v>
      </c>
      <c r="H680">
        <v>19</v>
      </c>
      <c r="I680">
        <v>0</v>
      </c>
      <c r="J680" t="s">
        <v>34</v>
      </c>
      <c r="K680" t="s">
        <v>75</v>
      </c>
      <c r="L680">
        <v>30</v>
      </c>
      <c r="M680">
        <v>85.772000000000006</v>
      </c>
      <c r="N680">
        <v>86.293423000000004</v>
      </c>
      <c r="O680">
        <v>28.193000000000001</v>
      </c>
      <c r="P680">
        <v>28.853999999999999</v>
      </c>
      <c r="Q680">
        <v>28.347999999999999</v>
      </c>
      <c r="R680">
        <v>28</v>
      </c>
      <c r="S680" t="s">
        <v>83</v>
      </c>
      <c r="T680">
        <f>IF(TRIM(Table1[[#This Row],[PitStopLaps]])="",0,
LEN(Table1[[#This Row],[PitStopLaps]])-LEN(SUBSTITUTE(Table1[[#This Row],[PitStopLaps]],",",""))+1)</f>
        <v>1</v>
      </c>
      <c r="U680">
        <f>Table1[[#This Row],[StartPosition]]-Table1[[#This Row],[FinishPosition]]</f>
        <v>-7</v>
      </c>
    </row>
    <row r="681" spans="1:21" x14ac:dyDescent="0.3">
      <c r="A681">
        <v>2019</v>
      </c>
      <c r="B681">
        <v>14</v>
      </c>
      <c r="C681" t="s">
        <v>367</v>
      </c>
      <c r="D681" t="s">
        <v>47</v>
      </c>
      <c r="E681" t="s">
        <v>48</v>
      </c>
      <c r="F681" t="s">
        <v>37</v>
      </c>
      <c r="G681">
        <v>7</v>
      </c>
      <c r="H681">
        <v>20</v>
      </c>
      <c r="I681">
        <v>0</v>
      </c>
      <c r="J681" t="s">
        <v>34</v>
      </c>
      <c r="K681" t="s">
        <v>70</v>
      </c>
      <c r="L681">
        <v>27</v>
      </c>
      <c r="M681">
        <v>85.637</v>
      </c>
      <c r="N681">
        <v>86.13064</v>
      </c>
      <c r="O681">
        <v>28.071000000000002</v>
      </c>
      <c r="P681">
        <v>29.032</v>
      </c>
      <c r="Q681">
        <v>28.443999999999999</v>
      </c>
      <c r="R681">
        <v>27</v>
      </c>
      <c r="S681" t="s">
        <v>83</v>
      </c>
      <c r="T681">
        <f>IF(TRIM(Table1[[#This Row],[PitStopLaps]])="",0,
LEN(Table1[[#This Row],[PitStopLaps]])-LEN(SUBSTITUTE(Table1[[#This Row],[PitStopLaps]],",",""))+1)</f>
        <v>1</v>
      </c>
      <c r="U681">
        <f>Table1[[#This Row],[StartPosition]]-Table1[[#This Row],[FinishPosition]]</f>
        <v>-13</v>
      </c>
    </row>
    <row r="682" spans="1:21" x14ac:dyDescent="0.3">
      <c r="A682">
        <v>2019</v>
      </c>
      <c r="B682">
        <v>15</v>
      </c>
      <c r="C682" t="s">
        <v>200</v>
      </c>
      <c r="D682" t="s">
        <v>20</v>
      </c>
      <c r="E682" t="s">
        <v>21</v>
      </c>
      <c r="F682" t="s">
        <v>22</v>
      </c>
      <c r="G682">
        <v>3</v>
      </c>
      <c r="H682">
        <v>1</v>
      </c>
      <c r="I682">
        <v>25</v>
      </c>
      <c r="J682" t="s">
        <v>23</v>
      </c>
      <c r="K682" t="s">
        <v>24</v>
      </c>
      <c r="L682">
        <v>61</v>
      </c>
      <c r="M682">
        <v>104.80200000000001</v>
      </c>
      <c r="N682">
        <v>107.377978</v>
      </c>
      <c r="O682">
        <v>28.457000000000001</v>
      </c>
      <c r="P682">
        <v>40.795999999999999</v>
      </c>
      <c r="Q682">
        <v>35.393000000000001</v>
      </c>
      <c r="R682">
        <v>19</v>
      </c>
      <c r="S682" t="s">
        <v>83</v>
      </c>
      <c r="T682">
        <f>IF(TRIM(Table1[[#This Row],[PitStopLaps]])="",0,
LEN(Table1[[#This Row],[PitStopLaps]])-LEN(SUBSTITUTE(Table1[[#This Row],[PitStopLaps]],",",""))+1)</f>
        <v>1</v>
      </c>
      <c r="U682">
        <f>Table1[[#This Row],[StartPosition]]-Table1[[#This Row],[FinishPosition]]</f>
        <v>2</v>
      </c>
    </row>
    <row r="683" spans="1:21" x14ac:dyDescent="0.3">
      <c r="A683">
        <v>2019</v>
      </c>
      <c r="B683">
        <v>15</v>
      </c>
      <c r="C683" t="s">
        <v>200</v>
      </c>
      <c r="D683" t="s">
        <v>54</v>
      </c>
      <c r="E683" t="s">
        <v>55</v>
      </c>
      <c r="F683" t="s">
        <v>22</v>
      </c>
      <c r="G683">
        <v>1</v>
      </c>
      <c r="H683">
        <v>2</v>
      </c>
      <c r="I683">
        <v>18</v>
      </c>
      <c r="J683" t="s">
        <v>23</v>
      </c>
      <c r="K683" t="s">
        <v>24</v>
      </c>
      <c r="L683">
        <v>61</v>
      </c>
      <c r="M683">
        <v>104.723</v>
      </c>
      <c r="N683">
        <v>107.547787</v>
      </c>
      <c r="O683">
        <v>28.332999999999998</v>
      </c>
      <c r="P683">
        <v>40.945</v>
      </c>
      <c r="Q683">
        <v>35.225000000000001</v>
      </c>
      <c r="R683">
        <v>20</v>
      </c>
      <c r="S683" t="s">
        <v>83</v>
      </c>
      <c r="T683">
        <f>IF(TRIM(Table1[[#This Row],[PitStopLaps]])="",0,
LEN(Table1[[#This Row],[PitStopLaps]])-LEN(SUBSTITUTE(Table1[[#This Row],[PitStopLaps]],",",""))+1)</f>
        <v>1</v>
      </c>
      <c r="U683">
        <f>Table1[[#This Row],[StartPosition]]-Table1[[#This Row],[FinishPosition]]</f>
        <v>-1</v>
      </c>
    </row>
    <row r="684" spans="1:21" x14ac:dyDescent="0.3">
      <c r="A684">
        <v>2019</v>
      </c>
      <c r="B684">
        <v>15</v>
      </c>
      <c r="C684" t="s">
        <v>200</v>
      </c>
      <c r="D684" t="s">
        <v>38</v>
      </c>
      <c r="E684" t="s">
        <v>39</v>
      </c>
      <c r="F684" t="s">
        <v>33</v>
      </c>
      <c r="G684">
        <v>4</v>
      </c>
      <c r="H684">
        <v>3</v>
      </c>
      <c r="I684">
        <v>15</v>
      </c>
      <c r="J684" t="s">
        <v>23</v>
      </c>
      <c r="K684" t="s">
        <v>24</v>
      </c>
      <c r="L684">
        <v>61</v>
      </c>
      <c r="M684">
        <v>105.176</v>
      </c>
      <c r="N684">
        <v>107.605446</v>
      </c>
      <c r="O684">
        <v>28.593</v>
      </c>
      <c r="P684">
        <v>40.677</v>
      </c>
      <c r="Q684">
        <v>35.555999999999997</v>
      </c>
      <c r="R684">
        <v>19</v>
      </c>
      <c r="S684" t="s">
        <v>83</v>
      </c>
      <c r="T684">
        <f>IF(TRIM(Table1[[#This Row],[PitStopLaps]])="",0,
LEN(Table1[[#This Row],[PitStopLaps]])-LEN(SUBSTITUTE(Table1[[#This Row],[PitStopLaps]],",",""))+1)</f>
        <v>1</v>
      </c>
      <c r="U684">
        <f>Table1[[#This Row],[StartPosition]]-Table1[[#This Row],[FinishPosition]]</f>
        <v>1</v>
      </c>
    </row>
    <row r="685" spans="1:21" x14ac:dyDescent="0.3">
      <c r="A685">
        <v>2019</v>
      </c>
      <c r="B685">
        <v>15</v>
      </c>
      <c r="C685" t="s">
        <v>200</v>
      </c>
      <c r="D685" t="s">
        <v>26</v>
      </c>
      <c r="E685" t="s">
        <v>27</v>
      </c>
      <c r="F685" t="s">
        <v>28</v>
      </c>
      <c r="G685">
        <v>2</v>
      </c>
      <c r="H685">
        <v>4</v>
      </c>
      <c r="I685">
        <v>12</v>
      </c>
      <c r="J685" t="s">
        <v>34</v>
      </c>
      <c r="K685" t="s">
        <v>24</v>
      </c>
      <c r="L685">
        <v>61</v>
      </c>
      <c r="M685">
        <v>104.914</v>
      </c>
      <c r="N685">
        <v>107.85995699999999</v>
      </c>
      <c r="O685">
        <v>28.141999999999999</v>
      </c>
      <c r="P685">
        <v>40.692999999999998</v>
      </c>
      <c r="Q685">
        <v>35.667000000000002</v>
      </c>
      <c r="R685">
        <v>26</v>
      </c>
      <c r="S685" t="s">
        <v>83</v>
      </c>
      <c r="T685">
        <f>IF(TRIM(Table1[[#This Row],[PitStopLaps]])="",0,
LEN(Table1[[#This Row],[PitStopLaps]])-LEN(SUBSTITUTE(Table1[[#This Row],[PitStopLaps]],",",""))+1)</f>
        <v>1</v>
      </c>
      <c r="U685">
        <f>Table1[[#This Row],[StartPosition]]-Table1[[#This Row],[FinishPosition]]</f>
        <v>-2</v>
      </c>
    </row>
    <row r="686" spans="1:21" x14ac:dyDescent="0.3">
      <c r="A686">
        <v>2019</v>
      </c>
      <c r="B686">
        <v>15</v>
      </c>
      <c r="C686" t="s">
        <v>200</v>
      </c>
      <c r="D686" t="s">
        <v>43</v>
      </c>
      <c r="E686" t="s">
        <v>44</v>
      </c>
      <c r="F686" t="s">
        <v>28</v>
      </c>
      <c r="G686">
        <v>5</v>
      </c>
      <c r="H686">
        <v>5</v>
      </c>
      <c r="I686">
        <v>10</v>
      </c>
      <c r="J686" t="s">
        <v>34</v>
      </c>
      <c r="K686" t="s">
        <v>24</v>
      </c>
      <c r="L686">
        <v>61</v>
      </c>
      <c r="M686">
        <v>103.53400000000001</v>
      </c>
      <c r="N686">
        <v>108.044957</v>
      </c>
      <c r="O686">
        <v>28.106999999999999</v>
      </c>
      <c r="P686">
        <v>40.152999999999999</v>
      </c>
      <c r="Q686">
        <v>35.274000000000001</v>
      </c>
      <c r="R686">
        <v>22</v>
      </c>
      <c r="S686" t="s">
        <v>83</v>
      </c>
      <c r="T686">
        <f>IF(TRIM(Table1[[#This Row],[PitStopLaps]])="",0,
LEN(Table1[[#This Row],[PitStopLaps]])-LEN(SUBSTITUTE(Table1[[#This Row],[PitStopLaps]],",",""))+1)</f>
        <v>1</v>
      </c>
      <c r="U686">
        <f>Table1[[#This Row],[StartPosition]]-Table1[[#This Row],[FinishPosition]]</f>
        <v>0</v>
      </c>
    </row>
    <row r="687" spans="1:21" x14ac:dyDescent="0.3">
      <c r="A687">
        <v>2019</v>
      </c>
      <c r="B687">
        <v>15</v>
      </c>
      <c r="C687" t="s">
        <v>200</v>
      </c>
      <c r="D687" t="s">
        <v>248</v>
      </c>
      <c r="E687" t="s">
        <v>249</v>
      </c>
      <c r="F687" t="s">
        <v>33</v>
      </c>
      <c r="G687">
        <v>6</v>
      </c>
      <c r="H687">
        <v>6</v>
      </c>
      <c r="I687">
        <v>8</v>
      </c>
      <c r="J687" t="s">
        <v>34</v>
      </c>
      <c r="K687" t="s">
        <v>24</v>
      </c>
      <c r="L687">
        <v>61</v>
      </c>
      <c r="M687">
        <v>105.26</v>
      </c>
      <c r="N687">
        <v>108.165234</v>
      </c>
      <c r="O687">
        <v>28.631</v>
      </c>
      <c r="P687">
        <v>40.926000000000002</v>
      </c>
      <c r="Q687">
        <v>35.628999999999998</v>
      </c>
      <c r="R687">
        <v>20</v>
      </c>
      <c r="S687" t="s">
        <v>83</v>
      </c>
      <c r="T687">
        <f>IF(TRIM(Table1[[#This Row],[PitStopLaps]])="",0,
LEN(Table1[[#This Row],[PitStopLaps]])-LEN(SUBSTITUTE(Table1[[#This Row],[PitStopLaps]],",",""))+1)</f>
        <v>1</v>
      </c>
      <c r="U687">
        <f>Table1[[#This Row],[StartPosition]]-Table1[[#This Row],[FinishPosition]]</f>
        <v>0</v>
      </c>
    </row>
    <row r="688" spans="1:21" x14ac:dyDescent="0.3">
      <c r="A688">
        <v>2019</v>
      </c>
      <c r="B688">
        <v>15</v>
      </c>
      <c r="C688" t="s">
        <v>200</v>
      </c>
      <c r="D688" t="s">
        <v>246</v>
      </c>
      <c r="E688" t="s">
        <v>247</v>
      </c>
      <c r="F688" t="s">
        <v>37</v>
      </c>
      <c r="G688">
        <v>9</v>
      </c>
      <c r="H688">
        <v>7</v>
      </c>
      <c r="I688">
        <v>6</v>
      </c>
      <c r="J688" t="s">
        <v>34</v>
      </c>
      <c r="K688" t="s">
        <v>24</v>
      </c>
      <c r="L688">
        <v>61</v>
      </c>
      <c r="M688">
        <v>105.71599999999999</v>
      </c>
      <c r="N688">
        <v>108.261489</v>
      </c>
      <c r="O688">
        <v>28.613</v>
      </c>
      <c r="P688">
        <v>41.186</v>
      </c>
      <c r="Q688">
        <v>35.863</v>
      </c>
      <c r="R688">
        <v>20</v>
      </c>
      <c r="S688" t="s">
        <v>83</v>
      </c>
      <c r="T688">
        <f>IF(TRIM(Table1[[#This Row],[PitStopLaps]])="",0,
LEN(Table1[[#This Row],[PitStopLaps]])-LEN(SUBSTITUTE(Table1[[#This Row],[PitStopLaps]],",",""))+1)</f>
        <v>1</v>
      </c>
      <c r="U688">
        <f>Table1[[#This Row],[StartPosition]]-Table1[[#This Row],[FinishPosition]]</f>
        <v>2</v>
      </c>
    </row>
    <row r="689" spans="1:21" x14ac:dyDescent="0.3">
      <c r="A689">
        <v>2019</v>
      </c>
      <c r="B689">
        <v>15</v>
      </c>
      <c r="C689" t="s">
        <v>200</v>
      </c>
      <c r="D689" t="s">
        <v>73</v>
      </c>
      <c r="E689" t="s">
        <v>74</v>
      </c>
      <c r="F689" t="s">
        <v>64</v>
      </c>
      <c r="G689">
        <v>11</v>
      </c>
      <c r="H689">
        <v>8</v>
      </c>
      <c r="I689">
        <v>4</v>
      </c>
      <c r="J689" t="s">
        <v>34</v>
      </c>
      <c r="K689" t="s">
        <v>24</v>
      </c>
      <c r="L689">
        <v>61</v>
      </c>
      <c r="M689">
        <v>105.76900000000001</v>
      </c>
      <c r="N689">
        <v>108.484319</v>
      </c>
      <c r="O689">
        <v>28.427</v>
      </c>
      <c r="P689">
        <v>40.877000000000002</v>
      </c>
      <c r="Q689">
        <v>36.018999999999998</v>
      </c>
      <c r="R689">
        <v>32</v>
      </c>
      <c r="S689" t="s">
        <v>83</v>
      </c>
      <c r="T689">
        <f>IF(TRIM(Table1[[#This Row],[PitStopLaps]])="",0,
LEN(Table1[[#This Row],[PitStopLaps]])-LEN(SUBSTITUTE(Table1[[#This Row],[PitStopLaps]],",",""))+1)</f>
        <v>1</v>
      </c>
      <c r="U689">
        <f>Table1[[#This Row],[StartPosition]]-Table1[[#This Row],[FinishPosition]]</f>
        <v>3</v>
      </c>
    </row>
    <row r="690" spans="1:21" x14ac:dyDescent="0.3">
      <c r="A690">
        <v>2019</v>
      </c>
      <c r="B690">
        <v>15</v>
      </c>
      <c r="C690" t="s">
        <v>200</v>
      </c>
      <c r="D690" t="s">
        <v>40</v>
      </c>
      <c r="E690" t="s">
        <v>41</v>
      </c>
      <c r="F690" t="s">
        <v>42</v>
      </c>
      <c r="G690">
        <v>8</v>
      </c>
      <c r="H690">
        <v>9</v>
      </c>
      <c r="I690">
        <v>2</v>
      </c>
      <c r="J690" t="s">
        <v>34</v>
      </c>
      <c r="K690" t="s">
        <v>24</v>
      </c>
      <c r="L690">
        <v>61</v>
      </c>
      <c r="M690">
        <v>105.765</v>
      </c>
      <c r="N690">
        <v>108.387604</v>
      </c>
      <c r="O690">
        <v>28.207000000000001</v>
      </c>
      <c r="P690">
        <v>41.219000000000001</v>
      </c>
      <c r="Q690">
        <v>36.210999999999999</v>
      </c>
      <c r="R690" t="s">
        <v>285</v>
      </c>
      <c r="S690" t="s">
        <v>83</v>
      </c>
      <c r="T690">
        <f>IF(TRIM(Table1[[#This Row],[PitStopLaps]])="",0,
LEN(Table1[[#This Row],[PitStopLaps]])-LEN(SUBSTITUTE(Table1[[#This Row],[PitStopLaps]],",",""))+1)</f>
        <v>2</v>
      </c>
      <c r="U690">
        <f>Table1[[#This Row],[StartPosition]]-Table1[[#This Row],[FinishPosition]]</f>
        <v>-1</v>
      </c>
    </row>
    <row r="691" spans="1:21" x14ac:dyDescent="0.3">
      <c r="A691">
        <v>2019</v>
      </c>
      <c r="B691">
        <v>15</v>
      </c>
      <c r="C691" t="s">
        <v>200</v>
      </c>
      <c r="D691" t="s">
        <v>250</v>
      </c>
      <c r="E691" t="s">
        <v>251</v>
      </c>
      <c r="F691" t="s">
        <v>243</v>
      </c>
      <c r="G691">
        <v>10</v>
      </c>
      <c r="H691">
        <v>10</v>
      </c>
      <c r="I691">
        <v>1</v>
      </c>
      <c r="J691" t="s">
        <v>34</v>
      </c>
      <c r="K691" t="s">
        <v>24</v>
      </c>
      <c r="L691">
        <v>61</v>
      </c>
      <c r="M691">
        <v>105.63</v>
      </c>
      <c r="N691">
        <v>108.849659</v>
      </c>
      <c r="O691">
        <v>28.603000000000002</v>
      </c>
      <c r="P691">
        <v>40.899000000000001</v>
      </c>
      <c r="Q691">
        <v>36.049999999999997</v>
      </c>
      <c r="R691" t="s">
        <v>375</v>
      </c>
      <c r="S691" t="s">
        <v>83</v>
      </c>
      <c r="T691">
        <f>IF(TRIM(Table1[[#This Row],[PitStopLaps]])="",0,
LEN(Table1[[#This Row],[PitStopLaps]])-LEN(SUBSTITUTE(Table1[[#This Row],[PitStopLaps]],",",""))+1)</f>
        <v>2</v>
      </c>
      <c r="U691">
        <f>Table1[[#This Row],[StartPosition]]-Table1[[#This Row],[FinishPosition]]</f>
        <v>0</v>
      </c>
    </row>
    <row r="692" spans="1:21" x14ac:dyDescent="0.3">
      <c r="A692">
        <v>2019</v>
      </c>
      <c r="B692">
        <v>15</v>
      </c>
      <c r="C692" t="s">
        <v>200</v>
      </c>
      <c r="D692" t="s">
        <v>67</v>
      </c>
      <c r="E692" t="s">
        <v>68</v>
      </c>
      <c r="F692" t="s">
        <v>69</v>
      </c>
      <c r="G692">
        <v>17</v>
      </c>
      <c r="H692">
        <v>11</v>
      </c>
      <c r="I692">
        <v>0</v>
      </c>
      <c r="J692" t="s">
        <v>34</v>
      </c>
      <c r="K692" t="s">
        <v>24</v>
      </c>
      <c r="L692">
        <v>61</v>
      </c>
      <c r="M692">
        <v>106.274</v>
      </c>
      <c r="N692">
        <v>109.42886900000001</v>
      </c>
      <c r="O692">
        <v>28.774000000000001</v>
      </c>
      <c r="P692">
        <v>41.162999999999997</v>
      </c>
      <c r="Q692">
        <v>36.232999999999997</v>
      </c>
      <c r="R692" t="s">
        <v>376</v>
      </c>
      <c r="S692" t="s">
        <v>83</v>
      </c>
      <c r="T692">
        <f>IF(TRIM(Table1[[#This Row],[PitStopLaps]])="",0,
LEN(Table1[[#This Row],[PitStopLaps]])-LEN(SUBSTITUTE(Table1[[#This Row],[PitStopLaps]],",",""))+1)</f>
        <v>2</v>
      </c>
      <c r="U692">
        <f>Table1[[#This Row],[StartPosition]]-Table1[[#This Row],[FinishPosition]]</f>
        <v>6</v>
      </c>
    </row>
    <row r="693" spans="1:21" x14ac:dyDescent="0.3">
      <c r="A693">
        <v>2019</v>
      </c>
      <c r="B693">
        <v>15</v>
      </c>
      <c r="C693" t="s">
        <v>200</v>
      </c>
      <c r="D693" t="s">
        <v>47</v>
      </c>
      <c r="E693" t="s">
        <v>48</v>
      </c>
      <c r="F693" t="s">
        <v>37</v>
      </c>
      <c r="G693">
        <v>7</v>
      </c>
      <c r="H693">
        <v>12</v>
      </c>
      <c r="I693">
        <v>0</v>
      </c>
      <c r="J693" t="s">
        <v>34</v>
      </c>
      <c r="K693" t="s">
        <v>24</v>
      </c>
      <c r="L693">
        <v>61</v>
      </c>
      <c r="M693">
        <v>105.96899999999999</v>
      </c>
      <c r="N693">
        <v>109.42650999999999</v>
      </c>
      <c r="O693">
        <v>28.664000000000001</v>
      </c>
      <c r="P693">
        <v>40.863</v>
      </c>
      <c r="Q693">
        <v>36.091999999999999</v>
      </c>
      <c r="R693" t="s">
        <v>377</v>
      </c>
      <c r="S693" t="s">
        <v>83</v>
      </c>
      <c r="T693">
        <f>IF(TRIM(Table1[[#This Row],[PitStopLaps]])="",0,
LEN(Table1[[#This Row],[PitStopLaps]])-LEN(SUBSTITUTE(Table1[[#This Row],[PitStopLaps]],",",""))+1)</f>
        <v>2</v>
      </c>
      <c r="U693">
        <f>Table1[[#This Row],[StartPosition]]-Table1[[#This Row],[FinishPosition]]</f>
        <v>-5</v>
      </c>
    </row>
    <row r="694" spans="1:21" x14ac:dyDescent="0.3">
      <c r="A694">
        <v>2019</v>
      </c>
      <c r="B694">
        <v>15</v>
      </c>
      <c r="C694" t="s">
        <v>200</v>
      </c>
      <c r="D694" t="s">
        <v>58</v>
      </c>
      <c r="E694" t="s">
        <v>59</v>
      </c>
      <c r="F694" t="s">
        <v>192</v>
      </c>
      <c r="G694">
        <v>16</v>
      </c>
      <c r="H694">
        <v>13</v>
      </c>
      <c r="I694">
        <v>0</v>
      </c>
      <c r="J694" t="s">
        <v>34</v>
      </c>
      <c r="K694" t="s">
        <v>24</v>
      </c>
      <c r="L694">
        <v>61</v>
      </c>
      <c r="M694">
        <v>104.896</v>
      </c>
      <c r="N694">
        <v>108.86411099999999</v>
      </c>
      <c r="O694">
        <v>28.606000000000002</v>
      </c>
      <c r="P694">
        <v>40.517000000000003</v>
      </c>
      <c r="Q694">
        <v>35.691000000000003</v>
      </c>
      <c r="R694" t="s">
        <v>378</v>
      </c>
      <c r="S694" t="s">
        <v>83</v>
      </c>
      <c r="T694">
        <f>IF(TRIM(Table1[[#This Row],[PitStopLaps]])="",0,
LEN(Table1[[#This Row],[PitStopLaps]])-LEN(SUBSTITUTE(Table1[[#This Row],[PitStopLaps]],",",""))+1)</f>
        <v>3</v>
      </c>
      <c r="U694">
        <f>Table1[[#This Row],[StartPosition]]-Table1[[#This Row],[FinishPosition]]</f>
        <v>3</v>
      </c>
    </row>
    <row r="695" spans="1:21" x14ac:dyDescent="0.3">
      <c r="A695">
        <v>2019</v>
      </c>
      <c r="B695">
        <v>15</v>
      </c>
      <c r="C695" t="s">
        <v>200</v>
      </c>
      <c r="D695" t="s">
        <v>31</v>
      </c>
      <c r="E695" t="s">
        <v>32</v>
      </c>
      <c r="F695" t="s">
        <v>42</v>
      </c>
      <c r="G695">
        <v>20</v>
      </c>
      <c r="H695">
        <v>14</v>
      </c>
      <c r="I695">
        <v>0</v>
      </c>
      <c r="J695" t="s">
        <v>34</v>
      </c>
      <c r="K695" t="s">
        <v>24</v>
      </c>
      <c r="L695">
        <v>61</v>
      </c>
      <c r="M695">
        <v>105.91500000000001</v>
      </c>
      <c r="N695">
        <v>109.250872</v>
      </c>
      <c r="O695">
        <v>28.308</v>
      </c>
      <c r="P695">
        <v>41.325000000000003</v>
      </c>
      <c r="Q695">
        <v>36.237000000000002</v>
      </c>
      <c r="R695">
        <v>34</v>
      </c>
      <c r="S695" t="s">
        <v>83</v>
      </c>
      <c r="T695">
        <f>IF(TRIM(Table1[[#This Row],[PitStopLaps]])="",0,
LEN(Table1[[#This Row],[PitStopLaps]])-LEN(SUBSTITUTE(Table1[[#This Row],[PitStopLaps]],",",""))+1)</f>
        <v>1</v>
      </c>
      <c r="U695">
        <f>Table1[[#This Row],[StartPosition]]-Table1[[#This Row],[FinishPosition]]</f>
        <v>6</v>
      </c>
    </row>
    <row r="696" spans="1:21" x14ac:dyDescent="0.3">
      <c r="A696">
        <v>2019</v>
      </c>
      <c r="B696">
        <v>15</v>
      </c>
      <c r="C696" t="s">
        <v>200</v>
      </c>
      <c r="D696" t="s">
        <v>244</v>
      </c>
      <c r="E696" t="s">
        <v>245</v>
      </c>
      <c r="F696" t="s">
        <v>64</v>
      </c>
      <c r="G696">
        <v>14</v>
      </c>
      <c r="H696">
        <v>15</v>
      </c>
      <c r="I696">
        <v>0</v>
      </c>
      <c r="J696" t="s">
        <v>34</v>
      </c>
      <c r="K696" t="s">
        <v>24</v>
      </c>
      <c r="L696">
        <v>61</v>
      </c>
      <c r="M696">
        <v>104.371</v>
      </c>
      <c r="N696">
        <v>108.971553</v>
      </c>
      <c r="O696">
        <v>28.606999999999999</v>
      </c>
      <c r="P696">
        <v>40.313000000000002</v>
      </c>
      <c r="Q696">
        <v>35.451000000000001</v>
      </c>
      <c r="R696" t="s">
        <v>379</v>
      </c>
      <c r="S696" t="s">
        <v>83</v>
      </c>
      <c r="T696">
        <f>IF(TRIM(Table1[[#This Row],[PitStopLaps]])="",0,
LEN(Table1[[#This Row],[PitStopLaps]])-LEN(SUBSTITUTE(Table1[[#This Row],[PitStopLaps]],",",""))+1)</f>
        <v>2</v>
      </c>
      <c r="U696">
        <f>Table1[[#This Row],[StartPosition]]-Table1[[#This Row],[FinishPosition]]</f>
        <v>-1</v>
      </c>
    </row>
    <row r="697" spans="1:21" x14ac:dyDescent="0.3">
      <c r="A697">
        <v>2019</v>
      </c>
      <c r="B697">
        <v>15</v>
      </c>
      <c r="C697" t="s">
        <v>200</v>
      </c>
      <c r="D697" t="s">
        <v>255</v>
      </c>
      <c r="E697" t="s">
        <v>256</v>
      </c>
      <c r="F697" t="s">
        <v>60</v>
      </c>
      <c r="G697">
        <v>19</v>
      </c>
      <c r="H697">
        <v>16</v>
      </c>
      <c r="I697">
        <v>0</v>
      </c>
      <c r="J697" t="s">
        <v>34</v>
      </c>
      <c r="K697" t="s">
        <v>24</v>
      </c>
      <c r="L697">
        <v>61</v>
      </c>
      <c r="M697">
        <v>106.79300000000001</v>
      </c>
      <c r="N697">
        <v>110.243847</v>
      </c>
      <c r="O697">
        <v>29.123000000000001</v>
      </c>
      <c r="P697">
        <v>41.387999999999998</v>
      </c>
      <c r="Q697">
        <v>36.244999999999997</v>
      </c>
      <c r="R697" t="s">
        <v>380</v>
      </c>
      <c r="S697" t="s">
        <v>83</v>
      </c>
      <c r="T697">
        <f>IF(TRIM(Table1[[#This Row],[PitStopLaps]])="",0,
LEN(Table1[[#This Row],[PitStopLaps]])-LEN(SUBSTITUTE(Table1[[#This Row],[PitStopLaps]],",",""))+1)</f>
        <v>2</v>
      </c>
      <c r="U697">
        <f>Table1[[#This Row],[StartPosition]]-Table1[[#This Row],[FinishPosition]]</f>
        <v>3</v>
      </c>
    </row>
    <row r="698" spans="1:21" x14ac:dyDescent="0.3">
      <c r="A698">
        <v>2019</v>
      </c>
      <c r="B698">
        <v>15</v>
      </c>
      <c r="C698" t="s">
        <v>200</v>
      </c>
      <c r="D698" t="s">
        <v>71</v>
      </c>
      <c r="E698" t="s">
        <v>72</v>
      </c>
      <c r="F698" t="s">
        <v>69</v>
      </c>
      <c r="G698">
        <v>13</v>
      </c>
      <c r="H698">
        <v>17</v>
      </c>
      <c r="I698">
        <v>0</v>
      </c>
      <c r="J698" t="s">
        <v>34</v>
      </c>
      <c r="K698" t="s">
        <v>24</v>
      </c>
      <c r="L698">
        <v>61</v>
      </c>
      <c r="M698">
        <v>102.301</v>
      </c>
      <c r="N698">
        <v>109.18519999999999</v>
      </c>
      <c r="O698">
        <v>28.225000000000001</v>
      </c>
      <c r="P698">
        <v>39.424999999999997</v>
      </c>
      <c r="Q698">
        <v>34.582000000000001</v>
      </c>
      <c r="R698" t="s">
        <v>381</v>
      </c>
      <c r="S698" t="s">
        <v>83</v>
      </c>
      <c r="T698">
        <f>IF(TRIM(Table1[[#This Row],[PitStopLaps]])="",0,
LEN(Table1[[#This Row],[PitStopLaps]])-LEN(SUBSTITUTE(Table1[[#This Row],[PitStopLaps]],",",""))+1)</f>
        <v>2</v>
      </c>
      <c r="U698">
        <f>Table1[[#This Row],[StartPosition]]-Table1[[#This Row],[FinishPosition]]</f>
        <v>-4</v>
      </c>
    </row>
    <row r="699" spans="1:21" x14ac:dyDescent="0.3">
      <c r="A699">
        <v>2019</v>
      </c>
      <c r="B699">
        <v>15</v>
      </c>
      <c r="C699" t="s">
        <v>200</v>
      </c>
      <c r="D699" t="s">
        <v>29</v>
      </c>
      <c r="E699" t="s">
        <v>30</v>
      </c>
      <c r="F699" t="s">
        <v>243</v>
      </c>
      <c r="G699">
        <v>12</v>
      </c>
      <c r="H699">
        <v>18</v>
      </c>
      <c r="I699">
        <v>0</v>
      </c>
      <c r="J699" t="s">
        <v>34</v>
      </c>
      <c r="K699" t="s">
        <v>124</v>
      </c>
      <c r="L699">
        <v>50</v>
      </c>
      <c r="M699">
        <v>107.062</v>
      </c>
      <c r="N699">
        <v>109.01094500000001</v>
      </c>
      <c r="O699">
        <v>29.181999999999999</v>
      </c>
      <c r="P699">
        <v>41.307000000000002</v>
      </c>
      <c r="Q699">
        <v>36.381</v>
      </c>
      <c r="R699">
        <v>15</v>
      </c>
      <c r="S699" t="s">
        <v>83</v>
      </c>
      <c r="T699">
        <f>IF(TRIM(Table1[[#This Row],[PitStopLaps]])="",0,
LEN(Table1[[#This Row],[PitStopLaps]])-LEN(SUBSTITUTE(Table1[[#This Row],[PitStopLaps]],",",""))+1)</f>
        <v>1</v>
      </c>
      <c r="U699">
        <f>Table1[[#This Row],[StartPosition]]-Table1[[#This Row],[FinishPosition]]</f>
        <v>-6</v>
      </c>
    </row>
    <row r="700" spans="1:21" x14ac:dyDescent="0.3">
      <c r="A700">
        <v>2019</v>
      </c>
      <c r="B700">
        <v>15</v>
      </c>
      <c r="C700" t="s">
        <v>200</v>
      </c>
      <c r="D700" t="s">
        <v>49</v>
      </c>
      <c r="E700" t="s">
        <v>50</v>
      </c>
      <c r="F700" t="s">
        <v>192</v>
      </c>
      <c r="G700">
        <v>15</v>
      </c>
      <c r="H700">
        <v>19</v>
      </c>
      <c r="I700">
        <v>0</v>
      </c>
      <c r="J700" t="s">
        <v>34</v>
      </c>
      <c r="K700" t="s">
        <v>75</v>
      </c>
      <c r="L700">
        <v>43</v>
      </c>
      <c r="M700">
        <v>106.68300000000001</v>
      </c>
      <c r="N700">
        <v>109.10979399999999</v>
      </c>
      <c r="O700">
        <v>29.061</v>
      </c>
      <c r="P700">
        <v>41.302</v>
      </c>
      <c r="Q700">
        <v>36.253</v>
      </c>
      <c r="R700">
        <v>13</v>
      </c>
      <c r="S700" t="s">
        <v>83</v>
      </c>
      <c r="T700">
        <f>IF(TRIM(Table1[[#This Row],[PitStopLaps]])="",0,
LEN(Table1[[#This Row],[PitStopLaps]])-LEN(SUBSTITUTE(Table1[[#This Row],[PitStopLaps]],",",""))+1)</f>
        <v>1</v>
      </c>
      <c r="U700">
        <f>Table1[[#This Row],[StartPosition]]-Table1[[#This Row],[FinishPosition]]</f>
        <v>-4</v>
      </c>
    </row>
    <row r="701" spans="1:21" x14ac:dyDescent="0.3">
      <c r="A701">
        <v>2019</v>
      </c>
      <c r="B701">
        <v>15</v>
      </c>
      <c r="C701" t="s">
        <v>200</v>
      </c>
      <c r="D701" t="s">
        <v>252</v>
      </c>
      <c r="E701" t="s">
        <v>253</v>
      </c>
      <c r="F701" t="s">
        <v>60</v>
      </c>
      <c r="G701">
        <v>18</v>
      </c>
      <c r="H701">
        <v>20</v>
      </c>
      <c r="I701">
        <v>0</v>
      </c>
      <c r="J701" t="s">
        <v>34</v>
      </c>
      <c r="K701" t="s">
        <v>124</v>
      </c>
      <c r="L701">
        <v>35</v>
      </c>
      <c r="M701">
        <v>108.285</v>
      </c>
      <c r="N701">
        <v>109.165843</v>
      </c>
      <c r="O701">
        <v>29.463000000000001</v>
      </c>
      <c r="P701">
        <v>42.014000000000003</v>
      </c>
      <c r="Q701">
        <v>36.621000000000002</v>
      </c>
      <c r="R701">
        <v>1</v>
      </c>
      <c r="S701" t="s">
        <v>83</v>
      </c>
      <c r="T701">
        <f>IF(TRIM(Table1[[#This Row],[PitStopLaps]])="",0,
LEN(Table1[[#This Row],[PitStopLaps]])-LEN(SUBSTITUTE(Table1[[#This Row],[PitStopLaps]],",",""))+1)</f>
        <v>1</v>
      </c>
      <c r="U701">
        <f>Table1[[#This Row],[StartPosition]]-Table1[[#This Row],[FinishPosition]]</f>
        <v>-2</v>
      </c>
    </row>
    <row r="702" spans="1:21" x14ac:dyDescent="0.3">
      <c r="A702">
        <v>2019</v>
      </c>
      <c r="B702">
        <v>16</v>
      </c>
      <c r="C702" t="s">
        <v>205</v>
      </c>
      <c r="D702" t="s">
        <v>26</v>
      </c>
      <c r="E702" t="s">
        <v>27</v>
      </c>
      <c r="F702" t="s">
        <v>28</v>
      </c>
      <c r="G702">
        <v>2</v>
      </c>
      <c r="H702">
        <v>1</v>
      </c>
      <c r="I702">
        <v>26</v>
      </c>
      <c r="J702" t="s">
        <v>23</v>
      </c>
      <c r="K702" t="s">
        <v>24</v>
      </c>
      <c r="L702">
        <v>53</v>
      </c>
      <c r="M702">
        <v>95.760999999999996</v>
      </c>
      <c r="N702">
        <v>98.042000000000002</v>
      </c>
      <c r="O702">
        <v>34.868000000000002</v>
      </c>
      <c r="P702">
        <v>33.064</v>
      </c>
      <c r="Q702">
        <v>27.815000000000001</v>
      </c>
      <c r="R702">
        <v>28</v>
      </c>
      <c r="S702" t="s">
        <v>25</v>
      </c>
      <c r="T702">
        <f>IF(TRIM(Table1[[#This Row],[PitStopLaps]])="",0,
LEN(Table1[[#This Row],[PitStopLaps]])-LEN(SUBSTITUTE(Table1[[#This Row],[PitStopLaps]],",",""))+1)</f>
        <v>1</v>
      </c>
      <c r="U702">
        <f>Table1[[#This Row],[StartPosition]]-Table1[[#This Row],[FinishPosition]]</f>
        <v>1</v>
      </c>
    </row>
    <row r="703" spans="1:21" x14ac:dyDescent="0.3">
      <c r="A703">
        <v>2019</v>
      </c>
      <c r="B703">
        <v>16</v>
      </c>
      <c r="C703" t="s">
        <v>205</v>
      </c>
      <c r="D703" t="s">
        <v>43</v>
      </c>
      <c r="E703" t="s">
        <v>44</v>
      </c>
      <c r="F703" t="s">
        <v>28</v>
      </c>
      <c r="G703">
        <v>4</v>
      </c>
      <c r="H703">
        <v>2</v>
      </c>
      <c r="I703">
        <v>18</v>
      </c>
      <c r="J703" t="s">
        <v>23</v>
      </c>
      <c r="K703" t="s">
        <v>24</v>
      </c>
      <c r="L703">
        <v>53</v>
      </c>
      <c r="M703">
        <v>96.316000000000003</v>
      </c>
      <c r="N703">
        <v>98.370333000000002</v>
      </c>
      <c r="O703">
        <v>34.863</v>
      </c>
      <c r="P703">
        <v>33.338000000000001</v>
      </c>
      <c r="Q703">
        <v>27.986000000000001</v>
      </c>
      <c r="R703">
        <v>28</v>
      </c>
      <c r="S703" t="s">
        <v>25</v>
      </c>
      <c r="T703">
        <f>IF(TRIM(Table1[[#This Row],[PitStopLaps]])="",0,
LEN(Table1[[#This Row],[PitStopLaps]])-LEN(SUBSTITUTE(Table1[[#This Row],[PitStopLaps]],",",""))+1)</f>
        <v>1</v>
      </c>
      <c r="U703">
        <f>Table1[[#This Row],[StartPosition]]-Table1[[#This Row],[FinishPosition]]</f>
        <v>2</v>
      </c>
    </row>
    <row r="704" spans="1:21" x14ac:dyDescent="0.3">
      <c r="A704">
        <v>2019</v>
      </c>
      <c r="B704">
        <v>16</v>
      </c>
      <c r="C704" t="s">
        <v>205</v>
      </c>
      <c r="D704" t="s">
        <v>54</v>
      </c>
      <c r="E704" t="s">
        <v>55</v>
      </c>
      <c r="F704" t="s">
        <v>22</v>
      </c>
      <c r="G704">
        <v>1</v>
      </c>
      <c r="H704">
        <v>3</v>
      </c>
      <c r="I704">
        <v>15</v>
      </c>
      <c r="J704" t="s">
        <v>23</v>
      </c>
      <c r="K704" t="s">
        <v>24</v>
      </c>
      <c r="L704">
        <v>53</v>
      </c>
      <c r="M704">
        <v>96.192999999999998</v>
      </c>
      <c r="N704">
        <v>97.977603999999999</v>
      </c>
      <c r="O704">
        <v>34.601999999999997</v>
      </c>
      <c r="P704">
        <v>33.323999999999998</v>
      </c>
      <c r="Q704">
        <v>28.266999999999999</v>
      </c>
      <c r="R704" t="s">
        <v>382</v>
      </c>
      <c r="S704" t="s">
        <v>25</v>
      </c>
      <c r="T704">
        <f>IF(TRIM(Table1[[#This Row],[PitStopLaps]])="",0,
LEN(Table1[[#This Row],[PitStopLaps]])-LEN(SUBSTITUTE(Table1[[#This Row],[PitStopLaps]],",",""))+1)</f>
        <v>2</v>
      </c>
      <c r="U704">
        <f>Table1[[#This Row],[StartPosition]]-Table1[[#This Row],[FinishPosition]]</f>
        <v>-2</v>
      </c>
    </row>
    <row r="705" spans="1:21" x14ac:dyDescent="0.3">
      <c r="A705">
        <v>2019</v>
      </c>
      <c r="B705">
        <v>16</v>
      </c>
      <c r="C705" t="s">
        <v>205</v>
      </c>
      <c r="D705" t="s">
        <v>38</v>
      </c>
      <c r="E705" t="s">
        <v>39</v>
      </c>
      <c r="F705" t="s">
        <v>33</v>
      </c>
      <c r="G705">
        <v>9</v>
      </c>
      <c r="H705">
        <v>4</v>
      </c>
      <c r="I705">
        <v>12</v>
      </c>
      <c r="J705" t="s">
        <v>34</v>
      </c>
      <c r="K705" t="s">
        <v>24</v>
      </c>
      <c r="L705">
        <v>53</v>
      </c>
      <c r="M705">
        <v>96.936999999999998</v>
      </c>
      <c r="N705">
        <v>99.123465999999993</v>
      </c>
      <c r="O705">
        <v>35.088999999999999</v>
      </c>
      <c r="P705">
        <v>33.628</v>
      </c>
      <c r="Q705">
        <v>28.128</v>
      </c>
      <c r="R705">
        <v>28</v>
      </c>
      <c r="S705" t="s">
        <v>25</v>
      </c>
      <c r="T705">
        <f>IF(TRIM(Table1[[#This Row],[PitStopLaps]])="",0,
LEN(Table1[[#This Row],[PitStopLaps]])-LEN(SUBSTITUTE(Table1[[#This Row],[PitStopLaps]],",",""))+1)</f>
        <v>1</v>
      </c>
      <c r="U705">
        <f>Table1[[#This Row],[StartPosition]]-Table1[[#This Row],[FinishPosition]]</f>
        <v>5</v>
      </c>
    </row>
    <row r="706" spans="1:21" x14ac:dyDescent="0.3">
      <c r="A706">
        <v>2019</v>
      </c>
      <c r="B706">
        <v>16</v>
      </c>
      <c r="C706" t="s">
        <v>205</v>
      </c>
      <c r="D706" t="s">
        <v>248</v>
      </c>
      <c r="E706" t="s">
        <v>249</v>
      </c>
      <c r="F706" t="s">
        <v>33</v>
      </c>
      <c r="G706">
        <v>0</v>
      </c>
      <c r="H706">
        <v>5</v>
      </c>
      <c r="I706">
        <v>10</v>
      </c>
      <c r="J706" t="s">
        <v>34</v>
      </c>
      <c r="K706" t="s">
        <v>24</v>
      </c>
      <c r="L706">
        <v>53</v>
      </c>
      <c r="M706">
        <v>96.762</v>
      </c>
      <c r="N706">
        <v>100.168295</v>
      </c>
      <c r="O706">
        <v>35.270000000000003</v>
      </c>
      <c r="P706">
        <v>33.466999999999999</v>
      </c>
      <c r="Q706">
        <v>28.024999999999999</v>
      </c>
      <c r="R706">
        <v>29</v>
      </c>
      <c r="S706" t="s">
        <v>25</v>
      </c>
      <c r="T706">
        <f>IF(TRIM(Table1[[#This Row],[PitStopLaps]])="",0,
LEN(Table1[[#This Row],[PitStopLaps]])-LEN(SUBSTITUTE(Table1[[#This Row],[PitStopLaps]],",",""))+1)</f>
        <v>1</v>
      </c>
      <c r="U706">
        <f>Table1[[#This Row],[StartPosition]]-Table1[[#This Row],[FinishPosition]]</f>
        <v>-5</v>
      </c>
    </row>
    <row r="707" spans="1:21" x14ac:dyDescent="0.3">
      <c r="A707">
        <v>2019</v>
      </c>
      <c r="B707">
        <v>16</v>
      </c>
      <c r="C707" t="s">
        <v>205</v>
      </c>
      <c r="D707" t="s">
        <v>47</v>
      </c>
      <c r="E707" t="s">
        <v>48</v>
      </c>
      <c r="F707" t="s">
        <v>37</v>
      </c>
      <c r="G707">
        <v>5</v>
      </c>
      <c r="H707">
        <v>6</v>
      </c>
      <c r="I707">
        <v>8</v>
      </c>
      <c r="J707" t="s">
        <v>34</v>
      </c>
      <c r="K707" t="s">
        <v>24</v>
      </c>
      <c r="L707">
        <v>53</v>
      </c>
      <c r="M707">
        <v>98.02</v>
      </c>
      <c r="N707">
        <v>100.078428</v>
      </c>
      <c r="O707">
        <v>35.28</v>
      </c>
      <c r="P707">
        <v>33.941000000000003</v>
      </c>
      <c r="Q707">
        <v>28.77</v>
      </c>
      <c r="R707">
        <v>21</v>
      </c>
      <c r="S707" t="s">
        <v>25</v>
      </c>
      <c r="T707">
        <f>IF(TRIM(Table1[[#This Row],[PitStopLaps]])="",0,
LEN(Table1[[#This Row],[PitStopLaps]])-LEN(SUBSTITUTE(Table1[[#This Row],[PitStopLaps]],",",""))+1)</f>
        <v>1</v>
      </c>
      <c r="U707">
        <f>Table1[[#This Row],[StartPosition]]-Table1[[#This Row],[FinishPosition]]</f>
        <v>-1</v>
      </c>
    </row>
    <row r="708" spans="1:21" x14ac:dyDescent="0.3">
      <c r="A708">
        <v>2019</v>
      </c>
      <c r="B708">
        <v>16</v>
      </c>
      <c r="C708" t="s">
        <v>205</v>
      </c>
      <c r="D708" t="s">
        <v>49</v>
      </c>
      <c r="E708" t="s">
        <v>50</v>
      </c>
      <c r="F708" t="s">
        <v>192</v>
      </c>
      <c r="G708">
        <v>11</v>
      </c>
      <c r="H708">
        <v>7</v>
      </c>
      <c r="I708">
        <v>6</v>
      </c>
      <c r="J708" t="s">
        <v>34</v>
      </c>
      <c r="K708" t="s">
        <v>24</v>
      </c>
      <c r="L708">
        <v>53</v>
      </c>
      <c r="M708">
        <v>98.043000000000006</v>
      </c>
      <c r="N708">
        <v>100.211285</v>
      </c>
      <c r="O708">
        <v>35.106999999999999</v>
      </c>
      <c r="P708">
        <v>34.061999999999998</v>
      </c>
      <c r="Q708">
        <v>28.637</v>
      </c>
      <c r="R708">
        <v>23</v>
      </c>
      <c r="S708" t="s">
        <v>25</v>
      </c>
      <c r="T708">
        <f>IF(TRIM(Table1[[#This Row],[PitStopLaps]])="",0,
LEN(Table1[[#This Row],[PitStopLaps]])-LEN(SUBSTITUTE(Table1[[#This Row],[PitStopLaps]],",",""))+1)</f>
        <v>1</v>
      </c>
      <c r="U708">
        <f>Table1[[#This Row],[StartPosition]]-Table1[[#This Row],[FinishPosition]]</f>
        <v>4</v>
      </c>
    </row>
    <row r="709" spans="1:21" x14ac:dyDescent="0.3">
      <c r="A709">
        <v>2019</v>
      </c>
      <c r="B709">
        <v>16</v>
      </c>
      <c r="C709" t="s">
        <v>205</v>
      </c>
      <c r="D709" t="s">
        <v>246</v>
      </c>
      <c r="E709" t="s">
        <v>247</v>
      </c>
      <c r="F709" t="s">
        <v>37</v>
      </c>
      <c r="G709">
        <v>7</v>
      </c>
      <c r="H709">
        <v>8</v>
      </c>
      <c r="I709">
        <v>4</v>
      </c>
      <c r="J709" t="s">
        <v>34</v>
      </c>
      <c r="K709" t="s">
        <v>24</v>
      </c>
      <c r="L709">
        <v>53</v>
      </c>
      <c r="M709">
        <v>98.301000000000002</v>
      </c>
      <c r="N709">
        <v>100.450523</v>
      </c>
      <c r="O709">
        <v>35.21</v>
      </c>
      <c r="P709">
        <v>34.069000000000003</v>
      </c>
      <c r="Q709">
        <v>28.895</v>
      </c>
      <c r="R709">
        <v>20</v>
      </c>
      <c r="S709" t="s">
        <v>25</v>
      </c>
      <c r="T709">
        <f>IF(TRIM(Table1[[#This Row],[PitStopLaps]])="",0,
LEN(Table1[[#This Row],[PitStopLaps]])-LEN(SUBSTITUTE(Table1[[#This Row],[PitStopLaps]],",",""))+1)</f>
        <v>1</v>
      </c>
      <c r="U709">
        <f>Table1[[#This Row],[StartPosition]]-Table1[[#This Row],[FinishPosition]]</f>
        <v>-1</v>
      </c>
    </row>
    <row r="710" spans="1:21" x14ac:dyDescent="0.3">
      <c r="A710">
        <v>2019</v>
      </c>
      <c r="B710">
        <v>16</v>
      </c>
      <c r="C710" t="s">
        <v>205</v>
      </c>
      <c r="D710" t="s">
        <v>71</v>
      </c>
      <c r="E710" t="s">
        <v>72</v>
      </c>
      <c r="F710" t="s">
        <v>69</v>
      </c>
      <c r="G710">
        <v>13</v>
      </c>
      <c r="H710">
        <v>9</v>
      </c>
      <c r="I710">
        <v>2</v>
      </c>
      <c r="J710" t="s">
        <v>34</v>
      </c>
      <c r="K710" t="s">
        <v>24</v>
      </c>
      <c r="L710">
        <v>53</v>
      </c>
      <c r="M710">
        <v>98.13</v>
      </c>
      <c r="N710">
        <v>100.49675000000001</v>
      </c>
      <c r="O710">
        <v>35.354999999999997</v>
      </c>
      <c r="P710">
        <v>33.991</v>
      </c>
      <c r="Q710">
        <v>28.550999999999998</v>
      </c>
      <c r="R710">
        <v>27</v>
      </c>
      <c r="S710" t="s">
        <v>25</v>
      </c>
      <c r="T710">
        <f>IF(TRIM(Table1[[#This Row],[PitStopLaps]])="",0,
LEN(Table1[[#This Row],[PitStopLaps]])-LEN(SUBSTITUTE(Table1[[#This Row],[PitStopLaps]],",",""))+1)</f>
        <v>1</v>
      </c>
      <c r="U710">
        <f>Table1[[#This Row],[StartPosition]]-Table1[[#This Row],[FinishPosition]]</f>
        <v>4</v>
      </c>
    </row>
    <row r="711" spans="1:21" x14ac:dyDescent="0.3">
      <c r="A711">
        <v>2019</v>
      </c>
      <c r="B711">
        <v>16</v>
      </c>
      <c r="C711" t="s">
        <v>205</v>
      </c>
      <c r="D711" t="s">
        <v>40</v>
      </c>
      <c r="E711" t="s">
        <v>41</v>
      </c>
      <c r="F711" t="s">
        <v>42</v>
      </c>
      <c r="G711">
        <v>6</v>
      </c>
      <c r="H711">
        <v>10</v>
      </c>
      <c r="I711">
        <v>1</v>
      </c>
      <c r="J711" t="s">
        <v>34</v>
      </c>
      <c r="K711" t="s">
        <v>24</v>
      </c>
      <c r="L711">
        <v>53</v>
      </c>
      <c r="M711">
        <v>98.519000000000005</v>
      </c>
      <c r="N711">
        <v>100.36619</v>
      </c>
      <c r="O711">
        <v>35.226999999999997</v>
      </c>
      <c r="P711">
        <v>33.914000000000001</v>
      </c>
      <c r="Q711">
        <v>28.82</v>
      </c>
      <c r="R711" t="s">
        <v>383</v>
      </c>
      <c r="S711" t="s">
        <v>25</v>
      </c>
      <c r="T711">
        <f>IF(TRIM(Table1[[#This Row],[PitStopLaps]])="",0,
LEN(Table1[[#This Row],[PitStopLaps]])-LEN(SUBSTITUTE(Table1[[#This Row],[PitStopLaps]],",",""))+1)</f>
        <v>2</v>
      </c>
      <c r="U711">
        <f>Table1[[#This Row],[StartPosition]]-Table1[[#This Row],[FinishPosition]]</f>
        <v>-4</v>
      </c>
    </row>
    <row r="712" spans="1:21" x14ac:dyDescent="0.3">
      <c r="A712">
        <v>2019</v>
      </c>
      <c r="B712">
        <v>16</v>
      </c>
      <c r="C712" t="s">
        <v>205</v>
      </c>
      <c r="D712" t="s">
        <v>58</v>
      </c>
      <c r="E712" t="s">
        <v>59</v>
      </c>
      <c r="F712" t="s">
        <v>192</v>
      </c>
      <c r="G712">
        <v>14</v>
      </c>
      <c r="H712">
        <v>11</v>
      </c>
      <c r="I712">
        <v>0</v>
      </c>
      <c r="J712" t="s">
        <v>34</v>
      </c>
      <c r="K712" t="s">
        <v>24</v>
      </c>
      <c r="L712">
        <v>53</v>
      </c>
      <c r="M712">
        <v>98.611000000000004</v>
      </c>
      <c r="N712">
        <v>100.64345400000001</v>
      </c>
      <c r="O712">
        <v>35.231999999999999</v>
      </c>
      <c r="P712">
        <v>33.905999999999999</v>
      </c>
      <c r="Q712">
        <v>29.055</v>
      </c>
      <c r="R712">
        <v>27</v>
      </c>
      <c r="S712" t="s">
        <v>25</v>
      </c>
      <c r="T712">
        <f>IF(TRIM(Table1[[#This Row],[PitStopLaps]])="",0,
LEN(Table1[[#This Row],[PitStopLaps]])-LEN(SUBSTITUTE(Table1[[#This Row],[PitStopLaps]],",",""))+1)</f>
        <v>1</v>
      </c>
      <c r="U712">
        <f>Table1[[#This Row],[StartPosition]]-Table1[[#This Row],[FinishPosition]]</f>
        <v>3</v>
      </c>
    </row>
    <row r="713" spans="1:21" x14ac:dyDescent="0.3">
      <c r="A713">
        <v>2019</v>
      </c>
      <c r="B713">
        <v>16</v>
      </c>
      <c r="C713" t="s">
        <v>205</v>
      </c>
      <c r="D713" t="s">
        <v>244</v>
      </c>
      <c r="E713" t="s">
        <v>245</v>
      </c>
      <c r="F713" t="s">
        <v>64</v>
      </c>
      <c r="G713">
        <v>19</v>
      </c>
      <c r="H713">
        <v>12</v>
      </c>
      <c r="I713">
        <v>0</v>
      </c>
      <c r="J713" t="s">
        <v>34</v>
      </c>
      <c r="K713" t="s">
        <v>24</v>
      </c>
      <c r="L713">
        <v>53</v>
      </c>
      <c r="M713">
        <v>98.227999999999994</v>
      </c>
      <c r="N713">
        <v>100.813545</v>
      </c>
      <c r="O713">
        <v>35.119999999999997</v>
      </c>
      <c r="P713">
        <v>34.002000000000002</v>
      </c>
      <c r="Q713">
        <v>28.78</v>
      </c>
      <c r="R713" t="s">
        <v>384</v>
      </c>
      <c r="S713" t="s">
        <v>25</v>
      </c>
      <c r="T713">
        <f>IF(TRIM(Table1[[#This Row],[PitStopLaps]])="",0,
LEN(Table1[[#This Row],[PitStopLaps]])-LEN(SUBSTITUTE(Table1[[#This Row],[PitStopLaps]],",",""))+1)</f>
        <v>2</v>
      </c>
      <c r="U713">
        <f>Table1[[#This Row],[StartPosition]]-Table1[[#This Row],[FinishPosition]]</f>
        <v>7</v>
      </c>
    </row>
    <row r="714" spans="1:21" x14ac:dyDescent="0.3">
      <c r="A714">
        <v>2019</v>
      </c>
      <c r="B714">
        <v>16</v>
      </c>
      <c r="C714" t="s">
        <v>205</v>
      </c>
      <c r="D714" t="s">
        <v>29</v>
      </c>
      <c r="E714" t="s">
        <v>30</v>
      </c>
      <c r="F714" t="s">
        <v>243</v>
      </c>
      <c r="G714">
        <v>15</v>
      </c>
      <c r="H714">
        <v>13</v>
      </c>
      <c r="I714">
        <v>0</v>
      </c>
      <c r="J714" t="s">
        <v>34</v>
      </c>
      <c r="K714" t="s">
        <v>24</v>
      </c>
      <c r="L714">
        <v>53</v>
      </c>
      <c r="M714">
        <v>98.588999999999999</v>
      </c>
      <c r="N714">
        <v>100.885238</v>
      </c>
      <c r="O714">
        <v>35.445</v>
      </c>
      <c r="P714">
        <v>34.197000000000003</v>
      </c>
      <c r="Q714">
        <v>28.632000000000001</v>
      </c>
      <c r="R714" t="s">
        <v>385</v>
      </c>
      <c r="S714" t="s">
        <v>25</v>
      </c>
      <c r="T714">
        <f>IF(TRIM(Table1[[#This Row],[PitStopLaps]])="",0,
LEN(Table1[[#This Row],[PitStopLaps]])-LEN(SUBSTITUTE(Table1[[#This Row],[PitStopLaps]],",",""))+1)</f>
        <v>2</v>
      </c>
      <c r="U714">
        <f>Table1[[#This Row],[StartPosition]]-Table1[[#This Row],[FinishPosition]]</f>
        <v>2</v>
      </c>
    </row>
    <row r="715" spans="1:21" x14ac:dyDescent="0.3">
      <c r="A715">
        <v>2019</v>
      </c>
      <c r="B715">
        <v>16</v>
      </c>
      <c r="C715" t="s">
        <v>205</v>
      </c>
      <c r="D715" t="s">
        <v>73</v>
      </c>
      <c r="E715" t="s">
        <v>74</v>
      </c>
      <c r="F715" t="s">
        <v>64</v>
      </c>
      <c r="G715">
        <v>16</v>
      </c>
      <c r="H715">
        <v>14</v>
      </c>
      <c r="I715">
        <v>0</v>
      </c>
      <c r="J715" t="s">
        <v>34</v>
      </c>
      <c r="K715" t="s">
        <v>24</v>
      </c>
      <c r="L715">
        <v>53</v>
      </c>
      <c r="M715">
        <v>98.605999999999995</v>
      </c>
      <c r="N715">
        <v>101.09330199999999</v>
      </c>
      <c r="O715">
        <v>35.356000000000002</v>
      </c>
      <c r="P715">
        <v>33.960999999999999</v>
      </c>
      <c r="Q715">
        <v>29.132000000000001</v>
      </c>
      <c r="R715">
        <v>26</v>
      </c>
      <c r="S715" t="s">
        <v>25</v>
      </c>
      <c r="T715">
        <f>IF(TRIM(Table1[[#This Row],[PitStopLaps]])="",0,
LEN(Table1[[#This Row],[PitStopLaps]])-LEN(SUBSTITUTE(Table1[[#This Row],[PitStopLaps]],",",""))+1)</f>
        <v>1</v>
      </c>
      <c r="U715">
        <f>Table1[[#This Row],[StartPosition]]-Table1[[#This Row],[FinishPosition]]</f>
        <v>2</v>
      </c>
    </row>
    <row r="716" spans="1:21" x14ac:dyDescent="0.3">
      <c r="A716">
        <v>2019</v>
      </c>
      <c r="B716">
        <v>16</v>
      </c>
      <c r="C716" t="s">
        <v>205</v>
      </c>
      <c r="D716" t="s">
        <v>250</v>
      </c>
      <c r="E716" t="s">
        <v>251</v>
      </c>
      <c r="F716" t="s">
        <v>243</v>
      </c>
      <c r="G716">
        <v>12</v>
      </c>
      <c r="H716">
        <v>15</v>
      </c>
      <c r="I716">
        <v>0</v>
      </c>
      <c r="J716" t="s">
        <v>34</v>
      </c>
      <c r="K716" t="s">
        <v>24</v>
      </c>
      <c r="L716">
        <v>53</v>
      </c>
      <c r="M716">
        <v>98.695999999999998</v>
      </c>
      <c r="N716">
        <v>101.384818</v>
      </c>
      <c r="O716">
        <v>35.542000000000002</v>
      </c>
      <c r="P716">
        <v>34.238999999999997</v>
      </c>
      <c r="Q716">
        <v>28.908000000000001</v>
      </c>
      <c r="R716" t="s">
        <v>386</v>
      </c>
      <c r="S716" t="s">
        <v>25</v>
      </c>
      <c r="T716">
        <f>IF(TRIM(Table1[[#This Row],[PitStopLaps]])="",0,
LEN(Table1[[#This Row],[PitStopLaps]])-LEN(SUBSTITUTE(Table1[[#This Row],[PitStopLaps]],",",""))+1)</f>
        <v>2</v>
      </c>
      <c r="U716">
        <f>Table1[[#This Row],[StartPosition]]-Table1[[#This Row],[FinishPosition]]</f>
        <v>-3</v>
      </c>
    </row>
    <row r="717" spans="1:21" x14ac:dyDescent="0.3">
      <c r="A717">
        <v>2019</v>
      </c>
      <c r="B717">
        <v>16</v>
      </c>
      <c r="C717" t="s">
        <v>205</v>
      </c>
      <c r="D717" t="s">
        <v>255</v>
      </c>
      <c r="E717" t="s">
        <v>256</v>
      </c>
      <c r="F717" t="s">
        <v>60</v>
      </c>
      <c r="G717">
        <v>18</v>
      </c>
      <c r="H717">
        <v>16</v>
      </c>
      <c r="I717">
        <v>0</v>
      </c>
      <c r="J717" t="s">
        <v>34</v>
      </c>
      <c r="K717" t="s">
        <v>81</v>
      </c>
      <c r="L717">
        <v>28</v>
      </c>
      <c r="M717">
        <v>102.327</v>
      </c>
      <c r="N717">
        <v>103.874304</v>
      </c>
      <c r="O717">
        <v>36.332999999999998</v>
      </c>
      <c r="P717">
        <v>35.61</v>
      </c>
      <c r="Q717">
        <v>30.276</v>
      </c>
      <c r="R717" t="s">
        <v>197</v>
      </c>
      <c r="S717" t="s">
        <v>25</v>
      </c>
      <c r="T717">
        <f>IF(TRIM(Table1[[#This Row],[PitStopLaps]])="",0,
LEN(Table1[[#This Row],[PitStopLaps]])-LEN(SUBSTITUTE(Table1[[#This Row],[PitStopLaps]],",",""))+1)</f>
        <v>3</v>
      </c>
      <c r="U717">
        <f>Table1[[#This Row],[StartPosition]]-Table1[[#This Row],[FinishPosition]]</f>
        <v>2</v>
      </c>
    </row>
    <row r="718" spans="1:21" x14ac:dyDescent="0.3">
      <c r="A718">
        <v>2019</v>
      </c>
      <c r="B718">
        <v>16</v>
      </c>
      <c r="C718" t="s">
        <v>205</v>
      </c>
      <c r="D718" t="s">
        <v>252</v>
      </c>
      <c r="E718" t="s">
        <v>253</v>
      </c>
      <c r="F718" t="s">
        <v>60</v>
      </c>
      <c r="G718">
        <v>17</v>
      </c>
      <c r="H718">
        <v>17</v>
      </c>
      <c r="I718">
        <v>0</v>
      </c>
      <c r="J718" t="s">
        <v>34</v>
      </c>
      <c r="K718" t="s">
        <v>81</v>
      </c>
      <c r="L718">
        <v>27</v>
      </c>
      <c r="M718">
        <v>101.705</v>
      </c>
      <c r="N718">
        <v>102.571</v>
      </c>
      <c r="O718">
        <v>36.280999999999999</v>
      </c>
      <c r="P718">
        <v>35.177999999999997</v>
      </c>
      <c r="Q718">
        <v>29.991</v>
      </c>
      <c r="R718">
        <v>27</v>
      </c>
      <c r="S718" t="s">
        <v>25</v>
      </c>
      <c r="T718">
        <f>IF(TRIM(Table1[[#This Row],[PitStopLaps]])="",0,
LEN(Table1[[#This Row],[PitStopLaps]])-LEN(SUBSTITUTE(Table1[[#This Row],[PitStopLaps]],",",""))+1)</f>
        <v>1</v>
      </c>
      <c r="U718">
        <f>Table1[[#This Row],[StartPosition]]-Table1[[#This Row],[FinishPosition]]</f>
        <v>0</v>
      </c>
    </row>
    <row r="719" spans="1:21" x14ac:dyDescent="0.3">
      <c r="A719">
        <v>2019</v>
      </c>
      <c r="B719">
        <v>16</v>
      </c>
      <c r="C719" t="s">
        <v>205</v>
      </c>
      <c r="D719" t="s">
        <v>20</v>
      </c>
      <c r="E719" t="s">
        <v>21</v>
      </c>
      <c r="F719" t="s">
        <v>22</v>
      </c>
      <c r="G719">
        <v>3</v>
      </c>
      <c r="H719">
        <v>18</v>
      </c>
      <c r="I719">
        <v>0</v>
      </c>
      <c r="J719" t="s">
        <v>34</v>
      </c>
      <c r="K719" t="s">
        <v>186</v>
      </c>
      <c r="L719">
        <v>26</v>
      </c>
      <c r="M719">
        <v>98.245000000000005</v>
      </c>
      <c r="N719">
        <v>98.899681000000001</v>
      </c>
      <c r="O719">
        <v>35.396000000000001</v>
      </c>
      <c r="P719">
        <v>33.950000000000003</v>
      </c>
      <c r="Q719">
        <v>28.837</v>
      </c>
      <c r="R719">
        <v>26</v>
      </c>
      <c r="S719" t="s">
        <v>25</v>
      </c>
      <c r="T719">
        <f>IF(TRIM(Table1[[#This Row],[PitStopLaps]])="",0,
LEN(Table1[[#This Row],[PitStopLaps]])-LEN(SUBSTITUTE(Table1[[#This Row],[PitStopLaps]],",",""))+1)</f>
        <v>1</v>
      </c>
      <c r="U719">
        <f>Table1[[#This Row],[StartPosition]]-Table1[[#This Row],[FinishPosition]]</f>
        <v>-15</v>
      </c>
    </row>
    <row r="720" spans="1:21" x14ac:dyDescent="0.3">
      <c r="A720">
        <v>2019</v>
      </c>
      <c r="B720">
        <v>16</v>
      </c>
      <c r="C720" t="s">
        <v>205</v>
      </c>
      <c r="D720" t="s">
        <v>31</v>
      </c>
      <c r="E720" t="s">
        <v>32</v>
      </c>
      <c r="F720" t="s">
        <v>42</v>
      </c>
      <c r="G720">
        <v>10</v>
      </c>
      <c r="H720">
        <v>19</v>
      </c>
      <c r="I720">
        <v>0</v>
      </c>
      <c r="J720" t="s">
        <v>34</v>
      </c>
      <c r="K720" t="s">
        <v>124</v>
      </c>
      <c r="L720">
        <v>24</v>
      </c>
      <c r="M720">
        <v>101.28400000000001</v>
      </c>
      <c r="N720">
        <v>102.63294999999999</v>
      </c>
      <c r="O720">
        <v>35.917999999999999</v>
      </c>
      <c r="P720">
        <v>35.351999999999997</v>
      </c>
      <c r="Q720">
        <v>30.013999999999999</v>
      </c>
      <c r="R720" t="s">
        <v>194</v>
      </c>
      <c r="S720" t="s">
        <v>25</v>
      </c>
      <c r="T720">
        <f>IF(TRIM(Table1[[#This Row],[PitStopLaps]])="",0,
LEN(Table1[[#This Row],[PitStopLaps]])-LEN(SUBSTITUTE(Table1[[#This Row],[PitStopLaps]],",",""))+1)</f>
        <v>2</v>
      </c>
      <c r="U720">
        <f>Table1[[#This Row],[StartPosition]]-Table1[[#This Row],[FinishPosition]]</f>
        <v>-9</v>
      </c>
    </row>
    <row r="721" spans="1:21" x14ac:dyDescent="0.3">
      <c r="A721">
        <v>2019</v>
      </c>
      <c r="B721">
        <v>16</v>
      </c>
      <c r="C721" t="s">
        <v>205</v>
      </c>
      <c r="D721" t="s">
        <v>67</v>
      </c>
      <c r="E721" t="s">
        <v>68</v>
      </c>
      <c r="F721" t="s">
        <v>69</v>
      </c>
      <c r="G721">
        <v>8</v>
      </c>
      <c r="H721">
        <v>20</v>
      </c>
      <c r="I721">
        <v>0</v>
      </c>
      <c r="J721" t="s">
        <v>34</v>
      </c>
      <c r="K721" t="s">
        <v>124</v>
      </c>
      <c r="L721">
        <v>1</v>
      </c>
      <c r="S721" t="s">
        <v>25</v>
      </c>
      <c r="T721">
        <f>IF(TRIM(Table1[[#This Row],[PitStopLaps]])="",0,
LEN(Table1[[#This Row],[PitStopLaps]])-LEN(SUBSTITUTE(Table1[[#This Row],[PitStopLaps]],",",""))+1)</f>
        <v>0</v>
      </c>
      <c r="U721">
        <f>Table1[[#This Row],[StartPosition]]-Table1[[#This Row],[FinishPosition]]</f>
        <v>-12</v>
      </c>
    </row>
    <row r="722" spans="1:21" x14ac:dyDescent="0.3">
      <c r="A722">
        <v>2019</v>
      </c>
      <c r="B722">
        <v>17</v>
      </c>
      <c r="C722" t="s">
        <v>208</v>
      </c>
      <c r="D722" t="s">
        <v>43</v>
      </c>
      <c r="E722" t="s">
        <v>44</v>
      </c>
      <c r="F722" t="s">
        <v>28</v>
      </c>
      <c r="G722">
        <v>3</v>
      </c>
      <c r="H722">
        <v>1</v>
      </c>
      <c r="I722">
        <v>25</v>
      </c>
      <c r="J722" t="s">
        <v>23</v>
      </c>
      <c r="K722" t="s">
        <v>24</v>
      </c>
      <c r="L722">
        <v>53</v>
      </c>
      <c r="M722">
        <v>91.861999999999995</v>
      </c>
      <c r="N722">
        <v>93.564207999999994</v>
      </c>
      <c r="O722">
        <v>32.628999999999998</v>
      </c>
      <c r="P722">
        <v>41.156999999999996</v>
      </c>
      <c r="Q722">
        <v>17.885000000000002</v>
      </c>
      <c r="R722" t="s">
        <v>387</v>
      </c>
      <c r="S722" t="s">
        <v>83</v>
      </c>
      <c r="T722">
        <f>IF(TRIM(Table1[[#This Row],[PitStopLaps]])="",0,
LEN(Table1[[#This Row],[PitStopLaps]])-LEN(SUBSTITUTE(Table1[[#This Row],[PitStopLaps]],",",""))+1)</f>
        <v>2</v>
      </c>
      <c r="U722">
        <f>Table1[[#This Row],[StartPosition]]-Table1[[#This Row],[FinishPosition]]</f>
        <v>2</v>
      </c>
    </row>
    <row r="723" spans="1:21" x14ac:dyDescent="0.3">
      <c r="A723">
        <v>2019</v>
      </c>
      <c r="B723">
        <v>17</v>
      </c>
      <c r="C723" t="s">
        <v>208</v>
      </c>
      <c r="D723" t="s">
        <v>20</v>
      </c>
      <c r="E723" t="s">
        <v>21</v>
      </c>
      <c r="F723" t="s">
        <v>22</v>
      </c>
      <c r="G723">
        <v>1</v>
      </c>
      <c r="H723">
        <v>2</v>
      </c>
      <c r="I723">
        <v>18</v>
      </c>
      <c r="J723" t="s">
        <v>23</v>
      </c>
      <c r="K723" t="s">
        <v>24</v>
      </c>
      <c r="L723">
        <v>53</v>
      </c>
      <c r="M723">
        <v>92.122</v>
      </c>
      <c r="N723">
        <v>93.642104000000003</v>
      </c>
      <c r="O723">
        <v>32.695999999999998</v>
      </c>
      <c r="P723">
        <v>41.279000000000003</v>
      </c>
      <c r="Q723">
        <v>18.015000000000001</v>
      </c>
      <c r="R723" t="s">
        <v>388</v>
      </c>
      <c r="S723" t="s">
        <v>83</v>
      </c>
      <c r="T723">
        <f>IF(TRIM(Table1[[#This Row],[PitStopLaps]])="",0,
LEN(Table1[[#This Row],[PitStopLaps]])-LEN(SUBSTITUTE(Table1[[#This Row],[PitStopLaps]],",",""))+1)</f>
        <v>2</v>
      </c>
      <c r="U723">
        <f>Table1[[#This Row],[StartPosition]]-Table1[[#This Row],[FinishPosition]]</f>
        <v>-1</v>
      </c>
    </row>
    <row r="724" spans="1:21" x14ac:dyDescent="0.3">
      <c r="A724">
        <v>2019</v>
      </c>
      <c r="B724">
        <v>17</v>
      </c>
      <c r="C724" t="s">
        <v>208</v>
      </c>
      <c r="D724" t="s">
        <v>26</v>
      </c>
      <c r="E724" t="s">
        <v>27</v>
      </c>
      <c r="F724" t="s">
        <v>28</v>
      </c>
      <c r="G724">
        <v>4</v>
      </c>
      <c r="H724">
        <v>3</v>
      </c>
      <c r="I724">
        <v>16</v>
      </c>
      <c r="J724" t="s">
        <v>23</v>
      </c>
      <c r="K724" t="s">
        <v>24</v>
      </c>
      <c r="L724">
        <v>53</v>
      </c>
      <c r="M724">
        <v>90.983000000000004</v>
      </c>
      <c r="N724">
        <v>93.647499999999994</v>
      </c>
      <c r="O724">
        <v>32.08</v>
      </c>
      <c r="P724">
        <v>41.02</v>
      </c>
      <c r="Q724">
        <v>17.882999999999999</v>
      </c>
      <c r="R724" t="s">
        <v>389</v>
      </c>
      <c r="S724" t="s">
        <v>83</v>
      </c>
      <c r="T724">
        <f>IF(TRIM(Table1[[#This Row],[PitStopLaps]])="",0,
LEN(Table1[[#This Row],[PitStopLaps]])-LEN(SUBSTITUTE(Table1[[#This Row],[PitStopLaps]],",",""))+1)</f>
        <v>2</v>
      </c>
      <c r="U724">
        <f>Table1[[#This Row],[StartPosition]]-Table1[[#This Row],[FinishPosition]]</f>
        <v>1</v>
      </c>
    </row>
    <row r="725" spans="1:21" x14ac:dyDescent="0.3">
      <c r="A725">
        <v>2019</v>
      </c>
      <c r="B725">
        <v>17</v>
      </c>
      <c r="C725" t="s">
        <v>208</v>
      </c>
      <c r="D725" t="s">
        <v>248</v>
      </c>
      <c r="E725" t="s">
        <v>249</v>
      </c>
      <c r="F725" t="s">
        <v>33</v>
      </c>
      <c r="G725">
        <v>6</v>
      </c>
      <c r="H725">
        <v>4</v>
      </c>
      <c r="I725">
        <v>12</v>
      </c>
      <c r="J725" t="s">
        <v>34</v>
      </c>
      <c r="K725" t="s">
        <v>24</v>
      </c>
      <c r="L725">
        <v>53</v>
      </c>
      <c r="M725">
        <v>92.775000000000006</v>
      </c>
      <c r="N725">
        <v>94.590708000000006</v>
      </c>
      <c r="O725">
        <v>32.896999999999998</v>
      </c>
      <c r="P725">
        <v>41.679000000000002</v>
      </c>
      <c r="Q725">
        <v>18.131</v>
      </c>
      <c r="R725" t="s">
        <v>84</v>
      </c>
      <c r="S725" t="s">
        <v>83</v>
      </c>
      <c r="T725">
        <f>IF(TRIM(Table1[[#This Row],[PitStopLaps]])="",0,
LEN(Table1[[#This Row],[PitStopLaps]])-LEN(SUBSTITUTE(Table1[[#This Row],[PitStopLaps]],",",""))+1)</f>
        <v>2</v>
      </c>
      <c r="U725">
        <f>Table1[[#This Row],[StartPosition]]-Table1[[#This Row],[FinishPosition]]</f>
        <v>2</v>
      </c>
    </row>
    <row r="726" spans="1:21" x14ac:dyDescent="0.3">
      <c r="A726">
        <v>2019</v>
      </c>
      <c r="B726">
        <v>17</v>
      </c>
      <c r="C726" t="s">
        <v>208</v>
      </c>
      <c r="D726" t="s">
        <v>47</v>
      </c>
      <c r="E726" t="s">
        <v>48</v>
      </c>
      <c r="F726" t="s">
        <v>37</v>
      </c>
      <c r="G726">
        <v>7</v>
      </c>
      <c r="H726">
        <v>5</v>
      </c>
      <c r="I726">
        <v>10</v>
      </c>
      <c r="J726" t="s">
        <v>34</v>
      </c>
      <c r="K726" t="s">
        <v>24</v>
      </c>
      <c r="L726">
        <v>53</v>
      </c>
      <c r="M726">
        <v>93.563000000000002</v>
      </c>
      <c r="N726">
        <v>95.131739999999994</v>
      </c>
      <c r="O726">
        <v>33.115000000000002</v>
      </c>
      <c r="P726">
        <v>41.981999999999999</v>
      </c>
      <c r="Q726">
        <v>18.209</v>
      </c>
      <c r="R726">
        <v>26</v>
      </c>
      <c r="S726" t="s">
        <v>83</v>
      </c>
      <c r="T726">
        <f>IF(TRIM(Table1[[#This Row],[PitStopLaps]])="",0,
LEN(Table1[[#This Row],[PitStopLaps]])-LEN(SUBSTITUTE(Table1[[#This Row],[PitStopLaps]],",",""))+1)</f>
        <v>1</v>
      </c>
      <c r="U726">
        <f>Table1[[#This Row],[StartPosition]]-Table1[[#This Row],[FinishPosition]]</f>
        <v>2</v>
      </c>
    </row>
    <row r="727" spans="1:21" x14ac:dyDescent="0.3">
      <c r="A727">
        <v>2019</v>
      </c>
      <c r="B727">
        <v>17</v>
      </c>
      <c r="C727" t="s">
        <v>208</v>
      </c>
      <c r="D727" t="s">
        <v>54</v>
      </c>
      <c r="E727" t="s">
        <v>55</v>
      </c>
      <c r="F727" t="s">
        <v>22</v>
      </c>
      <c r="G727">
        <v>2</v>
      </c>
      <c r="H727">
        <v>6</v>
      </c>
      <c r="I727">
        <v>8</v>
      </c>
      <c r="J727" t="s">
        <v>34</v>
      </c>
      <c r="K727" t="s">
        <v>65</v>
      </c>
      <c r="L727">
        <v>52</v>
      </c>
      <c r="M727">
        <v>91.611000000000004</v>
      </c>
      <c r="N727">
        <v>94.748711</v>
      </c>
      <c r="O727">
        <v>32.219000000000001</v>
      </c>
      <c r="P727">
        <v>40.79</v>
      </c>
      <c r="Q727">
        <v>18.140999999999998</v>
      </c>
      <c r="R727" t="s">
        <v>390</v>
      </c>
      <c r="S727" t="s">
        <v>83</v>
      </c>
      <c r="T727">
        <f>IF(TRIM(Table1[[#This Row],[PitStopLaps]])="",0,
LEN(Table1[[#This Row],[PitStopLaps]])-LEN(SUBSTITUTE(Table1[[#This Row],[PitStopLaps]],",",""))+1)</f>
        <v>3</v>
      </c>
      <c r="U727">
        <f>Table1[[#This Row],[StartPosition]]-Table1[[#This Row],[FinishPosition]]</f>
        <v>-4</v>
      </c>
    </row>
    <row r="728" spans="1:21" x14ac:dyDescent="0.3">
      <c r="A728">
        <v>2019</v>
      </c>
      <c r="B728">
        <v>17</v>
      </c>
      <c r="C728" t="s">
        <v>208</v>
      </c>
      <c r="D728" t="s">
        <v>73</v>
      </c>
      <c r="E728" t="s">
        <v>74</v>
      </c>
      <c r="F728" t="s">
        <v>64</v>
      </c>
      <c r="G728">
        <v>9</v>
      </c>
      <c r="H728">
        <v>7</v>
      </c>
      <c r="I728">
        <v>6</v>
      </c>
      <c r="J728" t="s">
        <v>34</v>
      </c>
      <c r="K728" t="s">
        <v>65</v>
      </c>
      <c r="L728">
        <v>52</v>
      </c>
      <c r="M728">
        <v>95.320999999999998</v>
      </c>
      <c r="N728">
        <v>96.169020000000003</v>
      </c>
      <c r="O728">
        <v>34.07</v>
      </c>
      <c r="P728">
        <v>42.442999999999998</v>
      </c>
      <c r="Q728">
        <v>18.306999999999999</v>
      </c>
      <c r="R728">
        <v>18</v>
      </c>
      <c r="S728" t="s">
        <v>83</v>
      </c>
      <c r="T728">
        <f>IF(TRIM(Table1[[#This Row],[PitStopLaps]])="",0,
LEN(Table1[[#This Row],[PitStopLaps]])-LEN(SUBSTITUTE(Table1[[#This Row],[PitStopLaps]],",",""))+1)</f>
        <v>1</v>
      </c>
      <c r="U728">
        <f>Table1[[#This Row],[StartPosition]]-Table1[[#This Row],[FinishPosition]]</f>
        <v>2</v>
      </c>
    </row>
    <row r="729" spans="1:21" x14ac:dyDescent="0.3">
      <c r="A729">
        <v>2019</v>
      </c>
      <c r="B729">
        <v>17</v>
      </c>
      <c r="C729" t="s">
        <v>208</v>
      </c>
      <c r="D729" t="s">
        <v>49</v>
      </c>
      <c r="E729" t="s">
        <v>50</v>
      </c>
      <c r="F729" t="s">
        <v>192</v>
      </c>
      <c r="G729">
        <v>17</v>
      </c>
      <c r="H729">
        <v>8</v>
      </c>
      <c r="I729">
        <v>4</v>
      </c>
      <c r="J729" t="s">
        <v>34</v>
      </c>
      <c r="K729" t="s">
        <v>65</v>
      </c>
      <c r="L729">
        <v>52</v>
      </c>
      <c r="M729">
        <v>92.620999999999995</v>
      </c>
      <c r="N729">
        <v>95.682520999999994</v>
      </c>
      <c r="O729">
        <v>32.805</v>
      </c>
      <c r="P729">
        <v>41.582999999999998</v>
      </c>
      <c r="Q729">
        <v>18.010999999999999</v>
      </c>
      <c r="R729" t="s">
        <v>391</v>
      </c>
      <c r="S729" t="s">
        <v>83</v>
      </c>
      <c r="T729">
        <f>IF(TRIM(Table1[[#This Row],[PitStopLaps]])="",0,
LEN(Table1[[#This Row],[PitStopLaps]])-LEN(SUBSTITUTE(Table1[[#This Row],[PitStopLaps]],",",""))+1)</f>
        <v>2</v>
      </c>
      <c r="U729">
        <f>Table1[[#This Row],[StartPosition]]-Table1[[#This Row],[FinishPosition]]</f>
        <v>9</v>
      </c>
    </row>
    <row r="730" spans="1:21" x14ac:dyDescent="0.3">
      <c r="A730">
        <v>2019</v>
      </c>
      <c r="B730">
        <v>17</v>
      </c>
      <c r="C730" t="s">
        <v>208</v>
      </c>
      <c r="D730" t="s">
        <v>58</v>
      </c>
      <c r="E730" t="s">
        <v>59</v>
      </c>
      <c r="F730" t="s">
        <v>192</v>
      </c>
      <c r="G730">
        <v>12</v>
      </c>
      <c r="H730">
        <v>9</v>
      </c>
      <c r="I730">
        <v>2</v>
      </c>
      <c r="J730" t="s">
        <v>34</v>
      </c>
      <c r="K730" t="s">
        <v>65</v>
      </c>
      <c r="L730">
        <v>52</v>
      </c>
      <c r="M730">
        <v>94.712999999999994</v>
      </c>
      <c r="N730">
        <v>96.204857000000004</v>
      </c>
      <c r="O730">
        <v>33.686999999999998</v>
      </c>
      <c r="P730">
        <v>42.62</v>
      </c>
      <c r="Q730">
        <v>18.393999999999998</v>
      </c>
      <c r="R730">
        <v>18</v>
      </c>
      <c r="S730" t="s">
        <v>83</v>
      </c>
      <c r="T730">
        <f>IF(TRIM(Table1[[#This Row],[PitStopLaps]])="",0,
LEN(Table1[[#This Row],[PitStopLaps]])-LEN(SUBSTITUTE(Table1[[#This Row],[PitStopLaps]],",",""))+1)</f>
        <v>1</v>
      </c>
      <c r="U730">
        <f>Table1[[#This Row],[StartPosition]]-Table1[[#This Row],[FinishPosition]]</f>
        <v>3</v>
      </c>
    </row>
    <row r="731" spans="1:21" x14ac:dyDescent="0.3">
      <c r="A731">
        <v>2019</v>
      </c>
      <c r="B731">
        <v>17</v>
      </c>
      <c r="C731" t="s">
        <v>208</v>
      </c>
      <c r="D731" t="s">
        <v>244</v>
      </c>
      <c r="E731" t="s">
        <v>245</v>
      </c>
      <c r="F731" t="s">
        <v>64</v>
      </c>
      <c r="G731">
        <v>14</v>
      </c>
      <c r="H731">
        <v>10</v>
      </c>
      <c r="I731">
        <v>1</v>
      </c>
      <c r="J731" t="s">
        <v>34</v>
      </c>
      <c r="K731" t="s">
        <v>65</v>
      </c>
      <c r="L731">
        <v>52</v>
      </c>
      <c r="M731">
        <v>93.239000000000004</v>
      </c>
      <c r="N731">
        <v>96.078918000000002</v>
      </c>
      <c r="O731">
        <v>33.095999999999997</v>
      </c>
      <c r="P731">
        <v>41.822000000000003</v>
      </c>
      <c r="Q731">
        <v>18.251999999999999</v>
      </c>
      <c r="R731">
        <v>27</v>
      </c>
      <c r="S731" t="s">
        <v>83</v>
      </c>
      <c r="T731">
        <f>IF(TRIM(Table1[[#This Row],[PitStopLaps]])="",0,
LEN(Table1[[#This Row],[PitStopLaps]])-LEN(SUBSTITUTE(Table1[[#This Row],[PitStopLaps]],",",""))+1)</f>
        <v>1</v>
      </c>
      <c r="U731">
        <f>Table1[[#This Row],[StartPosition]]-Table1[[#This Row],[FinishPosition]]</f>
        <v>4</v>
      </c>
    </row>
    <row r="732" spans="1:21" x14ac:dyDescent="0.3">
      <c r="A732">
        <v>2019</v>
      </c>
      <c r="B732">
        <v>17</v>
      </c>
      <c r="C732" t="s">
        <v>208</v>
      </c>
      <c r="D732" t="s">
        <v>246</v>
      </c>
      <c r="E732" t="s">
        <v>247</v>
      </c>
      <c r="F732" t="s">
        <v>37</v>
      </c>
      <c r="G732">
        <v>8</v>
      </c>
      <c r="H732">
        <v>11</v>
      </c>
      <c r="I732">
        <v>0</v>
      </c>
      <c r="J732" t="s">
        <v>34</v>
      </c>
      <c r="K732" t="s">
        <v>65</v>
      </c>
      <c r="L732">
        <v>52</v>
      </c>
      <c r="M732">
        <v>94.116</v>
      </c>
      <c r="N732">
        <v>95.845212000000004</v>
      </c>
      <c r="O732">
        <v>33.188000000000002</v>
      </c>
      <c r="P732">
        <v>42.189</v>
      </c>
      <c r="Q732">
        <v>18.462</v>
      </c>
      <c r="R732" t="s">
        <v>392</v>
      </c>
      <c r="S732" t="s">
        <v>83</v>
      </c>
      <c r="T732">
        <f>IF(TRIM(Table1[[#This Row],[PitStopLaps]])="",0,
LEN(Table1[[#This Row],[PitStopLaps]])-LEN(SUBSTITUTE(Table1[[#This Row],[PitStopLaps]],",",""))+1)</f>
        <v>2</v>
      </c>
      <c r="U732">
        <f>Table1[[#This Row],[StartPosition]]-Table1[[#This Row],[FinishPosition]]</f>
        <v>-3</v>
      </c>
    </row>
    <row r="733" spans="1:21" x14ac:dyDescent="0.3">
      <c r="A733">
        <v>2019</v>
      </c>
      <c r="B733">
        <v>17</v>
      </c>
      <c r="C733" t="s">
        <v>208</v>
      </c>
      <c r="D733" t="s">
        <v>29</v>
      </c>
      <c r="E733" t="s">
        <v>30</v>
      </c>
      <c r="F733" t="s">
        <v>243</v>
      </c>
      <c r="G733">
        <v>13</v>
      </c>
      <c r="H733">
        <v>12</v>
      </c>
      <c r="I733">
        <v>0</v>
      </c>
      <c r="J733" t="s">
        <v>34</v>
      </c>
      <c r="K733" t="s">
        <v>65</v>
      </c>
      <c r="L733">
        <v>52</v>
      </c>
      <c r="M733">
        <v>93.19</v>
      </c>
      <c r="N733">
        <v>96.117659000000003</v>
      </c>
      <c r="O733">
        <v>32.753999999999998</v>
      </c>
      <c r="P733">
        <v>41.895000000000003</v>
      </c>
      <c r="Q733">
        <v>18.184000000000001</v>
      </c>
      <c r="R733" t="s">
        <v>393</v>
      </c>
      <c r="S733" t="s">
        <v>83</v>
      </c>
      <c r="T733">
        <f>IF(TRIM(Table1[[#This Row],[PitStopLaps]])="",0,
LEN(Table1[[#This Row],[PitStopLaps]])-LEN(SUBSTITUTE(Table1[[#This Row],[PitStopLaps]],",",""))+1)</f>
        <v>2</v>
      </c>
      <c r="U733">
        <f>Table1[[#This Row],[StartPosition]]-Table1[[#This Row],[FinishPosition]]</f>
        <v>1</v>
      </c>
    </row>
    <row r="734" spans="1:21" x14ac:dyDescent="0.3">
      <c r="A734">
        <v>2019</v>
      </c>
      <c r="B734">
        <v>17</v>
      </c>
      <c r="C734" t="s">
        <v>208</v>
      </c>
      <c r="D734" t="s">
        <v>67</v>
      </c>
      <c r="E734" t="s">
        <v>68</v>
      </c>
      <c r="F734" t="s">
        <v>69</v>
      </c>
      <c r="G734">
        <v>10</v>
      </c>
      <c r="H734">
        <v>13</v>
      </c>
      <c r="I734">
        <v>0</v>
      </c>
      <c r="J734" t="s">
        <v>34</v>
      </c>
      <c r="K734" t="s">
        <v>65</v>
      </c>
      <c r="L734">
        <v>52</v>
      </c>
      <c r="M734">
        <v>94.988</v>
      </c>
      <c r="N734">
        <v>96.811367000000004</v>
      </c>
      <c r="O734">
        <v>33.725999999999999</v>
      </c>
      <c r="P734">
        <v>42.561999999999998</v>
      </c>
      <c r="Q734">
        <v>18.606000000000002</v>
      </c>
      <c r="R734">
        <v>16</v>
      </c>
      <c r="S734" t="s">
        <v>83</v>
      </c>
      <c r="T734">
        <f>IF(TRIM(Table1[[#This Row],[PitStopLaps]])="",0,
LEN(Table1[[#This Row],[PitStopLaps]])-LEN(SUBSTITUTE(Table1[[#This Row],[PitStopLaps]],",",""))+1)</f>
        <v>1</v>
      </c>
      <c r="U734">
        <f>Table1[[#This Row],[StartPosition]]-Table1[[#This Row],[FinishPosition]]</f>
        <v>-3</v>
      </c>
    </row>
    <row r="735" spans="1:21" x14ac:dyDescent="0.3">
      <c r="A735">
        <v>2019</v>
      </c>
      <c r="B735">
        <v>17</v>
      </c>
      <c r="C735" t="s">
        <v>208</v>
      </c>
      <c r="D735" t="s">
        <v>250</v>
      </c>
      <c r="E735" t="s">
        <v>251</v>
      </c>
      <c r="F735" t="s">
        <v>243</v>
      </c>
      <c r="G735">
        <v>11</v>
      </c>
      <c r="H735">
        <v>14</v>
      </c>
      <c r="I735">
        <v>0</v>
      </c>
      <c r="J735" t="s">
        <v>34</v>
      </c>
      <c r="K735" t="s">
        <v>65</v>
      </c>
      <c r="L735">
        <v>52</v>
      </c>
      <c r="M735">
        <v>92.369</v>
      </c>
      <c r="N735">
        <v>96.637106000000003</v>
      </c>
      <c r="O735">
        <v>32.624000000000002</v>
      </c>
      <c r="P735">
        <v>41.552</v>
      </c>
      <c r="Q735">
        <v>18.193000000000001</v>
      </c>
      <c r="R735" t="s">
        <v>394</v>
      </c>
      <c r="S735" t="s">
        <v>83</v>
      </c>
      <c r="T735">
        <f>IF(TRIM(Table1[[#This Row],[PitStopLaps]])="",0,
LEN(Table1[[#This Row],[PitStopLaps]])-LEN(SUBSTITUTE(Table1[[#This Row],[PitStopLaps]],",",""))+1)</f>
        <v>2</v>
      </c>
      <c r="U735">
        <f>Table1[[#This Row],[StartPosition]]-Table1[[#This Row],[FinishPosition]]</f>
        <v>-3</v>
      </c>
    </row>
    <row r="736" spans="1:21" x14ac:dyDescent="0.3">
      <c r="A736">
        <v>2019</v>
      </c>
      <c r="B736">
        <v>17</v>
      </c>
      <c r="C736" t="s">
        <v>208</v>
      </c>
      <c r="D736" t="s">
        <v>71</v>
      </c>
      <c r="E736" t="s">
        <v>72</v>
      </c>
      <c r="F736" t="s">
        <v>69</v>
      </c>
      <c r="G736">
        <v>19</v>
      </c>
      <c r="H736">
        <v>15</v>
      </c>
      <c r="I736">
        <v>0</v>
      </c>
      <c r="J736" t="s">
        <v>34</v>
      </c>
      <c r="K736" t="s">
        <v>65</v>
      </c>
      <c r="L736">
        <v>52</v>
      </c>
      <c r="M736">
        <v>91.731999999999999</v>
      </c>
      <c r="N736">
        <v>96.655106000000004</v>
      </c>
      <c r="O736">
        <v>32.561999999999998</v>
      </c>
      <c r="P736">
        <v>41.116999999999997</v>
      </c>
      <c r="Q736">
        <v>18.053000000000001</v>
      </c>
      <c r="R736" t="s">
        <v>223</v>
      </c>
      <c r="S736" t="s">
        <v>83</v>
      </c>
      <c r="T736">
        <f>IF(TRIM(Table1[[#This Row],[PitStopLaps]])="",0,
LEN(Table1[[#This Row],[PitStopLaps]])-LEN(SUBSTITUTE(Table1[[#This Row],[PitStopLaps]],",",""))+1)</f>
        <v>2</v>
      </c>
      <c r="U736">
        <f>Table1[[#This Row],[StartPosition]]-Table1[[#This Row],[FinishPosition]]</f>
        <v>4</v>
      </c>
    </row>
    <row r="737" spans="1:21" x14ac:dyDescent="0.3">
      <c r="A737">
        <v>2019</v>
      </c>
      <c r="B737">
        <v>17</v>
      </c>
      <c r="C737" t="s">
        <v>208</v>
      </c>
      <c r="D737" t="s">
        <v>252</v>
      </c>
      <c r="E737" t="s">
        <v>253</v>
      </c>
      <c r="F737" t="s">
        <v>60</v>
      </c>
      <c r="G737">
        <v>18</v>
      </c>
      <c r="H737">
        <v>16</v>
      </c>
      <c r="I737">
        <v>0</v>
      </c>
      <c r="J737" t="s">
        <v>34</v>
      </c>
      <c r="K737" t="s">
        <v>127</v>
      </c>
      <c r="L737">
        <v>51</v>
      </c>
      <c r="M737">
        <v>95.457999999999998</v>
      </c>
      <c r="N737">
        <v>97.439499999999995</v>
      </c>
      <c r="O737">
        <v>34.128999999999998</v>
      </c>
      <c r="P737">
        <v>42.566000000000003</v>
      </c>
      <c r="Q737">
        <v>18.597999999999999</v>
      </c>
      <c r="R737">
        <v>25</v>
      </c>
      <c r="S737" t="s">
        <v>83</v>
      </c>
      <c r="T737">
        <f>IF(TRIM(Table1[[#This Row],[PitStopLaps]])="",0,
LEN(Table1[[#This Row],[PitStopLaps]])-LEN(SUBSTITUTE(Table1[[#This Row],[PitStopLaps]],",",""))+1)</f>
        <v>1</v>
      </c>
      <c r="U737">
        <f>Table1[[#This Row],[StartPosition]]-Table1[[#This Row],[FinishPosition]]</f>
        <v>2</v>
      </c>
    </row>
    <row r="738" spans="1:21" x14ac:dyDescent="0.3">
      <c r="A738">
        <v>2019</v>
      </c>
      <c r="B738">
        <v>17</v>
      </c>
      <c r="C738" t="s">
        <v>208</v>
      </c>
      <c r="D738" t="s">
        <v>255</v>
      </c>
      <c r="E738" t="s">
        <v>256</v>
      </c>
      <c r="F738" t="s">
        <v>60</v>
      </c>
      <c r="G738">
        <v>0</v>
      </c>
      <c r="H738">
        <v>17</v>
      </c>
      <c r="I738">
        <v>0</v>
      </c>
      <c r="J738" t="s">
        <v>34</v>
      </c>
      <c r="K738" t="s">
        <v>127</v>
      </c>
      <c r="L738">
        <v>51</v>
      </c>
      <c r="M738">
        <v>96.331999999999994</v>
      </c>
      <c r="N738">
        <v>98.573955999999995</v>
      </c>
      <c r="O738">
        <v>34.142000000000003</v>
      </c>
      <c r="P738">
        <v>43.256999999999998</v>
      </c>
      <c r="Q738">
        <v>18.641999999999999</v>
      </c>
      <c r="R738" t="s">
        <v>395</v>
      </c>
      <c r="S738" t="s">
        <v>83</v>
      </c>
      <c r="T738">
        <f>IF(TRIM(Table1[[#This Row],[PitStopLaps]])="",0,
LEN(Table1[[#This Row],[PitStopLaps]])-LEN(SUBSTITUTE(Table1[[#This Row],[PitStopLaps]],",",""))+1)</f>
        <v>2</v>
      </c>
      <c r="U738">
        <f>Table1[[#This Row],[StartPosition]]-Table1[[#This Row],[FinishPosition]]</f>
        <v>-17</v>
      </c>
    </row>
    <row r="739" spans="1:21" x14ac:dyDescent="0.3">
      <c r="A739">
        <v>2019</v>
      </c>
      <c r="B739">
        <v>17</v>
      </c>
      <c r="C739" t="s">
        <v>208</v>
      </c>
      <c r="D739" t="s">
        <v>38</v>
      </c>
      <c r="E739" t="s">
        <v>39</v>
      </c>
      <c r="F739" t="s">
        <v>33</v>
      </c>
      <c r="G739">
        <v>5</v>
      </c>
      <c r="H739">
        <v>18</v>
      </c>
      <c r="I739">
        <v>0</v>
      </c>
      <c r="J739" t="s">
        <v>34</v>
      </c>
      <c r="K739" t="s">
        <v>81</v>
      </c>
      <c r="L739">
        <v>14</v>
      </c>
      <c r="M739">
        <v>97.248999999999995</v>
      </c>
      <c r="N739">
        <v>97.617750000000001</v>
      </c>
      <c r="O739">
        <v>34.732999999999997</v>
      </c>
      <c r="P739">
        <v>43.573</v>
      </c>
      <c r="Q739">
        <v>18.670999999999999</v>
      </c>
      <c r="R739">
        <v>14</v>
      </c>
      <c r="S739" t="s">
        <v>83</v>
      </c>
      <c r="T739">
        <f>IF(TRIM(Table1[[#This Row],[PitStopLaps]])="",0,
LEN(Table1[[#This Row],[PitStopLaps]])-LEN(SUBSTITUTE(Table1[[#This Row],[PitStopLaps]],",",""))+1)</f>
        <v>1</v>
      </c>
      <c r="U739">
        <f>Table1[[#This Row],[StartPosition]]-Table1[[#This Row],[FinishPosition]]</f>
        <v>-13</v>
      </c>
    </row>
    <row r="740" spans="1:21" x14ac:dyDescent="0.3">
      <c r="A740">
        <v>2019</v>
      </c>
      <c r="B740">
        <v>17</v>
      </c>
      <c r="C740" t="s">
        <v>208</v>
      </c>
      <c r="D740" t="s">
        <v>31</v>
      </c>
      <c r="E740" t="s">
        <v>32</v>
      </c>
      <c r="F740" t="s">
        <v>42</v>
      </c>
      <c r="G740">
        <v>16</v>
      </c>
      <c r="H740">
        <v>19</v>
      </c>
      <c r="I740">
        <v>0</v>
      </c>
      <c r="J740" t="s">
        <v>34</v>
      </c>
      <c r="K740" t="s">
        <v>220</v>
      </c>
      <c r="L740">
        <v>52</v>
      </c>
      <c r="M740">
        <v>93.480999999999995</v>
      </c>
      <c r="N740">
        <v>95.735979</v>
      </c>
      <c r="O740">
        <v>33.116999999999997</v>
      </c>
      <c r="P740">
        <v>41.984000000000002</v>
      </c>
      <c r="Q740">
        <v>18.146999999999998</v>
      </c>
      <c r="R740">
        <v>29</v>
      </c>
      <c r="S740" t="s">
        <v>83</v>
      </c>
      <c r="T740">
        <f>IF(TRIM(Table1[[#This Row],[PitStopLaps]])="",0,
LEN(Table1[[#This Row],[PitStopLaps]])-LEN(SUBSTITUTE(Table1[[#This Row],[PitStopLaps]],",",""))+1)</f>
        <v>1</v>
      </c>
      <c r="U740">
        <f>Table1[[#This Row],[StartPosition]]-Table1[[#This Row],[FinishPosition]]</f>
        <v>-3</v>
      </c>
    </row>
    <row r="741" spans="1:21" x14ac:dyDescent="0.3">
      <c r="A741">
        <v>2019</v>
      </c>
      <c r="B741">
        <v>17</v>
      </c>
      <c r="C741" t="s">
        <v>208</v>
      </c>
      <c r="D741" t="s">
        <v>40</v>
      </c>
      <c r="E741" t="s">
        <v>41</v>
      </c>
      <c r="F741" t="s">
        <v>42</v>
      </c>
      <c r="G741">
        <v>15</v>
      </c>
      <c r="H741">
        <v>20</v>
      </c>
      <c r="I741">
        <v>0</v>
      </c>
      <c r="J741" t="s">
        <v>34</v>
      </c>
      <c r="K741" t="s">
        <v>220</v>
      </c>
      <c r="L741">
        <v>52</v>
      </c>
      <c r="M741">
        <v>94.921000000000006</v>
      </c>
      <c r="N741">
        <v>96.167407999999995</v>
      </c>
      <c r="O741">
        <v>33.668999999999997</v>
      </c>
      <c r="P741">
        <v>42.414999999999999</v>
      </c>
      <c r="Q741">
        <v>18.251000000000001</v>
      </c>
      <c r="R741">
        <v>19</v>
      </c>
      <c r="S741" t="s">
        <v>83</v>
      </c>
      <c r="T741">
        <f>IF(TRIM(Table1[[#This Row],[PitStopLaps]])="",0,
LEN(Table1[[#This Row],[PitStopLaps]])-LEN(SUBSTITUTE(Table1[[#This Row],[PitStopLaps]],",",""))+1)</f>
        <v>1</v>
      </c>
      <c r="U741">
        <f>Table1[[#This Row],[StartPosition]]-Table1[[#This Row],[FinishPosition]]</f>
        <v>-5</v>
      </c>
    </row>
    <row r="742" spans="1:21" x14ac:dyDescent="0.3">
      <c r="A742">
        <v>2019</v>
      </c>
      <c r="B742">
        <v>18</v>
      </c>
      <c r="C742" t="s">
        <v>221</v>
      </c>
      <c r="D742" t="s">
        <v>26</v>
      </c>
      <c r="E742" t="s">
        <v>27</v>
      </c>
      <c r="F742" t="s">
        <v>28</v>
      </c>
      <c r="G742">
        <v>3</v>
      </c>
      <c r="H742">
        <v>1</v>
      </c>
      <c r="I742">
        <v>25</v>
      </c>
      <c r="J742" t="s">
        <v>23</v>
      </c>
      <c r="K742" t="s">
        <v>24</v>
      </c>
      <c r="L742">
        <v>71</v>
      </c>
      <c r="M742">
        <v>79.460999999999999</v>
      </c>
      <c r="N742">
        <v>80.820302999999996</v>
      </c>
      <c r="O742">
        <v>28.245000000000001</v>
      </c>
      <c r="P742">
        <v>30.494</v>
      </c>
      <c r="Q742">
        <v>20.442</v>
      </c>
      <c r="R742">
        <v>23</v>
      </c>
      <c r="S742" t="s">
        <v>83</v>
      </c>
      <c r="T742">
        <f>IF(TRIM(Table1[[#This Row],[PitStopLaps]])="",0,
LEN(Table1[[#This Row],[PitStopLaps]])-LEN(SUBSTITUTE(Table1[[#This Row],[PitStopLaps]],",",""))+1)</f>
        <v>1</v>
      </c>
      <c r="U742">
        <f>Table1[[#This Row],[StartPosition]]-Table1[[#This Row],[FinishPosition]]</f>
        <v>2</v>
      </c>
    </row>
    <row r="743" spans="1:21" x14ac:dyDescent="0.3">
      <c r="A743">
        <v>2019</v>
      </c>
      <c r="B743">
        <v>18</v>
      </c>
      <c r="C743" t="s">
        <v>221</v>
      </c>
      <c r="D743" t="s">
        <v>20</v>
      </c>
      <c r="E743" t="s">
        <v>21</v>
      </c>
      <c r="F743" t="s">
        <v>22</v>
      </c>
      <c r="G743">
        <v>2</v>
      </c>
      <c r="H743">
        <v>2</v>
      </c>
      <c r="I743">
        <v>18</v>
      </c>
      <c r="J743" t="s">
        <v>23</v>
      </c>
      <c r="K743" t="s">
        <v>24</v>
      </c>
      <c r="L743">
        <v>71</v>
      </c>
      <c r="M743">
        <v>79.381</v>
      </c>
      <c r="N743">
        <v>80.896938000000006</v>
      </c>
      <c r="O743">
        <v>28.056000000000001</v>
      </c>
      <c r="P743">
        <v>30.664999999999999</v>
      </c>
      <c r="Q743">
        <v>20.553000000000001</v>
      </c>
      <c r="R743">
        <v>37</v>
      </c>
      <c r="S743" t="s">
        <v>83</v>
      </c>
      <c r="T743">
        <f>IF(TRIM(Table1[[#This Row],[PitStopLaps]])="",0,
LEN(Table1[[#This Row],[PitStopLaps]])-LEN(SUBSTITUTE(Table1[[#This Row],[PitStopLaps]],",",""))+1)</f>
        <v>1</v>
      </c>
      <c r="U743">
        <f>Table1[[#This Row],[StartPosition]]-Table1[[#This Row],[FinishPosition]]</f>
        <v>0</v>
      </c>
    </row>
    <row r="744" spans="1:21" x14ac:dyDescent="0.3">
      <c r="A744">
        <v>2019</v>
      </c>
      <c r="B744">
        <v>18</v>
      </c>
      <c r="C744" t="s">
        <v>221</v>
      </c>
      <c r="D744" t="s">
        <v>43</v>
      </c>
      <c r="E744" t="s">
        <v>44</v>
      </c>
      <c r="F744" t="s">
        <v>28</v>
      </c>
      <c r="G744">
        <v>6</v>
      </c>
      <c r="H744">
        <v>3</v>
      </c>
      <c r="I744">
        <v>15</v>
      </c>
      <c r="J744" t="s">
        <v>23</v>
      </c>
      <c r="K744" t="s">
        <v>24</v>
      </c>
      <c r="L744">
        <v>71</v>
      </c>
      <c r="M744">
        <v>79.494</v>
      </c>
      <c r="N744">
        <v>80.802272000000002</v>
      </c>
      <c r="O744">
        <v>28.084</v>
      </c>
      <c r="P744">
        <v>30.565000000000001</v>
      </c>
      <c r="Q744">
        <v>20.620999999999999</v>
      </c>
      <c r="R744">
        <v>36</v>
      </c>
      <c r="S744" t="s">
        <v>83</v>
      </c>
      <c r="T744">
        <f>IF(TRIM(Table1[[#This Row],[PitStopLaps]])="",0,
LEN(Table1[[#This Row],[PitStopLaps]])-LEN(SUBSTITUTE(Table1[[#This Row],[PitStopLaps]],",",""))+1)</f>
        <v>1</v>
      </c>
      <c r="U744">
        <f>Table1[[#This Row],[StartPosition]]-Table1[[#This Row],[FinishPosition]]</f>
        <v>3</v>
      </c>
    </row>
    <row r="745" spans="1:21" x14ac:dyDescent="0.3">
      <c r="A745">
        <v>2019</v>
      </c>
      <c r="B745">
        <v>18</v>
      </c>
      <c r="C745" t="s">
        <v>221</v>
      </c>
      <c r="D745" t="s">
        <v>54</v>
      </c>
      <c r="E745" t="s">
        <v>55</v>
      </c>
      <c r="F745" t="s">
        <v>22</v>
      </c>
      <c r="G745">
        <v>1</v>
      </c>
      <c r="H745">
        <v>4</v>
      </c>
      <c r="I745">
        <v>13</v>
      </c>
      <c r="J745" t="s">
        <v>34</v>
      </c>
      <c r="K745" t="s">
        <v>24</v>
      </c>
      <c r="L745">
        <v>71</v>
      </c>
      <c r="M745">
        <v>79.231999999999999</v>
      </c>
      <c r="N745">
        <v>80.602452999999997</v>
      </c>
      <c r="O745">
        <v>28.053000000000001</v>
      </c>
      <c r="P745">
        <v>30.605</v>
      </c>
      <c r="Q745">
        <v>20.420999999999999</v>
      </c>
      <c r="R745" t="s">
        <v>396</v>
      </c>
      <c r="S745" t="s">
        <v>83</v>
      </c>
      <c r="T745">
        <f>IF(TRIM(Table1[[#This Row],[PitStopLaps]])="",0,
LEN(Table1[[#This Row],[PitStopLaps]])-LEN(SUBSTITUTE(Table1[[#This Row],[PitStopLaps]],",",""))+1)</f>
        <v>2</v>
      </c>
      <c r="U745">
        <f>Table1[[#This Row],[StartPosition]]-Table1[[#This Row],[FinishPosition]]</f>
        <v>-3</v>
      </c>
    </row>
    <row r="746" spans="1:21" x14ac:dyDescent="0.3">
      <c r="A746">
        <v>2019</v>
      </c>
      <c r="B746">
        <v>18</v>
      </c>
      <c r="C746" t="s">
        <v>221</v>
      </c>
      <c r="D746" t="s">
        <v>248</v>
      </c>
      <c r="E746" t="s">
        <v>249</v>
      </c>
      <c r="F746" t="s">
        <v>33</v>
      </c>
      <c r="G746">
        <v>5</v>
      </c>
      <c r="H746">
        <v>5</v>
      </c>
      <c r="I746">
        <v>10</v>
      </c>
      <c r="J746" t="s">
        <v>34</v>
      </c>
      <c r="K746" t="s">
        <v>24</v>
      </c>
      <c r="L746">
        <v>71</v>
      </c>
      <c r="M746">
        <v>79.325000000000003</v>
      </c>
      <c r="N746">
        <v>80.770953000000006</v>
      </c>
      <c r="O746">
        <v>27.907</v>
      </c>
      <c r="P746">
        <v>30.608000000000001</v>
      </c>
      <c r="Q746">
        <v>20.338999999999999</v>
      </c>
      <c r="R746" t="s">
        <v>397</v>
      </c>
      <c r="S746" t="s">
        <v>83</v>
      </c>
      <c r="T746">
        <f>IF(TRIM(Table1[[#This Row],[PitStopLaps]])="",0,
LEN(Table1[[#This Row],[PitStopLaps]])-LEN(SUBSTITUTE(Table1[[#This Row],[PitStopLaps]],",",""))+1)</f>
        <v>2</v>
      </c>
      <c r="U746">
        <f>Table1[[#This Row],[StartPosition]]-Table1[[#This Row],[FinishPosition]]</f>
        <v>0</v>
      </c>
    </row>
    <row r="747" spans="1:21" x14ac:dyDescent="0.3">
      <c r="A747">
        <v>2019</v>
      </c>
      <c r="B747">
        <v>18</v>
      </c>
      <c r="C747" t="s">
        <v>221</v>
      </c>
      <c r="D747" t="s">
        <v>38</v>
      </c>
      <c r="E747" t="s">
        <v>39</v>
      </c>
      <c r="F747" t="s">
        <v>33</v>
      </c>
      <c r="G747">
        <v>4</v>
      </c>
      <c r="H747">
        <v>6</v>
      </c>
      <c r="I747">
        <v>8</v>
      </c>
      <c r="J747" t="s">
        <v>34</v>
      </c>
      <c r="K747" t="s">
        <v>24</v>
      </c>
      <c r="L747">
        <v>71</v>
      </c>
      <c r="M747">
        <v>80.406000000000006</v>
      </c>
      <c r="N747">
        <v>81.36806</v>
      </c>
      <c r="O747">
        <v>28.047000000000001</v>
      </c>
      <c r="P747">
        <v>30.963000000000001</v>
      </c>
      <c r="Q747">
        <v>20.632000000000001</v>
      </c>
      <c r="R747">
        <v>5</v>
      </c>
      <c r="S747" t="s">
        <v>83</v>
      </c>
      <c r="T747">
        <f>IF(TRIM(Table1[[#This Row],[PitStopLaps]])="",0,
LEN(Table1[[#This Row],[PitStopLaps]])-LEN(SUBSTITUTE(Table1[[#This Row],[PitStopLaps]],",",""))+1)</f>
        <v>1</v>
      </c>
      <c r="U747">
        <f>Table1[[#This Row],[StartPosition]]-Table1[[#This Row],[FinishPosition]]</f>
        <v>-2</v>
      </c>
    </row>
    <row r="748" spans="1:21" x14ac:dyDescent="0.3">
      <c r="A748">
        <v>2019</v>
      </c>
      <c r="B748">
        <v>18</v>
      </c>
      <c r="C748" t="s">
        <v>221</v>
      </c>
      <c r="D748" t="s">
        <v>49</v>
      </c>
      <c r="E748" t="s">
        <v>50</v>
      </c>
      <c r="F748" t="s">
        <v>192</v>
      </c>
      <c r="G748">
        <v>11</v>
      </c>
      <c r="H748">
        <v>7</v>
      </c>
      <c r="I748">
        <v>6</v>
      </c>
      <c r="J748" t="s">
        <v>34</v>
      </c>
      <c r="K748" t="s">
        <v>24</v>
      </c>
      <c r="L748">
        <v>71</v>
      </c>
      <c r="M748">
        <v>80.484999999999999</v>
      </c>
      <c r="N748">
        <v>81.805059999999997</v>
      </c>
      <c r="O748">
        <v>28.148</v>
      </c>
      <c r="P748">
        <v>31.114999999999998</v>
      </c>
      <c r="Q748">
        <v>20.652999999999999</v>
      </c>
      <c r="R748">
        <v>20</v>
      </c>
      <c r="S748" t="s">
        <v>83</v>
      </c>
      <c r="T748">
        <f>IF(TRIM(Table1[[#This Row],[PitStopLaps]])="",0,
LEN(Table1[[#This Row],[PitStopLaps]])-LEN(SUBSTITUTE(Table1[[#This Row],[PitStopLaps]],",",""))+1)</f>
        <v>1</v>
      </c>
      <c r="U748">
        <f>Table1[[#This Row],[StartPosition]]-Table1[[#This Row],[FinishPosition]]</f>
        <v>4</v>
      </c>
    </row>
    <row r="749" spans="1:21" x14ac:dyDescent="0.3">
      <c r="A749">
        <v>2019</v>
      </c>
      <c r="B749">
        <v>18</v>
      </c>
      <c r="C749" t="s">
        <v>221</v>
      </c>
      <c r="D749" t="s">
        <v>31</v>
      </c>
      <c r="E749" t="s">
        <v>32</v>
      </c>
      <c r="F749" t="s">
        <v>42</v>
      </c>
      <c r="G749">
        <v>13</v>
      </c>
      <c r="H749">
        <v>8</v>
      </c>
      <c r="I749">
        <v>4</v>
      </c>
      <c r="J749" t="s">
        <v>34</v>
      </c>
      <c r="K749" t="s">
        <v>24</v>
      </c>
      <c r="L749">
        <v>71</v>
      </c>
      <c r="M749">
        <v>80.146000000000001</v>
      </c>
      <c r="N749">
        <v>81.827529999999996</v>
      </c>
      <c r="O749">
        <v>28.134</v>
      </c>
      <c r="P749">
        <v>30.968</v>
      </c>
      <c r="Q749">
        <v>20.687000000000001</v>
      </c>
      <c r="R749">
        <v>50</v>
      </c>
      <c r="S749" t="s">
        <v>83</v>
      </c>
      <c r="T749">
        <f>IF(TRIM(Table1[[#This Row],[PitStopLaps]])="",0,
LEN(Table1[[#This Row],[PitStopLaps]])-LEN(SUBSTITUTE(Table1[[#This Row],[PitStopLaps]],",",""))+1)</f>
        <v>1</v>
      </c>
      <c r="U749">
        <f>Table1[[#This Row],[StartPosition]]-Table1[[#This Row],[FinishPosition]]</f>
        <v>5</v>
      </c>
    </row>
    <row r="750" spans="1:21" x14ac:dyDescent="0.3">
      <c r="A750">
        <v>2019</v>
      </c>
      <c r="B750">
        <v>18</v>
      </c>
      <c r="C750" t="s">
        <v>221</v>
      </c>
      <c r="D750" t="s">
        <v>73</v>
      </c>
      <c r="E750" t="s">
        <v>74</v>
      </c>
      <c r="F750" t="s">
        <v>64</v>
      </c>
      <c r="G750">
        <v>10</v>
      </c>
      <c r="H750">
        <v>9</v>
      </c>
      <c r="I750">
        <v>2</v>
      </c>
      <c r="J750" t="s">
        <v>34</v>
      </c>
      <c r="K750" t="s">
        <v>65</v>
      </c>
      <c r="L750">
        <v>70</v>
      </c>
      <c r="M750">
        <v>79.53</v>
      </c>
      <c r="N750">
        <v>81.967031000000006</v>
      </c>
      <c r="O750">
        <v>27.917000000000002</v>
      </c>
      <c r="P750">
        <v>30.773</v>
      </c>
      <c r="Q750">
        <v>20.491</v>
      </c>
      <c r="R750" t="s">
        <v>398</v>
      </c>
      <c r="S750" t="s">
        <v>83</v>
      </c>
      <c r="T750">
        <f>IF(TRIM(Table1[[#This Row],[PitStopLaps]])="",0,
LEN(Table1[[#This Row],[PitStopLaps]])-LEN(SUBSTITUTE(Table1[[#This Row],[PitStopLaps]],",",""))+1)</f>
        <v>2</v>
      </c>
      <c r="U750">
        <f>Table1[[#This Row],[StartPosition]]-Table1[[#This Row],[FinishPosition]]</f>
        <v>1</v>
      </c>
    </row>
    <row r="751" spans="1:21" x14ac:dyDescent="0.3">
      <c r="A751">
        <v>2019</v>
      </c>
      <c r="B751">
        <v>18</v>
      </c>
      <c r="C751" t="s">
        <v>221</v>
      </c>
      <c r="D751" t="s">
        <v>40</v>
      </c>
      <c r="E751" t="s">
        <v>41</v>
      </c>
      <c r="F751" t="s">
        <v>42</v>
      </c>
      <c r="G751">
        <v>12</v>
      </c>
      <c r="H751">
        <v>10</v>
      </c>
      <c r="I751">
        <v>1</v>
      </c>
      <c r="J751" t="s">
        <v>34</v>
      </c>
      <c r="K751" t="s">
        <v>65</v>
      </c>
      <c r="L751">
        <v>70</v>
      </c>
      <c r="M751">
        <v>80.790999999999997</v>
      </c>
      <c r="N751">
        <v>82.322338000000002</v>
      </c>
      <c r="O751">
        <v>28.652999999999999</v>
      </c>
      <c r="P751">
        <v>31.312000000000001</v>
      </c>
      <c r="Q751">
        <v>20.635999999999999</v>
      </c>
      <c r="R751">
        <v>18</v>
      </c>
      <c r="S751" t="s">
        <v>83</v>
      </c>
      <c r="T751">
        <f>IF(TRIM(Table1[[#This Row],[PitStopLaps]])="",0,
LEN(Table1[[#This Row],[PitStopLaps]])-LEN(SUBSTITUTE(Table1[[#This Row],[PitStopLaps]],",",""))+1)</f>
        <v>1</v>
      </c>
      <c r="U751">
        <f>Table1[[#This Row],[StartPosition]]-Table1[[#This Row],[FinishPosition]]</f>
        <v>2</v>
      </c>
    </row>
    <row r="752" spans="1:21" x14ac:dyDescent="0.3">
      <c r="A752">
        <v>2019</v>
      </c>
      <c r="B752">
        <v>18</v>
      </c>
      <c r="C752" t="s">
        <v>221</v>
      </c>
      <c r="D752" t="s">
        <v>244</v>
      </c>
      <c r="E752" t="s">
        <v>245</v>
      </c>
      <c r="F752" t="s">
        <v>64</v>
      </c>
      <c r="G752">
        <v>9</v>
      </c>
      <c r="H752">
        <v>11</v>
      </c>
      <c r="I752">
        <v>0</v>
      </c>
      <c r="J752" t="s">
        <v>34</v>
      </c>
      <c r="K752" t="s">
        <v>65</v>
      </c>
      <c r="L752">
        <v>70</v>
      </c>
      <c r="M752">
        <v>79.905000000000001</v>
      </c>
      <c r="N752">
        <v>81.904317000000006</v>
      </c>
      <c r="O752">
        <v>28.218</v>
      </c>
      <c r="P752">
        <v>30.844000000000001</v>
      </c>
      <c r="Q752">
        <v>20.626999999999999</v>
      </c>
      <c r="R752" t="s">
        <v>399</v>
      </c>
      <c r="S752" t="s">
        <v>83</v>
      </c>
      <c r="T752">
        <f>IF(TRIM(Table1[[#This Row],[PitStopLaps]])="",0,
LEN(Table1[[#This Row],[PitStopLaps]])-LEN(SUBSTITUTE(Table1[[#This Row],[PitStopLaps]],",",""))+1)</f>
        <v>2</v>
      </c>
      <c r="U752">
        <f>Table1[[#This Row],[StartPosition]]-Table1[[#This Row],[FinishPosition]]</f>
        <v>-2</v>
      </c>
    </row>
    <row r="753" spans="1:21" x14ac:dyDescent="0.3">
      <c r="A753">
        <v>2019</v>
      </c>
      <c r="B753">
        <v>18</v>
      </c>
      <c r="C753" t="s">
        <v>221</v>
      </c>
      <c r="D753" t="s">
        <v>58</v>
      </c>
      <c r="E753" t="s">
        <v>59</v>
      </c>
      <c r="F753" t="s">
        <v>192</v>
      </c>
      <c r="G753">
        <v>16</v>
      </c>
      <c r="H753">
        <v>12</v>
      </c>
      <c r="I753">
        <v>0</v>
      </c>
      <c r="J753" t="s">
        <v>34</v>
      </c>
      <c r="K753" t="s">
        <v>65</v>
      </c>
      <c r="L753">
        <v>70</v>
      </c>
      <c r="M753">
        <v>80.921999999999997</v>
      </c>
      <c r="N753">
        <v>82.399600000000007</v>
      </c>
      <c r="O753">
        <v>28.489000000000001</v>
      </c>
      <c r="P753">
        <v>31.46</v>
      </c>
      <c r="Q753">
        <v>20.8</v>
      </c>
      <c r="R753">
        <v>37</v>
      </c>
      <c r="S753" t="s">
        <v>83</v>
      </c>
      <c r="T753">
        <f>IF(TRIM(Table1[[#This Row],[PitStopLaps]])="",0,
LEN(Table1[[#This Row],[PitStopLaps]])-LEN(SUBSTITUTE(Table1[[#This Row],[PitStopLaps]],",",""))+1)</f>
        <v>1</v>
      </c>
      <c r="U753">
        <f>Table1[[#This Row],[StartPosition]]-Table1[[#This Row],[FinishPosition]]</f>
        <v>4</v>
      </c>
    </row>
    <row r="754" spans="1:21" x14ac:dyDescent="0.3">
      <c r="A754">
        <v>2019</v>
      </c>
      <c r="B754">
        <v>18</v>
      </c>
      <c r="C754" t="s">
        <v>221</v>
      </c>
      <c r="D754" t="s">
        <v>47</v>
      </c>
      <c r="E754" t="s">
        <v>48</v>
      </c>
      <c r="F754" t="s">
        <v>37</v>
      </c>
      <c r="G754">
        <v>7</v>
      </c>
      <c r="H754">
        <v>13</v>
      </c>
      <c r="I754">
        <v>0</v>
      </c>
      <c r="J754" t="s">
        <v>34</v>
      </c>
      <c r="K754" t="s">
        <v>65</v>
      </c>
      <c r="L754">
        <v>70</v>
      </c>
      <c r="M754">
        <v>80.311000000000007</v>
      </c>
      <c r="N754">
        <v>82.069014999999993</v>
      </c>
      <c r="O754">
        <v>28.469000000000001</v>
      </c>
      <c r="P754">
        <v>30.853000000000002</v>
      </c>
      <c r="Q754">
        <v>20.667999999999999</v>
      </c>
      <c r="R754" t="s">
        <v>89</v>
      </c>
      <c r="S754" t="s">
        <v>83</v>
      </c>
      <c r="T754">
        <f>IF(TRIM(Table1[[#This Row],[PitStopLaps]])="",0,
LEN(Table1[[#This Row],[PitStopLaps]])-LEN(SUBSTITUTE(Table1[[#This Row],[PitStopLaps]],",",""))+1)</f>
        <v>2</v>
      </c>
      <c r="U754">
        <f>Table1[[#This Row],[StartPosition]]-Table1[[#This Row],[FinishPosition]]</f>
        <v>-6</v>
      </c>
    </row>
    <row r="755" spans="1:21" x14ac:dyDescent="0.3">
      <c r="A755">
        <v>2019</v>
      </c>
      <c r="B755">
        <v>18</v>
      </c>
      <c r="C755" t="s">
        <v>221</v>
      </c>
      <c r="D755" t="s">
        <v>250</v>
      </c>
      <c r="E755" t="s">
        <v>251</v>
      </c>
      <c r="F755" t="s">
        <v>243</v>
      </c>
      <c r="G755">
        <v>15</v>
      </c>
      <c r="H755">
        <v>14</v>
      </c>
      <c r="I755">
        <v>0</v>
      </c>
      <c r="J755" t="s">
        <v>34</v>
      </c>
      <c r="K755" t="s">
        <v>65</v>
      </c>
      <c r="L755">
        <v>70</v>
      </c>
      <c r="M755">
        <v>81.013999999999996</v>
      </c>
      <c r="N755">
        <v>82.388937999999996</v>
      </c>
      <c r="O755">
        <v>28.603000000000002</v>
      </c>
      <c r="P755">
        <v>31.399000000000001</v>
      </c>
      <c r="Q755">
        <v>20.771999999999998</v>
      </c>
      <c r="R755">
        <v>21</v>
      </c>
      <c r="S755" t="s">
        <v>83</v>
      </c>
      <c r="T755">
        <f>IF(TRIM(Table1[[#This Row],[PitStopLaps]])="",0,
LEN(Table1[[#This Row],[PitStopLaps]])-LEN(SUBSTITUTE(Table1[[#This Row],[PitStopLaps]],",",""))+1)</f>
        <v>1</v>
      </c>
      <c r="U755">
        <f>Table1[[#This Row],[StartPosition]]-Table1[[#This Row],[FinishPosition]]</f>
        <v>1</v>
      </c>
    </row>
    <row r="756" spans="1:21" x14ac:dyDescent="0.3">
      <c r="A756">
        <v>2019</v>
      </c>
      <c r="B756">
        <v>18</v>
      </c>
      <c r="C756" t="s">
        <v>221</v>
      </c>
      <c r="D756" t="s">
        <v>71</v>
      </c>
      <c r="E756" t="s">
        <v>72</v>
      </c>
      <c r="F756" t="s">
        <v>69</v>
      </c>
      <c r="G756">
        <v>17</v>
      </c>
      <c r="H756">
        <v>15</v>
      </c>
      <c r="I756">
        <v>0</v>
      </c>
      <c r="J756" t="s">
        <v>34</v>
      </c>
      <c r="K756" t="s">
        <v>127</v>
      </c>
      <c r="L756">
        <v>69</v>
      </c>
      <c r="M756">
        <v>81.682000000000002</v>
      </c>
      <c r="N756">
        <v>83.120092999999997</v>
      </c>
      <c r="O756">
        <v>28.786999999999999</v>
      </c>
      <c r="P756">
        <v>31.669</v>
      </c>
      <c r="Q756">
        <v>21.045000000000002</v>
      </c>
      <c r="R756">
        <v>28</v>
      </c>
      <c r="S756" t="s">
        <v>83</v>
      </c>
      <c r="T756">
        <f>IF(TRIM(Table1[[#This Row],[PitStopLaps]])="",0,
LEN(Table1[[#This Row],[PitStopLaps]])-LEN(SUBSTITUTE(Table1[[#This Row],[PitStopLaps]],",",""))+1)</f>
        <v>1</v>
      </c>
      <c r="U756">
        <f>Table1[[#This Row],[StartPosition]]-Table1[[#This Row],[FinishPosition]]</f>
        <v>2</v>
      </c>
    </row>
    <row r="757" spans="1:21" x14ac:dyDescent="0.3">
      <c r="A757">
        <v>2019</v>
      </c>
      <c r="B757">
        <v>18</v>
      </c>
      <c r="C757" t="s">
        <v>221</v>
      </c>
      <c r="D757" t="s">
        <v>252</v>
      </c>
      <c r="E757" t="s">
        <v>253</v>
      </c>
      <c r="F757" t="s">
        <v>60</v>
      </c>
      <c r="G757">
        <v>19</v>
      </c>
      <c r="H757">
        <v>16</v>
      </c>
      <c r="I757">
        <v>0</v>
      </c>
      <c r="J757" t="s">
        <v>34</v>
      </c>
      <c r="K757" t="s">
        <v>127</v>
      </c>
      <c r="L757">
        <v>69</v>
      </c>
      <c r="M757">
        <v>81.286000000000001</v>
      </c>
      <c r="N757">
        <v>83.732234000000005</v>
      </c>
      <c r="O757">
        <v>28.463999999999999</v>
      </c>
      <c r="P757">
        <v>31.536000000000001</v>
      </c>
      <c r="Q757">
        <v>20.951000000000001</v>
      </c>
      <c r="R757">
        <v>22</v>
      </c>
      <c r="S757" t="s">
        <v>83</v>
      </c>
      <c r="T757">
        <f>IF(TRIM(Table1[[#This Row],[PitStopLaps]])="",0,
LEN(Table1[[#This Row],[PitStopLaps]])-LEN(SUBSTITUTE(Table1[[#This Row],[PitStopLaps]],",",""))+1)</f>
        <v>1</v>
      </c>
      <c r="U757">
        <f>Table1[[#This Row],[StartPosition]]-Table1[[#This Row],[FinishPosition]]</f>
        <v>3</v>
      </c>
    </row>
    <row r="758" spans="1:21" x14ac:dyDescent="0.3">
      <c r="A758">
        <v>2019</v>
      </c>
      <c r="B758">
        <v>18</v>
      </c>
      <c r="C758" t="s">
        <v>221</v>
      </c>
      <c r="D758" t="s">
        <v>67</v>
      </c>
      <c r="E758" t="s">
        <v>68</v>
      </c>
      <c r="F758" t="s">
        <v>69</v>
      </c>
      <c r="G758">
        <v>18</v>
      </c>
      <c r="H758">
        <v>17</v>
      </c>
      <c r="I758">
        <v>0</v>
      </c>
      <c r="J758" t="s">
        <v>34</v>
      </c>
      <c r="K758" t="s">
        <v>127</v>
      </c>
      <c r="L758">
        <v>69</v>
      </c>
      <c r="M758">
        <v>81.581000000000003</v>
      </c>
      <c r="N758">
        <v>83.802374999999998</v>
      </c>
      <c r="O758">
        <v>28.626000000000001</v>
      </c>
      <c r="P758">
        <v>31.614999999999998</v>
      </c>
      <c r="Q758">
        <v>20.895</v>
      </c>
      <c r="R758">
        <v>37</v>
      </c>
      <c r="S758" t="s">
        <v>83</v>
      </c>
      <c r="T758">
        <f>IF(TRIM(Table1[[#This Row],[PitStopLaps]])="",0,
LEN(Table1[[#This Row],[PitStopLaps]])-LEN(SUBSTITUTE(Table1[[#This Row],[PitStopLaps]],",",""))+1)</f>
        <v>1</v>
      </c>
      <c r="U758">
        <f>Table1[[#This Row],[StartPosition]]-Table1[[#This Row],[FinishPosition]]</f>
        <v>1</v>
      </c>
    </row>
    <row r="759" spans="1:21" x14ac:dyDescent="0.3">
      <c r="A759">
        <v>2019</v>
      </c>
      <c r="B759">
        <v>18</v>
      </c>
      <c r="C759" t="s">
        <v>221</v>
      </c>
      <c r="D759" t="s">
        <v>255</v>
      </c>
      <c r="E759" t="s">
        <v>256</v>
      </c>
      <c r="F759" t="s">
        <v>60</v>
      </c>
      <c r="G759">
        <v>20</v>
      </c>
      <c r="H759">
        <v>18</v>
      </c>
      <c r="I759">
        <v>0</v>
      </c>
      <c r="J759" t="s">
        <v>34</v>
      </c>
      <c r="K759" t="s">
        <v>127</v>
      </c>
      <c r="L759">
        <v>69</v>
      </c>
      <c r="M759">
        <v>80.695999999999998</v>
      </c>
      <c r="N759">
        <v>83.658000000000001</v>
      </c>
      <c r="O759">
        <v>28.68</v>
      </c>
      <c r="P759">
        <v>31.245999999999999</v>
      </c>
      <c r="Q759">
        <v>20.762</v>
      </c>
      <c r="R759" t="s">
        <v>400</v>
      </c>
      <c r="S759" t="s">
        <v>83</v>
      </c>
      <c r="T759">
        <f>IF(TRIM(Table1[[#This Row],[PitStopLaps]])="",0,
LEN(Table1[[#This Row],[PitStopLaps]])-LEN(SUBSTITUTE(Table1[[#This Row],[PitStopLaps]],",",""))+1)</f>
        <v>2</v>
      </c>
      <c r="U759">
        <f>Table1[[#This Row],[StartPosition]]-Table1[[#This Row],[FinishPosition]]</f>
        <v>2</v>
      </c>
    </row>
    <row r="760" spans="1:21" x14ac:dyDescent="0.3">
      <c r="A760">
        <v>2019</v>
      </c>
      <c r="B760">
        <v>18</v>
      </c>
      <c r="C760" t="s">
        <v>221</v>
      </c>
      <c r="D760" t="s">
        <v>29</v>
      </c>
      <c r="E760" t="s">
        <v>30</v>
      </c>
      <c r="F760" t="s">
        <v>243</v>
      </c>
      <c r="G760">
        <v>14</v>
      </c>
      <c r="H760">
        <v>19</v>
      </c>
      <c r="I760">
        <v>0</v>
      </c>
      <c r="J760" t="s">
        <v>34</v>
      </c>
      <c r="K760" t="s">
        <v>238</v>
      </c>
      <c r="L760">
        <v>58</v>
      </c>
      <c r="M760">
        <v>80.081999999999994</v>
      </c>
      <c r="N760">
        <v>82.679519999999997</v>
      </c>
      <c r="O760">
        <v>28.161999999999999</v>
      </c>
      <c r="P760">
        <v>30.98</v>
      </c>
      <c r="Q760">
        <v>20.597999999999999</v>
      </c>
      <c r="R760" t="s">
        <v>401</v>
      </c>
      <c r="S760" t="s">
        <v>83</v>
      </c>
      <c r="T760">
        <f>IF(TRIM(Table1[[#This Row],[PitStopLaps]])="",0,
LEN(Table1[[#This Row],[PitStopLaps]])-LEN(SUBSTITUTE(Table1[[#This Row],[PitStopLaps]],",",""))+1)</f>
        <v>3</v>
      </c>
      <c r="U760">
        <f>Table1[[#This Row],[StartPosition]]-Table1[[#This Row],[FinishPosition]]</f>
        <v>-5</v>
      </c>
    </row>
    <row r="761" spans="1:21" x14ac:dyDescent="0.3">
      <c r="A761">
        <v>2019</v>
      </c>
      <c r="B761">
        <v>18</v>
      </c>
      <c r="C761" t="s">
        <v>221</v>
      </c>
      <c r="D761" t="s">
        <v>246</v>
      </c>
      <c r="E761" t="s">
        <v>247</v>
      </c>
      <c r="F761" t="s">
        <v>37</v>
      </c>
      <c r="G761">
        <v>8</v>
      </c>
      <c r="H761">
        <v>20</v>
      </c>
      <c r="I761">
        <v>0</v>
      </c>
      <c r="J761" t="s">
        <v>34</v>
      </c>
      <c r="K761" t="s">
        <v>402</v>
      </c>
      <c r="L761">
        <v>48</v>
      </c>
      <c r="M761">
        <v>81.643000000000001</v>
      </c>
      <c r="N761">
        <v>83.165214000000006</v>
      </c>
      <c r="O761">
        <v>28.597000000000001</v>
      </c>
      <c r="P761">
        <v>31.542000000000002</v>
      </c>
      <c r="Q761">
        <v>21.055</v>
      </c>
      <c r="R761" t="s">
        <v>403</v>
      </c>
      <c r="S761" t="s">
        <v>83</v>
      </c>
      <c r="T761">
        <f>IF(TRIM(Table1[[#This Row],[PitStopLaps]])="",0,
LEN(Table1[[#This Row],[PitStopLaps]])-LEN(SUBSTITUTE(Table1[[#This Row],[PitStopLaps]],",",""))+1)</f>
        <v>2</v>
      </c>
      <c r="U761">
        <f>Table1[[#This Row],[StartPosition]]-Table1[[#This Row],[FinishPosition]]</f>
        <v>-12</v>
      </c>
    </row>
    <row r="762" spans="1:21" x14ac:dyDescent="0.3">
      <c r="A762">
        <v>2019</v>
      </c>
      <c r="B762">
        <v>19</v>
      </c>
      <c r="C762" t="s">
        <v>214</v>
      </c>
      <c r="D762" t="s">
        <v>43</v>
      </c>
      <c r="E762" t="s">
        <v>44</v>
      </c>
      <c r="F762" t="s">
        <v>28</v>
      </c>
      <c r="G762">
        <v>1</v>
      </c>
      <c r="H762">
        <v>1</v>
      </c>
      <c r="I762">
        <v>25</v>
      </c>
      <c r="J762" t="s">
        <v>23</v>
      </c>
      <c r="K762" t="s">
        <v>24</v>
      </c>
      <c r="L762">
        <v>56</v>
      </c>
      <c r="M762">
        <v>96.956999999999994</v>
      </c>
      <c r="N762">
        <v>99.910921000000002</v>
      </c>
      <c r="O762">
        <v>26.120999999999999</v>
      </c>
      <c r="P762">
        <v>39.109000000000002</v>
      </c>
      <c r="Q762">
        <v>31.727</v>
      </c>
      <c r="R762" t="s">
        <v>404</v>
      </c>
      <c r="S762" t="s">
        <v>83</v>
      </c>
      <c r="T762">
        <f>IF(TRIM(Table1[[#This Row],[PitStopLaps]])="",0,
LEN(Table1[[#This Row],[PitStopLaps]])-LEN(SUBSTITUTE(Table1[[#This Row],[PitStopLaps]],",",""))+1)</f>
        <v>2</v>
      </c>
      <c r="U762">
        <f>Table1[[#This Row],[StartPosition]]-Table1[[#This Row],[FinishPosition]]</f>
        <v>0</v>
      </c>
    </row>
    <row r="763" spans="1:21" x14ac:dyDescent="0.3">
      <c r="A763">
        <v>2019</v>
      </c>
      <c r="B763">
        <v>19</v>
      </c>
      <c r="C763" t="s">
        <v>214</v>
      </c>
      <c r="D763" t="s">
        <v>26</v>
      </c>
      <c r="E763" t="s">
        <v>27</v>
      </c>
      <c r="F763" t="s">
        <v>28</v>
      </c>
      <c r="G763">
        <v>5</v>
      </c>
      <c r="H763">
        <v>2</v>
      </c>
      <c r="I763">
        <v>18</v>
      </c>
      <c r="J763" t="s">
        <v>23</v>
      </c>
      <c r="K763" t="s">
        <v>24</v>
      </c>
      <c r="L763">
        <v>56</v>
      </c>
      <c r="M763">
        <v>98.445999999999998</v>
      </c>
      <c r="N763">
        <v>100.26230099999999</v>
      </c>
      <c r="O763">
        <v>26.582000000000001</v>
      </c>
      <c r="P763">
        <v>39.572000000000003</v>
      </c>
      <c r="Q763">
        <v>32.192</v>
      </c>
      <c r="R763">
        <v>24</v>
      </c>
      <c r="S763" t="s">
        <v>83</v>
      </c>
      <c r="T763">
        <f>IF(TRIM(Table1[[#This Row],[PitStopLaps]])="",0,
LEN(Table1[[#This Row],[PitStopLaps]])-LEN(SUBSTITUTE(Table1[[#This Row],[PitStopLaps]],",",""))+1)</f>
        <v>1</v>
      </c>
      <c r="U763">
        <f>Table1[[#This Row],[StartPosition]]-Table1[[#This Row],[FinishPosition]]</f>
        <v>3</v>
      </c>
    </row>
    <row r="764" spans="1:21" x14ac:dyDescent="0.3">
      <c r="A764">
        <v>2019</v>
      </c>
      <c r="B764">
        <v>19</v>
      </c>
      <c r="C764" t="s">
        <v>214</v>
      </c>
      <c r="D764" t="s">
        <v>38</v>
      </c>
      <c r="E764" t="s">
        <v>39</v>
      </c>
      <c r="F764" t="s">
        <v>33</v>
      </c>
      <c r="G764">
        <v>3</v>
      </c>
      <c r="H764">
        <v>3</v>
      </c>
      <c r="I764">
        <v>15</v>
      </c>
      <c r="J764" t="s">
        <v>23</v>
      </c>
      <c r="K764" t="s">
        <v>24</v>
      </c>
      <c r="L764">
        <v>56</v>
      </c>
      <c r="M764">
        <v>98.213999999999999</v>
      </c>
      <c r="N764">
        <v>99.973078000000001</v>
      </c>
      <c r="O764">
        <v>26.268000000000001</v>
      </c>
      <c r="P764">
        <v>39.512999999999998</v>
      </c>
      <c r="Q764">
        <v>32.146000000000001</v>
      </c>
      <c r="R764" t="s">
        <v>260</v>
      </c>
      <c r="S764" t="s">
        <v>83</v>
      </c>
      <c r="T764">
        <f>IF(TRIM(Table1[[#This Row],[PitStopLaps]])="",0,
LEN(Table1[[#This Row],[PitStopLaps]])-LEN(SUBSTITUTE(Table1[[#This Row],[PitStopLaps]],",",""))+1)</f>
        <v>2</v>
      </c>
      <c r="U764">
        <f>Table1[[#This Row],[StartPosition]]-Table1[[#This Row],[FinishPosition]]</f>
        <v>0</v>
      </c>
    </row>
    <row r="765" spans="1:21" x14ac:dyDescent="0.3">
      <c r="A765">
        <v>2019</v>
      </c>
      <c r="B765">
        <v>19</v>
      </c>
      <c r="C765" t="s">
        <v>214</v>
      </c>
      <c r="D765" t="s">
        <v>54</v>
      </c>
      <c r="E765" t="s">
        <v>55</v>
      </c>
      <c r="F765" t="s">
        <v>22</v>
      </c>
      <c r="G765">
        <v>4</v>
      </c>
      <c r="H765">
        <v>4</v>
      </c>
      <c r="I765">
        <v>13</v>
      </c>
      <c r="J765" t="s">
        <v>34</v>
      </c>
      <c r="K765" t="s">
        <v>24</v>
      </c>
      <c r="L765">
        <v>56</v>
      </c>
      <c r="M765">
        <v>96.168999999999997</v>
      </c>
      <c r="N765">
        <v>100.570764</v>
      </c>
      <c r="O765">
        <v>25.712</v>
      </c>
      <c r="P765">
        <v>38.951000000000001</v>
      </c>
      <c r="Q765">
        <v>31.506</v>
      </c>
      <c r="R765" t="s">
        <v>96</v>
      </c>
      <c r="S765" t="s">
        <v>83</v>
      </c>
      <c r="T765">
        <f>IF(TRIM(Table1[[#This Row],[PitStopLaps]])="",0,
LEN(Table1[[#This Row],[PitStopLaps]])-LEN(SUBSTITUTE(Table1[[#This Row],[PitStopLaps]],",",""))+1)</f>
        <v>2</v>
      </c>
      <c r="U765">
        <f>Table1[[#This Row],[StartPosition]]-Table1[[#This Row],[FinishPosition]]</f>
        <v>0</v>
      </c>
    </row>
    <row r="766" spans="1:21" x14ac:dyDescent="0.3">
      <c r="A766">
        <v>2019</v>
      </c>
      <c r="B766">
        <v>19</v>
      </c>
      <c r="C766" t="s">
        <v>214</v>
      </c>
      <c r="D766" t="s">
        <v>248</v>
      </c>
      <c r="E766" t="s">
        <v>249</v>
      </c>
      <c r="F766" t="s">
        <v>33</v>
      </c>
      <c r="G766">
        <v>6</v>
      </c>
      <c r="H766">
        <v>5</v>
      </c>
      <c r="I766">
        <v>10</v>
      </c>
      <c r="J766" t="s">
        <v>34</v>
      </c>
      <c r="K766" t="s">
        <v>24</v>
      </c>
      <c r="L766">
        <v>56</v>
      </c>
      <c r="M766">
        <v>98.028999999999996</v>
      </c>
      <c r="N766">
        <v>100.61288</v>
      </c>
      <c r="O766">
        <v>26.4</v>
      </c>
      <c r="P766">
        <v>39.466999999999999</v>
      </c>
      <c r="Q766">
        <v>31.957000000000001</v>
      </c>
      <c r="R766" t="s">
        <v>405</v>
      </c>
      <c r="S766" t="s">
        <v>83</v>
      </c>
      <c r="T766">
        <f>IF(TRIM(Table1[[#This Row],[PitStopLaps]])="",0,
LEN(Table1[[#This Row],[PitStopLaps]])-LEN(SUBSTITUTE(Table1[[#This Row],[PitStopLaps]],",",""))+1)</f>
        <v>3</v>
      </c>
      <c r="U766">
        <f>Table1[[#This Row],[StartPosition]]-Table1[[#This Row],[FinishPosition]]</f>
        <v>1</v>
      </c>
    </row>
    <row r="767" spans="1:21" x14ac:dyDescent="0.3">
      <c r="A767">
        <v>2019</v>
      </c>
      <c r="B767">
        <v>19</v>
      </c>
      <c r="C767" t="s">
        <v>214</v>
      </c>
      <c r="D767" t="s">
        <v>31</v>
      </c>
      <c r="E767" t="s">
        <v>32</v>
      </c>
      <c r="F767" t="s">
        <v>42</v>
      </c>
      <c r="G767">
        <v>9</v>
      </c>
      <c r="H767">
        <v>6</v>
      </c>
      <c r="I767">
        <v>8</v>
      </c>
      <c r="J767" t="s">
        <v>34</v>
      </c>
      <c r="K767" t="s">
        <v>24</v>
      </c>
      <c r="L767">
        <v>56</v>
      </c>
      <c r="M767">
        <v>100.56399999999999</v>
      </c>
      <c r="N767">
        <v>101.786603</v>
      </c>
      <c r="O767">
        <v>27.164000000000001</v>
      </c>
      <c r="P767">
        <v>39.991999999999997</v>
      </c>
      <c r="Q767">
        <v>33.036000000000001</v>
      </c>
      <c r="R767">
        <v>21</v>
      </c>
      <c r="S767" t="s">
        <v>83</v>
      </c>
      <c r="T767">
        <f>IF(TRIM(Table1[[#This Row],[PitStopLaps]])="",0,
LEN(Table1[[#This Row],[PitStopLaps]])-LEN(SUBSTITUTE(Table1[[#This Row],[PitStopLaps]],",",""))+1)</f>
        <v>1</v>
      </c>
      <c r="U767">
        <f>Table1[[#This Row],[StartPosition]]-Table1[[#This Row],[FinishPosition]]</f>
        <v>3</v>
      </c>
    </row>
    <row r="768" spans="1:21" x14ac:dyDescent="0.3">
      <c r="A768">
        <v>2019</v>
      </c>
      <c r="B768">
        <v>19</v>
      </c>
      <c r="C768" t="s">
        <v>214</v>
      </c>
      <c r="D768" t="s">
        <v>246</v>
      </c>
      <c r="E768" t="s">
        <v>247</v>
      </c>
      <c r="F768" t="s">
        <v>37</v>
      </c>
      <c r="G768">
        <v>8</v>
      </c>
      <c r="H768">
        <v>7</v>
      </c>
      <c r="I768">
        <v>6</v>
      </c>
      <c r="J768" t="s">
        <v>34</v>
      </c>
      <c r="K768" t="s">
        <v>24</v>
      </c>
      <c r="L768">
        <v>56</v>
      </c>
      <c r="M768">
        <v>98.073999999999998</v>
      </c>
      <c r="N768">
        <v>101.35438000000001</v>
      </c>
      <c r="O768">
        <v>26.535</v>
      </c>
      <c r="P768">
        <v>39.381</v>
      </c>
      <c r="Q768">
        <v>32.051000000000002</v>
      </c>
      <c r="R768" t="s">
        <v>406</v>
      </c>
      <c r="S768" t="s">
        <v>83</v>
      </c>
      <c r="T768">
        <f>IF(TRIM(Table1[[#This Row],[PitStopLaps]])="",0,
LEN(Table1[[#This Row],[PitStopLaps]])-LEN(SUBSTITUTE(Table1[[#This Row],[PitStopLaps]],",",""))+1)</f>
        <v>2</v>
      </c>
      <c r="U768">
        <f>Table1[[#This Row],[StartPosition]]-Table1[[#This Row],[FinishPosition]]</f>
        <v>1</v>
      </c>
    </row>
    <row r="769" spans="1:21" x14ac:dyDescent="0.3">
      <c r="A769">
        <v>2019</v>
      </c>
      <c r="B769">
        <v>19</v>
      </c>
      <c r="C769" t="s">
        <v>214</v>
      </c>
      <c r="D769" t="s">
        <v>47</v>
      </c>
      <c r="E769" t="s">
        <v>48</v>
      </c>
      <c r="F769" t="s">
        <v>37</v>
      </c>
      <c r="G769">
        <v>7</v>
      </c>
      <c r="H769">
        <v>8</v>
      </c>
      <c r="I769">
        <v>4</v>
      </c>
      <c r="J769" t="s">
        <v>34</v>
      </c>
      <c r="K769" t="s">
        <v>65</v>
      </c>
      <c r="L769">
        <v>55</v>
      </c>
      <c r="M769">
        <v>100.84399999999999</v>
      </c>
      <c r="N769">
        <v>102.143461</v>
      </c>
      <c r="O769">
        <v>27.321000000000002</v>
      </c>
      <c r="P769">
        <v>39.914999999999999</v>
      </c>
      <c r="Q769">
        <v>33.177999999999997</v>
      </c>
      <c r="R769">
        <v>18</v>
      </c>
      <c r="S769" t="s">
        <v>83</v>
      </c>
      <c r="T769">
        <f>IF(TRIM(Table1[[#This Row],[PitStopLaps]])="",0,
LEN(Table1[[#This Row],[PitStopLaps]])-LEN(SUBSTITUTE(Table1[[#This Row],[PitStopLaps]],",",""))+1)</f>
        <v>1</v>
      </c>
      <c r="U769">
        <f>Table1[[#This Row],[StartPosition]]-Table1[[#This Row],[FinishPosition]]</f>
        <v>-1</v>
      </c>
    </row>
    <row r="770" spans="1:21" x14ac:dyDescent="0.3">
      <c r="A770">
        <v>2019</v>
      </c>
      <c r="B770">
        <v>19</v>
      </c>
      <c r="C770" t="s">
        <v>214</v>
      </c>
      <c r="D770" t="s">
        <v>40</v>
      </c>
      <c r="E770" t="s">
        <v>41</v>
      </c>
      <c r="F770" t="s">
        <v>42</v>
      </c>
      <c r="G770">
        <v>11</v>
      </c>
      <c r="H770">
        <v>9</v>
      </c>
      <c r="I770">
        <v>2</v>
      </c>
      <c r="J770" t="s">
        <v>34</v>
      </c>
      <c r="K770" t="s">
        <v>65</v>
      </c>
      <c r="L770">
        <v>55</v>
      </c>
      <c r="M770">
        <v>98.436999999999998</v>
      </c>
      <c r="N770">
        <v>101.8378</v>
      </c>
      <c r="O770">
        <v>26.710999999999999</v>
      </c>
      <c r="P770">
        <v>39.414000000000001</v>
      </c>
      <c r="Q770">
        <v>32.283000000000001</v>
      </c>
      <c r="R770" t="s">
        <v>407</v>
      </c>
      <c r="S770" t="s">
        <v>83</v>
      </c>
      <c r="T770">
        <f>IF(TRIM(Table1[[#This Row],[PitStopLaps]])="",0,
LEN(Table1[[#This Row],[PitStopLaps]])-LEN(SUBSTITUTE(Table1[[#This Row],[PitStopLaps]],",",""))+1)</f>
        <v>2</v>
      </c>
      <c r="U770">
        <f>Table1[[#This Row],[StartPosition]]-Table1[[#This Row],[FinishPosition]]</f>
        <v>2</v>
      </c>
    </row>
    <row r="771" spans="1:21" x14ac:dyDescent="0.3">
      <c r="A771">
        <v>2019</v>
      </c>
      <c r="B771">
        <v>19</v>
      </c>
      <c r="C771" t="s">
        <v>214</v>
      </c>
      <c r="D771" t="s">
        <v>49</v>
      </c>
      <c r="E771" t="s">
        <v>50</v>
      </c>
      <c r="F771" t="s">
        <v>192</v>
      </c>
      <c r="G771">
        <v>0</v>
      </c>
      <c r="H771">
        <v>10</v>
      </c>
      <c r="I771">
        <v>1</v>
      </c>
      <c r="J771" t="s">
        <v>34</v>
      </c>
      <c r="K771" t="s">
        <v>65</v>
      </c>
      <c r="L771">
        <v>55</v>
      </c>
      <c r="M771">
        <v>100.16500000000001</v>
      </c>
      <c r="N771">
        <v>102.25473</v>
      </c>
      <c r="O771">
        <v>26.866</v>
      </c>
      <c r="P771">
        <v>39.965000000000003</v>
      </c>
      <c r="Q771">
        <v>32.884999999999998</v>
      </c>
      <c r="R771">
        <v>24</v>
      </c>
      <c r="S771" t="s">
        <v>83</v>
      </c>
      <c r="T771">
        <f>IF(TRIM(Table1[[#This Row],[PitStopLaps]])="",0,
LEN(Table1[[#This Row],[PitStopLaps]])-LEN(SUBSTITUTE(Table1[[#This Row],[PitStopLaps]],",",""))+1)</f>
        <v>1</v>
      </c>
      <c r="U771">
        <f>Table1[[#This Row],[StartPosition]]-Table1[[#This Row],[FinishPosition]]</f>
        <v>-10</v>
      </c>
    </row>
    <row r="772" spans="1:21" x14ac:dyDescent="0.3">
      <c r="A772">
        <v>2019</v>
      </c>
      <c r="B772">
        <v>19</v>
      </c>
      <c r="C772" t="s">
        <v>214</v>
      </c>
      <c r="D772" t="s">
        <v>29</v>
      </c>
      <c r="E772" t="s">
        <v>30</v>
      </c>
      <c r="F772" t="s">
        <v>243</v>
      </c>
      <c r="G772">
        <v>17</v>
      </c>
      <c r="H772">
        <v>11</v>
      </c>
      <c r="I772">
        <v>0</v>
      </c>
      <c r="J772" t="s">
        <v>34</v>
      </c>
      <c r="K772" t="s">
        <v>65</v>
      </c>
      <c r="L772">
        <v>55</v>
      </c>
      <c r="M772">
        <v>99.608000000000004</v>
      </c>
      <c r="N772">
        <v>101.95632000000001</v>
      </c>
      <c r="O772">
        <v>26.704999999999998</v>
      </c>
      <c r="P772">
        <v>40.057000000000002</v>
      </c>
      <c r="Q772">
        <v>32.600999999999999</v>
      </c>
      <c r="R772" t="s">
        <v>408</v>
      </c>
      <c r="S772" t="s">
        <v>83</v>
      </c>
      <c r="T772">
        <f>IF(TRIM(Table1[[#This Row],[PitStopLaps]])="",0,
LEN(Table1[[#This Row],[PitStopLaps]])-LEN(SUBSTITUTE(Table1[[#This Row],[PitStopLaps]],",",""))+1)</f>
        <v>2</v>
      </c>
      <c r="U772">
        <f>Table1[[#This Row],[StartPosition]]-Table1[[#This Row],[FinishPosition]]</f>
        <v>6</v>
      </c>
    </row>
    <row r="773" spans="1:21" x14ac:dyDescent="0.3">
      <c r="A773">
        <v>2019</v>
      </c>
      <c r="B773">
        <v>19</v>
      </c>
      <c r="C773" t="s">
        <v>214</v>
      </c>
      <c r="D773" t="s">
        <v>244</v>
      </c>
      <c r="E773" t="s">
        <v>245</v>
      </c>
      <c r="F773" t="s">
        <v>64</v>
      </c>
      <c r="G773">
        <v>13</v>
      </c>
      <c r="H773">
        <v>12</v>
      </c>
      <c r="I773">
        <v>0</v>
      </c>
      <c r="J773" t="s">
        <v>34</v>
      </c>
      <c r="K773" t="s">
        <v>65</v>
      </c>
      <c r="L773">
        <v>55</v>
      </c>
      <c r="M773">
        <v>98.968999999999994</v>
      </c>
      <c r="N773">
        <v>101.76008</v>
      </c>
      <c r="O773">
        <v>26.63</v>
      </c>
      <c r="P773">
        <v>39.462000000000003</v>
      </c>
      <c r="Q773">
        <v>32.494999999999997</v>
      </c>
      <c r="R773" t="s">
        <v>409</v>
      </c>
      <c r="S773" t="s">
        <v>83</v>
      </c>
      <c r="T773">
        <f>IF(TRIM(Table1[[#This Row],[PitStopLaps]])="",0,
LEN(Table1[[#This Row],[PitStopLaps]])-LEN(SUBSTITUTE(Table1[[#This Row],[PitStopLaps]],",",""))+1)</f>
        <v>2</v>
      </c>
      <c r="U773">
        <f>Table1[[#This Row],[StartPosition]]-Table1[[#This Row],[FinishPosition]]</f>
        <v>1</v>
      </c>
    </row>
    <row r="774" spans="1:21" x14ac:dyDescent="0.3">
      <c r="A774">
        <v>2019</v>
      </c>
      <c r="B774">
        <v>19</v>
      </c>
      <c r="C774" t="s">
        <v>214</v>
      </c>
      <c r="D774" t="s">
        <v>58</v>
      </c>
      <c r="E774" t="s">
        <v>59</v>
      </c>
      <c r="F774" t="s">
        <v>192</v>
      </c>
      <c r="G774">
        <v>14</v>
      </c>
      <c r="H774">
        <v>13</v>
      </c>
      <c r="I774">
        <v>0</v>
      </c>
      <c r="J774" t="s">
        <v>34</v>
      </c>
      <c r="K774" t="s">
        <v>65</v>
      </c>
      <c r="L774">
        <v>55</v>
      </c>
      <c r="M774">
        <v>100.38</v>
      </c>
      <c r="N774">
        <v>102.25156</v>
      </c>
      <c r="O774">
        <v>27.268000000000001</v>
      </c>
      <c r="P774">
        <v>39.948999999999998</v>
      </c>
      <c r="Q774">
        <v>32.954999999999998</v>
      </c>
      <c r="R774" t="s">
        <v>410</v>
      </c>
      <c r="S774" t="s">
        <v>83</v>
      </c>
      <c r="T774">
        <f>IF(TRIM(Table1[[#This Row],[PitStopLaps]])="",0,
LEN(Table1[[#This Row],[PitStopLaps]])-LEN(SUBSTITUTE(Table1[[#This Row],[PitStopLaps]],",",""))+1)</f>
        <v>2</v>
      </c>
      <c r="U774">
        <f>Table1[[#This Row],[StartPosition]]-Table1[[#This Row],[FinishPosition]]</f>
        <v>1</v>
      </c>
    </row>
    <row r="775" spans="1:21" x14ac:dyDescent="0.3">
      <c r="A775">
        <v>2019</v>
      </c>
      <c r="B775">
        <v>19</v>
      </c>
      <c r="C775" t="s">
        <v>214</v>
      </c>
      <c r="D775" t="s">
        <v>250</v>
      </c>
      <c r="E775" t="s">
        <v>251</v>
      </c>
      <c r="F775" t="s">
        <v>243</v>
      </c>
      <c r="G775">
        <v>16</v>
      </c>
      <c r="H775">
        <v>14</v>
      </c>
      <c r="I775">
        <v>0</v>
      </c>
      <c r="J775" t="s">
        <v>34</v>
      </c>
      <c r="K775" t="s">
        <v>65</v>
      </c>
      <c r="L775">
        <v>55</v>
      </c>
      <c r="M775">
        <v>99.963999999999999</v>
      </c>
      <c r="N775">
        <v>102.53485999999999</v>
      </c>
      <c r="O775">
        <v>27.146000000000001</v>
      </c>
      <c r="P775">
        <v>39.895000000000003</v>
      </c>
      <c r="Q775">
        <v>32.914000000000001</v>
      </c>
      <c r="R775" t="s">
        <v>411</v>
      </c>
      <c r="S775" t="s">
        <v>83</v>
      </c>
      <c r="T775">
        <f>IF(TRIM(Table1[[#This Row],[PitStopLaps]])="",0,
LEN(Table1[[#This Row],[PitStopLaps]])-LEN(SUBSTITUTE(Table1[[#This Row],[PitStopLaps]],",",""))+1)</f>
        <v>2</v>
      </c>
      <c r="U775">
        <f>Table1[[#This Row],[StartPosition]]-Table1[[#This Row],[FinishPosition]]</f>
        <v>2</v>
      </c>
    </row>
    <row r="776" spans="1:21" x14ac:dyDescent="0.3">
      <c r="A776">
        <v>2019</v>
      </c>
      <c r="B776">
        <v>19</v>
      </c>
      <c r="C776" t="s">
        <v>214</v>
      </c>
      <c r="D776" t="s">
        <v>67</v>
      </c>
      <c r="E776" t="s">
        <v>68</v>
      </c>
      <c r="F776" t="s">
        <v>69</v>
      </c>
      <c r="G776">
        <v>15</v>
      </c>
      <c r="H776">
        <v>15</v>
      </c>
      <c r="I776">
        <v>0</v>
      </c>
      <c r="J776" t="s">
        <v>34</v>
      </c>
      <c r="K776" t="s">
        <v>65</v>
      </c>
      <c r="L776">
        <v>55</v>
      </c>
      <c r="M776">
        <v>101.27</v>
      </c>
      <c r="N776">
        <v>103.131788</v>
      </c>
      <c r="O776">
        <v>27.100999999999999</v>
      </c>
      <c r="P776">
        <v>40.393000000000001</v>
      </c>
      <c r="Q776">
        <v>33.100999999999999</v>
      </c>
      <c r="R776">
        <v>24</v>
      </c>
      <c r="S776" t="s">
        <v>83</v>
      </c>
      <c r="T776">
        <f>IF(TRIM(Table1[[#This Row],[PitStopLaps]])="",0,
LEN(Table1[[#This Row],[PitStopLaps]])-LEN(SUBSTITUTE(Table1[[#This Row],[PitStopLaps]],",",""))+1)</f>
        <v>1</v>
      </c>
      <c r="U776">
        <f>Table1[[#This Row],[StartPosition]]-Table1[[#This Row],[FinishPosition]]</f>
        <v>0</v>
      </c>
    </row>
    <row r="777" spans="1:21" x14ac:dyDescent="0.3">
      <c r="A777">
        <v>2019</v>
      </c>
      <c r="B777">
        <v>19</v>
      </c>
      <c r="C777" t="s">
        <v>214</v>
      </c>
      <c r="D777" t="s">
        <v>73</v>
      </c>
      <c r="E777" t="s">
        <v>74</v>
      </c>
      <c r="F777" t="s">
        <v>64</v>
      </c>
      <c r="G777">
        <v>10</v>
      </c>
      <c r="H777">
        <v>16</v>
      </c>
      <c r="I777">
        <v>0</v>
      </c>
      <c r="J777" t="s">
        <v>34</v>
      </c>
      <c r="K777" t="s">
        <v>187</v>
      </c>
      <c r="L777">
        <v>54</v>
      </c>
      <c r="M777">
        <v>100.85</v>
      </c>
      <c r="N777">
        <v>102.281081</v>
      </c>
      <c r="O777">
        <v>27.25</v>
      </c>
      <c r="P777">
        <v>40.186</v>
      </c>
      <c r="Q777">
        <v>33.287999999999997</v>
      </c>
      <c r="R777" t="s">
        <v>412</v>
      </c>
      <c r="S777" t="s">
        <v>83</v>
      </c>
      <c r="T777">
        <f>IF(TRIM(Table1[[#This Row],[PitStopLaps]])="",0,
LEN(Table1[[#This Row],[PitStopLaps]])-LEN(SUBSTITUTE(Table1[[#This Row],[PitStopLaps]],",",""))+1)</f>
        <v>3</v>
      </c>
      <c r="U777">
        <f>Table1[[#This Row],[StartPosition]]-Table1[[#This Row],[FinishPosition]]</f>
        <v>-6</v>
      </c>
    </row>
    <row r="778" spans="1:21" x14ac:dyDescent="0.3">
      <c r="A778">
        <v>2019</v>
      </c>
      <c r="B778">
        <v>19</v>
      </c>
      <c r="C778" t="s">
        <v>214</v>
      </c>
      <c r="D778" t="s">
        <v>252</v>
      </c>
      <c r="E778" t="s">
        <v>253</v>
      </c>
      <c r="F778" t="s">
        <v>60</v>
      </c>
      <c r="G778">
        <v>18</v>
      </c>
      <c r="H778">
        <v>17</v>
      </c>
      <c r="I778">
        <v>0</v>
      </c>
      <c r="J778" t="s">
        <v>34</v>
      </c>
      <c r="K778" t="s">
        <v>127</v>
      </c>
      <c r="L778">
        <v>54</v>
      </c>
      <c r="M778">
        <v>101.239</v>
      </c>
      <c r="N778">
        <v>103.785</v>
      </c>
      <c r="O778">
        <v>26.922000000000001</v>
      </c>
      <c r="P778">
        <v>40.674999999999997</v>
      </c>
      <c r="Q778">
        <v>33.185000000000002</v>
      </c>
      <c r="R778" t="s">
        <v>413</v>
      </c>
      <c r="S778" t="s">
        <v>83</v>
      </c>
      <c r="T778">
        <f>IF(TRIM(Table1[[#This Row],[PitStopLaps]])="",0,
LEN(Table1[[#This Row],[PitStopLaps]])-LEN(SUBSTITUTE(Table1[[#This Row],[PitStopLaps]],",",""))+1)</f>
        <v>2</v>
      </c>
      <c r="U778">
        <f>Table1[[#This Row],[StartPosition]]-Table1[[#This Row],[FinishPosition]]</f>
        <v>1</v>
      </c>
    </row>
    <row r="779" spans="1:21" x14ac:dyDescent="0.3">
      <c r="A779">
        <v>2019</v>
      </c>
      <c r="B779">
        <v>19</v>
      </c>
      <c r="C779" t="s">
        <v>214</v>
      </c>
      <c r="D779" t="s">
        <v>71</v>
      </c>
      <c r="E779" t="s">
        <v>72</v>
      </c>
      <c r="F779" t="s">
        <v>69</v>
      </c>
      <c r="G779">
        <v>12</v>
      </c>
      <c r="H779">
        <v>18</v>
      </c>
      <c r="I779">
        <v>0</v>
      </c>
      <c r="J779" t="s">
        <v>34</v>
      </c>
      <c r="K779" t="s">
        <v>81</v>
      </c>
      <c r="L779">
        <v>53</v>
      </c>
      <c r="M779">
        <v>100.34699999999999</v>
      </c>
      <c r="N779">
        <v>102.800212</v>
      </c>
      <c r="O779">
        <v>27.251000000000001</v>
      </c>
      <c r="P779">
        <v>39.973999999999997</v>
      </c>
      <c r="Q779">
        <v>32.99</v>
      </c>
      <c r="R779" t="s">
        <v>408</v>
      </c>
      <c r="S779" t="s">
        <v>83</v>
      </c>
      <c r="T779">
        <f>IF(TRIM(Table1[[#This Row],[PitStopLaps]])="",0,
LEN(Table1[[#This Row],[PitStopLaps]])-LEN(SUBSTITUTE(Table1[[#This Row],[PitStopLaps]],",",""))+1)</f>
        <v>2</v>
      </c>
      <c r="U779">
        <f>Table1[[#This Row],[StartPosition]]-Table1[[#This Row],[FinishPosition]]</f>
        <v>-6</v>
      </c>
    </row>
    <row r="780" spans="1:21" x14ac:dyDescent="0.3">
      <c r="A780">
        <v>2019</v>
      </c>
      <c r="B780">
        <v>19</v>
      </c>
      <c r="C780" t="s">
        <v>214</v>
      </c>
      <c r="D780" t="s">
        <v>255</v>
      </c>
      <c r="E780" t="s">
        <v>256</v>
      </c>
      <c r="F780" t="s">
        <v>60</v>
      </c>
      <c r="G780">
        <v>19</v>
      </c>
      <c r="H780">
        <v>19</v>
      </c>
      <c r="I780">
        <v>0</v>
      </c>
      <c r="J780" t="s">
        <v>34</v>
      </c>
      <c r="K780" t="s">
        <v>134</v>
      </c>
      <c r="L780">
        <v>31</v>
      </c>
      <c r="M780">
        <v>103.83</v>
      </c>
      <c r="N780">
        <v>105.18803699999999</v>
      </c>
      <c r="O780">
        <v>27.917999999999999</v>
      </c>
      <c r="P780">
        <v>41.555</v>
      </c>
      <c r="Q780">
        <v>34.148000000000003</v>
      </c>
      <c r="R780" t="s">
        <v>104</v>
      </c>
      <c r="S780" t="s">
        <v>83</v>
      </c>
      <c r="T780">
        <f>IF(TRIM(Table1[[#This Row],[PitStopLaps]])="",0,
LEN(Table1[[#This Row],[PitStopLaps]])-LEN(SUBSTITUTE(Table1[[#This Row],[PitStopLaps]],",",""))+1)</f>
        <v>2</v>
      </c>
      <c r="U780">
        <f>Table1[[#This Row],[StartPosition]]-Table1[[#This Row],[FinishPosition]]</f>
        <v>0</v>
      </c>
    </row>
    <row r="781" spans="1:21" x14ac:dyDescent="0.3">
      <c r="A781">
        <v>2019</v>
      </c>
      <c r="B781">
        <v>19</v>
      </c>
      <c r="C781" t="s">
        <v>214</v>
      </c>
      <c r="D781" t="s">
        <v>20</v>
      </c>
      <c r="E781" t="s">
        <v>21</v>
      </c>
      <c r="F781" t="s">
        <v>22</v>
      </c>
      <c r="G781">
        <v>2</v>
      </c>
      <c r="H781">
        <v>20</v>
      </c>
      <c r="I781">
        <v>0</v>
      </c>
      <c r="J781" t="s">
        <v>34</v>
      </c>
      <c r="K781" t="s">
        <v>187</v>
      </c>
      <c r="L781">
        <v>8</v>
      </c>
      <c r="M781">
        <v>102.16500000000001</v>
      </c>
      <c r="N781">
        <v>102.74033300000001</v>
      </c>
      <c r="O781">
        <v>27.545999999999999</v>
      </c>
      <c r="P781">
        <v>40.487000000000002</v>
      </c>
      <c r="Q781">
        <v>33.924999999999997</v>
      </c>
      <c r="R781">
        <v>8</v>
      </c>
      <c r="S781" t="s">
        <v>83</v>
      </c>
      <c r="T781">
        <f>IF(TRIM(Table1[[#This Row],[PitStopLaps]])="",0,
LEN(Table1[[#This Row],[PitStopLaps]])-LEN(SUBSTITUTE(Table1[[#This Row],[PitStopLaps]],",",""))+1)</f>
        <v>1</v>
      </c>
      <c r="U781">
        <f>Table1[[#This Row],[StartPosition]]-Table1[[#This Row],[FinishPosition]]</f>
        <v>-18</v>
      </c>
    </row>
    <row r="782" spans="1:21" x14ac:dyDescent="0.3">
      <c r="A782">
        <v>2019</v>
      </c>
      <c r="B782">
        <v>20</v>
      </c>
      <c r="C782" t="s">
        <v>231</v>
      </c>
      <c r="D782" t="s">
        <v>38</v>
      </c>
      <c r="E782" t="s">
        <v>39</v>
      </c>
      <c r="F782" t="s">
        <v>33</v>
      </c>
      <c r="G782">
        <v>1</v>
      </c>
      <c r="H782">
        <v>1</v>
      </c>
      <c r="I782">
        <v>25</v>
      </c>
      <c r="J782" t="s">
        <v>23</v>
      </c>
      <c r="K782" t="s">
        <v>24</v>
      </c>
      <c r="L782">
        <v>71</v>
      </c>
      <c r="M782">
        <v>70.861999999999995</v>
      </c>
      <c r="N782">
        <v>72.673552999999998</v>
      </c>
      <c r="O782">
        <v>18.308</v>
      </c>
      <c r="P782">
        <v>35.756</v>
      </c>
      <c r="Q782">
        <v>16.294</v>
      </c>
      <c r="R782" t="s">
        <v>414</v>
      </c>
      <c r="S782" t="s">
        <v>83</v>
      </c>
      <c r="T782">
        <f>IF(TRIM(Table1[[#This Row],[PitStopLaps]])="",0,
LEN(Table1[[#This Row],[PitStopLaps]])-LEN(SUBSTITUTE(Table1[[#This Row],[PitStopLaps]],",",""))+1)</f>
        <v>3</v>
      </c>
      <c r="U782">
        <f>Table1[[#This Row],[StartPosition]]-Table1[[#This Row],[FinishPosition]]</f>
        <v>0</v>
      </c>
    </row>
    <row r="783" spans="1:21" x14ac:dyDescent="0.3">
      <c r="A783">
        <v>2019</v>
      </c>
      <c r="B783">
        <v>20</v>
      </c>
      <c r="C783" t="s">
        <v>231</v>
      </c>
      <c r="D783" t="s">
        <v>73</v>
      </c>
      <c r="E783" t="s">
        <v>74</v>
      </c>
      <c r="F783" t="s">
        <v>64</v>
      </c>
      <c r="G783">
        <v>6</v>
      </c>
      <c r="H783">
        <v>2</v>
      </c>
      <c r="I783">
        <v>18</v>
      </c>
      <c r="J783" t="s">
        <v>23</v>
      </c>
      <c r="K783" t="s">
        <v>24</v>
      </c>
      <c r="L783">
        <v>71</v>
      </c>
      <c r="M783">
        <v>72.424999999999997</v>
      </c>
      <c r="N783">
        <v>74.186471999999995</v>
      </c>
      <c r="O783">
        <v>18.568999999999999</v>
      </c>
      <c r="P783">
        <v>37.014000000000003</v>
      </c>
      <c r="Q783">
        <v>16.445</v>
      </c>
      <c r="R783" t="s">
        <v>415</v>
      </c>
      <c r="S783" t="s">
        <v>83</v>
      </c>
      <c r="T783">
        <f>IF(TRIM(Table1[[#This Row],[PitStopLaps]])="",0,
LEN(Table1[[#This Row],[PitStopLaps]])-LEN(SUBSTITUTE(Table1[[#This Row],[PitStopLaps]],",",""))+1)</f>
        <v>2</v>
      </c>
      <c r="U783">
        <f>Table1[[#This Row],[StartPosition]]-Table1[[#This Row],[FinishPosition]]</f>
        <v>4</v>
      </c>
    </row>
    <row r="784" spans="1:21" x14ac:dyDescent="0.3">
      <c r="A784">
        <v>2019</v>
      </c>
      <c r="B784">
        <v>20</v>
      </c>
      <c r="C784" t="s">
        <v>231</v>
      </c>
      <c r="D784" t="s">
        <v>47</v>
      </c>
      <c r="E784" t="s">
        <v>48</v>
      </c>
      <c r="F784" t="s">
        <v>37</v>
      </c>
      <c r="G784">
        <v>20</v>
      </c>
      <c r="H784">
        <v>3</v>
      </c>
      <c r="I784">
        <v>15</v>
      </c>
      <c r="J784" t="s">
        <v>23</v>
      </c>
      <c r="K784" t="s">
        <v>24</v>
      </c>
      <c r="L784">
        <v>71</v>
      </c>
      <c r="M784">
        <v>73.158000000000001</v>
      </c>
      <c r="N784">
        <v>74.656718999999995</v>
      </c>
      <c r="O784">
        <v>18.577999999999999</v>
      </c>
      <c r="P784">
        <v>37.558999999999997</v>
      </c>
      <c r="Q784">
        <v>16.581</v>
      </c>
      <c r="R784">
        <v>29</v>
      </c>
      <c r="S784" t="s">
        <v>83</v>
      </c>
      <c r="T784">
        <f>IF(TRIM(Table1[[#This Row],[PitStopLaps]])="",0,
LEN(Table1[[#This Row],[PitStopLaps]])-LEN(SUBSTITUTE(Table1[[#This Row],[PitStopLaps]],",",""))+1)</f>
        <v>1</v>
      </c>
      <c r="U784">
        <f>Table1[[#This Row],[StartPosition]]-Table1[[#This Row],[FinishPosition]]</f>
        <v>17</v>
      </c>
    </row>
    <row r="785" spans="1:21" x14ac:dyDescent="0.3">
      <c r="A785">
        <v>2019</v>
      </c>
      <c r="B785">
        <v>20</v>
      </c>
      <c r="C785" t="s">
        <v>231</v>
      </c>
      <c r="D785" t="s">
        <v>29</v>
      </c>
      <c r="E785" t="s">
        <v>30</v>
      </c>
      <c r="F785" t="s">
        <v>243</v>
      </c>
      <c r="G785">
        <v>8</v>
      </c>
      <c r="H785">
        <v>4</v>
      </c>
      <c r="I785">
        <v>12</v>
      </c>
      <c r="J785" t="s">
        <v>34</v>
      </c>
      <c r="K785" t="s">
        <v>24</v>
      </c>
      <c r="L785">
        <v>71</v>
      </c>
      <c r="M785">
        <v>73.135000000000005</v>
      </c>
      <c r="N785">
        <v>74.370053999999996</v>
      </c>
      <c r="O785">
        <v>18.469000000000001</v>
      </c>
      <c r="P785">
        <v>37.692</v>
      </c>
      <c r="Q785">
        <v>16.620999999999999</v>
      </c>
      <c r="R785" t="s">
        <v>416</v>
      </c>
      <c r="S785" t="s">
        <v>83</v>
      </c>
      <c r="T785">
        <f>IF(TRIM(Table1[[#This Row],[PitStopLaps]])="",0,
LEN(Table1[[#This Row],[PitStopLaps]])-LEN(SUBSTITUTE(Table1[[#This Row],[PitStopLaps]],",",""))+1)</f>
        <v>2</v>
      </c>
      <c r="U785">
        <f>Table1[[#This Row],[StartPosition]]-Table1[[#This Row],[FinishPosition]]</f>
        <v>4</v>
      </c>
    </row>
    <row r="786" spans="1:21" x14ac:dyDescent="0.3">
      <c r="A786">
        <v>2019</v>
      </c>
      <c r="B786">
        <v>20</v>
      </c>
      <c r="C786" t="s">
        <v>231</v>
      </c>
      <c r="D786" t="s">
        <v>250</v>
      </c>
      <c r="E786" t="s">
        <v>251</v>
      </c>
      <c r="F786" t="s">
        <v>243</v>
      </c>
      <c r="G786">
        <v>12</v>
      </c>
      <c r="H786">
        <v>5</v>
      </c>
      <c r="I786">
        <v>10</v>
      </c>
      <c r="J786" t="s">
        <v>34</v>
      </c>
      <c r="K786" t="s">
        <v>24</v>
      </c>
      <c r="L786">
        <v>71</v>
      </c>
      <c r="M786">
        <v>73.02</v>
      </c>
      <c r="N786">
        <v>74.444289999999995</v>
      </c>
      <c r="O786">
        <v>18.643999999999998</v>
      </c>
      <c r="P786">
        <v>37.529000000000003</v>
      </c>
      <c r="Q786">
        <v>16.39</v>
      </c>
      <c r="R786" t="s">
        <v>417</v>
      </c>
      <c r="S786" t="s">
        <v>83</v>
      </c>
      <c r="T786">
        <f>IF(TRIM(Table1[[#This Row],[PitStopLaps]])="",0,
LEN(Table1[[#This Row],[PitStopLaps]])-LEN(SUBSTITUTE(Table1[[#This Row],[PitStopLaps]],",",""))+1)</f>
        <v>2</v>
      </c>
      <c r="U786">
        <f>Table1[[#This Row],[StartPosition]]-Table1[[#This Row],[FinishPosition]]</f>
        <v>7</v>
      </c>
    </row>
    <row r="787" spans="1:21" x14ac:dyDescent="0.3">
      <c r="A787">
        <v>2019</v>
      </c>
      <c r="B787">
        <v>20</v>
      </c>
      <c r="C787" t="s">
        <v>231</v>
      </c>
      <c r="D787" t="s">
        <v>31</v>
      </c>
      <c r="E787" t="s">
        <v>32</v>
      </c>
      <c r="F787" t="s">
        <v>42</v>
      </c>
      <c r="G787">
        <v>11</v>
      </c>
      <c r="H787">
        <v>6</v>
      </c>
      <c r="I787">
        <v>8</v>
      </c>
      <c r="J787" t="s">
        <v>34</v>
      </c>
      <c r="K787" t="s">
        <v>24</v>
      </c>
      <c r="L787">
        <v>71</v>
      </c>
      <c r="M787">
        <v>72.733000000000004</v>
      </c>
      <c r="N787">
        <v>74.207654000000005</v>
      </c>
      <c r="O787">
        <v>18.463999999999999</v>
      </c>
      <c r="P787">
        <v>37.277000000000001</v>
      </c>
      <c r="Q787">
        <v>16.526</v>
      </c>
      <c r="R787" t="s">
        <v>418</v>
      </c>
      <c r="S787" t="s">
        <v>83</v>
      </c>
      <c r="T787">
        <f>IF(TRIM(Table1[[#This Row],[PitStopLaps]])="",0,
LEN(Table1[[#This Row],[PitStopLaps]])-LEN(SUBSTITUTE(Table1[[#This Row],[PitStopLaps]],",",""))+1)</f>
        <v>2</v>
      </c>
      <c r="U787">
        <f>Table1[[#This Row],[StartPosition]]-Table1[[#This Row],[FinishPosition]]</f>
        <v>5</v>
      </c>
    </row>
    <row r="788" spans="1:21" x14ac:dyDescent="0.3">
      <c r="A788">
        <v>2019</v>
      </c>
      <c r="B788">
        <v>20</v>
      </c>
      <c r="C788" t="s">
        <v>231</v>
      </c>
      <c r="D788" t="s">
        <v>26</v>
      </c>
      <c r="E788" t="s">
        <v>27</v>
      </c>
      <c r="F788" t="s">
        <v>28</v>
      </c>
      <c r="G788">
        <v>3</v>
      </c>
      <c r="H788">
        <v>7</v>
      </c>
      <c r="I788">
        <v>6</v>
      </c>
      <c r="J788" t="s">
        <v>34</v>
      </c>
      <c r="K788" t="s">
        <v>24</v>
      </c>
      <c r="L788">
        <v>71</v>
      </c>
      <c r="M788">
        <v>71.081999999999994</v>
      </c>
      <c r="N788">
        <v>72.865339000000006</v>
      </c>
      <c r="O788">
        <v>18.344000000000001</v>
      </c>
      <c r="P788">
        <v>36.213000000000001</v>
      </c>
      <c r="Q788">
        <v>16.285</v>
      </c>
      <c r="R788" t="s">
        <v>419</v>
      </c>
      <c r="S788" t="s">
        <v>83</v>
      </c>
      <c r="T788">
        <f>IF(TRIM(Table1[[#This Row],[PitStopLaps]])="",0,
LEN(Table1[[#This Row],[PitStopLaps]])-LEN(SUBSTITUTE(Table1[[#This Row],[PitStopLaps]],",",""))+1)</f>
        <v>3</v>
      </c>
      <c r="U788">
        <f>Table1[[#This Row],[StartPosition]]-Table1[[#This Row],[FinishPosition]]</f>
        <v>-4</v>
      </c>
    </row>
    <row r="789" spans="1:21" x14ac:dyDescent="0.3">
      <c r="A789">
        <v>2019</v>
      </c>
      <c r="B789">
        <v>20</v>
      </c>
      <c r="C789" t="s">
        <v>231</v>
      </c>
      <c r="D789" t="s">
        <v>246</v>
      </c>
      <c r="E789" t="s">
        <v>247</v>
      </c>
      <c r="F789" t="s">
        <v>37</v>
      </c>
      <c r="G789">
        <v>10</v>
      </c>
      <c r="H789">
        <v>8</v>
      </c>
      <c r="I789">
        <v>4</v>
      </c>
      <c r="J789" t="s">
        <v>34</v>
      </c>
      <c r="K789" t="s">
        <v>24</v>
      </c>
      <c r="L789">
        <v>71</v>
      </c>
      <c r="M789">
        <v>72.328000000000003</v>
      </c>
      <c r="N789">
        <v>74.735763000000006</v>
      </c>
      <c r="O789">
        <v>18.484000000000002</v>
      </c>
      <c r="P789">
        <v>37.201000000000001</v>
      </c>
      <c r="Q789">
        <v>16.606000000000002</v>
      </c>
      <c r="R789" t="s">
        <v>233</v>
      </c>
      <c r="S789" t="s">
        <v>83</v>
      </c>
      <c r="T789">
        <f>IF(TRIM(Table1[[#This Row],[PitStopLaps]])="",0,
LEN(Table1[[#This Row],[PitStopLaps]])-LEN(SUBSTITUTE(Table1[[#This Row],[PitStopLaps]],",",""))+1)</f>
        <v>2</v>
      </c>
      <c r="U789">
        <f>Table1[[#This Row],[StartPosition]]-Table1[[#This Row],[FinishPosition]]</f>
        <v>2</v>
      </c>
    </row>
    <row r="790" spans="1:21" x14ac:dyDescent="0.3">
      <c r="A790">
        <v>2019</v>
      </c>
      <c r="B790">
        <v>20</v>
      </c>
      <c r="C790" t="s">
        <v>231</v>
      </c>
      <c r="D790" t="s">
        <v>49</v>
      </c>
      <c r="E790" t="s">
        <v>50</v>
      </c>
      <c r="F790" t="s">
        <v>192</v>
      </c>
      <c r="G790">
        <v>15</v>
      </c>
      <c r="H790">
        <v>9</v>
      </c>
      <c r="I790">
        <v>2</v>
      </c>
      <c r="J790" t="s">
        <v>34</v>
      </c>
      <c r="K790" t="s">
        <v>24</v>
      </c>
      <c r="L790">
        <v>71</v>
      </c>
      <c r="M790">
        <v>72.84</v>
      </c>
      <c r="N790">
        <v>74.519745</v>
      </c>
      <c r="O790">
        <v>18.594000000000001</v>
      </c>
      <c r="P790">
        <v>37.32</v>
      </c>
      <c r="Q790">
        <v>16.605</v>
      </c>
      <c r="R790" t="s">
        <v>420</v>
      </c>
      <c r="S790" t="s">
        <v>83</v>
      </c>
      <c r="T790">
        <f>IF(TRIM(Table1[[#This Row],[PitStopLaps]])="",0,
LEN(Table1[[#This Row],[PitStopLaps]])-LEN(SUBSTITUTE(Table1[[#This Row],[PitStopLaps]],",",""))+1)</f>
        <v>2</v>
      </c>
      <c r="U790">
        <f>Table1[[#This Row],[StartPosition]]-Table1[[#This Row],[FinishPosition]]</f>
        <v>6</v>
      </c>
    </row>
    <row r="791" spans="1:21" x14ac:dyDescent="0.3">
      <c r="A791">
        <v>2019</v>
      </c>
      <c r="B791">
        <v>20</v>
      </c>
      <c r="C791" t="s">
        <v>231</v>
      </c>
      <c r="D791" t="s">
        <v>244</v>
      </c>
      <c r="E791" t="s">
        <v>245</v>
      </c>
      <c r="F791" t="s">
        <v>64</v>
      </c>
      <c r="G791">
        <v>16</v>
      </c>
      <c r="H791">
        <v>10</v>
      </c>
      <c r="I791">
        <v>1</v>
      </c>
      <c r="J791" t="s">
        <v>34</v>
      </c>
      <c r="K791" t="s">
        <v>24</v>
      </c>
      <c r="L791">
        <v>71</v>
      </c>
      <c r="M791">
        <v>72.385000000000005</v>
      </c>
      <c r="N791">
        <v>74.683089999999893</v>
      </c>
      <c r="O791">
        <v>18.385999999999999</v>
      </c>
      <c r="P791">
        <v>37.128</v>
      </c>
      <c r="Q791">
        <v>16.305</v>
      </c>
      <c r="R791" t="s">
        <v>413</v>
      </c>
      <c r="S791" t="s">
        <v>83</v>
      </c>
      <c r="T791">
        <f>IF(TRIM(Table1[[#This Row],[PitStopLaps]])="",0,
LEN(Table1[[#This Row],[PitStopLaps]])-LEN(SUBSTITUTE(Table1[[#This Row],[PitStopLaps]],",",""))+1)</f>
        <v>2</v>
      </c>
      <c r="U791">
        <f>Table1[[#This Row],[StartPosition]]-Table1[[#This Row],[FinishPosition]]</f>
        <v>6</v>
      </c>
    </row>
    <row r="792" spans="1:21" x14ac:dyDescent="0.3">
      <c r="A792">
        <v>2019</v>
      </c>
      <c r="B792">
        <v>20</v>
      </c>
      <c r="C792" t="s">
        <v>231</v>
      </c>
      <c r="D792" t="s">
        <v>71</v>
      </c>
      <c r="E792" t="s">
        <v>72</v>
      </c>
      <c r="F792" t="s">
        <v>69</v>
      </c>
      <c r="G792">
        <v>9</v>
      </c>
      <c r="H792">
        <v>11</v>
      </c>
      <c r="I792">
        <v>0</v>
      </c>
      <c r="J792" t="s">
        <v>34</v>
      </c>
      <c r="K792" t="s">
        <v>24</v>
      </c>
      <c r="L792">
        <v>71</v>
      </c>
      <c r="M792">
        <v>73.262</v>
      </c>
      <c r="N792">
        <v>75.001869999999997</v>
      </c>
      <c r="O792">
        <v>18.61</v>
      </c>
      <c r="P792">
        <v>37.536000000000001</v>
      </c>
      <c r="Q792">
        <v>16.748999999999999</v>
      </c>
      <c r="R792" t="s">
        <v>233</v>
      </c>
      <c r="S792" t="s">
        <v>83</v>
      </c>
      <c r="T792">
        <f>IF(TRIM(Table1[[#This Row],[PitStopLaps]])="",0,
LEN(Table1[[#This Row],[PitStopLaps]])-LEN(SUBSTITUTE(Table1[[#This Row],[PitStopLaps]],",",""))+1)</f>
        <v>2</v>
      </c>
      <c r="U792">
        <f>Table1[[#This Row],[StartPosition]]-Table1[[#This Row],[FinishPosition]]</f>
        <v>-2</v>
      </c>
    </row>
    <row r="793" spans="1:21" x14ac:dyDescent="0.3">
      <c r="A793">
        <v>2019</v>
      </c>
      <c r="B793">
        <v>20</v>
      </c>
      <c r="C793" t="s">
        <v>231</v>
      </c>
      <c r="D793" t="s">
        <v>252</v>
      </c>
      <c r="E793" t="s">
        <v>253</v>
      </c>
      <c r="F793" t="s">
        <v>60</v>
      </c>
      <c r="G793">
        <v>18</v>
      </c>
      <c r="H793">
        <v>12</v>
      </c>
      <c r="I793">
        <v>0</v>
      </c>
      <c r="J793" t="s">
        <v>34</v>
      </c>
      <c r="K793" t="s">
        <v>24</v>
      </c>
      <c r="L793">
        <v>71</v>
      </c>
      <c r="M793">
        <v>74.123999999999995</v>
      </c>
      <c r="N793">
        <v>75.918107000000006</v>
      </c>
      <c r="O793">
        <v>18.72</v>
      </c>
      <c r="P793">
        <v>38.436999999999998</v>
      </c>
      <c r="Q793">
        <v>16.79</v>
      </c>
      <c r="R793" t="s">
        <v>421</v>
      </c>
      <c r="S793" t="s">
        <v>83</v>
      </c>
      <c r="T793">
        <f>IF(TRIM(Table1[[#This Row],[PitStopLaps]])="",0,
LEN(Table1[[#This Row],[PitStopLaps]])-LEN(SUBSTITUTE(Table1[[#This Row],[PitStopLaps]],",",""))+1)</f>
        <v>3</v>
      </c>
      <c r="U793">
        <f>Table1[[#This Row],[StartPosition]]-Table1[[#This Row],[FinishPosition]]</f>
        <v>6</v>
      </c>
    </row>
    <row r="794" spans="1:21" x14ac:dyDescent="0.3">
      <c r="A794">
        <v>2019</v>
      </c>
      <c r="B794">
        <v>20</v>
      </c>
      <c r="C794" t="s">
        <v>231</v>
      </c>
      <c r="D794" t="s">
        <v>67</v>
      </c>
      <c r="E794" t="s">
        <v>68</v>
      </c>
      <c r="F794" t="s">
        <v>69</v>
      </c>
      <c r="G794">
        <v>7</v>
      </c>
      <c r="H794">
        <v>13</v>
      </c>
      <c r="I794">
        <v>0</v>
      </c>
      <c r="J794" t="s">
        <v>34</v>
      </c>
      <c r="K794" t="s">
        <v>24</v>
      </c>
      <c r="L794">
        <v>71</v>
      </c>
      <c r="M794">
        <v>73.619</v>
      </c>
      <c r="N794">
        <v>74.889660000000006</v>
      </c>
      <c r="O794">
        <v>18.896999999999998</v>
      </c>
      <c r="P794">
        <v>37.765000000000001</v>
      </c>
      <c r="Q794">
        <v>16.917999999999999</v>
      </c>
      <c r="R794" t="s">
        <v>422</v>
      </c>
      <c r="S794" t="s">
        <v>83</v>
      </c>
      <c r="T794">
        <f>IF(TRIM(Table1[[#This Row],[PitStopLaps]])="",0,
LEN(Table1[[#This Row],[PitStopLaps]])-LEN(SUBSTITUTE(Table1[[#This Row],[PitStopLaps]],",",""))+1)</f>
        <v>2</v>
      </c>
      <c r="U794">
        <f>Table1[[#This Row],[StartPosition]]-Table1[[#This Row],[FinishPosition]]</f>
        <v>-6</v>
      </c>
    </row>
    <row r="795" spans="1:21" x14ac:dyDescent="0.3">
      <c r="A795">
        <v>2019</v>
      </c>
      <c r="B795">
        <v>20</v>
      </c>
      <c r="C795" t="s">
        <v>231</v>
      </c>
      <c r="D795" t="s">
        <v>248</v>
      </c>
      <c r="E795" t="s">
        <v>249</v>
      </c>
      <c r="F795" t="s">
        <v>33</v>
      </c>
      <c r="G795">
        <v>5</v>
      </c>
      <c r="H795">
        <v>14</v>
      </c>
      <c r="I795">
        <v>0</v>
      </c>
      <c r="J795" t="s">
        <v>34</v>
      </c>
      <c r="K795" t="s">
        <v>24</v>
      </c>
      <c r="L795">
        <v>71</v>
      </c>
      <c r="M795">
        <v>71.087000000000003</v>
      </c>
      <c r="N795">
        <v>73.584599999999995</v>
      </c>
      <c r="O795">
        <v>18.18</v>
      </c>
      <c r="P795">
        <v>36.308999999999997</v>
      </c>
      <c r="Q795">
        <v>16.388999999999999</v>
      </c>
      <c r="R795" t="s">
        <v>423</v>
      </c>
      <c r="S795" t="s">
        <v>83</v>
      </c>
      <c r="T795">
        <f>IF(TRIM(Table1[[#This Row],[PitStopLaps]])="",0,
LEN(Table1[[#This Row],[PitStopLaps]])-LEN(SUBSTITUTE(Table1[[#This Row],[PitStopLaps]],",",""))+1)</f>
        <v>2</v>
      </c>
      <c r="U795">
        <f>Table1[[#This Row],[StartPosition]]-Table1[[#This Row],[FinishPosition]]</f>
        <v>-9</v>
      </c>
    </row>
    <row r="796" spans="1:21" x14ac:dyDescent="0.3">
      <c r="A796">
        <v>2019</v>
      </c>
      <c r="B796">
        <v>20</v>
      </c>
      <c r="C796" t="s">
        <v>231</v>
      </c>
      <c r="D796" t="s">
        <v>40</v>
      </c>
      <c r="E796" t="s">
        <v>41</v>
      </c>
      <c r="F796" t="s">
        <v>42</v>
      </c>
      <c r="G796">
        <v>13</v>
      </c>
      <c r="H796">
        <v>15</v>
      </c>
      <c r="I796">
        <v>0</v>
      </c>
      <c r="J796" t="s">
        <v>34</v>
      </c>
      <c r="K796" t="s">
        <v>24</v>
      </c>
      <c r="L796">
        <v>71</v>
      </c>
      <c r="M796">
        <v>72.933999999999997</v>
      </c>
      <c r="N796">
        <v>74.870444000000006</v>
      </c>
      <c r="O796">
        <v>18.588999999999999</v>
      </c>
      <c r="P796">
        <v>37.460999999999999</v>
      </c>
      <c r="Q796">
        <v>16.582999999999998</v>
      </c>
      <c r="R796" t="s">
        <v>424</v>
      </c>
      <c r="S796" t="s">
        <v>83</v>
      </c>
      <c r="T796">
        <f>IF(TRIM(Table1[[#This Row],[PitStopLaps]])="",0,
LEN(Table1[[#This Row],[PitStopLaps]])-LEN(SUBSTITUTE(Table1[[#This Row],[PitStopLaps]],",",""))+1)</f>
        <v>3</v>
      </c>
      <c r="U796">
        <f>Table1[[#This Row],[StartPosition]]-Table1[[#This Row],[FinishPosition]]</f>
        <v>-2</v>
      </c>
    </row>
    <row r="797" spans="1:21" x14ac:dyDescent="0.3">
      <c r="A797">
        <v>2019</v>
      </c>
      <c r="B797">
        <v>20</v>
      </c>
      <c r="C797" t="s">
        <v>231</v>
      </c>
      <c r="D797" t="s">
        <v>255</v>
      </c>
      <c r="E797" t="s">
        <v>256</v>
      </c>
      <c r="F797" t="s">
        <v>60</v>
      </c>
      <c r="G797">
        <v>19</v>
      </c>
      <c r="H797">
        <v>16</v>
      </c>
      <c r="I797">
        <v>0</v>
      </c>
      <c r="J797" t="s">
        <v>34</v>
      </c>
      <c r="K797" t="s">
        <v>65</v>
      </c>
      <c r="L797">
        <v>70</v>
      </c>
      <c r="M797">
        <v>74.552999999999997</v>
      </c>
      <c r="N797">
        <v>76.495093999999995</v>
      </c>
      <c r="O797">
        <v>19.062999999999999</v>
      </c>
      <c r="P797">
        <v>38.325000000000003</v>
      </c>
      <c r="Q797">
        <v>16.991</v>
      </c>
      <c r="R797" t="s">
        <v>425</v>
      </c>
      <c r="S797" t="s">
        <v>83</v>
      </c>
      <c r="T797">
        <f>IF(TRIM(Table1[[#This Row],[PitStopLaps]])="",0,
LEN(Table1[[#This Row],[PitStopLaps]])-LEN(SUBSTITUTE(Table1[[#This Row],[PitStopLaps]],",",""))+1)</f>
        <v>4</v>
      </c>
      <c r="U797">
        <f>Table1[[#This Row],[StartPosition]]-Table1[[#This Row],[FinishPosition]]</f>
        <v>3</v>
      </c>
    </row>
    <row r="798" spans="1:21" x14ac:dyDescent="0.3">
      <c r="A798">
        <v>2019</v>
      </c>
      <c r="B798">
        <v>20</v>
      </c>
      <c r="C798" t="s">
        <v>231</v>
      </c>
      <c r="D798" t="s">
        <v>20</v>
      </c>
      <c r="E798" t="s">
        <v>21</v>
      </c>
      <c r="F798" t="s">
        <v>22</v>
      </c>
      <c r="G798">
        <v>2</v>
      </c>
      <c r="H798">
        <v>17</v>
      </c>
      <c r="I798">
        <v>0</v>
      </c>
      <c r="J798" t="s">
        <v>34</v>
      </c>
      <c r="K798" t="s">
        <v>124</v>
      </c>
      <c r="L798">
        <v>66</v>
      </c>
      <c r="M798">
        <v>71.384</v>
      </c>
      <c r="N798">
        <v>73.139277000000007</v>
      </c>
      <c r="O798">
        <v>18.140999999999998</v>
      </c>
      <c r="P798">
        <v>36.53</v>
      </c>
      <c r="Q798">
        <v>16.027999999999999</v>
      </c>
      <c r="R798" t="s">
        <v>426</v>
      </c>
      <c r="S798" t="s">
        <v>83</v>
      </c>
      <c r="T798">
        <f>IF(TRIM(Table1[[#This Row],[PitStopLaps]])="",0,
LEN(Table1[[#This Row],[PitStopLaps]])-LEN(SUBSTITUTE(Table1[[#This Row],[PitStopLaps]],",",""))+1)</f>
        <v>2</v>
      </c>
      <c r="U798">
        <f>Table1[[#This Row],[StartPosition]]-Table1[[#This Row],[FinishPosition]]</f>
        <v>-15</v>
      </c>
    </row>
    <row r="799" spans="1:21" x14ac:dyDescent="0.3">
      <c r="A799">
        <v>2019</v>
      </c>
      <c r="B799">
        <v>20</v>
      </c>
      <c r="C799" t="s">
        <v>231</v>
      </c>
      <c r="D799" t="s">
        <v>54</v>
      </c>
      <c r="E799" t="s">
        <v>55</v>
      </c>
      <c r="F799" t="s">
        <v>22</v>
      </c>
      <c r="G799">
        <v>14</v>
      </c>
      <c r="H799">
        <v>18</v>
      </c>
      <c r="I799">
        <v>0</v>
      </c>
      <c r="J799" t="s">
        <v>34</v>
      </c>
      <c r="K799" t="s">
        <v>124</v>
      </c>
      <c r="L799">
        <v>66</v>
      </c>
      <c r="M799">
        <v>71.423000000000002</v>
      </c>
      <c r="N799">
        <v>73.666290000000004</v>
      </c>
      <c r="O799">
        <v>18.029</v>
      </c>
      <c r="P799">
        <v>36.892000000000003</v>
      </c>
      <c r="Q799">
        <v>16.175999999999998</v>
      </c>
      <c r="R799" t="s">
        <v>427</v>
      </c>
      <c r="S799" t="s">
        <v>83</v>
      </c>
      <c r="T799">
        <f>IF(TRIM(Table1[[#This Row],[PitStopLaps]])="",0,
LEN(Table1[[#This Row],[PitStopLaps]])-LEN(SUBSTITUTE(Table1[[#This Row],[PitStopLaps]],",",""))+1)</f>
        <v>2</v>
      </c>
      <c r="U799">
        <f>Table1[[#This Row],[StartPosition]]-Table1[[#This Row],[FinishPosition]]</f>
        <v>-4</v>
      </c>
    </row>
    <row r="800" spans="1:21" x14ac:dyDescent="0.3">
      <c r="A800">
        <v>2019</v>
      </c>
      <c r="B800">
        <v>20</v>
      </c>
      <c r="C800" t="s">
        <v>231</v>
      </c>
      <c r="D800" t="s">
        <v>58</v>
      </c>
      <c r="E800" t="s">
        <v>59</v>
      </c>
      <c r="F800" t="s">
        <v>192</v>
      </c>
      <c r="G800">
        <v>17</v>
      </c>
      <c r="H800">
        <v>19</v>
      </c>
      <c r="I800">
        <v>0</v>
      </c>
      <c r="J800" t="s">
        <v>34</v>
      </c>
      <c r="K800" t="s">
        <v>187</v>
      </c>
      <c r="L800">
        <v>66</v>
      </c>
      <c r="M800">
        <v>72.602999999999994</v>
      </c>
      <c r="N800">
        <v>74.847562999999994</v>
      </c>
      <c r="O800">
        <v>18.693999999999999</v>
      </c>
      <c r="P800">
        <v>37.249000000000002</v>
      </c>
      <c r="Q800">
        <v>16.555</v>
      </c>
      <c r="R800" t="s">
        <v>428</v>
      </c>
      <c r="S800" t="s">
        <v>83</v>
      </c>
      <c r="T800">
        <f>IF(TRIM(Table1[[#This Row],[PitStopLaps]])="",0,
LEN(Table1[[#This Row],[PitStopLaps]])-LEN(SUBSTITUTE(Table1[[#This Row],[PitStopLaps]],",",""))+1)</f>
        <v>2</v>
      </c>
      <c r="U800">
        <f>Table1[[#This Row],[StartPosition]]-Table1[[#This Row],[FinishPosition]]</f>
        <v>-2</v>
      </c>
    </row>
    <row r="801" spans="1:21" x14ac:dyDescent="0.3">
      <c r="A801">
        <v>2019</v>
      </c>
      <c r="B801">
        <v>20</v>
      </c>
      <c r="C801" t="s">
        <v>231</v>
      </c>
      <c r="D801" t="s">
        <v>43</v>
      </c>
      <c r="E801" t="s">
        <v>44</v>
      </c>
      <c r="F801" t="s">
        <v>28</v>
      </c>
      <c r="G801">
        <v>4</v>
      </c>
      <c r="H801">
        <v>20</v>
      </c>
      <c r="I801">
        <v>0</v>
      </c>
      <c r="J801" t="s">
        <v>34</v>
      </c>
      <c r="K801" t="s">
        <v>167</v>
      </c>
      <c r="L801">
        <v>52</v>
      </c>
      <c r="M801">
        <v>70.697999999999993</v>
      </c>
      <c r="N801">
        <v>73.574543000000006</v>
      </c>
      <c r="O801">
        <v>18.350000000000001</v>
      </c>
      <c r="P801">
        <v>35.904000000000003</v>
      </c>
      <c r="Q801">
        <v>16.407</v>
      </c>
      <c r="R801" t="s">
        <v>429</v>
      </c>
      <c r="S801" t="s">
        <v>83</v>
      </c>
      <c r="T801">
        <f>IF(TRIM(Table1[[#This Row],[PitStopLaps]])="",0,
LEN(Table1[[#This Row],[PitStopLaps]])-LEN(SUBSTITUTE(Table1[[#This Row],[PitStopLaps]],",",""))+1)</f>
        <v>2</v>
      </c>
      <c r="U801">
        <f>Table1[[#This Row],[StartPosition]]-Table1[[#This Row],[FinishPosition]]</f>
        <v>-16</v>
      </c>
    </row>
    <row r="802" spans="1:21" x14ac:dyDescent="0.3">
      <c r="A802">
        <v>2019</v>
      </c>
      <c r="B802">
        <v>21</v>
      </c>
      <c r="C802" t="s">
        <v>240</v>
      </c>
      <c r="D802" t="s">
        <v>26</v>
      </c>
      <c r="E802" t="s">
        <v>27</v>
      </c>
      <c r="F802" t="s">
        <v>28</v>
      </c>
      <c r="G802">
        <v>1</v>
      </c>
      <c r="H802">
        <v>1</v>
      </c>
      <c r="I802">
        <v>26</v>
      </c>
      <c r="J802" t="s">
        <v>23</v>
      </c>
      <c r="K802" t="s">
        <v>24</v>
      </c>
      <c r="L802">
        <v>55</v>
      </c>
      <c r="M802">
        <v>99.283000000000001</v>
      </c>
      <c r="N802">
        <v>102.186173</v>
      </c>
      <c r="O802">
        <v>17.245000000000001</v>
      </c>
      <c r="P802">
        <v>42.923000000000002</v>
      </c>
      <c r="Q802">
        <v>39.115000000000002</v>
      </c>
      <c r="R802">
        <v>26</v>
      </c>
      <c r="S802" t="s">
        <v>83</v>
      </c>
      <c r="T802">
        <f>IF(TRIM(Table1[[#This Row],[PitStopLaps]])="",0,
LEN(Table1[[#This Row],[PitStopLaps]])-LEN(SUBSTITUTE(Table1[[#This Row],[PitStopLaps]],",",""))+1)</f>
        <v>1</v>
      </c>
      <c r="U802">
        <f>Table1[[#This Row],[StartPosition]]-Table1[[#This Row],[FinishPosition]]</f>
        <v>0</v>
      </c>
    </row>
    <row r="803" spans="1:21" x14ac:dyDescent="0.3">
      <c r="A803">
        <v>2019</v>
      </c>
      <c r="B803">
        <v>21</v>
      </c>
      <c r="C803" t="s">
        <v>240</v>
      </c>
      <c r="D803" t="s">
        <v>38</v>
      </c>
      <c r="E803" t="s">
        <v>39</v>
      </c>
      <c r="F803" t="s">
        <v>33</v>
      </c>
      <c r="G803">
        <v>2</v>
      </c>
      <c r="H803">
        <v>2</v>
      </c>
      <c r="I803">
        <v>18</v>
      </c>
      <c r="J803" t="s">
        <v>23</v>
      </c>
      <c r="K803" t="s">
        <v>24</v>
      </c>
      <c r="L803">
        <v>55</v>
      </c>
      <c r="M803">
        <v>101.119</v>
      </c>
      <c r="N803">
        <v>102.449038</v>
      </c>
      <c r="O803">
        <v>17.484000000000002</v>
      </c>
      <c r="P803">
        <v>43.289000000000001</v>
      </c>
      <c r="Q803">
        <v>40.073</v>
      </c>
      <c r="R803">
        <v>25</v>
      </c>
      <c r="S803" t="s">
        <v>83</v>
      </c>
      <c r="T803">
        <f>IF(TRIM(Table1[[#This Row],[PitStopLaps]])="",0,
LEN(Table1[[#This Row],[PitStopLaps]])-LEN(SUBSTITUTE(Table1[[#This Row],[PitStopLaps]],",",""))+1)</f>
        <v>1</v>
      </c>
      <c r="U803">
        <f>Table1[[#This Row],[StartPosition]]-Table1[[#This Row],[FinishPosition]]</f>
        <v>0</v>
      </c>
    </row>
    <row r="804" spans="1:21" x14ac:dyDescent="0.3">
      <c r="A804">
        <v>2019</v>
      </c>
      <c r="B804">
        <v>21</v>
      </c>
      <c r="C804" t="s">
        <v>240</v>
      </c>
      <c r="D804" t="s">
        <v>54</v>
      </c>
      <c r="E804" t="s">
        <v>55</v>
      </c>
      <c r="F804" t="s">
        <v>22</v>
      </c>
      <c r="G804">
        <v>3</v>
      </c>
      <c r="H804">
        <v>3</v>
      </c>
      <c r="I804">
        <v>15</v>
      </c>
      <c r="J804" t="s">
        <v>23</v>
      </c>
      <c r="K804" t="s">
        <v>24</v>
      </c>
      <c r="L804">
        <v>55</v>
      </c>
      <c r="M804">
        <v>100.44199999999999</v>
      </c>
      <c r="N804">
        <v>102.57156000000001</v>
      </c>
      <c r="O804">
        <v>17.407</v>
      </c>
      <c r="P804">
        <v>42.841000000000001</v>
      </c>
      <c r="Q804">
        <v>39.863999999999997</v>
      </c>
      <c r="R804" t="s">
        <v>270</v>
      </c>
      <c r="S804" t="s">
        <v>83</v>
      </c>
      <c r="T804">
        <f>IF(TRIM(Table1[[#This Row],[PitStopLaps]])="",0,
LEN(Table1[[#This Row],[PitStopLaps]])-LEN(SUBSTITUTE(Table1[[#This Row],[PitStopLaps]],",",""))+1)</f>
        <v>2</v>
      </c>
      <c r="U804">
        <f>Table1[[#This Row],[StartPosition]]-Table1[[#This Row],[FinishPosition]]</f>
        <v>0</v>
      </c>
    </row>
    <row r="805" spans="1:21" x14ac:dyDescent="0.3">
      <c r="A805">
        <v>2019</v>
      </c>
      <c r="B805">
        <v>21</v>
      </c>
      <c r="C805" t="s">
        <v>240</v>
      </c>
      <c r="D805" t="s">
        <v>43</v>
      </c>
      <c r="E805" t="s">
        <v>44</v>
      </c>
      <c r="F805" t="s">
        <v>28</v>
      </c>
      <c r="G805">
        <v>20</v>
      </c>
      <c r="H805">
        <v>4</v>
      </c>
      <c r="I805">
        <v>12</v>
      </c>
      <c r="J805" t="s">
        <v>34</v>
      </c>
      <c r="K805" t="s">
        <v>24</v>
      </c>
      <c r="L805">
        <v>55</v>
      </c>
      <c r="M805">
        <v>99.715000000000003</v>
      </c>
      <c r="N805">
        <v>102.86648</v>
      </c>
      <c r="O805">
        <v>17.393000000000001</v>
      </c>
      <c r="P805">
        <v>42.966000000000001</v>
      </c>
      <c r="Q805">
        <v>39.347000000000001</v>
      </c>
      <c r="R805">
        <v>29</v>
      </c>
      <c r="S805" t="s">
        <v>83</v>
      </c>
      <c r="T805">
        <f>IF(TRIM(Table1[[#This Row],[PitStopLaps]])="",0,
LEN(Table1[[#This Row],[PitStopLaps]])-LEN(SUBSTITUTE(Table1[[#This Row],[PitStopLaps]],",",""))+1)</f>
        <v>1</v>
      </c>
      <c r="U805">
        <f>Table1[[#This Row],[StartPosition]]-Table1[[#This Row],[FinishPosition]]</f>
        <v>16</v>
      </c>
    </row>
    <row r="806" spans="1:21" x14ac:dyDescent="0.3">
      <c r="A806">
        <v>2019</v>
      </c>
      <c r="B806">
        <v>21</v>
      </c>
      <c r="C806" t="s">
        <v>240</v>
      </c>
      <c r="D806" t="s">
        <v>20</v>
      </c>
      <c r="E806" t="s">
        <v>21</v>
      </c>
      <c r="F806" t="s">
        <v>22</v>
      </c>
      <c r="G806">
        <v>4</v>
      </c>
      <c r="H806">
        <v>5</v>
      </c>
      <c r="I806">
        <v>10</v>
      </c>
      <c r="J806" t="s">
        <v>34</v>
      </c>
      <c r="K806" t="s">
        <v>24</v>
      </c>
      <c r="L806">
        <v>55</v>
      </c>
      <c r="M806">
        <v>100.128</v>
      </c>
      <c r="N806">
        <v>102.8082</v>
      </c>
      <c r="O806">
        <v>17.350999999999999</v>
      </c>
      <c r="P806">
        <v>42.994</v>
      </c>
      <c r="Q806">
        <v>39.551000000000002</v>
      </c>
      <c r="R806" t="s">
        <v>270</v>
      </c>
      <c r="S806" t="s">
        <v>83</v>
      </c>
      <c r="T806">
        <f>IF(TRIM(Table1[[#This Row],[PitStopLaps]])="",0,
LEN(Table1[[#This Row],[PitStopLaps]])-LEN(SUBSTITUTE(Table1[[#This Row],[PitStopLaps]],",",""))+1)</f>
        <v>2</v>
      </c>
      <c r="U806">
        <f>Table1[[#This Row],[StartPosition]]-Table1[[#This Row],[FinishPosition]]</f>
        <v>-1</v>
      </c>
    </row>
    <row r="807" spans="1:21" x14ac:dyDescent="0.3">
      <c r="A807">
        <v>2019</v>
      </c>
      <c r="B807">
        <v>21</v>
      </c>
      <c r="C807" t="s">
        <v>240</v>
      </c>
      <c r="D807" t="s">
        <v>248</v>
      </c>
      <c r="E807" t="s">
        <v>249</v>
      </c>
      <c r="F807" t="s">
        <v>33</v>
      </c>
      <c r="G807">
        <v>5</v>
      </c>
      <c r="H807">
        <v>6</v>
      </c>
      <c r="I807">
        <v>8</v>
      </c>
      <c r="J807" t="s">
        <v>34</v>
      </c>
      <c r="K807" t="s">
        <v>24</v>
      </c>
      <c r="L807">
        <v>55</v>
      </c>
      <c r="M807">
        <v>102.21899999999999</v>
      </c>
      <c r="N807">
        <v>103.379384</v>
      </c>
      <c r="O807">
        <v>17.603000000000002</v>
      </c>
      <c r="P807">
        <v>43.481999999999999</v>
      </c>
      <c r="Q807">
        <v>40.521000000000001</v>
      </c>
      <c r="R807">
        <v>13</v>
      </c>
      <c r="S807" t="s">
        <v>83</v>
      </c>
      <c r="T807">
        <f>IF(TRIM(Table1[[#This Row],[PitStopLaps]])="",0,
LEN(Table1[[#This Row],[PitStopLaps]])-LEN(SUBSTITUTE(Table1[[#This Row],[PitStopLaps]],",",""))+1)</f>
        <v>1</v>
      </c>
      <c r="U807">
        <f>Table1[[#This Row],[StartPosition]]-Table1[[#This Row],[FinishPosition]]</f>
        <v>-1</v>
      </c>
    </row>
    <row r="808" spans="1:21" x14ac:dyDescent="0.3">
      <c r="A808">
        <v>2019</v>
      </c>
      <c r="B808">
        <v>21</v>
      </c>
      <c r="C808" t="s">
        <v>240</v>
      </c>
      <c r="D808" t="s">
        <v>49</v>
      </c>
      <c r="E808" t="s">
        <v>50</v>
      </c>
      <c r="F808" t="s">
        <v>192</v>
      </c>
      <c r="G808">
        <v>10</v>
      </c>
      <c r="H808">
        <v>7</v>
      </c>
      <c r="I808">
        <v>6</v>
      </c>
      <c r="J808" t="s">
        <v>34</v>
      </c>
      <c r="K808" t="s">
        <v>65</v>
      </c>
      <c r="L808">
        <v>54</v>
      </c>
      <c r="M808">
        <v>102.639</v>
      </c>
      <c r="N808">
        <v>104.465058</v>
      </c>
      <c r="O808">
        <v>17.675999999999998</v>
      </c>
      <c r="P808">
        <v>43.3</v>
      </c>
      <c r="Q808">
        <v>41.192</v>
      </c>
      <c r="R808">
        <v>37</v>
      </c>
      <c r="S808" t="s">
        <v>83</v>
      </c>
      <c r="T808">
        <f>IF(TRIM(Table1[[#This Row],[PitStopLaps]])="",0,
LEN(Table1[[#This Row],[PitStopLaps]])-LEN(SUBSTITUTE(Table1[[#This Row],[PitStopLaps]],",",""))+1)</f>
        <v>1</v>
      </c>
      <c r="U808">
        <f>Table1[[#This Row],[StartPosition]]-Table1[[#This Row],[FinishPosition]]</f>
        <v>3</v>
      </c>
    </row>
    <row r="809" spans="1:21" x14ac:dyDescent="0.3">
      <c r="A809">
        <v>2019</v>
      </c>
      <c r="B809">
        <v>21</v>
      </c>
      <c r="C809" t="s">
        <v>240</v>
      </c>
      <c r="D809" t="s">
        <v>246</v>
      </c>
      <c r="E809" t="s">
        <v>247</v>
      </c>
      <c r="F809" t="s">
        <v>37</v>
      </c>
      <c r="G809">
        <v>6</v>
      </c>
      <c r="H809">
        <v>8</v>
      </c>
      <c r="I809">
        <v>4</v>
      </c>
      <c r="J809" t="s">
        <v>34</v>
      </c>
      <c r="K809" t="s">
        <v>65</v>
      </c>
      <c r="L809">
        <v>54</v>
      </c>
      <c r="M809">
        <v>103.026</v>
      </c>
      <c r="N809">
        <v>104.45228</v>
      </c>
      <c r="O809">
        <v>17.719000000000001</v>
      </c>
      <c r="P809">
        <v>43.844000000000001</v>
      </c>
      <c r="Q809">
        <v>41.235999999999997</v>
      </c>
      <c r="R809">
        <v>8</v>
      </c>
      <c r="S809" t="s">
        <v>83</v>
      </c>
      <c r="T809">
        <f>IF(TRIM(Table1[[#This Row],[PitStopLaps]])="",0,
LEN(Table1[[#This Row],[PitStopLaps]])-LEN(SUBSTITUTE(Table1[[#This Row],[PitStopLaps]],",",""))+1)</f>
        <v>1</v>
      </c>
      <c r="U809">
        <f>Table1[[#This Row],[StartPosition]]-Table1[[#This Row],[FinishPosition]]</f>
        <v>-2</v>
      </c>
    </row>
    <row r="810" spans="1:21" x14ac:dyDescent="0.3">
      <c r="A810">
        <v>2019</v>
      </c>
      <c r="B810">
        <v>21</v>
      </c>
      <c r="C810" t="s">
        <v>240</v>
      </c>
      <c r="D810" t="s">
        <v>244</v>
      </c>
      <c r="E810" t="s">
        <v>245</v>
      </c>
      <c r="F810" t="s">
        <v>64</v>
      </c>
      <c r="G810">
        <v>13</v>
      </c>
      <c r="H810">
        <v>9</v>
      </c>
      <c r="I810">
        <v>2</v>
      </c>
      <c r="J810" t="s">
        <v>34</v>
      </c>
      <c r="K810" t="s">
        <v>65</v>
      </c>
      <c r="L810">
        <v>54</v>
      </c>
      <c r="M810">
        <v>102.22199999999999</v>
      </c>
      <c r="N810">
        <v>104.46745</v>
      </c>
      <c r="O810">
        <v>17.722999999999999</v>
      </c>
      <c r="P810">
        <v>43.107999999999997</v>
      </c>
      <c r="Q810">
        <v>40.927999999999997</v>
      </c>
      <c r="R810">
        <v>40</v>
      </c>
      <c r="S810" t="s">
        <v>83</v>
      </c>
      <c r="T810">
        <f>IF(TRIM(Table1[[#This Row],[PitStopLaps]])="",0,
LEN(Table1[[#This Row],[PitStopLaps]])-LEN(SUBSTITUTE(Table1[[#This Row],[PitStopLaps]],",",""))+1)</f>
        <v>1</v>
      </c>
      <c r="U810">
        <f>Table1[[#This Row],[StartPosition]]-Table1[[#This Row],[FinishPosition]]</f>
        <v>4</v>
      </c>
    </row>
    <row r="811" spans="1:21" x14ac:dyDescent="0.3">
      <c r="A811">
        <v>2019</v>
      </c>
      <c r="B811">
        <v>21</v>
      </c>
      <c r="C811" t="s">
        <v>240</v>
      </c>
      <c r="D811" t="s">
        <v>47</v>
      </c>
      <c r="E811" t="s">
        <v>48</v>
      </c>
      <c r="F811" t="s">
        <v>37</v>
      </c>
      <c r="G811">
        <v>8</v>
      </c>
      <c r="H811">
        <v>10</v>
      </c>
      <c r="I811">
        <v>1</v>
      </c>
      <c r="J811" t="s">
        <v>34</v>
      </c>
      <c r="K811" t="s">
        <v>65</v>
      </c>
      <c r="L811">
        <v>54</v>
      </c>
      <c r="M811">
        <v>101.294</v>
      </c>
      <c r="N811">
        <v>104.226541</v>
      </c>
      <c r="O811">
        <v>17.523</v>
      </c>
      <c r="P811">
        <v>42.756999999999998</v>
      </c>
      <c r="Q811">
        <v>40.887999999999998</v>
      </c>
      <c r="R811" t="s">
        <v>430</v>
      </c>
      <c r="S811" t="s">
        <v>83</v>
      </c>
      <c r="T811">
        <f>IF(TRIM(Table1[[#This Row],[PitStopLaps]])="",0,
LEN(Table1[[#This Row],[PitStopLaps]])-LEN(SUBSTITUTE(Table1[[#This Row],[PitStopLaps]],",",""))+1)</f>
        <v>2</v>
      </c>
      <c r="U811">
        <f>Table1[[#This Row],[StartPosition]]-Table1[[#This Row],[FinishPosition]]</f>
        <v>-2</v>
      </c>
    </row>
    <row r="812" spans="1:21" x14ac:dyDescent="0.3">
      <c r="A812">
        <v>2019</v>
      </c>
      <c r="B812">
        <v>21</v>
      </c>
      <c r="C812" t="s">
        <v>240</v>
      </c>
      <c r="D812" t="s">
        <v>31</v>
      </c>
      <c r="E812" t="s">
        <v>32</v>
      </c>
      <c r="F812" t="s">
        <v>42</v>
      </c>
      <c r="G812">
        <v>7</v>
      </c>
      <c r="H812">
        <v>11</v>
      </c>
      <c r="I812">
        <v>0</v>
      </c>
      <c r="J812" t="s">
        <v>34</v>
      </c>
      <c r="K812" t="s">
        <v>65</v>
      </c>
      <c r="L812">
        <v>54</v>
      </c>
      <c r="M812">
        <v>101.19</v>
      </c>
      <c r="N812">
        <v>104.22214200000001</v>
      </c>
      <c r="O812">
        <v>17.587</v>
      </c>
      <c r="P812">
        <v>42.948</v>
      </c>
      <c r="Q812">
        <v>40.112000000000002</v>
      </c>
      <c r="R812" t="s">
        <v>431</v>
      </c>
      <c r="S812" t="s">
        <v>83</v>
      </c>
      <c r="T812">
        <f>IF(TRIM(Table1[[#This Row],[PitStopLaps]])="",0,
LEN(Table1[[#This Row],[PitStopLaps]])-LEN(SUBSTITUTE(Table1[[#This Row],[PitStopLaps]],",",""))+1)</f>
        <v>2</v>
      </c>
      <c r="U812">
        <f>Table1[[#This Row],[StartPosition]]-Table1[[#This Row],[FinishPosition]]</f>
        <v>-4</v>
      </c>
    </row>
    <row r="813" spans="1:21" x14ac:dyDescent="0.3">
      <c r="A813">
        <v>2019</v>
      </c>
      <c r="B813">
        <v>21</v>
      </c>
      <c r="C813" t="s">
        <v>240</v>
      </c>
      <c r="D813" t="s">
        <v>40</v>
      </c>
      <c r="E813" t="s">
        <v>41</v>
      </c>
      <c r="F813" t="s">
        <v>42</v>
      </c>
      <c r="G813">
        <v>9</v>
      </c>
      <c r="H813">
        <v>12</v>
      </c>
      <c r="I813">
        <v>0</v>
      </c>
      <c r="J813" t="s">
        <v>34</v>
      </c>
      <c r="K813" t="s">
        <v>65</v>
      </c>
      <c r="L813">
        <v>54</v>
      </c>
      <c r="M813">
        <v>103.274</v>
      </c>
      <c r="N813">
        <v>104.589215</v>
      </c>
      <c r="O813">
        <v>17.835000000000001</v>
      </c>
      <c r="P813">
        <v>43.598999999999997</v>
      </c>
      <c r="Q813">
        <v>41.402999999999999</v>
      </c>
      <c r="R813">
        <v>18</v>
      </c>
      <c r="S813" t="s">
        <v>83</v>
      </c>
      <c r="T813">
        <f>IF(TRIM(Table1[[#This Row],[PitStopLaps]])="",0,
LEN(Table1[[#This Row],[PitStopLaps]])-LEN(SUBSTITUTE(Table1[[#This Row],[PitStopLaps]],",",""))+1)</f>
        <v>1</v>
      </c>
      <c r="U813">
        <f>Table1[[#This Row],[StartPosition]]-Table1[[#This Row],[FinishPosition]]</f>
        <v>-3</v>
      </c>
    </row>
    <row r="814" spans="1:21" x14ac:dyDescent="0.3">
      <c r="A814">
        <v>2019</v>
      </c>
      <c r="B814">
        <v>21</v>
      </c>
      <c r="C814" t="s">
        <v>240</v>
      </c>
      <c r="D814" t="s">
        <v>29</v>
      </c>
      <c r="E814" t="s">
        <v>30</v>
      </c>
      <c r="F814" t="s">
        <v>243</v>
      </c>
      <c r="G814">
        <v>17</v>
      </c>
      <c r="H814">
        <v>13</v>
      </c>
      <c r="I814">
        <v>0</v>
      </c>
      <c r="J814" t="s">
        <v>34</v>
      </c>
      <c r="K814" t="s">
        <v>65</v>
      </c>
      <c r="L814">
        <v>54</v>
      </c>
      <c r="M814">
        <v>103.142</v>
      </c>
      <c r="N814">
        <v>104.69864699999999</v>
      </c>
      <c r="O814">
        <v>17.78</v>
      </c>
      <c r="P814">
        <v>43.46</v>
      </c>
      <c r="Q814">
        <v>41.21</v>
      </c>
      <c r="R814">
        <v>22</v>
      </c>
      <c r="S814" t="s">
        <v>83</v>
      </c>
      <c r="T814">
        <f>IF(TRIM(Table1[[#This Row],[PitStopLaps]])="",0,
LEN(Table1[[#This Row],[PitStopLaps]])-LEN(SUBSTITUTE(Table1[[#This Row],[PitStopLaps]],",",""))+1)</f>
        <v>1</v>
      </c>
      <c r="U814">
        <f>Table1[[#This Row],[StartPosition]]-Table1[[#This Row],[FinishPosition]]</f>
        <v>4</v>
      </c>
    </row>
    <row r="815" spans="1:21" x14ac:dyDescent="0.3">
      <c r="A815">
        <v>2019</v>
      </c>
      <c r="B815">
        <v>21</v>
      </c>
      <c r="C815" t="s">
        <v>240</v>
      </c>
      <c r="D815" t="s">
        <v>71</v>
      </c>
      <c r="E815" t="s">
        <v>72</v>
      </c>
      <c r="F815" t="s">
        <v>69</v>
      </c>
      <c r="G815">
        <v>14</v>
      </c>
      <c r="H815">
        <v>14</v>
      </c>
      <c r="I815">
        <v>0</v>
      </c>
      <c r="J815" t="s">
        <v>34</v>
      </c>
      <c r="K815" t="s">
        <v>65</v>
      </c>
      <c r="L815">
        <v>54</v>
      </c>
      <c r="M815">
        <v>103.79</v>
      </c>
      <c r="N815">
        <v>105.05439200000001</v>
      </c>
      <c r="O815">
        <v>17.774999999999999</v>
      </c>
      <c r="P815">
        <v>44.094999999999999</v>
      </c>
      <c r="Q815">
        <v>41.587000000000003</v>
      </c>
      <c r="R815">
        <v>20</v>
      </c>
      <c r="S815" t="s">
        <v>83</v>
      </c>
      <c r="T815">
        <f>IF(TRIM(Table1[[#This Row],[PitStopLaps]])="",0,
LEN(Table1[[#This Row],[PitStopLaps]])-LEN(SUBSTITUTE(Table1[[#This Row],[PitStopLaps]],",",""))+1)</f>
        <v>1</v>
      </c>
      <c r="U815">
        <f>Table1[[#This Row],[StartPosition]]-Table1[[#This Row],[FinishPosition]]</f>
        <v>0</v>
      </c>
    </row>
    <row r="816" spans="1:21" x14ac:dyDescent="0.3">
      <c r="A816">
        <v>2019</v>
      </c>
      <c r="B816">
        <v>21</v>
      </c>
      <c r="C816" t="s">
        <v>240</v>
      </c>
      <c r="D816" t="s">
        <v>67</v>
      </c>
      <c r="E816" t="s">
        <v>68</v>
      </c>
      <c r="F816" t="s">
        <v>69</v>
      </c>
      <c r="G816">
        <v>15</v>
      </c>
      <c r="H816">
        <v>15</v>
      </c>
      <c r="I816">
        <v>0</v>
      </c>
      <c r="J816" t="s">
        <v>34</v>
      </c>
      <c r="K816" t="s">
        <v>65</v>
      </c>
      <c r="L816">
        <v>54</v>
      </c>
      <c r="M816">
        <v>103.666</v>
      </c>
      <c r="N816">
        <v>105.259274</v>
      </c>
      <c r="O816">
        <v>17.788</v>
      </c>
      <c r="P816">
        <v>43.93</v>
      </c>
      <c r="Q816">
        <v>41.478999999999999</v>
      </c>
      <c r="R816">
        <v>18</v>
      </c>
      <c r="S816" t="s">
        <v>83</v>
      </c>
      <c r="T816">
        <f>IF(TRIM(Table1[[#This Row],[PitStopLaps]])="",0,
LEN(Table1[[#This Row],[PitStopLaps]])-LEN(SUBSTITUTE(Table1[[#This Row],[PitStopLaps]],",",""))+1)</f>
        <v>1</v>
      </c>
      <c r="U816">
        <f>Table1[[#This Row],[StartPosition]]-Table1[[#This Row],[FinishPosition]]</f>
        <v>0</v>
      </c>
    </row>
    <row r="817" spans="1:21" x14ac:dyDescent="0.3">
      <c r="A817">
        <v>2019</v>
      </c>
      <c r="B817">
        <v>21</v>
      </c>
      <c r="C817" t="s">
        <v>240</v>
      </c>
      <c r="D817" t="s">
        <v>250</v>
      </c>
      <c r="E817" t="s">
        <v>251</v>
      </c>
      <c r="F817" t="s">
        <v>243</v>
      </c>
      <c r="G817">
        <v>16</v>
      </c>
      <c r="H817">
        <v>16</v>
      </c>
      <c r="I817">
        <v>0</v>
      </c>
      <c r="J817" t="s">
        <v>34</v>
      </c>
      <c r="K817" t="s">
        <v>65</v>
      </c>
      <c r="L817">
        <v>54</v>
      </c>
      <c r="M817">
        <v>103.256</v>
      </c>
      <c r="N817">
        <v>105.13473399999999</v>
      </c>
      <c r="O817">
        <v>17.931999999999999</v>
      </c>
      <c r="P817">
        <v>43.784999999999997</v>
      </c>
      <c r="Q817">
        <v>41.463999999999999</v>
      </c>
      <c r="R817" t="s">
        <v>432</v>
      </c>
      <c r="S817" t="s">
        <v>83</v>
      </c>
      <c r="T817">
        <f>IF(TRIM(Table1[[#This Row],[PitStopLaps]])="",0,
LEN(Table1[[#This Row],[PitStopLaps]])-LEN(SUBSTITUTE(Table1[[#This Row],[PitStopLaps]],",",""))+1)</f>
        <v>2</v>
      </c>
      <c r="U817">
        <f>Table1[[#This Row],[StartPosition]]-Table1[[#This Row],[FinishPosition]]</f>
        <v>0</v>
      </c>
    </row>
    <row r="818" spans="1:21" x14ac:dyDescent="0.3">
      <c r="A818">
        <v>2019</v>
      </c>
      <c r="B818">
        <v>21</v>
      </c>
      <c r="C818" t="s">
        <v>240</v>
      </c>
      <c r="D818" t="s">
        <v>252</v>
      </c>
      <c r="E818" t="s">
        <v>253</v>
      </c>
      <c r="F818" t="s">
        <v>60</v>
      </c>
      <c r="G818">
        <v>18</v>
      </c>
      <c r="H818">
        <v>17</v>
      </c>
      <c r="I818">
        <v>0</v>
      </c>
      <c r="J818" t="s">
        <v>34</v>
      </c>
      <c r="K818" t="s">
        <v>65</v>
      </c>
      <c r="L818">
        <v>54</v>
      </c>
      <c r="M818">
        <v>103.074</v>
      </c>
      <c r="N818">
        <v>105.72780299999999</v>
      </c>
      <c r="O818">
        <v>17.731999999999999</v>
      </c>
      <c r="P818">
        <v>43.661999999999999</v>
      </c>
      <c r="Q818">
        <v>41.258000000000003</v>
      </c>
      <c r="R818">
        <v>32</v>
      </c>
      <c r="S818" t="s">
        <v>83</v>
      </c>
      <c r="T818">
        <f>IF(TRIM(Table1[[#This Row],[PitStopLaps]])="",0,
LEN(Table1[[#This Row],[PitStopLaps]])-LEN(SUBSTITUTE(Table1[[#This Row],[PitStopLaps]],",",""))+1)</f>
        <v>1</v>
      </c>
      <c r="U818">
        <f>Table1[[#This Row],[StartPosition]]-Table1[[#This Row],[FinishPosition]]</f>
        <v>1</v>
      </c>
    </row>
    <row r="819" spans="1:21" x14ac:dyDescent="0.3">
      <c r="A819">
        <v>2019</v>
      </c>
      <c r="B819">
        <v>21</v>
      </c>
      <c r="C819" t="s">
        <v>240</v>
      </c>
      <c r="D819" t="s">
        <v>73</v>
      </c>
      <c r="E819" t="s">
        <v>74</v>
      </c>
      <c r="F819" t="s">
        <v>64</v>
      </c>
      <c r="G819">
        <v>11</v>
      </c>
      <c r="H819">
        <v>18</v>
      </c>
      <c r="I819">
        <v>0</v>
      </c>
      <c r="J819" t="s">
        <v>34</v>
      </c>
      <c r="K819" t="s">
        <v>127</v>
      </c>
      <c r="L819">
        <v>53</v>
      </c>
      <c r="M819">
        <v>102.414</v>
      </c>
      <c r="N819">
        <v>104.92229399999999</v>
      </c>
      <c r="O819">
        <v>17.722999999999999</v>
      </c>
      <c r="P819">
        <v>43.768000000000001</v>
      </c>
      <c r="Q819">
        <v>40.923000000000002</v>
      </c>
      <c r="R819">
        <v>1</v>
      </c>
      <c r="S819" t="s">
        <v>83</v>
      </c>
      <c r="T819">
        <f>IF(TRIM(Table1[[#This Row],[PitStopLaps]])="",0,
LEN(Table1[[#This Row],[PitStopLaps]])-LEN(SUBSTITUTE(Table1[[#This Row],[PitStopLaps]],",",""))+1)</f>
        <v>1</v>
      </c>
      <c r="U819">
        <f>Table1[[#This Row],[StartPosition]]-Table1[[#This Row],[FinishPosition]]</f>
        <v>-7</v>
      </c>
    </row>
    <row r="820" spans="1:21" x14ac:dyDescent="0.3">
      <c r="A820">
        <v>2019</v>
      </c>
      <c r="B820">
        <v>21</v>
      </c>
      <c r="C820" t="s">
        <v>240</v>
      </c>
      <c r="D820" t="s">
        <v>255</v>
      </c>
      <c r="E820" t="s">
        <v>256</v>
      </c>
      <c r="F820" t="s">
        <v>60</v>
      </c>
      <c r="G820">
        <v>19</v>
      </c>
      <c r="H820">
        <v>19</v>
      </c>
      <c r="I820">
        <v>0</v>
      </c>
      <c r="J820" t="s">
        <v>34</v>
      </c>
      <c r="K820" t="s">
        <v>127</v>
      </c>
      <c r="L820">
        <v>53</v>
      </c>
      <c r="M820">
        <v>104.5</v>
      </c>
      <c r="N820">
        <v>106.31846</v>
      </c>
      <c r="O820">
        <v>17.984000000000002</v>
      </c>
      <c r="P820">
        <v>44.414999999999999</v>
      </c>
      <c r="Q820">
        <v>41.935000000000002</v>
      </c>
      <c r="R820">
        <v>24</v>
      </c>
      <c r="S820" t="s">
        <v>83</v>
      </c>
      <c r="T820">
        <f>IF(TRIM(Table1[[#This Row],[PitStopLaps]])="",0,
LEN(Table1[[#This Row],[PitStopLaps]])-LEN(SUBSTITUTE(Table1[[#This Row],[PitStopLaps]],",",""))+1)</f>
        <v>1</v>
      </c>
      <c r="U820">
        <f>Table1[[#This Row],[StartPosition]]-Table1[[#This Row],[FinishPosition]]</f>
        <v>0</v>
      </c>
    </row>
    <row r="821" spans="1:21" x14ac:dyDescent="0.3">
      <c r="A821">
        <v>2019</v>
      </c>
      <c r="B821">
        <v>21</v>
      </c>
      <c r="C821" t="s">
        <v>240</v>
      </c>
      <c r="D821" t="s">
        <v>58</v>
      </c>
      <c r="E821" t="s">
        <v>59</v>
      </c>
      <c r="F821" t="s">
        <v>192</v>
      </c>
      <c r="G821">
        <v>12</v>
      </c>
      <c r="H821">
        <v>20</v>
      </c>
      <c r="I821">
        <v>0</v>
      </c>
      <c r="J821" t="s">
        <v>34</v>
      </c>
      <c r="K821" t="s">
        <v>81</v>
      </c>
      <c r="L821">
        <v>45</v>
      </c>
      <c r="M821">
        <v>103.32599999999999</v>
      </c>
      <c r="N821">
        <v>105.45548700000001</v>
      </c>
      <c r="O821">
        <v>17.786999999999999</v>
      </c>
      <c r="P821">
        <v>43.488</v>
      </c>
      <c r="Q821">
        <v>41.424999999999997</v>
      </c>
      <c r="R821" t="s">
        <v>433</v>
      </c>
      <c r="S821" t="s">
        <v>83</v>
      </c>
      <c r="T821">
        <f>IF(TRIM(Table1[[#This Row],[PitStopLaps]])="",0,
LEN(Table1[[#This Row],[PitStopLaps]])-LEN(SUBSTITUTE(Table1[[#This Row],[PitStopLaps]],",",""))+1)</f>
        <v>3</v>
      </c>
      <c r="U821">
        <f>Table1[[#This Row],[StartPosition]]-Table1[[#This Row],[FinishPosition]]</f>
        <v>-8</v>
      </c>
    </row>
    <row r="822" spans="1:21" x14ac:dyDescent="0.3">
      <c r="A822">
        <v>2020</v>
      </c>
      <c r="B822">
        <v>1</v>
      </c>
      <c r="C822" t="s">
        <v>149</v>
      </c>
      <c r="D822" t="s">
        <v>43</v>
      </c>
      <c r="E822" t="s">
        <v>44</v>
      </c>
      <c r="F822" t="s">
        <v>28</v>
      </c>
      <c r="G822">
        <v>1</v>
      </c>
      <c r="H822">
        <v>1</v>
      </c>
      <c r="I822">
        <v>25</v>
      </c>
      <c r="J822" t="s">
        <v>23</v>
      </c>
      <c r="K822" t="s">
        <v>24</v>
      </c>
      <c r="L822">
        <v>68</v>
      </c>
      <c r="M822">
        <v>67.656999999999996</v>
      </c>
      <c r="N822">
        <v>72.097354999999993</v>
      </c>
      <c r="O822">
        <v>17.122</v>
      </c>
      <c r="P822">
        <v>30.181000000000001</v>
      </c>
      <c r="Q822">
        <v>20.21</v>
      </c>
      <c r="R822" t="s">
        <v>434</v>
      </c>
      <c r="S822" t="s">
        <v>83</v>
      </c>
      <c r="T822">
        <f>IF(TRIM(Table1[[#This Row],[PitStopLaps]])="",0,
LEN(Table1[[#This Row],[PitStopLaps]])-LEN(SUBSTITUTE(Table1[[#This Row],[PitStopLaps]],",",""))+1)</f>
        <v>2</v>
      </c>
      <c r="U822">
        <f>Table1[[#This Row],[StartPosition]]-Table1[[#This Row],[FinishPosition]]</f>
        <v>0</v>
      </c>
    </row>
    <row r="823" spans="1:21" x14ac:dyDescent="0.3">
      <c r="A823">
        <v>2020</v>
      </c>
      <c r="B823">
        <v>1</v>
      </c>
      <c r="C823" t="s">
        <v>149</v>
      </c>
      <c r="D823" t="s">
        <v>54</v>
      </c>
      <c r="E823" t="s">
        <v>55</v>
      </c>
      <c r="F823" t="s">
        <v>22</v>
      </c>
      <c r="G823">
        <v>7</v>
      </c>
      <c r="H823">
        <v>2</v>
      </c>
      <c r="I823">
        <v>18</v>
      </c>
      <c r="J823" t="s">
        <v>23</v>
      </c>
      <c r="K823" t="s">
        <v>24</v>
      </c>
      <c r="L823">
        <v>67</v>
      </c>
      <c r="M823">
        <v>67.935000000000002</v>
      </c>
      <c r="N823">
        <v>71.141975000000002</v>
      </c>
      <c r="O823">
        <v>16.864000000000001</v>
      </c>
      <c r="P823">
        <v>30.169</v>
      </c>
      <c r="Q823">
        <v>20.457000000000001</v>
      </c>
      <c r="R823" t="s">
        <v>435</v>
      </c>
      <c r="S823" t="s">
        <v>83</v>
      </c>
      <c r="T823">
        <f>IF(TRIM(Table1[[#This Row],[PitStopLaps]])="",0,
LEN(Table1[[#This Row],[PitStopLaps]])-LEN(SUBSTITUTE(Table1[[#This Row],[PitStopLaps]],",",""))+1)</f>
        <v>3</v>
      </c>
      <c r="U823">
        <f>Table1[[#This Row],[StartPosition]]-Table1[[#This Row],[FinishPosition]]</f>
        <v>5</v>
      </c>
    </row>
    <row r="824" spans="1:21" x14ac:dyDescent="0.3">
      <c r="A824">
        <v>2020</v>
      </c>
      <c r="B824">
        <v>1</v>
      </c>
      <c r="C824" t="s">
        <v>149</v>
      </c>
      <c r="D824" t="s">
        <v>246</v>
      </c>
      <c r="E824" t="s">
        <v>247</v>
      </c>
      <c r="F824" t="s">
        <v>37</v>
      </c>
      <c r="G824">
        <v>3</v>
      </c>
      <c r="H824">
        <v>3</v>
      </c>
      <c r="I824">
        <v>16</v>
      </c>
      <c r="J824" t="s">
        <v>23</v>
      </c>
      <c r="K824" t="s">
        <v>24</v>
      </c>
      <c r="L824">
        <v>67</v>
      </c>
      <c r="M824">
        <v>67.474999999999994</v>
      </c>
      <c r="N824">
        <v>71.160169999999994</v>
      </c>
      <c r="O824">
        <v>16.887</v>
      </c>
      <c r="P824">
        <v>29.981999999999999</v>
      </c>
      <c r="Q824">
        <v>20.170000000000002</v>
      </c>
      <c r="R824" t="s">
        <v>435</v>
      </c>
      <c r="S824" t="s">
        <v>83</v>
      </c>
      <c r="T824">
        <f>IF(TRIM(Table1[[#This Row],[PitStopLaps]])="",0,
LEN(Table1[[#This Row],[PitStopLaps]])-LEN(SUBSTITUTE(Table1[[#This Row],[PitStopLaps]],",",""))+1)</f>
        <v>3</v>
      </c>
      <c r="U824">
        <f>Table1[[#This Row],[StartPosition]]-Table1[[#This Row],[FinishPosition]]</f>
        <v>0</v>
      </c>
    </row>
    <row r="825" spans="1:21" x14ac:dyDescent="0.3">
      <c r="A825">
        <v>2020</v>
      </c>
      <c r="B825">
        <v>1</v>
      </c>
      <c r="C825" t="s">
        <v>149</v>
      </c>
      <c r="D825" t="s">
        <v>26</v>
      </c>
      <c r="E825" t="s">
        <v>27</v>
      </c>
      <c r="F825" t="s">
        <v>28</v>
      </c>
      <c r="G825">
        <v>5</v>
      </c>
      <c r="H825">
        <v>4</v>
      </c>
      <c r="I825">
        <v>12</v>
      </c>
      <c r="J825" t="s">
        <v>34</v>
      </c>
      <c r="K825" t="s">
        <v>24</v>
      </c>
      <c r="L825">
        <v>67</v>
      </c>
      <c r="M825">
        <v>67.712000000000003</v>
      </c>
      <c r="N825">
        <v>72.304738</v>
      </c>
      <c r="O825">
        <v>16.812999999999999</v>
      </c>
      <c r="P825">
        <v>30.315999999999999</v>
      </c>
      <c r="Q825">
        <v>20.204000000000001</v>
      </c>
      <c r="R825" t="s">
        <v>436</v>
      </c>
      <c r="S825" t="s">
        <v>83</v>
      </c>
      <c r="T825">
        <f>IF(TRIM(Table1[[#This Row],[PitStopLaps]])="",0,
LEN(Table1[[#This Row],[PitStopLaps]])-LEN(SUBSTITUTE(Table1[[#This Row],[PitStopLaps]],",",""))+1)</f>
        <v>2</v>
      </c>
      <c r="U825">
        <f>Table1[[#This Row],[StartPosition]]-Table1[[#This Row],[FinishPosition]]</f>
        <v>1</v>
      </c>
    </row>
    <row r="826" spans="1:21" x14ac:dyDescent="0.3">
      <c r="A826">
        <v>2020</v>
      </c>
      <c r="B826">
        <v>1</v>
      </c>
      <c r="C826" t="s">
        <v>149</v>
      </c>
      <c r="D826" t="s">
        <v>47</v>
      </c>
      <c r="E826" t="s">
        <v>48</v>
      </c>
      <c r="F826" t="s">
        <v>37</v>
      </c>
      <c r="G826">
        <v>8</v>
      </c>
      <c r="H826">
        <v>5</v>
      </c>
      <c r="I826">
        <v>10</v>
      </c>
      <c r="J826" t="s">
        <v>34</v>
      </c>
      <c r="K826" t="s">
        <v>24</v>
      </c>
      <c r="L826">
        <v>67</v>
      </c>
      <c r="M826">
        <v>68.308000000000007</v>
      </c>
      <c r="N826">
        <v>70.772120999999999</v>
      </c>
      <c r="O826">
        <v>16.632000000000001</v>
      </c>
      <c r="P826">
        <v>30.631</v>
      </c>
      <c r="Q826">
        <v>20.574000000000002</v>
      </c>
      <c r="R826" t="s">
        <v>437</v>
      </c>
      <c r="S826" t="s">
        <v>83</v>
      </c>
      <c r="T826">
        <f>IF(TRIM(Table1[[#This Row],[PitStopLaps]])="",0,
LEN(Table1[[#This Row],[PitStopLaps]])-LEN(SUBSTITUTE(Table1[[#This Row],[PitStopLaps]],",",""))+1)</f>
        <v>3</v>
      </c>
      <c r="U826">
        <f>Table1[[#This Row],[StartPosition]]-Table1[[#This Row],[FinishPosition]]</f>
        <v>3</v>
      </c>
    </row>
    <row r="827" spans="1:21" x14ac:dyDescent="0.3">
      <c r="A827">
        <v>2020</v>
      </c>
      <c r="B827">
        <v>1</v>
      </c>
      <c r="C827" t="s">
        <v>149</v>
      </c>
      <c r="D827" t="s">
        <v>49</v>
      </c>
      <c r="E827" t="s">
        <v>50</v>
      </c>
      <c r="F827" t="s">
        <v>192</v>
      </c>
      <c r="G827">
        <v>6</v>
      </c>
      <c r="H827">
        <v>6</v>
      </c>
      <c r="I827">
        <v>8</v>
      </c>
      <c r="J827" t="s">
        <v>34</v>
      </c>
      <c r="K827" t="s">
        <v>24</v>
      </c>
      <c r="L827">
        <v>67</v>
      </c>
      <c r="M827">
        <v>68.373999999999995</v>
      </c>
      <c r="N827">
        <v>72.486092999999997</v>
      </c>
      <c r="O827">
        <v>16.919</v>
      </c>
      <c r="P827">
        <v>30.390999999999998</v>
      </c>
      <c r="Q827">
        <v>20.582000000000001</v>
      </c>
      <c r="R827" t="s">
        <v>436</v>
      </c>
      <c r="S827" t="s">
        <v>83</v>
      </c>
      <c r="T827">
        <f>IF(TRIM(Table1[[#This Row],[PitStopLaps]])="",0,
LEN(Table1[[#This Row],[PitStopLaps]])-LEN(SUBSTITUTE(Table1[[#This Row],[PitStopLaps]],",",""))+1)</f>
        <v>2</v>
      </c>
      <c r="U827">
        <f>Table1[[#This Row],[StartPosition]]-Table1[[#This Row],[FinishPosition]]</f>
        <v>0</v>
      </c>
    </row>
    <row r="828" spans="1:21" x14ac:dyDescent="0.3">
      <c r="A828">
        <v>2020</v>
      </c>
      <c r="B828">
        <v>1</v>
      </c>
      <c r="C828" t="s">
        <v>149</v>
      </c>
      <c r="D828" t="s">
        <v>73</v>
      </c>
      <c r="E828" t="s">
        <v>74</v>
      </c>
      <c r="F828" t="s">
        <v>438</v>
      </c>
      <c r="G828">
        <v>12</v>
      </c>
      <c r="H828">
        <v>7</v>
      </c>
      <c r="I828">
        <v>6</v>
      </c>
      <c r="J828" t="s">
        <v>34</v>
      </c>
      <c r="K828" t="s">
        <v>24</v>
      </c>
      <c r="L828">
        <v>67</v>
      </c>
      <c r="M828">
        <v>69.120999999999995</v>
      </c>
      <c r="N828">
        <v>72.331744</v>
      </c>
      <c r="O828">
        <v>17.41</v>
      </c>
      <c r="P828">
        <v>30.716999999999999</v>
      </c>
      <c r="Q828">
        <v>20.763999999999999</v>
      </c>
      <c r="R828" t="s">
        <v>436</v>
      </c>
      <c r="S828" t="s">
        <v>83</v>
      </c>
      <c r="T828">
        <f>IF(TRIM(Table1[[#This Row],[PitStopLaps]])="",0,
LEN(Table1[[#This Row],[PitStopLaps]])-LEN(SUBSTITUTE(Table1[[#This Row],[PitStopLaps]],",",""))+1)</f>
        <v>2</v>
      </c>
      <c r="U828">
        <f>Table1[[#This Row],[StartPosition]]-Table1[[#This Row],[FinishPosition]]</f>
        <v>5</v>
      </c>
    </row>
    <row r="829" spans="1:21" x14ac:dyDescent="0.3">
      <c r="A829">
        <v>2020</v>
      </c>
      <c r="B829">
        <v>1</v>
      </c>
      <c r="C829" t="s">
        <v>149</v>
      </c>
      <c r="D829" t="s">
        <v>52</v>
      </c>
      <c r="E829" t="s">
        <v>53</v>
      </c>
      <c r="F829" t="s">
        <v>42</v>
      </c>
      <c r="G829">
        <v>14</v>
      </c>
      <c r="H829">
        <v>8</v>
      </c>
      <c r="I829">
        <v>4</v>
      </c>
      <c r="J829" t="s">
        <v>34</v>
      </c>
      <c r="K829" t="s">
        <v>24</v>
      </c>
      <c r="L829">
        <v>67</v>
      </c>
      <c r="M829">
        <v>68.912000000000006</v>
      </c>
      <c r="N829">
        <v>73.010750000000002</v>
      </c>
      <c r="O829">
        <v>16.991</v>
      </c>
      <c r="P829">
        <v>30.922999999999998</v>
      </c>
      <c r="Q829">
        <v>20.838999999999999</v>
      </c>
      <c r="R829" t="s">
        <v>436</v>
      </c>
      <c r="S829" t="s">
        <v>83</v>
      </c>
      <c r="T829">
        <f>IF(TRIM(Table1[[#This Row],[PitStopLaps]])="",0,
LEN(Table1[[#This Row],[PitStopLaps]])-LEN(SUBSTITUTE(Table1[[#This Row],[PitStopLaps]],",",""))+1)</f>
        <v>2</v>
      </c>
      <c r="U829">
        <f>Table1[[#This Row],[StartPosition]]-Table1[[#This Row],[FinishPosition]]</f>
        <v>6</v>
      </c>
    </row>
    <row r="830" spans="1:21" x14ac:dyDescent="0.3">
      <c r="A830">
        <v>2020</v>
      </c>
      <c r="B830">
        <v>1</v>
      </c>
      <c r="C830" t="s">
        <v>149</v>
      </c>
      <c r="D830" t="s">
        <v>250</v>
      </c>
      <c r="E830" t="s">
        <v>251</v>
      </c>
      <c r="F830" t="s">
        <v>243</v>
      </c>
      <c r="G830">
        <v>18</v>
      </c>
      <c r="H830">
        <v>9</v>
      </c>
      <c r="I830">
        <v>2</v>
      </c>
      <c r="J830" t="s">
        <v>34</v>
      </c>
      <c r="K830" t="s">
        <v>24</v>
      </c>
      <c r="L830">
        <v>67</v>
      </c>
      <c r="M830">
        <v>68.796000000000006</v>
      </c>
      <c r="N830">
        <v>73.055704000000006</v>
      </c>
      <c r="O830">
        <v>17.050999999999998</v>
      </c>
      <c r="P830">
        <v>30.541</v>
      </c>
      <c r="Q830">
        <v>20.888000000000002</v>
      </c>
      <c r="R830" t="s">
        <v>439</v>
      </c>
      <c r="S830" t="s">
        <v>83</v>
      </c>
      <c r="T830">
        <f>IF(TRIM(Table1[[#This Row],[PitStopLaps]])="",0,
LEN(Table1[[#This Row],[PitStopLaps]])-LEN(SUBSTITUTE(Table1[[#This Row],[PitStopLaps]],",",""))+1)</f>
        <v>3</v>
      </c>
      <c r="U830">
        <f>Table1[[#This Row],[StartPosition]]-Table1[[#This Row],[FinishPosition]]</f>
        <v>9</v>
      </c>
    </row>
    <row r="831" spans="1:21" x14ac:dyDescent="0.3">
      <c r="A831">
        <v>2020</v>
      </c>
      <c r="B831">
        <v>1</v>
      </c>
      <c r="C831" t="s">
        <v>149</v>
      </c>
      <c r="D831" t="s">
        <v>20</v>
      </c>
      <c r="E831" t="s">
        <v>21</v>
      </c>
      <c r="F831" t="s">
        <v>22</v>
      </c>
      <c r="G831">
        <v>11</v>
      </c>
      <c r="H831">
        <v>10</v>
      </c>
      <c r="I831">
        <v>1</v>
      </c>
      <c r="J831" t="s">
        <v>34</v>
      </c>
      <c r="K831" t="s">
        <v>24</v>
      </c>
      <c r="L831">
        <v>67</v>
      </c>
      <c r="M831">
        <v>68.623000000000005</v>
      </c>
      <c r="N831">
        <v>70.919072999999997</v>
      </c>
      <c r="O831">
        <v>17.073</v>
      </c>
      <c r="P831">
        <v>30.462</v>
      </c>
      <c r="Q831">
        <v>20.745999999999999</v>
      </c>
      <c r="R831" t="s">
        <v>435</v>
      </c>
      <c r="S831" t="s">
        <v>83</v>
      </c>
      <c r="T831">
        <f>IF(TRIM(Table1[[#This Row],[PitStopLaps]])="",0,
LEN(Table1[[#This Row],[PitStopLaps]])-LEN(SUBSTITUTE(Table1[[#This Row],[PitStopLaps]],",",""))+1)</f>
        <v>3</v>
      </c>
      <c r="U831">
        <f>Table1[[#This Row],[StartPosition]]-Table1[[#This Row],[FinishPosition]]</f>
        <v>1</v>
      </c>
    </row>
    <row r="832" spans="1:21" x14ac:dyDescent="0.3">
      <c r="A832">
        <v>2020</v>
      </c>
      <c r="B832">
        <v>1</v>
      </c>
      <c r="C832" t="s">
        <v>149</v>
      </c>
      <c r="D832" t="s">
        <v>440</v>
      </c>
      <c r="E832" t="s">
        <v>441</v>
      </c>
      <c r="F832" t="s">
        <v>60</v>
      </c>
      <c r="G832">
        <v>20</v>
      </c>
      <c r="H832">
        <v>11</v>
      </c>
      <c r="I832">
        <v>0</v>
      </c>
      <c r="J832" t="s">
        <v>34</v>
      </c>
      <c r="K832" t="s">
        <v>24</v>
      </c>
      <c r="L832">
        <v>67</v>
      </c>
      <c r="M832">
        <v>69.816999999999993</v>
      </c>
      <c r="N832">
        <v>71.994784999999993</v>
      </c>
      <c r="O832">
        <v>17.108000000000001</v>
      </c>
      <c r="P832">
        <v>31.023</v>
      </c>
      <c r="Q832">
        <v>20.998999999999999</v>
      </c>
      <c r="R832" t="s">
        <v>435</v>
      </c>
      <c r="S832" t="s">
        <v>83</v>
      </c>
      <c r="T832">
        <f>IF(TRIM(Table1[[#This Row],[PitStopLaps]])="",0,
LEN(Table1[[#This Row],[PitStopLaps]])-LEN(SUBSTITUTE(Table1[[#This Row],[PitStopLaps]],",",""))+1)</f>
        <v>3</v>
      </c>
      <c r="U832">
        <f>Table1[[#This Row],[StartPosition]]-Table1[[#This Row],[FinishPosition]]</f>
        <v>9</v>
      </c>
    </row>
    <row r="833" spans="1:21" x14ac:dyDescent="0.3">
      <c r="A833">
        <v>2020</v>
      </c>
      <c r="B833">
        <v>1</v>
      </c>
      <c r="C833" t="s">
        <v>149</v>
      </c>
      <c r="D833" t="s">
        <v>244</v>
      </c>
      <c r="E833" t="s">
        <v>245</v>
      </c>
      <c r="F833" t="s">
        <v>438</v>
      </c>
      <c r="G833">
        <v>13</v>
      </c>
      <c r="H833">
        <v>12</v>
      </c>
      <c r="I833">
        <v>0</v>
      </c>
      <c r="J833" t="s">
        <v>34</v>
      </c>
      <c r="K833" t="s">
        <v>187</v>
      </c>
      <c r="L833">
        <v>65</v>
      </c>
      <c r="M833">
        <v>69.135000000000005</v>
      </c>
      <c r="N833">
        <v>71.399692000000002</v>
      </c>
      <c r="O833">
        <v>17.146999999999998</v>
      </c>
      <c r="P833">
        <v>30.66</v>
      </c>
      <c r="Q833">
        <v>20.9</v>
      </c>
      <c r="R833" t="s">
        <v>435</v>
      </c>
      <c r="S833" t="s">
        <v>83</v>
      </c>
      <c r="T833">
        <f>IF(TRIM(Table1[[#This Row],[PitStopLaps]])="",0,
LEN(Table1[[#This Row],[PitStopLaps]])-LEN(SUBSTITUTE(Table1[[#This Row],[PitStopLaps]],",",""))+1)</f>
        <v>3</v>
      </c>
      <c r="U833">
        <f>Table1[[#This Row],[StartPosition]]-Table1[[#This Row],[FinishPosition]]</f>
        <v>1</v>
      </c>
    </row>
    <row r="834" spans="1:21" x14ac:dyDescent="0.3">
      <c r="A834">
        <v>2020</v>
      </c>
      <c r="B834">
        <v>1</v>
      </c>
      <c r="C834" t="s">
        <v>149</v>
      </c>
      <c r="D834" t="s">
        <v>248</v>
      </c>
      <c r="E834" t="s">
        <v>249</v>
      </c>
      <c r="F834" t="s">
        <v>33</v>
      </c>
      <c r="G834">
        <v>4</v>
      </c>
      <c r="H834">
        <v>13</v>
      </c>
      <c r="I834">
        <v>0</v>
      </c>
      <c r="J834" t="s">
        <v>34</v>
      </c>
      <c r="K834" t="s">
        <v>442</v>
      </c>
      <c r="L834">
        <v>63</v>
      </c>
      <c r="M834">
        <v>68.432000000000002</v>
      </c>
      <c r="N834">
        <v>71.685388000000003</v>
      </c>
      <c r="O834">
        <v>16.934000000000001</v>
      </c>
      <c r="P834">
        <v>30.327999999999999</v>
      </c>
      <c r="Q834">
        <v>20.734000000000002</v>
      </c>
      <c r="R834" t="s">
        <v>435</v>
      </c>
      <c r="S834" t="s">
        <v>83</v>
      </c>
      <c r="T834">
        <f>IF(TRIM(Table1[[#This Row],[PitStopLaps]])="",0,
LEN(Table1[[#This Row],[PitStopLaps]])-LEN(SUBSTITUTE(Table1[[#This Row],[PitStopLaps]],",",""))+1)</f>
        <v>3</v>
      </c>
      <c r="U834">
        <f>Table1[[#This Row],[StartPosition]]-Table1[[#This Row],[FinishPosition]]</f>
        <v>-9</v>
      </c>
    </row>
    <row r="835" spans="1:21" x14ac:dyDescent="0.3">
      <c r="A835">
        <v>2020</v>
      </c>
      <c r="B835">
        <v>1</v>
      </c>
      <c r="C835" t="s">
        <v>149</v>
      </c>
      <c r="D835" t="s">
        <v>29</v>
      </c>
      <c r="E835" t="s">
        <v>30</v>
      </c>
      <c r="F835" t="s">
        <v>243</v>
      </c>
      <c r="G835">
        <v>19</v>
      </c>
      <c r="H835">
        <v>14</v>
      </c>
      <c r="I835">
        <v>0</v>
      </c>
      <c r="J835" t="s">
        <v>34</v>
      </c>
      <c r="K835" t="s">
        <v>70</v>
      </c>
      <c r="L835">
        <v>49</v>
      </c>
      <c r="M835">
        <v>69.031000000000006</v>
      </c>
      <c r="N835">
        <v>70.616111000000004</v>
      </c>
      <c r="O835">
        <v>16.992000000000001</v>
      </c>
      <c r="P835">
        <v>30.588999999999999</v>
      </c>
      <c r="Q835">
        <v>21</v>
      </c>
      <c r="R835" t="s">
        <v>443</v>
      </c>
      <c r="S835" t="s">
        <v>83</v>
      </c>
      <c r="T835">
        <f>IF(TRIM(Table1[[#This Row],[PitStopLaps]])="",0,
LEN(Table1[[#This Row],[PitStopLaps]])-LEN(SUBSTITUTE(Table1[[#This Row],[PitStopLaps]],",",""))+1)</f>
        <v>2</v>
      </c>
      <c r="U835">
        <f>Table1[[#This Row],[StartPosition]]-Table1[[#This Row],[FinishPosition]]</f>
        <v>5</v>
      </c>
    </row>
    <row r="836" spans="1:21" x14ac:dyDescent="0.3">
      <c r="A836">
        <v>2020</v>
      </c>
      <c r="B836">
        <v>1</v>
      </c>
      <c r="C836" t="s">
        <v>149</v>
      </c>
      <c r="D836" t="s">
        <v>252</v>
      </c>
      <c r="E836" t="s">
        <v>253</v>
      </c>
      <c r="F836" t="s">
        <v>60</v>
      </c>
      <c r="G836">
        <v>17</v>
      </c>
      <c r="H836">
        <v>15</v>
      </c>
      <c r="I836">
        <v>0</v>
      </c>
      <c r="J836" t="s">
        <v>34</v>
      </c>
      <c r="K836" t="s">
        <v>153</v>
      </c>
      <c r="L836">
        <v>45</v>
      </c>
      <c r="M836">
        <v>69.316999999999993</v>
      </c>
      <c r="N836">
        <v>70.908861000000002</v>
      </c>
      <c r="O836">
        <v>16.866</v>
      </c>
      <c r="P836">
        <v>30.893000000000001</v>
      </c>
      <c r="Q836">
        <v>20.919</v>
      </c>
      <c r="R836">
        <v>20</v>
      </c>
      <c r="S836" t="s">
        <v>83</v>
      </c>
      <c r="T836">
        <f>IF(TRIM(Table1[[#This Row],[PitStopLaps]])="",0,
LEN(Table1[[#This Row],[PitStopLaps]])-LEN(SUBSTITUTE(Table1[[#This Row],[PitStopLaps]],",",""))+1)</f>
        <v>1</v>
      </c>
      <c r="U836">
        <f>Table1[[#This Row],[StartPosition]]-Table1[[#This Row],[FinishPosition]]</f>
        <v>2</v>
      </c>
    </row>
    <row r="837" spans="1:21" x14ac:dyDescent="0.3">
      <c r="A837">
        <v>2020</v>
      </c>
      <c r="B837">
        <v>1</v>
      </c>
      <c r="C837" t="s">
        <v>149</v>
      </c>
      <c r="D837" t="s">
        <v>67</v>
      </c>
      <c r="E837" t="s">
        <v>68</v>
      </c>
      <c r="F837" t="s">
        <v>69</v>
      </c>
      <c r="G837">
        <v>15</v>
      </c>
      <c r="H837">
        <v>16</v>
      </c>
      <c r="I837">
        <v>0</v>
      </c>
      <c r="J837" t="s">
        <v>34</v>
      </c>
      <c r="K837" t="s">
        <v>81</v>
      </c>
      <c r="L837">
        <v>44</v>
      </c>
      <c r="M837">
        <v>70.227999999999994</v>
      </c>
      <c r="N837">
        <v>73.877419000000003</v>
      </c>
      <c r="O837">
        <v>17.411000000000001</v>
      </c>
      <c r="P837">
        <v>31.244</v>
      </c>
      <c r="Q837">
        <v>21.318000000000001</v>
      </c>
      <c r="R837" t="s">
        <v>444</v>
      </c>
      <c r="S837" t="s">
        <v>83</v>
      </c>
      <c r="T837">
        <f>IF(TRIM(Table1[[#This Row],[PitStopLaps]])="",0,
LEN(Table1[[#This Row],[PitStopLaps]])-LEN(SUBSTITUTE(Table1[[#This Row],[PitStopLaps]],",",""))+1)</f>
        <v>2</v>
      </c>
      <c r="U837">
        <f>Table1[[#This Row],[StartPosition]]-Table1[[#This Row],[FinishPosition]]</f>
        <v>-1</v>
      </c>
    </row>
    <row r="838" spans="1:21" x14ac:dyDescent="0.3">
      <c r="A838">
        <v>2020</v>
      </c>
      <c r="B838">
        <v>1</v>
      </c>
      <c r="C838" t="s">
        <v>149</v>
      </c>
      <c r="D838" t="s">
        <v>71</v>
      </c>
      <c r="E838" t="s">
        <v>72</v>
      </c>
      <c r="F838" t="s">
        <v>69</v>
      </c>
      <c r="G838">
        <v>16</v>
      </c>
      <c r="H838">
        <v>17</v>
      </c>
      <c r="I838">
        <v>0</v>
      </c>
      <c r="J838" t="s">
        <v>34</v>
      </c>
      <c r="K838" t="s">
        <v>81</v>
      </c>
      <c r="L838">
        <v>20</v>
      </c>
      <c r="M838">
        <v>70.72</v>
      </c>
      <c r="N838">
        <v>71.446588000000006</v>
      </c>
      <c r="O838">
        <v>17.494</v>
      </c>
      <c r="P838">
        <v>31.331</v>
      </c>
      <c r="Q838">
        <v>21.661000000000001</v>
      </c>
      <c r="S838" t="s">
        <v>83</v>
      </c>
      <c r="T838">
        <f>IF(TRIM(Table1[[#This Row],[PitStopLaps]])="",0,
LEN(Table1[[#This Row],[PitStopLaps]])-LEN(SUBSTITUTE(Table1[[#This Row],[PitStopLaps]],",",""))+1)</f>
        <v>0</v>
      </c>
      <c r="U838">
        <f>Table1[[#This Row],[StartPosition]]-Table1[[#This Row],[FinishPosition]]</f>
        <v>-1</v>
      </c>
    </row>
    <row r="839" spans="1:21" x14ac:dyDescent="0.3">
      <c r="A839">
        <v>2020</v>
      </c>
      <c r="B839">
        <v>1</v>
      </c>
      <c r="C839" t="s">
        <v>149</v>
      </c>
      <c r="D839" t="s">
        <v>58</v>
      </c>
      <c r="E839" t="s">
        <v>59</v>
      </c>
      <c r="F839" t="s">
        <v>192</v>
      </c>
      <c r="G839">
        <v>9</v>
      </c>
      <c r="H839">
        <v>18</v>
      </c>
      <c r="I839">
        <v>0</v>
      </c>
      <c r="J839" t="s">
        <v>34</v>
      </c>
      <c r="K839" t="s">
        <v>75</v>
      </c>
      <c r="L839">
        <v>15</v>
      </c>
      <c r="M839">
        <v>70.325999999999993</v>
      </c>
      <c r="N839">
        <v>71.457583</v>
      </c>
      <c r="O839">
        <v>17.335000000000001</v>
      </c>
      <c r="P839">
        <v>31.292000000000002</v>
      </c>
      <c r="Q839">
        <v>21.42</v>
      </c>
      <c r="R839">
        <v>15</v>
      </c>
      <c r="S839" t="s">
        <v>83</v>
      </c>
      <c r="T839">
        <f>IF(TRIM(Table1[[#This Row],[PitStopLaps]])="",0,
LEN(Table1[[#This Row],[PitStopLaps]])-LEN(SUBSTITUTE(Table1[[#This Row],[PitStopLaps]],",",""))+1)</f>
        <v>1</v>
      </c>
      <c r="U839">
        <f>Table1[[#This Row],[StartPosition]]-Table1[[#This Row],[FinishPosition]]</f>
        <v>-9</v>
      </c>
    </row>
    <row r="840" spans="1:21" x14ac:dyDescent="0.3">
      <c r="A840">
        <v>2020</v>
      </c>
      <c r="B840">
        <v>1</v>
      </c>
      <c r="C840" t="s">
        <v>149</v>
      </c>
      <c r="D840" t="s">
        <v>31</v>
      </c>
      <c r="E840" t="s">
        <v>32</v>
      </c>
      <c r="F840" t="s">
        <v>42</v>
      </c>
      <c r="G840">
        <v>10</v>
      </c>
      <c r="H840">
        <v>19</v>
      </c>
      <c r="I840">
        <v>0</v>
      </c>
      <c r="J840" t="s">
        <v>34</v>
      </c>
      <c r="K840" t="s">
        <v>238</v>
      </c>
      <c r="L840">
        <v>12</v>
      </c>
      <c r="M840">
        <v>70.61</v>
      </c>
      <c r="N840">
        <v>70.961555000000004</v>
      </c>
      <c r="O840">
        <v>17.192</v>
      </c>
      <c r="P840">
        <v>31.353999999999999</v>
      </c>
      <c r="Q840">
        <v>21.536999999999999</v>
      </c>
      <c r="R840">
        <v>12</v>
      </c>
      <c r="S840" t="s">
        <v>83</v>
      </c>
      <c r="T840">
        <f>IF(TRIM(Table1[[#This Row],[PitStopLaps]])="",0,
LEN(Table1[[#This Row],[PitStopLaps]])-LEN(SUBSTITUTE(Table1[[#This Row],[PitStopLaps]],",",""))+1)</f>
        <v>1</v>
      </c>
      <c r="U840">
        <f>Table1[[#This Row],[StartPosition]]-Table1[[#This Row],[FinishPosition]]</f>
        <v>-9</v>
      </c>
    </row>
    <row r="841" spans="1:21" x14ac:dyDescent="0.3">
      <c r="A841">
        <v>2020</v>
      </c>
      <c r="B841">
        <v>1</v>
      </c>
      <c r="C841" t="s">
        <v>149</v>
      </c>
      <c r="D841" t="s">
        <v>38</v>
      </c>
      <c r="E841" t="s">
        <v>39</v>
      </c>
      <c r="F841" t="s">
        <v>33</v>
      </c>
      <c r="G841">
        <v>2</v>
      </c>
      <c r="H841">
        <v>20</v>
      </c>
      <c r="I841">
        <v>0</v>
      </c>
      <c r="J841" t="s">
        <v>34</v>
      </c>
      <c r="K841" t="s">
        <v>442</v>
      </c>
      <c r="L841">
        <v>10</v>
      </c>
      <c r="M841">
        <v>69.350999999999999</v>
      </c>
      <c r="N841">
        <v>69.507625000000004</v>
      </c>
      <c r="O841">
        <v>17.553999999999998</v>
      </c>
      <c r="P841">
        <v>30.646000000000001</v>
      </c>
      <c r="Q841">
        <v>21.081</v>
      </c>
      <c r="R841">
        <v>10</v>
      </c>
      <c r="S841" t="s">
        <v>83</v>
      </c>
      <c r="T841">
        <f>IF(TRIM(Table1[[#This Row],[PitStopLaps]])="",0,
LEN(Table1[[#This Row],[PitStopLaps]])-LEN(SUBSTITUTE(Table1[[#This Row],[PitStopLaps]],",",""))+1)</f>
        <v>1</v>
      </c>
      <c r="U841">
        <f>Table1[[#This Row],[StartPosition]]-Table1[[#This Row],[FinishPosition]]</f>
        <v>-18</v>
      </c>
    </row>
    <row r="842" spans="1:21" x14ac:dyDescent="0.3">
      <c r="A842">
        <v>2020</v>
      </c>
      <c r="B842">
        <v>2</v>
      </c>
      <c r="C842" t="s">
        <v>445</v>
      </c>
      <c r="D842" t="s">
        <v>26</v>
      </c>
      <c r="E842" t="s">
        <v>27</v>
      </c>
      <c r="F842" t="s">
        <v>28</v>
      </c>
      <c r="G842">
        <v>1</v>
      </c>
      <c r="H842">
        <v>1</v>
      </c>
      <c r="I842">
        <v>25</v>
      </c>
      <c r="J842" t="s">
        <v>23</v>
      </c>
      <c r="K842" t="s">
        <v>24</v>
      </c>
      <c r="L842">
        <v>71</v>
      </c>
      <c r="M842">
        <v>66.718999999999994</v>
      </c>
      <c r="N842">
        <v>68.210924000000006</v>
      </c>
      <c r="O842">
        <v>16.888000000000002</v>
      </c>
      <c r="P842">
        <v>29.61</v>
      </c>
      <c r="Q842">
        <v>20.059000000000001</v>
      </c>
      <c r="R842">
        <v>27</v>
      </c>
      <c r="S842" t="s">
        <v>25</v>
      </c>
      <c r="T842">
        <f>IF(TRIM(Table1[[#This Row],[PitStopLaps]])="",0,
LEN(Table1[[#This Row],[PitStopLaps]])-LEN(SUBSTITUTE(Table1[[#This Row],[PitStopLaps]],",",""))+1)</f>
        <v>1</v>
      </c>
      <c r="U842">
        <f>Table1[[#This Row],[StartPosition]]-Table1[[#This Row],[FinishPosition]]</f>
        <v>0</v>
      </c>
    </row>
    <row r="843" spans="1:21" x14ac:dyDescent="0.3">
      <c r="A843">
        <v>2020</v>
      </c>
      <c r="B843">
        <v>2</v>
      </c>
      <c r="C843" t="s">
        <v>445</v>
      </c>
      <c r="D843" t="s">
        <v>43</v>
      </c>
      <c r="E843" t="s">
        <v>44</v>
      </c>
      <c r="F843" t="s">
        <v>28</v>
      </c>
      <c r="G843">
        <v>4</v>
      </c>
      <c r="H843">
        <v>2</v>
      </c>
      <c r="I843">
        <v>18</v>
      </c>
      <c r="J843" t="s">
        <v>23</v>
      </c>
      <c r="K843" t="s">
        <v>24</v>
      </c>
      <c r="L843">
        <v>71</v>
      </c>
      <c r="M843">
        <v>67.534000000000006</v>
      </c>
      <c r="N843">
        <v>68.382378000000003</v>
      </c>
      <c r="O843">
        <v>16.745000000000001</v>
      </c>
      <c r="P843">
        <v>30.007000000000001</v>
      </c>
      <c r="Q843">
        <v>20.344000000000001</v>
      </c>
      <c r="R843">
        <v>34</v>
      </c>
      <c r="S843" t="s">
        <v>25</v>
      </c>
      <c r="T843">
        <f>IF(TRIM(Table1[[#This Row],[PitStopLaps]])="",0,
LEN(Table1[[#This Row],[PitStopLaps]])-LEN(SUBSTITUTE(Table1[[#This Row],[PitStopLaps]],",",""))+1)</f>
        <v>1</v>
      </c>
      <c r="U843">
        <f>Table1[[#This Row],[StartPosition]]-Table1[[#This Row],[FinishPosition]]</f>
        <v>2</v>
      </c>
    </row>
    <row r="844" spans="1:21" x14ac:dyDescent="0.3">
      <c r="A844">
        <v>2020</v>
      </c>
      <c r="B844">
        <v>2</v>
      </c>
      <c r="C844" t="s">
        <v>445</v>
      </c>
      <c r="D844" t="s">
        <v>38</v>
      </c>
      <c r="E844" t="s">
        <v>39</v>
      </c>
      <c r="F844" t="s">
        <v>33</v>
      </c>
      <c r="G844">
        <v>2</v>
      </c>
      <c r="H844">
        <v>3</v>
      </c>
      <c r="I844">
        <v>15</v>
      </c>
      <c r="J844" t="s">
        <v>23</v>
      </c>
      <c r="K844" t="s">
        <v>24</v>
      </c>
      <c r="L844">
        <v>71</v>
      </c>
      <c r="M844">
        <v>66.144999999999996</v>
      </c>
      <c r="N844">
        <v>68.403874999999999</v>
      </c>
      <c r="O844">
        <v>16.920000000000002</v>
      </c>
      <c r="P844">
        <v>29.195</v>
      </c>
      <c r="Q844">
        <v>20.024999999999999</v>
      </c>
      <c r="R844" t="s">
        <v>446</v>
      </c>
      <c r="S844" t="s">
        <v>25</v>
      </c>
      <c r="T844">
        <f>IF(TRIM(Table1[[#This Row],[PitStopLaps]])="",0,
LEN(Table1[[#This Row],[PitStopLaps]])-LEN(SUBSTITUTE(Table1[[#This Row],[PitStopLaps]],",",""))+1)</f>
        <v>2</v>
      </c>
      <c r="U844">
        <f>Table1[[#This Row],[StartPosition]]-Table1[[#This Row],[FinishPosition]]</f>
        <v>-1</v>
      </c>
    </row>
    <row r="845" spans="1:21" x14ac:dyDescent="0.3">
      <c r="A845">
        <v>2020</v>
      </c>
      <c r="B845">
        <v>2</v>
      </c>
      <c r="C845" t="s">
        <v>445</v>
      </c>
      <c r="D845" t="s">
        <v>248</v>
      </c>
      <c r="E845" t="s">
        <v>249</v>
      </c>
      <c r="F845" t="s">
        <v>33</v>
      </c>
      <c r="G845">
        <v>6</v>
      </c>
      <c r="H845">
        <v>4</v>
      </c>
      <c r="I845">
        <v>12</v>
      </c>
      <c r="J845" t="s">
        <v>34</v>
      </c>
      <c r="K845" t="s">
        <v>24</v>
      </c>
      <c r="L845">
        <v>71</v>
      </c>
      <c r="M845">
        <v>67.108999999999995</v>
      </c>
      <c r="N845">
        <v>68.810015000000007</v>
      </c>
      <c r="O845">
        <v>17.015000000000001</v>
      </c>
      <c r="P845">
        <v>29.866</v>
      </c>
      <c r="Q845">
        <v>20.119</v>
      </c>
      <c r="R845">
        <v>35</v>
      </c>
      <c r="S845" t="s">
        <v>25</v>
      </c>
      <c r="T845">
        <f>IF(TRIM(Table1[[#This Row],[PitStopLaps]])="",0,
LEN(Table1[[#This Row],[PitStopLaps]])-LEN(SUBSTITUTE(Table1[[#This Row],[PitStopLaps]],",",""))+1)</f>
        <v>1</v>
      </c>
      <c r="U845">
        <f>Table1[[#This Row],[StartPosition]]-Table1[[#This Row],[FinishPosition]]</f>
        <v>2</v>
      </c>
    </row>
    <row r="846" spans="1:21" x14ac:dyDescent="0.3">
      <c r="A846">
        <v>2020</v>
      </c>
      <c r="B846">
        <v>2</v>
      </c>
      <c r="C846" t="s">
        <v>445</v>
      </c>
      <c r="D846" t="s">
        <v>246</v>
      </c>
      <c r="E846" t="s">
        <v>247</v>
      </c>
      <c r="F846" t="s">
        <v>37</v>
      </c>
      <c r="G846">
        <v>9</v>
      </c>
      <c r="H846">
        <v>5</v>
      </c>
      <c r="I846">
        <v>10</v>
      </c>
      <c r="J846" t="s">
        <v>34</v>
      </c>
      <c r="K846" t="s">
        <v>24</v>
      </c>
      <c r="L846">
        <v>71</v>
      </c>
      <c r="M846">
        <v>67.192999999999998</v>
      </c>
      <c r="N846">
        <v>69.034559999999999</v>
      </c>
      <c r="O846">
        <v>16.687999999999999</v>
      </c>
      <c r="P846">
        <v>29.861999999999998</v>
      </c>
      <c r="Q846">
        <v>20.242999999999999</v>
      </c>
      <c r="R846">
        <v>39</v>
      </c>
      <c r="S846" t="s">
        <v>25</v>
      </c>
      <c r="T846">
        <f>IF(TRIM(Table1[[#This Row],[PitStopLaps]])="",0,
LEN(Table1[[#This Row],[PitStopLaps]])-LEN(SUBSTITUTE(Table1[[#This Row],[PitStopLaps]],",",""))+1)</f>
        <v>1</v>
      </c>
      <c r="U846">
        <f>Table1[[#This Row],[StartPosition]]-Table1[[#This Row],[FinishPosition]]</f>
        <v>4</v>
      </c>
    </row>
    <row r="847" spans="1:21" x14ac:dyDescent="0.3">
      <c r="A847">
        <v>2020</v>
      </c>
      <c r="B847">
        <v>2</v>
      </c>
      <c r="C847" t="s">
        <v>445</v>
      </c>
      <c r="D847" t="s">
        <v>49</v>
      </c>
      <c r="E847" t="s">
        <v>50</v>
      </c>
      <c r="F847" t="s">
        <v>192</v>
      </c>
      <c r="G847">
        <v>17</v>
      </c>
      <c r="H847">
        <v>6</v>
      </c>
      <c r="I847">
        <v>8</v>
      </c>
      <c r="J847" t="s">
        <v>34</v>
      </c>
      <c r="K847" t="s">
        <v>24</v>
      </c>
      <c r="L847">
        <v>71</v>
      </c>
      <c r="M847">
        <v>67.188000000000002</v>
      </c>
      <c r="N847">
        <v>69.049030000000002</v>
      </c>
      <c r="O847">
        <v>16.695</v>
      </c>
      <c r="P847">
        <v>29.780999999999999</v>
      </c>
      <c r="Q847">
        <v>20.283000000000001</v>
      </c>
      <c r="R847">
        <v>38</v>
      </c>
      <c r="S847" t="s">
        <v>25</v>
      </c>
      <c r="T847">
        <f>IF(TRIM(Table1[[#This Row],[PitStopLaps]])="",0,
LEN(Table1[[#This Row],[PitStopLaps]])-LEN(SUBSTITUTE(Table1[[#This Row],[PitStopLaps]],",",""))+1)</f>
        <v>1</v>
      </c>
      <c r="U847">
        <f>Table1[[#This Row],[StartPosition]]-Table1[[#This Row],[FinishPosition]]</f>
        <v>11</v>
      </c>
    </row>
    <row r="848" spans="1:21" x14ac:dyDescent="0.3">
      <c r="A848">
        <v>2020</v>
      </c>
      <c r="B848">
        <v>2</v>
      </c>
      <c r="C848" t="s">
        <v>445</v>
      </c>
      <c r="D848" t="s">
        <v>58</v>
      </c>
      <c r="E848" t="s">
        <v>59</v>
      </c>
      <c r="F848" t="s">
        <v>192</v>
      </c>
      <c r="G848">
        <v>12</v>
      </c>
      <c r="H848">
        <v>7</v>
      </c>
      <c r="I848">
        <v>6</v>
      </c>
      <c r="J848" t="s">
        <v>34</v>
      </c>
      <c r="K848" t="s">
        <v>24</v>
      </c>
      <c r="L848">
        <v>71</v>
      </c>
      <c r="M848">
        <v>67.832999999999998</v>
      </c>
      <c r="N848">
        <v>69.088499999999996</v>
      </c>
      <c r="O848">
        <v>16.847000000000001</v>
      </c>
      <c r="P848">
        <v>30.145</v>
      </c>
      <c r="Q848">
        <v>20.404</v>
      </c>
      <c r="R848">
        <v>33</v>
      </c>
      <c r="S848" t="s">
        <v>25</v>
      </c>
      <c r="T848">
        <f>IF(TRIM(Table1[[#This Row],[PitStopLaps]])="",0,
LEN(Table1[[#This Row],[PitStopLaps]])-LEN(SUBSTITUTE(Table1[[#This Row],[PitStopLaps]],",",""))+1)</f>
        <v>1</v>
      </c>
      <c r="U848">
        <f>Table1[[#This Row],[StartPosition]]-Table1[[#This Row],[FinishPosition]]</f>
        <v>5</v>
      </c>
    </row>
    <row r="849" spans="1:21" x14ac:dyDescent="0.3">
      <c r="A849">
        <v>2020</v>
      </c>
      <c r="B849">
        <v>2</v>
      </c>
      <c r="C849" t="s">
        <v>445</v>
      </c>
      <c r="D849" t="s">
        <v>31</v>
      </c>
      <c r="E849" t="s">
        <v>32</v>
      </c>
      <c r="F849" t="s">
        <v>42</v>
      </c>
      <c r="G849">
        <v>8</v>
      </c>
      <c r="H849">
        <v>8</v>
      </c>
      <c r="I849">
        <v>4</v>
      </c>
      <c r="J849" t="s">
        <v>34</v>
      </c>
      <c r="K849" t="s">
        <v>24</v>
      </c>
      <c r="L849">
        <v>71</v>
      </c>
      <c r="M849">
        <v>67.831999999999994</v>
      </c>
      <c r="N849">
        <v>69.108333000000002</v>
      </c>
      <c r="O849">
        <v>16.687999999999999</v>
      </c>
      <c r="P849">
        <v>30.117999999999999</v>
      </c>
      <c r="Q849">
        <v>20.51</v>
      </c>
      <c r="R849">
        <v>37</v>
      </c>
      <c r="S849" t="s">
        <v>25</v>
      </c>
      <c r="T849">
        <f>IF(TRIM(Table1[[#This Row],[PitStopLaps]])="",0,
LEN(Table1[[#This Row],[PitStopLaps]])-LEN(SUBSTITUTE(Table1[[#This Row],[PitStopLaps]],",",""))+1)</f>
        <v>1</v>
      </c>
      <c r="U849">
        <f>Table1[[#This Row],[StartPosition]]-Table1[[#This Row],[FinishPosition]]</f>
        <v>0</v>
      </c>
    </row>
    <row r="850" spans="1:21" x14ac:dyDescent="0.3">
      <c r="A850">
        <v>2020</v>
      </c>
      <c r="B850">
        <v>2</v>
      </c>
      <c r="C850" t="s">
        <v>445</v>
      </c>
      <c r="D850" t="s">
        <v>47</v>
      </c>
      <c r="E850" t="s">
        <v>48</v>
      </c>
      <c r="F850" t="s">
        <v>37</v>
      </c>
      <c r="G850">
        <v>3</v>
      </c>
      <c r="H850">
        <v>9</v>
      </c>
      <c r="I850">
        <v>3</v>
      </c>
      <c r="J850" t="s">
        <v>34</v>
      </c>
      <c r="K850" t="s">
        <v>65</v>
      </c>
      <c r="L850">
        <v>70</v>
      </c>
      <c r="M850">
        <v>65.619</v>
      </c>
      <c r="N850">
        <v>69.142697999999996</v>
      </c>
      <c r="O850">
        <v>16.898</v>
      </c>
      <c r="P850">
        <v>28.917000000000002</v>
      </c>
      <c r="Q850">
        <v>19.72</v>
      </c>
      <c r="R850" t="s">
        <v>447</v>
      </c>
      <c r="S850" t="s">
        <v>25</v>
      </c>
      <c r="T850">
        <f>IF(TRIM(Table1[[#This Row],[PitStopLaps]])="",0,
LEN(Table1[[#This Row],[PitStopLaps]])-LEN(SUBSTITUTE(Table1[[#This Row],[PitStopLaps]],",",""))+1)</f>
        <v>2</v>
      </c>
      <c r="U850">
        <f>Table1[[#This Row],[StartPosition]]-Table1[[#This Row],[FinishPosition]]</f>
        <v>-6</v>
      </c>
    </row>
    <row r="851" spans="1:21" x14ac:dyDescent="0.3">
      <c r="A851">
        <v>2020</v>
      </c>
      <c r="B851">
        <v>2</v>
      </c>
      <c r="C851" t="s">
        <v>445</v>
      </c>
      <c r="D851" t="s">
        <v>244</v>
      </c>
      <c r="E851" t="s">
        <v>245</v>
      </c>
      <c r="F851" t="s">
        <v>438</v>
      </c>
      <c r="G851">
        <v>13</v>
      </c>
      <c r="H851">
        <v>10</v>
      </c>
      <c r="I851">
        <v>1</v>
      </c>
      <c r="J851" t="s">
        <v>34</v>
      </c>
      <c r="K851" t="s">
        <v>65</v>
      </c>
      <c r="L851">
        <v>70</v>
      </c>
      <c r="M851">
        <v>68.378</v>
      </c>
      <c r="N851">
        <v>69.593123000000006</v>
      </c>
      <c r="O851">
        <v>16.992999999999999</v>
      </c>
      <c r="P851">
        <v>30.338999999999999</v>
      </c>
      <c r="Q851">
        <v>20.518999999999998</v>
      </c>
      <c r="R851">
        <v>36</v>
      </c>
      <c r="S851" t="s">
        <v>25</v>
      </c>
      <c r="T851">
        <f>IF(TRIM(Table1[[#This Row],[PitStopLaps]])="",0,
LEN(Table1[[#This Row],[PitStopLaps]])-LEN(SUBSTITUTE(Table1[[#This Row],[PitStopLaps]],",",""))+1)</f>
        <v>1</v>
      </c>
      <c r="U851">
        <f>Table1[[#This Row],[StartPosition]]-Table1[[#This Row],[FinishPosition]]</f>
        <v>3</v>
      </c>
    </row>
    <row r="852" spans="1:21" x14ac:dyDescent="0.3">
      <c r="A852">
        <v>2020</v>
      </c>
      <c r="B852">
        <v>2</v>
      </c>
      <c r="C852" t="s">
        <v>445</v>
      </c>
      <c r="D852" t="s">
        <v>29</v>
      </c>
      <c r="E852" t="s">
        <v>30</v>
      </c>
      <c r="F852" t="s">
        <v>243</v>
      </c>
      <c r="G852">
        <v>16</v>
      </c>
      <c r="H852">
        <v>11</v>
      </c>
      <c r="I852">
        <v>0</v>
      </c>
      <c r="J852" t="s">
        <v>34</v>
      </c>
      <c r="K852" t="s">
        <v>65</v>
      </c>
      <c r="L852">
        <v>70</v>
      </c>
      <c r="M852">
        <v>68.382000000000005</v>
      </c>
      <c r="N852">
        <v>69.696460999999999</v>
      </c>
      <c r="O852">
        <v>16.989000000000001</v>
      </c>
      <c r="P852">
        <v>30.22</v>
      </c>
      <c r="Q852">
        <v>20.687999999999999</v>
      </c>
      <c r="R852">
        <v>44</v>
      </c>
      <c r="S852" t="s">
        <v>25</v>
      </c>
      <c r="T852">
        <f>IF(TRIM(Table1[[#This Row],[PitStopLaps]])="",0,
LEN(Table1[[#This Row],[PitStopLaps]])-LEN(SUBSTITUTE(Table1[[#This Row],[PitStopLaps]],",",""))+1)</f>
        <v>1</v>
      </c>
      <c r="U852">
        <f>Table1[[#This Row],[StartPosition]]-Table1[[#This Row],[FinishPosition]]</f>
        <v>5</v>
      </c>
    </row>
    <row r="853" spans="1:21" x14ac:dyDescent="0.3">
      <c r="A853">
        <v>2020</v>
      </c>
      <c r="B853">
        <v>2</v>
      </c>
      <c r="C853" t="s">
        <v>445</v>
      </c>
      <c r="D853" t="s">
        <v>71</v>
      </c>
      <c r="E853" t="s">
        <v>72</v>
      </c>
      <c r="F853" t="s">
        <v>69</v>
      </c>
      <c r="G853">
        <v>15</v>
      </c>
      <c r="H853">
        <v>12</v>
      </c>
      <c r="I853">
        <v>0</v>
      </c>
      <c r="J853" t="s">
        <v>34</v>
      </c>
      <c r="K853" t="s">
        <v>65</v>
      </c>
      <c r="L853">
        <v>70</v>
      </c>
      <c r="M853">
        <v>68.009</v>
      </c>
      <c r="N853">
        <v>69.736599999999996</v>
      </c>
      <c r="O853">
        <v>16.87</v>
      </c>
      <c r="P853">
        <v>30.364000000000001</v>
      </c>
      <c r="Q853">
        <v>20.541</v>
      </c>
      <c r="R853">
        <v>31</v>
      </c>
      <c r="S853" t="s">
        <v>25</v>
      </c>
      <c r="T853">
        <f>IF(TRIM(Table1[[#This Row],[PitStopLaps]])="",0,
LEN(Table1[[#This Row],[PitStopLaps]])-LEN(SUBSTITUTE(Table1[[#This Row],[PitStopLaps]],",",""))+1)</f>
        <v>1</v>
      </c>
      <c r="U853">
        <f>Table1[[#This Row],[StartPosition]]-Table1[[#This Row],[FinishPosition]]</f>
        <v>3</v>
      </c>
    </row>
    <row r="854" spans="1:21" x14ac:dyDescent="0.3">
      <c r="A854">
        <v>2020</v>
      </c>
      <c r="B854">
        <v>2</v>
      </c>
      <c r="C854" t="s">
        <v>445</v>
      </c>
      <c r="D854" t="s">
        <v>67</v>
      </c>
      <c r="E854" t="s">
        <v>68</v>
      </c>
      <c r="F854" t="s">
        <v>69</v>
      </c>
      <c r="G854">
        <v>0</v>
      </c>
      <c r="H854">
        <v>13</v>
      </c>
      <c r="I854">
        <v>0</v>
      </c>
      <c r="J854" t="s">
        <v>34</v>
      </c>
      <c r="K854" t="s">
        <v>65</v>
      </c>
      <c r="L854">
        <v>70</v>
      </c>
      <c r="M854">
        <v>68.046999999999997</v>
      </c>
      <c r="N854">
        <v>69.680537999999999</v>
      </c>
      <c r="O854">
        <v>16.853999999999999</v>
      </c>
      <c r="P854">
        <v>30.318999999999999</v>
      </c>
      <c r="Q854">
        <v>20.52</v>
      </c>
      <c r="R854">
        <v>37</v>
      </c>
      <c r="S854" t="s">
        <v>25</v>
      </c>
      <c r="T854">
        <f>IF(TRIM(Table1[[#This Row],[PitStopLaps]])="",0,
LEN(Table1[[#This Row],[PitStopLaps]])-LEN(SUBSTITUTE(Table1[[#This Row],[PitStopLaps]],",",""))+1)</f>
        <v>1</v>
      </c>
      <c r="U854">
        <f>Table1[[#This Row],[StartPosition]]-Table1[[#This Row],[FinishPosition]]</f>
        <v>-13</v>
      </c>
    </row>
    <row r="855" spans="1:21" x14ac:dyDescent="0.3">
      <c r="A855">
        <v>2020</v>
      </c>
      <c r="B855">
        <v>2</v>
      </c>
      <c r="C855" t="s">
        <v>445</v>
      </c>
      <c r="D855" t="s">
        <v>250</v>
      </c>
      <c r="E855" t="s">
        <v>251</v>
      </c>
      <c r="F855" t="s">
        <v>243</v>
      </c>
      <c r="G855">
        <v>19</v>
      </c>
      <c r="H855">
        <v>14</v>
      </c>
      <c r="I855">
        <v>0</v>
      </c>
      <c r="J855" t="s">
        <v>34</v>
      </c>
      <c r="K855" t="s">
        <v>65</v>
      </c>
      <c r="L855">
        <v>70</v>
      </c>
      <c r="M855">
        <v>68.512</v>
      </c>
      <c r="N855">
        <v>69.793846000000002</v>
      </c>
      <c r="O855">
        <v>16.928999999999998</v>
      </c>
      <c r="P855">
        <v>30.404</v>
      </c>
      <c r="Q855">
        <v>20.631</v>
      </c>
      <c r="R855">
        <v>39</v>
      </c>
      <c r="S855" t="s">
        <v>25</v>
      </c>
      <c r="T855">
        <f>IF(TRIM(Table1[[#This Row],[PitStopLaps]])="",0,
LEN(Table1[[#This Row],[PitStopLaps]])-LEN(SUBSTITUTE(Table1[[#This Row],[PitStopLaps]],",",""))+1)</f>
        <v>1</v>
      </c>
      <c r="U855">
        <f>Table1[[#This Row],[StartPosition]]-Table1[[#This Row],[FinishPosition]]</f>
        <v>5</v>
      </c>
    </row>
    <row r="856" spans="1:21" x14ac:dyDescent="0.3">
      <c r="A856">
        <v>2020</v>
      </c>
      <c r="B856">
        <v>2</v>
      </c>
      <c r="C856" t="s">
        <v>445</v>
      </c>
      <c r="D856" t="s">
        <v>73</v>
      </c>
      <c r="E856" t="s">
        <v>74</v>
      </c>
      <c r="F856" t="s">
        <v>438</v>
      </c>
      <c r="G856">
        <v>7</v>
      </c>
      <c r="H856">
        <v>15</v>
      </c>
      <c r="I856">
        <v>0</v>
      </c>
      <c r="J856" t="s">
        <v>34</v>
      </c>
      <c r="K856" t="s">
        <v>65</v>
      </c>
      <c r="L856">
        <v>70</v>
      </c>
      <c r="M856">
        <v>67.826999999999998</v>
      </c>
      <c r="N856">
        <v>69.725792999999996</v>
      </c>
      <c r="O856">
        <v>16.809999999999999</v>
      </c>
      <c r="P856">
        <v>30.01</v>
      </c>
      <c r="Q856">
        <v>20.37</v>
      </c>
      <c r="R856" t="s">
        <v>448</v>
      </c>
      <c r="S856" t="s">
        <v>25</v>
      </c>
      <c r="T856">
        <f>IF(TRIM(Table1[[#This Row],[PitStopLaps]])="",0,
LEN(Table1[[#This Row],[PitStopLaps]])-LEN(SUBSTITUTE(Table1[[#This Row],[PitStopLaps]],",",""))+1)</f>
        <v>2</v>
      </c>
      <c r="U856">
        <f>Table1[[#This Row],[StartPosition]]-Table1[[#This Row],[FinishPosition]]</f>
        <v>-8</v>
      </c>
    </row>
    <row r="857" spans="1:21" x14ac:dyDescent="0.3">
      <c r="A857">
        <v>2020</v>
      </c>
      <c r="B857">
        <v>2</v>
      </c>
      <c r="C857" t="s">
        <v>445</v>
      </c>
      <c r="D857" t="s">
        <v>252</v>
      </c>
      <c r="E857" t="s">
        <v>253</v>
      </c>
      <c r="F857" t="s">
        <v>60</v>
      </c>
      <c r="G857">
        <v>11</v>
      </c>
      <c r="H857">
        <v>16</v>
      </c>
      <c r="I857">
        <v>0</v>
      </c>
      <c r="J857" t="s">
        <v>34</v>
      </c>
      <c r="K857" t="s">
        <v>127</v>
      </c>
      <c r="L857">
        <v>69</v>
      </c>
      <c r="M857">
        <v>68.600999999999999</v>
      </c>
      <c r="N857">
        <v>70.123793000000006</v>
      </c>
      <c r="O857">
        <v>16.841000000000001</v>
      </c>
      <c r="P857">
        <v>30.437000000000001</v>
      </c>
      <c r="Q857">
        <v>20.768999999999998</v>
      </c>
      <c r="R857">
        <v>34</v>
      </c>
      <c r="S857" t="s">
        <v>25</v>
      </c>
      <c r="T857">
        <f>IF(TRIM(Table1[[#This Row],[PitStopLaps]])="",0,
LEN(Table1[[#This Row],[PitStopLaps]])-LEN(SUBSTITUTE(Table1[[#This Row],[PitStopLaps]],",",""))+1)</f>
        <v>1</v>
      </c>
      <c r="U857">
        <f>Table1[[#This Row],[StartPosition]]-Table1[[#This Row],[FinishPosition]]</f>
        <v>-5</v>
      </c>
    </row>
    <row r="858" spans="1:21" x14ac:dyDescent="0.3">
      <c r="A858">
        <v>2020</v>
      </c>
      <c r="B858">
        <v>2</v>
      </c>
      <c r="C858" t="s">
        <v>445</v>
      </c>
      <c r="D858" t="s">
        <v>440</v>
      </c>
      <c r="E858" t="s">
        <v>441</v>
      </c>
      <c r="F858" t="s">
        <v>60</v>
      </c>
      <c r="G858">
        <v>18</v>
      </c>
      <c r="H858">
        <v>17</v>
      </c>
      <c r="I858">
        <v>0</v>
      </c>
      <c r="J858" t="s">
        <v>34</v>
      </c>
      <c r="K858" t="s">
        <v>127</v>
      </c>
      <c r="L858">
        <v>69</v>
      </c>
      <c r="M858">
        <v>68.805999999999997</v>
      </c>
      <c r="N858">
        <v>70.260887999999994</v>
      </c>
      <c r="O858">
        <v>17.154</v>
      </c>
      <c r="P858">
        <v>30.602</v>
      </c>
      <c r="Q858">
        <v>20.629000000000001</v>
      </c>
      <c r="R858">
        <v>32</v>
      </c>
      <c r="S858" t="s">
        <v>25</v>
      </c>
      <c r="T858">
        <f>IF(TRIM(Table1[[#This Row],[PitStopLaps]])="",0,
LEN(Table1[[#This Row],[PitStopLaps]])-LEN(SUBSTITUTE(Table1[[#This Row],[PitStopLaps]],",",""))+1)</f>
        <v>1</v>
      </c>
      <c r="U858">
        <f>Table1[[#This Row],[StartPosition]]-Table1[[#This Row],[FinishPosition]]</f>
        <v>1</v>
      </c>
    </row>
    <row r="859" spans="1:21" x14ac:dyDescent="0.3">
      <c r="A859">
        <v>2020</v>
      </c>
      <c r="B859">
        <v>2</v>
      </c>
      <c r="C859" t="s">
        <v>445</v>
      </c>
      <c r="D859" t="s">
        <v>52</v>
      </c>
      <c r="E859" t="s">
        <v>53</v>
      </c>
      <c r="F859" t="s">
        <v>42</v>
      </c>
      <c r="G859">
        <v>5</v>
      </c>
      <c r="H859">
        <v>18</v>
      </c>
      <c r="I859">
        <v>0</v>
      </c>
      <c r="J859" t="s">
        <v>34</v>
      </c>
      <c r="K859" t="s">
        <v>238</v>
      </c>
      <c r="L859">
        <v>25</v>
      </c>
      <c r="M859">
        <v>69.320999999999998</v>
      </c>
      <c r="N859">
        <v>70.119476000000006</v>
      </c>
      <c r="O859">
        <v>17.158000000000001</v>
      </c>
      <c r="P859">
        <v>30.827999999999999</v>
      </c>
      <c r="Q859">
        <v>21.151</v>
      </c>
      <c r="R859">
        <v>25</v>
      </c>
      <c r="S859" t="s">
        <v>25</v>
      </c>
      <c r="T859">
        <f>IF(TRIM(Table1[[#This Row],[PitStopLaps]])="",0,
LEN(Table1[[#This Row],[PitStopLaps]])-LEN(SUBSTITUTE(Table1[[#This Row],[PitStopLaps]],",",""))+1)</f>
        <v>1</v>
      </c>
      <c r="U859">
        <f>Table1[[#This Row],[StartPosition]]-Table1[[#This Row],[FinishPosition]]</f>
        <v>-13</v>
      </c>
    </row>
    <row r="860" spans="1:21" x14ac:dyDescent="0.3">
      <c r="A860">
        <v>2020</v>
      </c>
      <c r="B860">
        <v>2</v>
      </c>
      <c r="C860" t="s">
        <v>445</v>
      </c>
      <c r="D860" t="s">
        <v>54</v>
      </c>
      <c r="E860" t="s">
        <v>55</v>
      </c>
      <c r="F860" t="s">
        <v>22</v>
      </c>
      <c r="G860">
        <v>14</v>
      </c>
      <c r="H860">
        <v>19</v>
      </c>
      <c r="I860">
        <v>0</v>
      </c>
      <c r="J860" t="s">
        <v>34</v>
      </c>
      <c r="K860" t="s">
        <v>109</v>
      </c>
      <c r="L860">
        <v>4</v>
      </c>
      <c r="R860" t="s">
        <v>449</v>
      </c>
      <c r="S860" t="s">
        <v>25</v>
      </c>
      <c r="T860">
        <f>IF(TRIM(Table1[[#This Row],[PitStopLaps]])="",0,
LEN(Table1[[#This Row],[PitStopLaps]])-LEN(SUBSTITUTE(Table1[[#This Row],[PitStopLaps]],",",""))+1)</f>
        <v>2</v>
      </c>
      <c r="U860">
        <f>Table1[[#This Row],[StartPosition]]-Table1[[#This Row],[FinishPosition]]</f>
        <v>-5</v>
      </c>
    </row>
    <row r="861" spans="1:21" x14ac:dyDescent="0.3">
      <c r="A861">
        <v>2020</v>
      </c>
      <c r="B861">
        <v>2</v>
      </c>
      <c r="C861" t="s">
        <v>445</v>
      </c>
      <c r="D861" t="s">
        <v>20</v>
      </c>
      <c r="E861" t="s">
        <v>21</v>
      </c>
      <c r="F861" t="s">
        <v>22</v>
      </c>
      <c r="G861">
        <v>10</v>
      </c>
      <c r="H861">
        <v>20</v>
      </c>
      <c r="I861">
        <v>0</v>
      </c>
      <c r="J861" t="s">
        <v>34</v>
      </c>
      <c r="K861" t="s">
        <v>109</v>
      </c>
      <c r="L861">
        <v>1</v>
      </c>
      <c r="R861">
        <v>1</v>
      </c>
      <c r="S861" t="s">
        <v>25</v>
      </c>
      <c r="T861">
        <f>IF(TRIM(Table1[[#This Row],[PitStopLaps]])="",0,
LEN(Table1[[#This Row],[PitStopLaps]])-LEN(SUBSTITUTE(Table1[[#This Row],[PitStopLaps]],",",""))+1)</f>
        <v>1</v>
      </c>
      <c r="U861">
        <f>Table1[[#This Row],[StartPosition]]-Table1[[#This Row],[FinishPosition]]</f>
        <v>-10</v>
      </c>
    </row>
    <row r="862" spans="1:21" x14ac:dyDescent="0.3">
      <c r="A862">
        <v>2020</v>
      </c>
      <c r="B862">
        <v>3</v>
      </c>
      <c r="C862" t="s">
        <v>183</v>
      </c>
      <c r="D862" t="s">
        <v>26</v>
      </c>
      <c r="E862" t="s">
        <v>27</v>
      </c>
      <c r="F862" t="s">
        <v>28</v>
      </c>
      <c r="G862">
        <v>1</v>
      </c>
      <c r="H862">
        <v>1</v>
      </c>
      <c r="I862">
        <v>26</v>
      </c>
      <c r="J862" t="s">
        <v>23</v>
      </c>
      <c r="K862" t="s">
        <v>24</v>
      </c>
      <c r="L862">
        <v>70</v>
      </c>
      <c r="M862">
        <v>76.626999999999995</v>
      </c>
      <c r="N862">
        <v>80.981268999999998</v>
      </c>
      <c r="O862">
        <v>27.940999999999999</v>
      </c>
      <c r="P862">
        <v>26.907</v>
      </c>
      <c r="Q862">
        <v>21.75</v>
      </c>
      <c r="R862" t="s">
        <v>450</v>
      </c>
      <c r="S862" t="s">
        <v>25</v>
      </c>
      <c r="T862">
        <f>IF(TRIM(Table1[[#This Row],[PitStopLaps]])="",0,
LEN(Table1[[#This Row],[PitStopLaps]])-LEN(SUBSTITUTE(Table1[[#This Row],[PitStopLaps]],",",""))+1)</f>
        <v>3</v>
      </c>
      <c r="U862">
        <f>Table1[[#This Row],[StartPosition]]-Table1[[#This Row],[FinishPosition]]</f>
        <v>0</v>
      </c>
    </row>
    <row r="863" spans="1:21" x14ac:dyDescent="0.3">
      <c r="A863">
        <v>2020</v>
      </c>
      <c r="B863">
        <v>3</v>
      </c>
      <c r="C863" t="s">
        <v>183</v>
      </c>
      <c r="D863" t="s">
        <v>38</v>
      </c>
      <c r="E863" t="s">
        <v>39</v>
      </c>
      <c r="F863" t="s">
        <v>33</v>
      </c>
      <c r="G863">
        <v>7</v>
      </c>
      <c r="H863">
        <v>2</v>
      </c>
      <c r="I863">
        <v>18</v>
      </c>
      <c r="J863" t="s">
        <v>23</v>
      </c>
      <c r="K863" t="s">
        <v>24</v>
      </c>
      <c r="L863">
        <v>70</v>
      </c>
      <c r="M863">
        <v>79.183999999999997</v>
      </c>
      <c r="N863">
        <v>81.437753000000001</v>
      </c>
      <c r="O863">
        <v>28.530999999999999</v>
      </c>
      <c r="P863">
        <v>28.035</v>
      </c>
      <c r="Q863">
        <v>22.422000000000001</v>
      </c>
      <c r="R863" t="s">
        <v>451</v>
      </c>
      <c r="S863" t="s">
        <v>25</v>
      </c>
      <c r="T863">
        <f>IF(TRIM(Table1[[#This Row],[PitStopLaps]])="",0,
LEN(Table1[[#This Row],[PitStopLaps]])-LEN(SUBSTITUTE(Table1[[#This Row],[PitStopLaps]],",",""))+1)</f>
        <v>2</v>
      </c>
      <c r="U863">
        <f>Table1[[#This Row],[StartPosition]]-Table1[[#This Row],[FinishPosition]]</f>
        <v>5</v>
      </c>
    </row>
    <row r="864" spans="1:21" x14ac:dyDescent="0.3">
      <c r="A864">
        <v>2020</v>
      </c>
      <c r="B864">
        <v>3</v>
      </c>
      <c r="C864" t="s">
        <v>183</v>
      </c>
      <c r="D864" t="s">
        <v>43</v>
      </c>
      <c r="E864" t="s">
        <v>44</v>
      </c>
      <c r="F864" t="s">
        <v>28</v>
      </c>
      <c r="G864">
        <v>2</v>
      </c>
      <c r="H864">
        <v>3</v>
      </c>
      <c r="I864">
        <v>15</v>
      </c>
      <c r="J864" t="s">
        <v>23</v>
      </c>
      <c r="K864" t="s">
        <v>24</v>
      </c>
      <c r="L864">
        <v>70</v>
      </c>
      <c r="M864">
        <v>77.665000000000006</v>
      </c>
      <c r="N864">
        <v>80.990333000000007</v>
      </c>
      <c r="O864">
        <v>28.093</v>
      </c>
      <c r="P864">
        <v>27.446999999999999</v>
      </c>
      <c r="Q864">
        <v>21.873999999999999</v>
      </c>
      <c r="R864" t="s">
        <v>452</v>
      </c>
      <c r="S864" t="s">
        <v>25</v>
      </c>
      <c r="T864">
        <f>IF(TRIM(Table1[[#This Row],[PitStopLaps]])="",0,
LEN(Table1[[#This Row],[PitStopLaps]])-LEN(SUBSTITUTE(Table1[[#This Row],[PitStopLaps]],",",""))+1)</f>
        <v>3</v>
      </c>
      <c r="U864">
        <f>Table1[[#This Row],[StartPosition]]-Table1[[#This Row],[FinishPosition]]</f>
        <v>-1</v>
      </c>
    </row>
    <row r="865" spans="1:21" x14ac:dyDescent="0.3">
      <c r="A865">
        <v>2020</v>
      </c>
      <c r="B865">
        <v>3</v>
      </c>
      <c r="C865" t="s">
        <v>183</v>
      </c>
      <c r="D865" t="s">
        <v>58</v>
      </c>
      <c r="E865" t="s">
        <v>59</v>
      </c>
      <c r="F865" t="s">
        <v>192</v>
      </c>
      <c r="G865">
        <v>3</v>
      </c>
      <c r="H865">
        <v>4</v>
      </c>
      <c r="I865">
        <v>12</v>
      </c>
      <c r="J865" t="s">
        <v>34</v>
      </c>
      <c r="K865" t="s">
        <v>24</v>
      </c>
      <c r="L865">
        <v>70</v>
      </c>
      <c r="M865">
        <v>78.972999999999999</v>
      </c>
      <c r="N865">
        <v>81.687760999999995</v>
      </c>
      <c r="O865">
        <v>28.588000000000001</v>
      </c>
      <c r="P865">
        <v>27.91</v>
      </c>
      <c r="Q865">
        <v>22.439</v>
      </c>
      <c r="R865" t="s">
        <v>453</v>
      </c>
      <c r="S865" t="s">
        <v>25</v>
      </c>
      <c r="T865">
        <f>IF(TRIM(Table1[[#This Row],[PitStopLaps]])="",0,
LEN(Table1[[#This Row],[PitStopLaps]])-LEN(SUBSTITUTE(Table1[[#This Row],[PitStopLaps]],",",""))+1)</f>
        <v>3</v>
      </c>
      <c r="U865">
        <f>Table1[[#This Row],[StartPosition]]-Table1[[#This Row],[FinishPosition]]</f>
        <v>-1</v>
      </c>
    </row>
    <row r="866" spans="1:21" x14ac:dyDescent="0.3">
      <c r="A866">
        <v>2020</v>
      </c>
      <c r="B866">
        <v>3</v>
      </c>
      <c r="C866" t="s">
        <v>183</v>
      </c>
      <c r="D866" t="s">
        <v>248</v>
      </c>
      <c r="E866" t="s">
        <v>249</v>
      </c>
      <c r="F866" t="s">
        <v>33</v>
      </c>
      <c r="G866">
        <v>13</v>
      </c>
      <c r="H866">
        <v>5</v>
      </c>
      <c r="I866">
        <v>10</v>
      </c>
      <c r="J866" t="s">
        <v>34</v>
      </c>
      <c r="K866" t="s">
        <v>24</v>
      </c>
      <c r="L866">
        <v>70</v>
      </c>
      <c r="M866">
        <v>79.44</v>
      </c>
      <c r="N866">
        <v>82.234076000000002</v>
      </c>
      <c r="O866">
        <v>28.541</v>
      </c>
      <c r="P866">
        <v>28.265000000000001</v>
      </c>
      <c r="Q866">
        <v>22.469000000000001</v>
      </c>
      <c r="R866" t="s">
        <v>91</v>
      </c>
      <c r="S866" t="s">
        <v>25</v>
      </c>
      <c r="T866">
        <f>IF(TRIM(Table1[[#This Row],[PitStopLaps]])="",0,
LEN(Table1[[#This Row],[PitStopLaps]])-LEN(SUBSTITUTE(Table1[[#This Row],[PitStopLaps]],",",""))+1)</f>
        <v>2</v>
      </c>
      <c r="U866">
        <f>Table1[[#This Row],[StartPosition]]-Table1[[#This Row],[FinishPosition]]</f>
        <v>8</v>
      </c>
    </row>
    <row r="867" spans="1:21" x14ac:dyDescent="0.3">
      <c r="A867">
        <v>2020</v>
      </c>
      <c r="B867">
        <v>3</v>
      </c>
      <c r="C867" t="s">
        <v>183</v>
      </c>
      <c r="D867" t="s">
        <v>20</v>
      </c>
      <c r="E867" t="s">
        <v>21</v>
      </c>
      <c r="F867" t="s">
        <v>22</v>
      </c>
      <c r="G867">
        <v>5</v>
      </c>
      <c r="H867">
        <v>6</v>
      </c>
      <c r="I867">
        <v>8</v>
      </c>
      <c r="J867" t="s">
        <v>34</v>
      </c>
      <c r="K867" t="s">
        <v>65</v>
      </c>
      <c r="L867">
        <v>69</v>
      </c>
      <c r="M867">
        <v>80.363</v>
      </c>
      <c r="N867">
        <v>82.373062000000004</v>
      </c>
      <c r="O867">
        <v>28.905000000000001</v>
      </c>
      <c r="P867">
        <v>28.221</v>
      </c>
      <c r="Q867">
        <v>22.795000000000002</v>
      </c>
      <c r="R867" t="s">
        <v>454</v>
      </c>
      <c r="S867" t="s">
        <v>25</v>
      </c>
      <c r="T867">
        <f>IF(TRIM(Table1[[#This Row],[PitStopLaps]])="",0,
LEN(Table1[[#This Row],[PitStopLaps]])-LEN(SUBSTITUTE(Table1[[#This Row],[PitStopLaps]],",",""))+1)</f>
        <v>2</v>
      </c>
      <c r="U867">
        <f>Table1[[#This Row],[StartPosition]]-Table1[[#This Row],[FinishPosition]]</f>
        <v>-1</v>
      </c>
    </row>
    <row r="868" spans="1:21" x14ac:dyDescent="0.3">
      <c r="A868">
        <v>2020</v>
      </c>
      <c r="B868">
        <v>3</v>
      </c>
      <c r="C868" t="s">
        <v>183</v>
      </c>
      <c r="D868" t="s">
        <v>49</v>
      </c>
      <c r="E868" t="s">
        <v>50</v>
      </c>
      <c r="F868" t="s">
        <v>192</v>
      </c>
      <c r="G868">
        <v>4</v>
      </c>
      <c r="H868">
        <v>7</v>
      </c>
      <c r="I868">
        <v>6</v>
      </c>
      <c r="J868" t="s">
        <v>34</v>
      </c>
      <c r="K868" t="s">
        <v>65</v>
      </c>
      <c r="L868">
        <v>69</v>
      </c>
      <c r="M868">
        <v>80.09</v>
      </c>
      <c r="N868">
        <v>82.446405999999996</v>
      </c>
      <c r="O868">
        <v>28.678000000000001</v>
      </c>
      <c r="P868">
        <v>28.373999999999999</v>
      </c>
      <c r="Q868">
        <v>22.658000000000001</v>
      </c>
      <c r="R868" t="s">
        <v>455</v>
      </c>
      <c r="S868" t="s">
        <v>25</v>
      </c>
      <c r="T868">
        <f>IF(TRIM(Table1[[#This Row],[PitStopLaps]])="",0,
LEN(Table1[[#This Row],[PitStopLaps]])-LEN(SUBSTITUTE(Table1[[#This Row],[PitStopLaps]],",",""))+1)</f>
        <v>2</v>
      </c>
      <c r="U868">
        <f>Table1[[#This Row],[StartPosition]]-Table1[[#This Row],[FinishPosition]]</f>
        <v>-3</v>
      </c>
    </row>
    <row r="869" spans="1:21" x14ac:dyDescent="0.3">
      <c r="A869">
        <v>2020</v>
      </c>
      <c r="B869">
        <v>3</v>
      </c>
      <c r="C869" t="s">
        <v>183</v>
      </c>
      <c r="D869" t="s">
        <v>31</v>
      </c>
      <c r="E869" t="s">
        <v>32</v>
      </c>
      <c r="F869" t="s">
        <v>42</v>
      </c>
      <c r="G869">
        <v>11</v>
      </c>
      <c r="H869">
        <v>8</v>
      </c>
      <c r="I869">
        <v>4</v>
      </c>
      <c r="J869" t="s">
        <v>34</v>
      </c>
      <c r="K869" t="s">
        <v>65</v>
      </c>
      <c r="L869">
        <v>69</v>
      </c>
      <c r="M869">
        <v>79.531999999999996</v>
      </c>
      <c r="N869">
        <v>82.529875000000004</v>
      </c>
      <c r="O869">
        <v>28.687000000000001</v>
      </c>
      <c r="P869">
        <v>28.332999999999998</v>
      </c>
      <c r="Q869">
        <v>22.469000000000001</v>
      </c>
      <c r="R869" t="s">
        <v>456</v>
      </c>
      <c r="S869" t="s">
        <v>25</v>
      </c>
      <c r="T869">
        <f>IF(TRIM(Table1[[#This Row],[PitStopLaps]])="",0,
LEN(Table1[[#This Row],[PitStopLaps]])-LEN(SUBSTITUTE(Table1[[#This Row],[PitStopLaps]],",",""))+1)</f>
        <v>2</v>
      </c>
      <c r="U869">
        <f>Table1[[#This Row],[StartPosition]]-Table1[[#This Row],[FinishPosition]]</f>
        <v>3</v>
      </c>
    </row>
    <row r="870" spans="1:21" x14ac:dyDescent="0.3">
      <c r="A870">
        <v>2020</v>
      </c>
      <c r="B870">
        <v>3</v>
      </c>
      <c r="C870" t="s">
        <v>183</v>
      </c>
      <c r="D870" t="s">
        <v>47</v>
      </c>
      <c r="E870" t="s">
        <v>48</v>
      </c>
      <c r="F870" t="s">
        <v>37</v>
      </c>
      <c r="G870">
        <v>9</v>
      </c>
      <c r="H870">
        <v>9</v>
      </c>
      <c r="I870">
        <v>2</v>
      </c>
      <c r="J870" t="s">
        <v>34</v>
      </c>
      <c r="K870" t="s">
        <v>65</v>
      </c>
      <c r="L870">
        <v>69</v>
      </c>
      <c r="M870">
        <v>79.456999999999994</v>
      </c>
      <c r="N870">
        <v>82.658078000000003</v>
      </c>
      <c r="O870">
        <v>28.757000000000001</v>
      </c>
      <c r="P870">
        <v>27.972000000000001</v>
      </c>
      <c r="Q870">
        <v>22.58</v>
      </c>
      <c r="R870" t="s">
        <v>457</v>
      </c>
      <c r="S870" t="s">
        <v>25</v>
      </c>
      <c r="T870">
        <f>IF(TRIM(Table1[[#This Row],[PitStopLaps]])="",0,
LEN(Table1[[#This Row],[PitStopLaps]])-LEN(SUBSTITUTE(Table1[[#This Row],[PitStopLaps]],",",""))+1)</f>
        <v>2</v>
      </c>
      <c r="U870">
        <f>Table1[[#This Row],[StartPosition]]-Table1[[#This Row],[FinishPosition]]</f>
        <v>0</v>
      </c>
    </row>
    <row r="871" spans="1:21" x14ac:dyDescent="0.3">
      <c r="A871">
        <v>2020</v>
      </c>
      <c r="B871">
        <v>3</v>
      </c>
      <c r="C871" t="s">
        <v>183</v>
      </c>
      <c r="D871" t="s">
        <v>71</v>
      </c>
      <c r="E871" t="s">
        <v>72</v>
      </c>
      <c r="F871" t="s">
        <v>69</v>
      </c>
      <c r="G871">
        <v>0</v>
      </c>
      <c r="H871">
        <v>10</v>
      </c>
      <c r="I871">
        <v>1</v>
      </c>
      <c r="J871" t="s">
        <v>34</v>
      </c>
      <c r="K871" t="s">
        <v>65</v>
      </c>
      <c r="L871">
        <v>69</v>
      </c>
      <c r="M871">
        <v>80.477000000000004</v>
      </c>
      <c r="N871">
        <v>83.073408999999998</v>
      </c>
      <c r="O871">
        <v>29.004999999999999</v>
      </c>
      <c r="P871">
        <v>28.477</v>
      </c>
      <c r="Q871">
        <v>22.766999999999999</v>
      </c>
      <c r="R871">
        <v>35</v>
      </c>
      <c r="S871" t="s">
        <v>25</v>
      </c>
      <c r="T871">
        <f>IF(TRIM(Table1[[#This Row],[PitStopLaps]])="",0,
LEN(Table1[[#This Row],[PitStopLaps]])-LEN(SUBSTITUTE(Table1[[#This Row],[PitStopLaps]],",",""))+1)</f>
        <v>1</v>
      </c>
      <c r="U871">
        <f>Table1[[#This Row],[StartPosition]]-Table1[[#This Row],[FinishPosition]]</f>
        <v>-10</v>
      </c>
    </row>
    <row r="872" spans="1:21" x14ac:dyDescent="0.3">
      <c r="A872">
        <v>2020</v>
      </c>
      <c r="B872">
        <v>3</v>
      </c>
      <c r="C872" t="s">
        <v>183</v>
      </c>
      <c r="D872" t="s">
        <v>54</v>
      </c>
      <c r="E872" t="s">
        <v>55</v>
      </c>
      <c r="F872" t="s">
        <v>22</v>
      </c>
      <c r="G872">
        <v>6</v>
      </c>
      <c r="H872">
        <v>11</v>
      </c>
      <c r="I872">
        <v>0</v>
      </c>
      <c r="J872" t="s">
        <v>34</v>
      </c>
      <c r="K872" t="s">
        <v>65</v>
      </c>
      <c r="L872">
        <v>69</v>
      </c>
      <c r="M872">
        <v>80.820999999999998</v>
      </c>
      <c r="N872">
        <v>82.912452999999999</v>
      </c>
      <c r="O872">
        <v>28.974</v>
      </c>
      <c r="P872">
        <v>28.649000000000001</v>
      </c>
      <c r="Q872">
        <v>22.920999999999999</v>
      </c>
      <c r="R872" t="s">
        <v>458</v>
      </c>
      <c r="S872" t="s">
        <v>25</v>
      </c>
      <c r="T872">
        <f>IF(TRIM(Table1[[#This Row],[PitStopLaps]])="",0,
LEN(Table1[[#This Row],[PitStopLaps]])-LEN(SUBSTITUTE(Table1[[#This Row],[PitStopLaps]],",",""))+1)</f>
        <v>2</v>
      </c>
      <c r="U872">
        <f>Table1[[#This Row],[StartPosition]]-Table1[[#This Row],[FinishPosition]]</f>
        <v>-5</v>
      </c>
    </row>
    <row r="873" spans="1:21" x14ac:dyDescent="0.3">
      <c r="A873">
        <v>2020</v>
      </c>
      <c r="B873">
        <v>3</v>
      </c>
      <c r="C873" t="s">
        <v>183</v>
      </c>
      <c r="D873" t="s">
        <v>244</v>
      </c>
      <c r="E873" t="s">
        <v>245</v>
      </c>
      <c r="F873" t="s">
        <v>438</v>
      </c>
      <c r="G873">
        <v>17</v>
      </c>
      <c r="H873">
        <v>12</v>
      </c>
      <c r="I873">
        <v>0</v>
      </c>
      <c r="J873" t="s">
        <v>34</v>
      </c>
      <c r="K873" t="s">
        <v>65</v>
      </c>
      <c r="L873">
        <v>69</v>
      </c>
      <c r="M873">
        <v>80.945999999999998</v>
      </c>
      <c r="N873">
        <v>82.989923000000005</v>
      </c>
      <c r="O873">
        <v>29.044</v>
      </c>
      <c r="P873">
        <v>28.673999999999999</v>
      </c>
      <c r="Q873">
        <v>22.997</v>
      </c>
      <c r="R873" t="s">
        <v>459</v>
      </c>
      <c r="S873" t="s">
        <v>25</v>
      </c>
      <c r="T873">
        <f>IF(TRIM(Table1[[#This Row],[PitStopLaps]])="",0,
LEN(Table1[[#This Row],[PitStopLaps]])-LEN(SUBSTITUTE(Table1[[#This Row],[PitStopLaps]],",",""))+1)</f>
        <v>2</v>
      </c>
      <c r="U873">
        <f>Table1[[#This Row],[StartPosition]]-Table1[[#This Row],[FinishPosition]]</f>
        <v>5</v>
      </c>
    </row>
    <row r="874" spans="1:21" x14ac:dyDescent="0.3">
      <c r="A874">
        <v>2020</v>
      </c>
      <c r="B874">
        <v>3</v>
      </c>
      <c r="C874" t="s">
        <v>183</v>
      </c>
      <c r="D874" t="s">
        <v>246</v>
      </c>
      <c r="E874" t="s">
        <v>247</v>
      </c>
      <c r="F874" t="s">
        <v>37</v>
      </c>
      <c r="G874">
        <v>8</v>
      </c>
      <c r="H874">
        <v>13</v>
      </c>
      <c r="I874">
        <v>0</v>
      </c>
      <c r="J874" t="s">
        <v>34</v>
      </c>
      <c r="K874" t="s">
        <v>65</v>
      </c>
      <c r="L874">
        <v>69</v>
      </c>
      <c r="M874">
        <v>79.944999999999993</v>
      </c>
      <c r="N874">
        <v>83.008109000000005</v>
      </c>
      <c r="O874">
        <v>28.718</v>
      </c>
      <c r="P874">
        <v>28.202999999999999</v>
      </c>
      <c r="Q874">
        <v>22.648</v>
      </c>
      <c r="R874" t="s">
        <v>211</v>
      </c>
      <c r="S874" t="s">
        <v>25</v>
      </c>
      <c r="T874">
        <f>IF(TRIM(Table1[[#This Row],[PitStopLaps]])="",0,
LEN(Table1[[#This Row],[PitStopLaps]])-LEN(SUBSTITUTE(Table1[[#This Row],[PitStopLaps]],",",""))+1)</f>
        <v>2</v>
      </c>
      <c r="U874">
        <f>Table1[[#This Row],[StartPosition]]-Table1[[#This Row],[FinishPosition]]</f>
        <v>-5</v>
      </c>
    </row>
    <row r="875" spans="1:21" x14ac:dyDescent="0.3">
      <c r="A875">
        <v>2020</v>
      </c>
      <c r="B875">
        <v>3</v>
      </c>
      <c r="C875" t="s">
        <v>183</v>
      </c>
      <c r="D875" t="s">
        <v>52</v>
      </c>
      <c r="E875" t="s">
        <v>53</v>
      </c>
      <c r="F875" t="s">
        <v>42</v>
      </c>
      <c r="G875">
        <v>14</v>
      </c>
      <c r="H875">
        <v>14</v>
      </c>
      <c r="I875">
        <v>0</v>
      </c>
      <c r="J875" t="s">
        <v>34</v>
      </c>
      <c r="K875" t="s">
        <v>65</v>
      </c>
      <c r="L875">
        <v>69</v>
      </c>
      <c r="M875">
        <v>80.260999999999996</v>
      </c>
      <c r="N875">
        <v>83.000249999999994</v>
      </c>
      <c r="O875">
        <v>28.795000000000002</v>
      </c>
      <c r="P875">
        <v>28.350999999999999</v>
      </c>
      <c r="Q875">
        <v>22.76</v>
      </c>
      <c r="R875" t="s">
        <v>460</v>
      </c>
      <c r="S875" t="s">
        <v>25</v>
      </c>
      <c r="T875">
        <f>IF(TRIM(Table1[[#This Row],[PitStopLaps]])="",0,
LEN(Table1[[#This Row],[PitStopLaps]])-LEN(SUBSTITUTE(Table1[[#This Row],[PitStopLaps]],",",""))+1)</f>
        <v>2</v>
      </c>
      <c r="U875">
        <f>Table1[[#This Row],[StartPosition]]-Table1[[#This Row],[FinishPosition]]</f>
        <v>0</v>
      </c>
    </row>
    <row r="876" spans="1:21" x14ac:dyDescent="0.3">
      <c r="A876">
        <v>2020</v>
      </c>
      <c r="B876">
        <v>3</v>
      </c>
      <c r="C876" t="s">
        <v>183</v>
      </c>
      <c r="D876" t="s">
        <v>29</v>
      </c>
      <c r="E876" t="s">
        <v>30</v>
      </c>
      <c r="F876" t="s">
        <v>243</v>
      </c>
      <c r="G876">
        <v>20</v>
      </c>
      <c r="H876">
        <v>15</v>
      </c>
      <c r="I876">
        <v>0</v>
      </c>
      <c r="J876" t="s">
        <v>34</v>
      </c>
      <c r="K876" t="s">
        <v>65</v>
      </c>
      <c r="L876">
        <v>69</v>
      </c>
      <c r="M876">
        <v>80.231999999999999</v>
      </c>
      <c r="N876">
        <v>82.942031</v>
      </c>
      <c r="O876">
        <v>28.803000000000001</v>
      </c>
      <c r="P876">
        <v>28.486000000000001</v>
      </c>
      <c r="Q876">
        <v>22.675000000000001</v>
      </c>
      <c r="R876" t="s">
        <v>461</v>
      </c>
      <c r="S876" t="s">
        <v>25</v>
      </c>
      <c r="T876">
        <f>IF(TRIM(Table1[[#This Row],[PitStopLaps]])="",0,
LEN(Table1[[#This Row],[PitStopLaps]])-LEN(SUBSTITUTE(Table1[[#This Row],[PitStopLaps]],",",""))+1)</f>
        <v>2</v>
      </c>
      <c r="U876">
        <f>Table1[[#This Row],[StartPosition]]-Table1[[#This Row],[FinishPosition]]</f>
        <v>5</v>
      </c>
    </row>
    <row r="877" spans="1:21" x14ac:dyDescent="0.3">
      <c r="A877">
        <v>2020</v>
      </c>
      <c r="B877">
        <v>3</v>
      </c>
      <c r="C877" t="s">
        <v>183</v>
      </c>
      <c r="D877" t="s">
        <v>67</v>
      </c>
      <c r="E877" t="s">
        <v>68</v>
      </c>
      <c r="F877" t="s">
        <v>69</v>
      </c>
      <c r="G877">
        <v>0</v>
      </c>
      <c r="H877">
        <v>16</v>
      </c>
      <c r="I877">
        <v>0</v>
      </c>
      <c r="J877" t="s">
        <v>34</v>
      </c>
      <c r="K877" t="s">
        <v>65</v>
      </c>
      <c r="L877">
        <v>69</v>
      </c>
      <c r="M877">
        <v>80.888999999999996</v>
      </c>
      <c r="N877">
        <v>83.493318000000002</v>
      </c>
      <c r="O877">
        <v>29.062999999999999</v>
      </c>
      <c r="P877">
        <v>28.507999999999999</v>
      </c>
      <c r="Q877">
        <v>22.966000000000001</v>
      </c>
      <c r="R877">
        <v>34</v>
      </c>
      <c r="S877" t="s">
        <v>25</v>
      </c>
      <c r="T877">
        <f>IF(TRIM(Table1[[#This Row],[PitStopLaps]])="",0,
LEN(Table1[[#This Row],[PitStopLaps]])-LEN(SUBSTITUTE(Table1[[#This Row],[PitStopLaps]],",",""))+1)</f>
        <v>1</v>
      </c>
      <c r="U877">
        <f>Table1[[#This Row],[StartPosition]]-Table1[[#This Row],[FinishPosition]]</f>
        <v>-16</v>
      </c>
    </row>
    <row r="878" spans="1:21" x14ac:dyDescent="0.3">
      <c r="A878">
        <v>2020</v>
      </c>
      <c r="B878">
        <v>3</v>
      </c>
      <c r="C878" t="s">
        <v>183</v>
      </c>
      <c r="D878" t="s">
        <v>250</v>
      </c>
      <c r="E878" t="s">
        <v>251</v>
      </c>
      <c r="F878" t="s">
        <v>243</v>
      </c>
      <c r="G878">
        <v>19</v>
      </c>
      <c r="H878">
        <v>17</v>
      </c>
      <c r="I878">
        <v>0</v>
      </c>
      <c r="J878" t="s">
        <v>34</v>
      </c>
      <c r="K878" t="s">
        <v>65</v>
      </c>
      <c r="L878">
        <v>69</v>
      </c>
      <c r="M878">
        <v>80.096000000000004</v>
      </c>
      <c r="N878">
        <v>82.932500000000005</v>
      </c>
      <c r="O878">
        <v>28.788</v>
      </c>
      <c r="P878">
        <v>28.308</v>
      </c>
      <c r="Q878">
        <v>22.731000000000002</v>
      </c>
      <c r="R878" t="s">
        <v>462</v>
      </c>
      <c r="S878" t="s">
        <v>25</v>
      </c>
      <c r="T878">
        <f>IF(TRIM(Table1[[#This Row],[PitStopLaps]])="",0,
LEN(Table1[[#This Row],[PitStopLaps]])-LEN(SUBSTITUTE(Table1[[#This Row],[PitStopLaps]],",",""))+1)</f>
        <v>3</v>
      </c>
      <c r="U878">
        <f>Table1[[#This Row],[StartPosition]]-Table1[[#This Row],[FinishPosition]]</f>
        <v>2</v>
      </c>
    </row>
    <row r="879" spans="1:21" x14ac:dyDescent="0.3">
      <c r="A879">
        <v>2020</v>
      </c>
      <c r="B879">
        <v>3</v>
      </c>
      <c r="C879" t="s">
        <v>183</v>
      </c>
      <c r="D879" t="s">
        <v>252</v>
      </c>
      <c r="E879" t="s">
        <v>253</v>
      </c>
      <c r="F879" t="s">
        <v>60</v>
      </c>
      <c r="G879">
        <v>12</v>
      </c>
      <c r="H879">
        <v>18</v>
      </c>
      <c r="I879">
        <v>0</v>
      </c>
      <c r="J879" t="s">
        <v>34</v>
      </c>
      <c r="K879" t="s">
        <v>65</v>
      </c>
      <c r="L879">
        <v>69</v>
      </c>
      <c r="M879">
        <v>79.983999999999995</v>
      </c>
      <c r="N879">
        <v>83.107758000000004</v>
      </c>
      <c r="O879">
        <v>28.837</v>
      </c>
      <c r="P879">
        <v>28.231999999999999</v>
      </c>
      <c r="Q879">
        <v>22.664999999999999</v>
      </c>
      <c r="R879" t="s">
        <v>463</v>
      </c>
      <c r="S879" t="s">
        <v>25</v>
      </c>
      <c r="T879">
        <f>IF(TRIM(Table1[[#This Row],[PitStopLaps]])="",0,
LEN(Table1[[#This Row],[PitStopLaps]])-LEN(SUBSTITUTE(Table1[[#This Row],[PitStopLaps]],",",""))+1)</f>
        <v>3</v>
      </c>
      <c r="U879">
        <f>Table1[[#This Row],[StartPosition]]-Table1[[#This Row],[FinishPosition]]</f>
        <v>-6</v>
      </c>
    </row>
    <row r="880" spans="1:21" x14ac:dyDescent="0.3">
      <c r="A880">
        <v>2020</v>
      </c>
      <c r="B880">
        <v>3</v>
      </c>
      <c r="C880" t="s">
        <v>183</v>
      </c>
      <c r="D880" t="s">
        <v>440</v>
      </c>
      <c r="E880" t="s">
        <v>441</v>
      </c>
      <c r="F880" t="s">
        <v>60</v>
      </c>
      <c r="G880">
        <v>15</v>
      </c>
      <c r="H880">
        <v>19</v>
      </c>
      <c r="I880">
        <v>0</v>
      </c>
      <c r="J880" t="s">
        <v>34</v>
      </c>
      <c r="K880" t="s">
        <v>464</v>
      </c>
      <c r="L880">
        <v>65</v>
      </c>
      <c r="M880">
        <v>81.197999999999993</v>
      </c>
      <c r="N880">
        <v>84.773381000000001</v>
      </c>
      <c r="O880">
        <v>29.023</v>
      </c>
      <c r="P880">
        <v>29.077999999999999</v>
      </c>
      <c r="Q880">
        <v>23.045999999999999</v>
      </c>
      <c r="R880" t="s">
        <v>465</v>
      </c>
      <c r="S880" t="s">
        <v>25</v>
      </c>
      <c r="T880">
        <f>IF(TRIM(Table1[[#This Row],[PitStopLaps]])="",0,
LEN(Table1[[#This Row],[PitStopLaps]])-LEN(SUBSTITUTE(Table1[[#This Row],[PitStopLaps]],",",""))+1)</f>
        <v>5</v>
      </c>
      <c r="U880">
        <f>Table1[[#This Row],[StartPosition]]-Table1[[#This Row],[FinishPosition]]</f>
        <v>-4</v>
      </c>
    </row>
    <row r="881" spans="1:21" x14ac:dyDescent="0.3">
      <c r="A881">
        <v>2020</v>
      </c>
      <c r="B881">
        <v>3</v>
      </c>
      <c r="C881" t="s">
        <v>183</v>
      </c>
      <c r="D881" t="s">
        <v>73</v>
      </c>
      <c r="E881" t="s">
        <v>74</v>
      </c>
      <c r="F881" t="s">
        <v>438</v>
      </c>
      <c r="G881">
        <v>10</v>
      </c>
      <c r="H881">
        <v>20</v>
      </c>
      <c r="I881">
        <v>0</v>
      </c>
      <c r="J881" t="s">
        <v>34</v>
      </c>
      <c r="K881" t="s">
        <v>75</v>
      </c>
      <c r="L881">
        <v>15</v>
      </c>
      <c r="M881">
        <v>83.938999999999993</v>
      </c>
      <c r="N881">
        <v>87.029818000000006</v>
      </c>
      <c r="O881">
        <v>29.896000000000001</v>
      </c>
      <c r="P881">
        <v>30.202000000000002</v>
      </c>
      <c r="Q881">
        <v>23.686</v>
      </c>
      <c r="R881" t="s">
        <v>466</v>
      </c>
      <c r="S881" t="s">
        <v>25</v>
      </c>
      <c r="T881">
        <f>IF(TRIM(Table1[[#This Row],[PitStopLaps]])="",0,
LEN(Table1[[#This Row],[PitStopLaps]])-LEN(SUBSTITUTE(Table1[[#This Row],[PitStopLaps]],",",""))+1)</f>
        <v>2</v>
      </c>
      <c r="U881">
        <f>Table1[[#This Row],[StartPosition]]-Table1[[#This Row],[FinishPosition]]</f>
        <v>-10</v>
      </c>
    </row>
    <row r="882" spans="1:21" x14ac:dyDescent="0.3">
      <c r="A882">
        <v>2020</v>
      </c>
      <c r="B882">
        <v>4</v>
      </c>
      <c r="C882" t="s">
        <v>157</v>
      </c>
      <c r="D882" t="s">
        <v>26</v>
      </c>
      <c r="E882" t="s">
        <v>27</v>
      </c>
      <c r="F882" t="s">
        <v>28</v>
      </c>
      <c r="G882">
        <v>1</v>
      </c>
      <c r="H882">
        <v>1</v>
      </c>
      <c r="I882">
        <v>25</v>
      </c>
      <c r="J882" t="s">
        <v>23</v>
      </c>
      <c r="K882" t="s">
        <v>24</v>
      </c>
      <c r="L882">
        <v>52</v>
      </c>
      <c r="M882">
        <v>89.238</v>
      </c>
      <c r="N882">
        <v>90.681341000000003</v>
      </c>
      <c r="O882">
        <v>28.672999999999998</v>
      </c>
      <c r="P882">
        <v>35.982999999999997</v>
      </c>
      <c r="Q882">
        <v>24.419</v>
      </c>
      <c r="R882">
        <v>13</v>
      </c>
      <c r="S882" t="s">
        <v>83</v>
      </c>
      <c r="T882">
        <f>IF(TRIM(Table1[[#This Row],[PitStopLaps]])="",0,
LEN(Table1[[#This Row],[PitStopLaps]])-LEN(SUBSTITUTE(Table1[[#This Row],[PitStopLaps]],",",""))+1)</f>
        <v>1</v>
      </c>
      <c r="U882">
        <f>Table1[[#This Row],[StartPosition]]-Table1[[#This Row],[FinishPosition]]</f>
        <v>0</v>
      </c>
    </row>
    <row r="883" spans="1:21" x14ac:dyDescent="0.3">
      <c r="A883">
        <v>2020</v>
      </c>
      <c r="B883">
        <v>4</v>
      </c>
      <c r="C883" t="s">
        <v>157</v>
      </c>
      <c r="D883" t="s">
        <v>38</v>
      </c>
      <c r="E883" t="s">
        <v>39</v>
      </c>
      <c r="F883" t="s">
        <v>33</v>
      </c>
      <c r="G883">
        <v>3</v>
      </c>
      <c r="H883">
        <v>2</v>
      </c>
      <c r="I883">
        <v>19</v>
      </c>
      <c r="J883" t="s">
        <v>23</v>
      </c>
      <c r="K883" t="s">
        <v>24</v>
      </c>
      <c r="L883">
        <v>52</v>
      </c>
      <c r="M883">
        <v>87.096999999999994</v>
      </c>
      <c r="N883">
        <v>90.318078</v>
      </c>
      <c r="O883">
        <v>28.033000000000001</v>
      </c>
      <c r="P883">
        <v>35.017000000000003</v>
      </c>
      <c r="Q883">
        <v>24.047000000000001</v>
      </c>
      <c r="R883" t="s">
        <v>467</v>
      </c>
      <c r="S883" t="s">
        <v>83</v>
      </c>
      <c r="T883">
        <f>IF(TRIM(Table1[[#This Row],[PitStopLaps]])="",0,
LEN(Table1[[#This Row],[PitStopLaps]])-LEN(SUBSTITUTE(Table1[[#This Row],[PitStopLaps]],",",""))+1)</f>
        <v>2</v>
      </c>
      <c r="U883">
        <f>Table1[[#This Row],[StartPosition]]-Table1[[#This Row],[FinishPosition]]</f>
        <v>1</v>
      </c>
    </row>
    <row r="884" spans="1:21" x14ac:dyDescent="0.3">
      <c r="A884">
        <v>2020</v>
      </c>
      <c r="B884">
        <v>4</v>
      </c>
      <c r="C884" t="s">
        <v>157</v>
      </c>
      <c r="D884" t="s">
        <v>54</v>
      </c>
      <c r="E884" t="s">
        <v>55</v>
      </c>
      <c r="F884" t="s">
        <v>22</v>
      </c>
      <c r="G884">
        <v>4</v>
      </c>
      <c r="H884">
        <v>3</v>
      </c>
      <c r="I884">
        <v>15</v>
      </c>
      <c r="J884" t="s">
        <v>23</v>
      </c>
      <c r="K884" t="s">
        <v>24</v>
      </c>
      <c r="L884">
        <v>52</v>
      </c>
      <c r="M884">
        <v>89.813000000000002</v>
      </c>
      <c r="N884">
        <v>91.346299999999999</v>
      </c>
      <c r="O884">
        <v>28.693999999999999</v>
      </c>
      <c r="P884">
        <v>36.359000000000002</v>
      </c>
      <c r="Q884">
        <v>24.646999999999998</v>
      </c>
      <c r="R884">
        <v>13</v>
      </c>
      <c r="S884" t="s">
        <v>83</v>
      </c>
      <c r="T884">
        <f>IF(TRIM(Table1[[#This Row],[PitStopLaps]])="",0,
LEN(Table1[[#This Row],[PitStopLaps]])-LEN(SUBSTITUTE(Table1[[#This Row],[PitStopLaps]],",",""))+1)</f>
        <v>1</v>
      </c>
      <c r="U884">
        <f>Table1[[#This Row],[StartPosition]]-Table1[[#This Row],[FinishPosition]]</f>
        <v>1</v>
      </c>
    </row>
    <row r="885" spans="1:21" x14ac:dyDescent="0.3">
      <c r="A885">
        <v>2020</v>
      </c>
      <c r="B885">
        <v>4</v>
      </c>
      <c r="C885" t="s">
        <v>157</v>
      </c>
      <c r="D885" t="s">
        <v>31</v>
      </c>
      <c r="E885" t="s">
        <v>32</v>
      </c>
      <c r="F885" t="s">
        <v>42</v>
      </c>
      <c r="G885">
        <v>8</v>
      </c>
      <c r="H885">
        <v>4</v>
      </c>
      <c r="I885">
        <v>12</v>
      </c>
      <c r="J885" t="s">
        <v>34</v>
      </c>
      <c r="K885" t="s">
        <v>24</v>
      </c>
      <c r="L885">
        <v>52</v>
      </c>
      <c r="M885">
        <v>89.481999999999999</v>
      </c>
      <c r="N885">
        <v>91.464250000000007</v>
      </c>
      <c r="O885">
        <v>28.672999999999998</v>
      </c>
      <c r="P885">
        <v>36.186999999999998</v>
      </c>
      <c r="Q885">
        <v>24.315000000000001</v>
      </c>
      <c r="R885">
        <v>12</v>
      </c>
      <c r="S885" t="s">
        <v>83</v>
      </c>
      <c r="T885">
        <f>IF(TRIM(Table1[[#This Row],[PitStopLaps]])="",0,
LEN(Table1[[#This Row],[PitStopLaps]])-LEN(SUBSTITUTE(Table1[[#This Row],[PitStopLaps]],",",""))+1)</f>
        <v>1</v>
      </c>
      <c r="U885">
        <f>Table1[[#This Row],[StartPosition]]-Table1[[#This Row],[FinishPosition]]</f>
        <v>4</v>
      </c>
    </row>
    <row r="886" spans="1:21" x14ac:dyDescent="0.3">
      <c r="A886">
        <v>2020</v>
      </c>
      <c r="B886">
        <v>4</v>
      </c>
      <c r="C886" t="s">
        <v>157</v>
      </c>
      <c r="D886" t="s">
        <v>246</v>
      </c>
      <c r="E886" t="s">
        <v>247</v>
      </c>
      <c r="F886" t="s">
        <v>37</v>
      </c>
      <c r="G886">
        <v>5</v>
      </c>
      <c r="H886">
        <v>5</v>
      </c>
      <c r="I886">
        <v>10</v>
      </c>
      <c r="J886" t="s">
        <v>34</v>
      </c>
      <c r="K886" t="s">
        <v>24</v>
      </c>
      <c r="L886">
        <v>52</v>
      </c>
      <c r="M886">
        <v>90.058000000000007</v>
      </c>
      <c r="N886">
        <v>91.549774999999997</v>
      </c>
      <c r="O886">
        <v>28.95</v>
      </c>
      <c r="P886">
        <v>36.131</v>
      </c>
      <c r="Q886">
        <v>24.786000000000001</v>
      </c>
      <c r="R886">
        <v>12</v>
      </c>
      <c r="S886" t="s">
        <v>83</v>
      </c>
      <c r="T886">
        <f>IF(TRIM(Table1[[#This Row],[PitStopLaps]])="",0,
LEN(Table1[[#This Row],[PitStopLaps]])-LEN(SUBSTITUTE(Table1[[#This Row],[PitStopLaps]],",",""))+1)</f>
        <v>1</v>
      </c>
      <c r="U886">
        <f>Table1[[#This Row],[StartPosition]]-Table1[[#This Row],[FinishPosition]]</f>
        <v>0</v>
      </c>
    </row>
    <row r="887" spans="1:21" x14ac:dyDescent="0.3">
      <c r="A887">
        <v>2020</v>
      </c>
      <c r="B887">
        <v>4</v>
      </c>
      <c r="C887" t="s">
        <v>157</v>
      </c>
      <c r="D887" t="s">
        <v>52</v>
      </c>
      <c r="E887" t="s">
        <v>53</v>
      </c>
      <c r="F887" t="s">
        <v>42</v>
      </c>
      <c r="G887">
        <v>9</v>
      </c>
      <c r="H887">
        <v>6</v>
      </c>
      <c r="I887">
        <v>8</v>
      </c>
      <c r="J887" t="s">
        <v>34</v>
      </c>
      <c r="K887" t="s">
        <v>24</v>
      </c>
      <c r="L887">
        <v>52</v>
      </c>
      <c r="M887">
        <v>89.491</v>
      </c>
      <c r="N887">
        <v>91.676699999999997</v>
      </c>
      <c r="O887">
        <v>28.728000000000002</v>
      </c>
      <c r="P887">
        <v>36.067999999999998</v>
      </c>
      <c r="Q887">
        <v>24.579000000000001</v>
      </c>
      <c r="R887">
        <v>12</v>
      </c>
      <c r="S887" t="s">
        <v>83</v>
      </c>
      <c r="T887">
        <f>IF(TRIM(Table1[[#This Row],[PitStopLaps]])="",0,
LEN(Table1[[#This Row],[PitStopLaps]])-LEN(SUBSTITUTE(Table1[[#This Row],[PitStopLaps]],",",""))+1)</f>
        <v>1</v>
      </c>
      <c r="U887">
        <f>Table1[[#This Row],[StartPosition]]-Table1[[#This Row],[FinishPosition]]</f>
        <v>3</v>
      </c>
    </row>
    <row r="888" spans="1:21" x14ac:dyDescent="0.3">
      <c r="A888">
        <v>2020</v>
      </c>
      <c r="B888">
        <v>4</v>
      </c>
      <c r="C888" t="s">
        <v>157</v>
      </c>
      <c r="D888" t="s">
        <v>73</v>
      </c>
      <c r="E888" t="s">
        <v>74</v>
      </c>
      <c r="F888" t="s">
        <v>438</v>
      </c>
      <c r="G888">
        <v>11</v>
      </c>
      <c r="H888">
        <v>7</v>
      </c>
      <c r="I888">
        <v>6</v>
      </c>
      <c r="J888" t="s">
        <v>34</v>
      </c>
      <c r="K888" t="s">
        <v>24</v>
      </c>
      <c r="L888">
        <v>52</v>
      </c>
      <c r="M888">
        <v>89.602999999999994</v>
      </c>
      <c r="N888">
        <v>91.783850000000001</v>
      </c>
      <c r="O888">
        <v>28.82</v>
      </c>
      <c r="P888">
        <v>36.033999999999999</v>
      </c>
      <c r="Q888">
        <v>24.626000000000001</v>
      </c>
      <c r="R888">
        <v>12</v>
      </c>
      <c r="S888" t="s">
        <v>83</v>
      </c>
      <c r="T888">
        <f>IF(TRIM(Table1[[#This Row],[PitStopLaps]])="",0,
LEN(Table1[[#This Row],[PitStopLaps]])-LEN(SUBSTITUTE(Table1[[#This Row],[PitStopLaps]],",",""))+1)</f>
        <v>1</v>
      </c>
      <c r="U888">
        <f>Table1[[#This Row],[StartPosition]]-Table1[[#This Row],[FinishPosition]]</f>
        <v>4</v>
      </c>
    </row>
    <row r="889" spans="1:21" x14ac:dyDescent="0.3">
      <c r="A889">
        <v>2020</v>
      </c>
      <c r="B889">
        <v>4</v>
      </c>
      <c r="C889" t="s">
        <v>157</v>
      </c>
      <c r="D889" t="s">
        <v>248</v>
      </c>
      <c r="E889" t="s">
        <v>249</v>
      </c>
      <c r="F889" t="s">
        <v>33</v>
      </c>
      <c r="G889">
        <v>12</v>
      </c>
      <c r="H889">
        <v>8</v>
      </c>
      <c r="I889">
        <v>4</v>
      </c>
      <c r="J889" t="s">
        <v>34</v>
      </c>
      <c r="K889" t="s">
        <v>24</v>
      </c>
      <c r="L889">
        <v>52</v>
      </c>
      <c r="M889">
        <v>88.688999999999993</v>
      </c>
      <c r="N889">
        <v>90.779860999999997</v>
      </c>
      <c r="O889">
        <v>28.562000000000001</v>
      </c>
      <c r="P889">
        <v>35.454000000000001</v>
      </c>
      <c r="Q889">
        <v>24.175000000000001</v>
      </c>
      <c r="R889" t="s">
        <v>468</v>
      </c>
      <c r="S889" t="s">
        <v>83</v>
      </c>
      <c r="T889">
        <f>IF(TRIM(Table1[[#This Row],[PitStopLaps]])="",0,
LEN(Table1[[#This Row],[PitStopLaps]])-LEN(SUBSTITUTE(Table1[[#This Row],[PitStopLaps]],",",""))+1)</f>
        <v>2</v>
      </c>
      <c r="U889">
        <f>Table1[[#This Row],[StartPosition]]-Table1[[#This Row],[FinishPosition]]</f>
        <v>4</v>
      </c>
    </row>
    <row r="890" spans="1:21" x14ac:dyDescent="0.3">
      <c r="A890">
        <v>2020</v>
      </c>
      <c r="B890">
        <v>4</v>
      </c>
      <c r="C890" t="s">
        <v>157</v>
      </c>
      <c r="D890" t="s">
        <v>58</v>
      </c>
      <c r="E890" t="s">
        <v>59</v>
      </c>
      <c r="F890" t="s">
        <v>192</v>
      </c>
      <c r="G890">
        <v>6</v>
      </c>
      <c r="H890">
        <v>9</v>
      </c>
      <c r="I890">
        <v>2</v>
      </c>
      <c r="J890" t="s">
        <v>34</v>
      </c>
      <c r="K890" t="s">
        <v>24</v>
      </c>
      <c r="L890">
        <v>52</v>
      </c>
      <c r="M890">
        <v>90.474999999999994</v>
      </c>
      <c r="N890">
        <v>91.921949999999995</v>
      </c>
      <c r="O890">
        <v>28.905999999999999</v>
      </c>
      <c r="P890">
        <v>36.298000000000002</v>
      </c>
      <c r="Q890">
        <v>24.481999999999999</v>
      </c>
      <c r="R890">
        <v>13</v>
      </c>
      <c r="S890" t="s">
        <v>83</v>
      </c>
      <c r="T890">
        <f>IF(TRIM(Table1[[#This Row],[PitStopLaps]])="",0,
LEN(Table1[[#This Row],[PitStopLaps]])-LEN(SUBSTITUTE(Table1[[#This Row],[PitStopLaps]],",",""))+1)</f>
        <v>1</v>
      </c>
      <c r="U890">
        <f>Table1[[#This Row],[StartPosition]]-Table1[[#This Row],[FinishPosition]]</f>
        <v>-3</v>
      </c>
    </row>
    <row r="891" spans="1:21" x14ac:dyDescent="0.3">
      <c r="A891">
        <v>2020</v>
      </c>
      <c r="B891">
        <v>4</v>
      </c>
      <c r="C891" t="s">
        <v>157</v>
      </c>
      <c r="D891" t="s">
        <v>20</v>
      </c>
      <c r="E891" t="s">
        <v>21</v>
      </c>
      <c r="F891" t="s">
        <v>22</v>
      </c>
      <c r="G891">
        <v>10</v>
      </c>
      <c r="H891">
        <v>10</v>
      </c>
      <c r="I891">
        <v>1</v>
      </c>
      <c r="J891" t="s">
        <v>34</v>
      </c>
      <c r="K891" t="s">
        <v>24</v>
      </c>
      <c r="L891">
        <v>52</v>
      </c>
      <c r="M891">
        <v>90.537000000000006</v>
      </c>
      <c r="N891">
        <v>92.066974999999999</v>
      </c>
      <c r="O891">
        <v>28.809000000000001</v>
      </c>
      <c r="P891">
        <v>36.573999999999998</v>
      </c>
      <c r="Q891">
        <v>24.824999999999999</v>
      </c>
      <c r="R891">
        <v>12</v>
      </c>
      <c r="S891" t="s">
        <v>83</v>
      </c>
      <c r="T891">
        <f>IF(TRIM(Table1[[#This Row],[PitStopLaps]])="",0,
LEN(Table1[[#This Row],[PitStopLaps]])-LEN(SUBSTITUTE(Table1[[#This Row],[PitStopLaps]],",",""))+1)</f>
        <v>1</v>
      </c>
      <c r="U891">
        <f>Table1[[#This Row],[StartPosition]]-Table1[[#This Row],[FinishPosition]]</f>
        <v>0</v>
      </c>
    </row>
    <row r="892" spans="1:21" x14ac:dyDescent="0.3">
      <c r="A892">
        <v>2020</v>
      </c>
      <c r="B892">
        <v>4</v>
      </c>
      <c r="C892" t="s">
        <v>157</v>
      </c>
      <c r="D892" t="s">
        <v>43</v>
      </c>
      <c r="E892" t="s">
        <v>44</v>
      </c>
      <c r="F892" t="s">
        <v>28</v>
      </c>
      <c r="G892">
        <v>2</v>
      </c>
      <c r="H892">
        <v>11</v>
      </c>
      <c r="I892">
        <v>0</v>
      </c>
      <c r="J892" t="s">
        <v>34</v>
      </c>
      <c r="K892" t="s">
        <v>24</v>
      </c>
      <c r="L892">
        <v>52</v>
      </c>
      <c r="M892">
        <v>89.265000000000001</v>
      </c>
      <c r="N892">
        <v>90.198974000000007</v>
      </c>
      <c r="O892">
        <v>28.466000000000001</v>
      </c>
      <c r="P892">
        <v>36.03</v>
      </c>
      <c r="Q892">
        <v>24.491</v>
      </c>
      <c r="R892" t="s">
        <v>467</v>
      </c>
      <c r="S892" t="s">
        <v>83</v>
      </c>
      <c r="T892">
        <f>IF(TRIM(Table1[[#This Row],[PitStopLaps]])="",0,
LEN(Table1[[#This Row],[PitStopLaps]])-LEN(SUBSTITUTE(Table1[[#This Row],[PitStopLaps]],",",""))+1)</f>
        <v>2</v>
      </c>
      <c r="U892">
        <f>Table1[[#This Row],[StartPosition]]-Table1[[#This Row],[FinishPosition]]</f>
        <v>-9</v>
      </c>
    </row>
    <row r="893" spans="1:21" x14ac:dyDescent="0.3">
      <c r="A893">
        <v>2020</v>
      </c>
      <c r="B893">
        <v>4</v>
      </c>
      <c r="C893" t="s">
        <v>157</v>
      </c>
      <c r="D893" t="s">
        <v>252</v>
      </c>
      <c r="E893" t="s">
        <v>253</v>
      </c>
      <c r="F893" t="s">
        <v>60</v>
      </c>
      <c r="G893">
        <v>20</v>
      </c>
      <c r="H893">
        <v>12</v>
      </c>
      <c r="I893">
        <v>0</v>
      </c>
      <c r="J893" t="s">
        <v>34</v>
      </c>
      <c r="K893" t="s">
        <v>24</v>
      </c>
      <c r="L893">
        <v>52</v>
      </c>
      <c r="M893">
        <v>90.861999999999995</v>
      </c>
      <c r="N893">
        <v>92.301500000000004</v>
      </c>
      <c r="O893">
        <v>29.015999999999998</v>
      </c>
      <c r="P893">
        <v>36.719000000000001</v>
      </c>
      <c r="Q893">
        <v>24.81</v>
      </c>
      <c r="R893">
        <v>12</v>
      </c>
      <c r="S893" t="s">
        <v>83</v>
      </c>
      <c r="T893">
        <f>IF(TRIM(Table1[[#This Row],[PitStopLaps]])="",0,
LEN(Table1[[#This Row],[PitStopLaps]])-LEN(SUBSTITUTE(Table1[[#This Row],[PitStopLaps]],",",""))+1)</f>
        <v>1</v>
      </c>
      <c r="U893">
        <f>Table1[[#This Row],[StartPosition]]-Table1[[#This Row],[FinishPosition]]</f>
        <v>8</v>
      </c>
    </row>
    <row r="894" spans="1:21" x14ac:dyDescent="0.3">
      <c r="A894">
        <v>2020</v>
      </c>
      <c r="B894">
        <v>4</v>
      </c>
      <c r="C894" t="s">
        <v>157</v>
      </c>
      <c r="D894" t="s">
        <v>47</v>
      </c>
      <c r="E894" t="s">
        <v>48</v>
      </c>
      <c r="F894" t="s">
        <v>37</v>
      </c>
      <c r="G894">
        <v>7</v>
      </c>
      <c r="H894">
        <v>13</v>
      </c>
      <c r="I894">
        <v>0</v>
      </c>
      <c r="J894" t="s">
        <v>34</v>
      </c>
      <c r="K894" t="s">
        <v>24</v>
      </c>
      <c r="L894">
        <v>52</v>
      </c>
      <c r="M894">
        <v>89.947999999999993</v>
      </c>
      <c r="N894">
        <v>91.493183999999999</v>
      </c>
      <c r="O894">
        <v>28.992999999999999</v>
      </c>
      <c r="P894">
        <v>36.033000000000001</v>
      </c>
      <c r="Q894">
        <v>24.562999999999999</v>
      </c>
      <c r="R894" t="s">
        <v>469</v>
      </c>
      <c r="S894" t="s">
        <v>83</v>
      </c>
      <c r="T894">
        <f>IF(TRIM(Table1[[#This Row],[PitStopLaps]])="",0,
LEN(Table1[[#This Row],[PitStopLaps]])-LEN(SUBSTITUTE(Table1[[#This Row],[PitStopLaps]],",",""))+1)</f>
        <v>2</v>
      </c>
      <c r="U894">
        <f>Table1[[#This Row],[StartPosition]]-Table1[[#This Row],[FinishPosition]]</f>
        <v>-6</v>
      </c>
    </row>
    <row r="895" spans="1:21" x14ac:dyDescent="0.3">
      <c r="A895">
        <v>2020</v>
      </c>
      <c r="B895">
        <v>4</v>
      </c>
      <c r="C895" t="s">
        <v>157</v>
      </c>
      <c r="D895" t="s">
        <v>250</v>
      </c>
      <c r="E895" t="s">
        <v>251</v>
      </c>
      <c r="F895" t="s">
        <v>243</v>
      </c>
      <c r="G895">
        <v>15</v>
      </c>
      <c r="H895">
        <v>14</v>
      </c>
      <c r="I895">
        <v>0</v>
      </c>
      <c r="J895" t="s">
        <v>34</v>
      </c>
      <c r="K895" t="s">
        <v>24</v>
      </c>
      <c r="L895">
        <v>52</v>
      </c>
      <c r="M895">
        <v>90.977000000000004</v>
      </c>
      <c r="N895">
        <v>92.251724999999993</v>
      </c>
      <c r="O895">
        <v>29.05</v>
      </c>
      <c r="P895">
        <v>36.658999999999999</v>
      </c>
      <c r="Q895">
        <v>25.082999999999998</v>
      </c>
      <c r="R895">
        <v>12</v>
      </c>
      <c r="S895" t="s">
        <v>83</v>
      </c>
      <c r="T895">
        <f>IF(TRIM(Table1[[#This Row],[PitStopLaps]])="",0,
LEN(Table1[[#This Row],[PitStopLaps]])-LEN(SUBSTITUTE(Table1[[#This Row],[PitStopLaps]],",",""))+1)</f>
        <v>1</v>
      </c>
      <c r="U895">
        <f>Table1[[#This Row],[StartPosition]]-Table1[[#This Row],[FinishPosition]]</f>
        <v>1</v>
      </c>
    </row>
    <row r="896" spans="1:21" x14ac:dyDescent="0.3">
      <c r="A896">
        <v>2020</v>
      </c>
      <c r="B896">
        <v>4</v>
      </c>
      <c r="C896" t="s">
        <v>157</v>
      </c>
      <c r="D896" t="s">
        <v>440</v>
      </c>
      <c r="E896" t="s">
        <v>441</v>
      </c>
      <c r="F896" t="s">
        <v>60</v>
      </c>
      <c r="G896">
        <v>18</v>
      </c>
      <c r="H896">
        <v>15</v>
      </c>
      <c r="I896">
        <v>0</v>
      </c>
      <c r="J896" t="s">
        <v>34</v>
      </c>
      <c r="K896" t="s">
        <v>24</v>
      </c>
      <c r="L896">
        <v>52</v>
      </c>
      <c r="M896">
        <v>90.501000000000005</v>
      </c>
      <c r="N896">
        <v>92.370625000000004</v>
      </c>
      <c r="O896">
        <v>28.907</v>
      </c>
      <c r="P896">
        <v>36.387</v>
      </c>
      <c r="Q896">
        <v>24.948</v>
      </c>
      <c r="R896">
        <v>12</v>
      </c>
      <c r="S896" t="s">
        <v>83</v>
      </c>
      <c r="T896">
        <f>IF(TRIM(Table1[[#This Row],[PitStopLaps]])="",0,
LEN(Table1[[#This Row],[PitStopLaps]])-LEN(SUBSTITUTE(Table1[[#This Row],[PitStopLaps]],",",""))+1)</f>
        <v>1</v>
      </c>
      <c r="U896">
        <f>Table1[[#This Row],[StartPosition]]-Table1[[#This Row],[FinishPosition]]</f>
        <v>3</v>
      </c>
    </row>
    <row r="897" spans="1:21" x14ac:dyDescent="0.3">
      <c r="A897">
        <v>2020</v>
      </c>
      <c r="B897">
        <v>4</v>
      </c>
      <c r="C897" t="s">
        <v>157</v>
      </c>
      <c r="D897" t="s">
        <v>67</v>
      </c>
      <c r="E897" t="s">
        <v>68</v>
      </c>
      <c r="F897" t="s">
        <v>69</v>
      </c>
      <c r="G897">
        <v>17</v>
      </c>
      <c r="H897">
        <v>16</v>
      </c>
      <c r="I897">
        <v>0</v>
      </c>
      <c r="J897" t="s">
        <v>34</v>
      </c>
      <c r="K897" t="s">
        <v>24</v>
      </c>
      <c r="L897">
        <v>52</v>
      </c>
      <c r="M897">
        <v>89.781999999999996</v>
      </c>
      <c r="N897">
        <v>91.724656999999993</v>
      </c>
      <c r="O897">
        <v>28.771000000000001</v>
      </c>
      <c r="P897">
        <v>36.215000000000003</v>
      </c>
      <c r="Q897">
        <v>24.548999999999999</v>
      </c>
      <c r="R897">
        <v>36</v>
      </c>
      <c r="S897" t="s">
        <v>83</v>
      </c>
      <c r="T897">
        <f>IF(TRIM(Table1[[#This Row],[PitStopLaps]])="",0,
LEN(Table1[[#This Row],[PitStopLaps]])-LEN(SUBSTITUTE(Table1[[#This Row],[PitStopLaps]],",",""))+1)</f>
        <v>1</v>
      </c>
      <c r="U897">
        <f>Table1[[#This Row],[StartPosition]]-Table1[[#This Row],[FinishPosition]]</f>
        <v>1</v>
      </c>
    </row>
    <row r="898" spans="1:21" x14ac:dyDescent="0.3">
      <c r="A898">
        <v>2020</v>
      </c>
      <c r="B898">
        <v>4</v>
      </c>
      <c r="C898" t="s">
        <v>157</v>
      </c>
      <c r="D898" t="s">
        <v>29</v>
      </c>
      <c r="E898" t="s">
        <v>30</v>
      </c>
      <c r="F898" t="s">
        <v>243</v>
      </c>
      <c r="G898">
        <v>16</v>
      </c>
      <c r="H898">
        <v>17</v>
      </c>
      <c r="I898">
        <v>0</v>
      </c>
      <c r="J898" t="s">
        <v>34</v>
      </c>
      <c r="K898" t="s">
        <v>65</v>
      </c>
      <c r="L898">
        <v>51</v>
      </c>
      <c r="M898">
        <v>89.972999999999999</v>
      </c>
      <c r="N898">
        <v>92.819215999999997</v>
      </c>
      <c r="O898">
        <v>28.843</v>
      </c>
      <c r="P898">
        <v>36.296999999999997</v>
      </c>
      <c r="Q898">
        <v>24.832999999999998</v>
      </c>
      <c r="R898" t="s">
        <v>470</v>
      </c>
      <c r="S898" t="s">
        <v>83</v>
      </c>
      <c r="T898">
        <f>IF(TRIM(Table1[[#This Row],[PitStopLaps]])="",0,
LEN(Table1[[#This Row],[PitStopLaps]])-LEN(SUBSTITUTE(Table1[[#This Row],[PitStopLaps]],",",""))+1)</f>
        <v>2</v>
      </c>
      <c r="U898">
        <f>Table1[[#This Row],[StartPosition]]-Table1[[#This Row],[FinishPosition]]</f>
        <v>-1</v>
      </c>
    </row>
    <row r="899" spans="1:21" x14ac:dyDescent="0.3">
      <c r="A899">
        <v>2020</v>
      </c>
      <c r="B899">
        <v>4</v>
      </c>
      <c r="C899" t="s">
        <v>157</v>
      </c>
      <c r="D899" t="s">
        <v>244</v>
      </c>
      <c r="E899" t="s">
        <v>245</v>
      </c>
      <c r="F899" t="s">
        <v>438</v>
      </c>
      <c r="G899">
        <v>19</v>
      </c>
      <c r="H899">
        <v>18</v>
      </c>
      <c r="I899">
        <v>0</v>
      </c>
      <c r="J899" t="s">
        <v>34</v>
      </c>
      <c r="K899" t="s">
        <v>123</v>
      </c>
      <c r="L899">
        <v>12</v>
      </c>
      <c r="M899">
        <v>92.442999999999998</v>
      </c>
      <c r="N899">
        <v>93.649000000000001</v>
      </c>
      <c r="O899">
        <v>29.206</v>
      </c>
      <c r="P899">
        <v>37.594999999999999</v>
      </c>
      <c r="Q899">
        <v>25.405000000000001</v>
      </c>
      <c r="S899" t="s">
        <v>83</v>
      </c>
      <c r="T899">
        <f>IF(TRIM(Table1[[#This Row],[PitStopLaps]])="",0,
LEN(Table1[[#This Row],[PitStopLaps]])-LEN(SUBSTITUTE(Table1[[#This Row],[PitStopLaps]],",",""))+1)</f>
        <v>0</v>
      </c>
      <c r="U899">
        <f>Table1[[#This Row],[StartPosition]]-Table1[[#This Row],[FinishPosition]]</f>
        <v>1</v>
      </c>
    </row>
    <row r="900" spans="1:21" x14ac:dyDescent="0.3">
      <c r="A900">
        <v>2020</v>
      </c>
      <c r="B900">
        <v>4</v>
      </c>
      <c r="C900" t="s">
        <v>157</v>
      </c>
      <c r="D900" t="s">
        <v>71</v>
      </c>
      <c r="E900" t="s">
        <v>72</v>
      </c>
      <c r="F900" t="s">
        <v>69</v>
      </c>
      <c r="G900">
        <v>14</v>
      </c>
      <c r="H900">
        <v>19</v>
      </c>
      <c r="I900">
        <v>0</v>
      </c>
      <c r="J900" t="s">
        <v>34</v>
      </c>
      <c r="K900" t="s">
        <v>124</v>
      </c>
      <c r="L900">
        <v>2</v>
      </c>
      <c r="S900" t="s">
        <v>83</v>
      </c>
      <c r="T900">
        <f>IF(TRIM(Table1[[#This Row],[PitStopLaps]])="",0,
LEN(Table1[[#This Row],[PitStopLaps]])-LEN(SUBSTITUTE(Table1[[#This Row],[PitStopLaps]],",",""))+1)</f>
        <v>0</v>
      </c>
      <c r="U900">
        <f>Table1[[#This Row],[StartPosition]]-Table1[[#This Row],[FinishPosition]]</f>
        <v>-5</v>
      </c>
    </row>
    <row r="901" spans="1:21" x14ac:dyDescent="0.3">
      <c r="A901">
        <v>2020</v>
      </c>
      <c r="B901">
        <v>4</v>
      </c>
      <c r="C901" t="s">
        <v>157</v>
      </c>
      <c r="D901" t="s">
        <v>40</v>
      </c>
      <c r="E901" t="s">
        <v>41</v>
      </c>
      <c r="F901" t="s">
        <v>192</v>
      </c>
      <c r="G901">
        <v>13</v>
      </c>
      <c r="H901">
        <v>20</v>
      </c>
      <c r="I901">
        <v>0</v>
      </c>
      <c r="J901" t="s">
        <v>34</v>
      </c>
      <c r="K901" t="s">
        <v>167</v>
      </c>
      <c r="S901" t="s">
        <v>83</v>
      </c>
      <c r="T901">
        <f>IF(TRIM(Table1[[#This Row],[PitStopLaps]])="",0,
LEN(Table1[[#This Row],[PitStopLaps]])-LEN(SUBSTITUTE(Table1[[#This Row],[PitStopLaps]],",",""))+1)</f>
        <v>0</v>
      </c>
      <c r="U901">
        <f>Table1[[#This Row],[StartPosition]]-Table1[[#This Row],[FinishPosition]]</f>
        <v>-7</v>
      </c>
    </row>
    <row r="902" spans="1:21" x14ac:dyDescent="0.3">
      <c r="A902">
        <v>2020</v>
      </c>
      <c r="B902">
        <v>5</v>
      </c>
      <c r="C902" t="s">
        <v>471</v>
      </c>
      <c r="D902" t="s">
        <v>38</v>
      </c>
      <c r="E902" t="s">
        <v>39</v>
      </c>
      <c r="F902" t="s">
        <v>33</v>
      </c>
      <c r="G902">
        <v>4</v>
      </c>
      <c r="H902">
        <v>1</v>
      </c>
      <c r="I902">
        <v>25</v>
      </c>
      <c r="J902" t="s">
        <v>23</v>
      </c>
      <c r="K902" t="s">
        <v>24</v>
      </c>
      <c r="L902">
        <v>52</v>
      </c>
      <c r="M902">
        <v>89.465000000000003</v>
      </c>
      <c r="N902">
        <v>91.152254999999997</v>
      </c>
      <c r="O902">
        <v>28.391999999999999</v>
      </c>
      <c r="P902">
        <v>36.161000000000001</v>
      </c>
      <c r="Q902">
        <v>24.571999999999999</v>
      </c>
      <c r="R902" t="s">
        <v>472</v>
      </c>
      <c r="S902" t="s">
        <v>83</v>
      </c>
      <c r="T902">
        <f>IF(TRIM(Table1[[#This Row],[PitStopLaps]])="",0,
LEN(Table1[[#This Row],[PitStopLaps]])-LEN(SUBSTITUTE(Table1[[#This Row],[PitStopLaps]],",",""))+1)</f>
        <v>2</v>
      </c>
      <c r="U902">
        <f>Table1[[#This Row],[StartPosition]]-Table1[[#This Row],[FinishPosition]]</f>
        <v>3</v>
      </c>
    </row>
    <row r="903" spans="1:21" x14ac:dyDescent="0.3">
      <c r="A903">
        <v>2020</v>
      </c>
      <c r="B903">
        <v>5</v>
      </c>
      <c r="C903" t="s">
        <v>471</v>
      </c>
      <c r="D903" t="s">
        <v>26</v>
      </c>
      <c r="E903" t="s">
        <v>27</v>
      </c>
      <c r="F903" t="s">
        <v>28</v>
      </c>
      <c r="G903">
        <v>2</v>
      </c>
      <c r="H903">
        <v>2</v>
      </c>
      <c r="I903">
        <v>19</v>
      </c>
      <c r="J903" t="s">
        <v>23</v>
      </c>
      <c r="K903" t="s">
        <v>24</v>
      </c>
      <c r="L903">
        <v>52</v>
      </c>
      <c r="M903">
        <v>88.450999999999993</v>
      </c>
      <c r="N903">
        <v>91.410936000000007</v>
      </c>
      <c r="O903">
        <v>28.327999999999999</v>
      </c>
      <c r="P903">
        <v>35.694000000000003</v>
      </c>
      <c r="Q903">
        <v>24.408999999999999</v>
      </c>
      <c r="R903" t="s">
        <v>473</v>
      </c>
      <c r="S903" t="s">
        <v>83</v>
      </c>
      <c r="T903">
        <f>IF(TRIM(Table1[[#This Row],[PitStopLaps]])="",0,
LEN(Table1[[#This Row],[PitStopLaps]])-LEN(SUBSTITUTE(Table1[[#This Row],[PitStopLaps]],",",""))+1)</f>
        <v>2</v>
      </c>
      <c r="U903">
        <f>Table1[[#This Row],[StartPosition]]-Table1[[#This Row],[FinishPosition]]</f>
        <v>0</v>
      </c>
    </row>
    <row r="904" spans="1:21" x14ac:dyDescent="0.3">
      <c r="A904">
        <v>2020</v>
      </c>
      <c r="B904">
        <v>5</v>
      </c>
      <c r="C904" t="s">
        <v>471</v>
      </c>
      <c r="D904" t="s">
        <v>43</v>
      </c>
      <c r="E904" t="s">
        <v>44</v>
      </c>
      <c r="F904" t="s">
        <v>28</v>
      </c>
      <c r="G904">
        <v>1</v>
      </c>
      <c r="H904">
        <v>3</v>
      </c>
      <c r="I904">
        <v>15</v>
      </c>
      <c r="J904" t="s">
        <v>23</v>
      </c>
      <c r="K904" t="s">
        <v>24</v>
      </c>
      <c r="L904">
        <v>52</v>
      </c>
      <c r="M904">
        <v>89.765000000000001</v>
      </c>
      <c r="N904">
        <v>91.582361000000006</v>
      </c>
      <c r="O904">
        <v>28.544</v>
      </c>
      <c r="P904">
        <v>36.470999999999997</v>
      </c>
      <c r="Q904">
        <v>24.581</v>
      </c>
      <c r="R904" t="s">
        <v>161</v>
      </c>
      <c r="S904" t="s">
        <v>83</v>
      </c>
      <c r="T904">
        <f>IF(TRIM(Table1[[#This Row],[PitStopLaps]])="",0,
LEN(Table1[[#This Row],[PitStopLaps]])-LEN(SUBSTITUTE(Table1[[#This Row],[PitStopLaps]],",",""))+1)</f>
        <v>2</v>
      </c>
      <c r="U904">
        <f>Table1[[#This Row],[StartPosition]]-Table1[[#This Row],[FinishPosition]]</f>
        <v>-2</v>
      </c>
    </row>
    <row r="905" spans="1:21" x14ac:dyDescent="0.3">
      <c r="A905">
        <v>2020</v>
      </c>
      <c r="B905">
        <v>5</v>
      </c>
      <c r="C905" t="s">
        <v>471</v>
      </c>
      <c r="D905" t="s">
        <v>54</v>
      </c>
      <c r="E905" t="s">
        <v>55</v>
      </c>
      <c r="F905" t="s">
        <v>22</v>
      </c>
      <c r="G905">
        <v>8</v>
      </c>
      <c r="H905">
        <v>4</v>
      </c>
      <c r="I905">
        <v>12</v>
      </c>
      <c r="J905" t="s">
        <v>34</v>
      </c>
      <c r="K905" t="s">
        <v>24</v>
      </c>
      <c r="L905">
        <v>52</v>
      </c>
      <c r="M905">
        <v>90.552000000000007</v>
      </c>
      <c r="N905">
        <v>91.942978999999994</v>
      </c>
      <c r="O905">
        <v>28.477</v>
      </c>
      <c r="P905">
        <v>36.905000000000001</v>
      </c>
      <c r="Q905">
        <v>25.024999999999999</v>
      </c>
      <c r="R905">
        <v>18</v>
      </c>
      <c r="S905" t="s">
        <v>83</v>
      </c>
      <c r="T905">
        <f>IF(TRIM(Table1[[#This Row],[PitStopLaps]])="",0,
LEN(Table1[[#This Row],[PitStopLaps]])-LEN(SUBSTITUTE(Table1[[#This Row],[PitStopLaps]],",",""))+1)</f>
        <v>1</v>
      </c>
      <c r="U905">
        <f>Table1[[#This Row],[StartPosition]]-Table1[[#This Row],[FinishPosition]]</f>
        <v>4</v>
      </c>
    </row>
    <row r="906" spans="1:21" x14ac:dyDescent="0.3">
      <c r="A906">
        <v>2020</v>
      </c>
      <c r="B906">
        <v>5</v>
      </c>
      <c r="C906" t="s">
        <v>471</v>
      </c>
      <c r="D906" t="s">
        <v>248</v>
      </c>
      <c r="E906" t="s">
        <v>249</v>
      </c>
      <c r="F906" t="s">
        <v>33</v>
      </c>
      <c r="G906">
        <v>9</v>
      </c>
      <c r="H906">
        <v>5</v>
      </c>
      <c r="I906">
        <v>10</v>
      </c>
      <c r="J906" t="s">
        <v>34</v>
      </c>
      <c r="K906" t="s">
        <v>24</v>
      </c>
      <c r="L906">
        <v>52</v>
      </c>
      <c r="M906">
        <v>89.477000000000004</v>
      </c>
      <c r="N906">
        <v>91.788658999999996</v>
      </c>
      <c r="O906">
        <v>28.504999999999999</v>
      </c>
      <c r="P906">
        <v>36.18</v>
      </c>
      <c r="Q906">
        <v>24.646000000000001</v>
      </c>
      <c r="R906" t="s">
        <v>468</v>
      </c>
      <c r="S906" t="s">
        <v>83</v>
      </c>
      <c r="T906">
        <f>IF(TRIM(Table1[[#This Row],[PitStopLaps]])="",0,
LEN(Table1[[#This Row],[PitStopLaps]])-LEN(SUBSTITUTE(Table1[[#This Row],[PitStopLaps]],",",""))+1)</f>
        <v>2</v>
      </c>
      <c r="U906">
        <f>Table1[[#This Row],[StartPosition]]-Table1[[#This Row],[FinishPosition]]</f>
        <v>4</v>
      </c>
    </row>
    <row r="907" spans="1:21" x14ac:dyDescent="0.3">
      <c r="A907">
        <v>2020</v>
      </c>
      <c r="B907">
        <v>5</v>
      </c>
      <c r="C907" t="s">
        <v>471</v>
      </c>
      <c r="D907" t="s">
        <v>58</v>
      </c>
      <c r="E907" t="s">
        <v>59</v>
      </c>
      <c r="F907" t="s">
        <v>192</v>
      </c>
      <c r="G907">
        <v>6</v>
      </c>
      <c r="H907">
        <v>6</v>
      </c>
      <c r="I907">
        <v>8</v>
      </c>
      <c r="J907" t="s">
        <v>34</v>
      </c>
      <c r="K907" t="s">
        <v>24</v>
      </c>
      <c r="L907">
        <v>52</v>
      </c>
      <c r="M907">
        <v>90.876999999999995</v>
      </c>
      <c r="N907">
        <v>92.010765000000006</v>
      </c>
      <c r="O907">
        <v>28.792000000000002</v>
      </c>
      <c r="P907">
        <v>36.779000000000003</v>
      </c>
      <c r="Q907">
        <v>24.989000000000001</v>
      </c>
      <c r="R907" t="s">
        <v>474</v>
      </c>
      <c r="S907" t="s">
        <v>83</v>
      </c>
      <c r="T907">
        <f>IF(TRIM(Table1[[#This Row],[PitStopLaps]])="",0,
LEN(Table1[[#This Row],[PitStopLaps]])-LEN(SUBSTITUTE(Table1[[#This Row],[PitStopLaps]],",",""))+1)</f>
        <v>2</v>
      </c>
      <c r="U907">
        <f>Table1[[#This Row],[StartPosition]]-Table1[[#This Row],[FinishPosition]]</f>
        <v>0</v>
      </c>
    </row>
    <row r="908" spans="1:21" x14ac:dyDescent="0.3">
      <c r="A908">
        <v>2020</v>
      </c>
      <c r="B908">
        <v>5</v>
      </c>
      <c r="C908" t="s">
        <v>471</v>
      </c>
      <c r="D908" t="s">
        <v>40</v>
      </c>
      <c r="E908" t="s">
        <v>41</v>
      </c>
      <c r="F908" t="s">
        <v>192</v>
      </c>
      <c r="G908">
        <v>3</v>
      </c>
      <c r="H908">
        <v>7</v>
      </c>
      <c r="I908">
        <v>6</v>
      </c>
      <c r="J908" t="s">
        <v>34</v>
      </c>
      <c r="K908" t="s">
        <v>24</v>
      </c>
      <c r="L908">
        <v>52</v>
      </c>
      <c r="M908">
        <v>90.087000000000003</v>
      </c>
      <c r="N908">
        <v>91.898354999999995</v>
      </c>
      <c r="O908">
        <v>28.597000000000001</v>
      </c>
      <c r="P908">
        <v>36.451000000000001</v>
      </c>
      <c r="Q908">
        <v>24.940999999999999</v>
      </c>
      <c r="R908" t="s">
        <v>475</v>
      </c>
      <c r="S908" t="s">
        <v>83</v>
      </c>
      <c r="T908">
        <f>IF(TRIM(Table1[[#This Row],[PitStopLaps]])="",0,
LEN(Table1[[#This Row],[PitStopLaps]])-LEN(SUBSTITUTE(Table1[[#This Row],[PitStopLaps]],",",""))+1)</f>
        <v>3</v>
      </c>
      <c r="U908">
        <f>Table1[[#This Row],[StartPosition]]-Table1[[#This Row],[FinishPosition]]</f>
        <v>-4</v>
      </c>
    </row>
    <row r="909" spans="1:21" x14ac:dyDescent="0.3">
      <c r="A909">
        <v>2020</v>
      </c>
      <c r="B909">
        <v>5</v>
      </c>
      <c r="C909" t="s">
        <v>471</v>
      </c>
      <c r="D909" t="s">
        <v>52</v>
      </c>
      <c r="E909" t="s">
        <v>53</v>
      </c>
      <c r="F909" t="s">
        <v>42</v>
      </c>
      <c r="G909">
        <v>14</v>
      </c>
      <c r="H909">
        <v>8</v>
      </c>
      <c r="I909">
        <v>4</v>
      </c>
      <c r="J909" t="s">
        <v>34</v>
      </c>
      <c r="K909" t="s">
        <v>24</v>
      </c>
      <c r="L909">
        <v>52</v>
      </c>
      <c r="M909">
        <v>90.575000000000003</v>
      </c>
      <c r="N909">
        <v>92.689325999999994</v>
      </c>
      <c r="O909">
        <v>28.745000000000001</v>
      </c>
      <c r="P909">
        <v>36.744</v>
      </c>
      <c r="Q909">
        <v>24.89</v>
      </c>
      <c r="R909">
        <v>22</v>
      </c>
      <c r="S909" t="s">
        <v>83</v>
      </c>
      <c r="T909">
        <f>IF(TRIM(Table1[[#This Row],[PitStopLaps]])="",0,
LEN(Table1[[#This Row],[PitStopLaps]])-LEN(SUBSTITUTE(Table1[[#This Row],[PitStopLaps]],",",""))+1)</f>
        <v>1</v>
      </c>
      <c r="U909">
        <f>Table1[[#This Row],[StartPosition]]-Table1[[#This Row],[FinishPosition]]</f>
        <v>6</v>
      </c>
    </row>
    <row r="910" spans="1:21" x14ac:dyDescent="0.3">
      <c r="A910">
        <v>2020</v>
      </c>
      <c r="B910">
        <v>5</v>
      </c>
      <c r="C910" t="s">
        <v>471</v>
      </c>
      <c r="D910" t="s">
        <v>246</v>
      </c>
      <c r="E910" t="s">
        <v>247</v>
      </c>
      <c r="F910" t="s">
        <v>37</v>
      </c>
      <c r="G910">
        <v>10</v>
      </c>
      <c r="H910">
        <v>9</v>
      </c>
      <c r="I910">
        <v>2</v>
      </c>
      <c r="J910" t="s">
        <v>34</v>
      </c>
      <c r="K910" t="s">
        <v>24</v>
      </c>
      <c r="L910">
        <v>52</v>
      </c>
      <c r="M910">
        <v>90.697999999999993</v>
      </c>
      <c r="N910">
        <v>92.267467999999994</v>
      </c>
      <c r="O910">
        <v>28.853000000000002</v>
      </c>
      <c r="P910">
        <v>36.578000000000003</v>
      </c>
      <c r="Q910">
        <v>24.896000000000001</v>
      </c>
      <c r="R910" t="s">
        <v>476</v>
      </c>
      <c r="S910" t="s">
        <v>83</v>
      </c>
      <c r="T910">
        <f>IF(TRIM(Table1[[#This Row],[PitStopLaps]])="",0,
LEN(Table1[[#This Row],[PitStopLaps]])-LEN(SUBSTITUTE(Table1[[#This Row],[PitStopLaps]],",",""))+1)</f>
        <v>2</v>
      </c>
      <c r="U910">
        <f>Table1[[#This Row],[StartPosition]]-Table1[[#This Row],[FinishPosition]]</f>
        <v>1</v>
      </c>
    </row>
    <row r="911" spans="1:21" x14ac:dyDescent="0.3">
      <c r="A911">
        <v>2020</v>
      </c>
      <c r="B911">
        <v>5</v>
      </c>
      <c r="C911" t="s">
        <v>471</v>
      </c>
      <c r="D911" t="s">
        <v>244</v>
      </c>
      <c r="E911" t="s">
        <v>245</v>
      </c>
      <c r="F911" t="s">
        <v>438</v>
      </c>
      <c r="G911">
        <v>16</v>
      </c>
      <c r="H911">
        <v>10</v>
      </c>
      <c r="I911">
        <v>1</v>
      </c>
      <c r="J911" t="s">
        <v>34</v>
      </c>
      <c r="K911" t="s">
        <v>24</v>
      </c>
      <c r="L911">
        <v>52</v>
      </c>
      <c r="M911">
        <v>90.738</v>
      </c>
      <c r="N911">
        <v>92.375425000000007</v>
      </c>
      <c r="O911">
        <v>28.529</v>
      </c>
      <c r="P911">
        <v>36.835000000000001</v>
      </c>
      <c r="Q911">
        <v>24.956</v>
      </c>
      <c r="R911" t="s">
        <v>477</v>
      </c>
      <c r="S911" t="s">
        <v>83</v>
      </c>
      <c r="T911">
        <f>IF(TRIM(Table1[[#This Row],[PitStopLaps]])="",0,
LEN(Table1[[#This Row],[PitStopLaps]])-LEN(SUBSTITUTE(Table1[[#This Row],[PitStopLaps]],",",""))+1)</f>
        <v>2</v>
      </c>
      <c r="U911">
        <f>Table1[[#This Row],[StartPosition]]-Table1[[#This Row],[FinishPosition]]</f>
        <v>6</v>
      </c>
    </row>
    <row r="912" spans="1:21" x14ac:dyDescent="0.3">
      <c r="A912">
        <v>2020</v>
      </c>
      <c r="B912">
        <v>5</v>
      </c>
      <c r="C912" t="s">
        <v>471</v>
      </c>
      <c r="D912" t="s">
        <v>73</v>
      </c>
      <c r="E912" t="s">
        <v>74</v>
      </c>
      <c r="F912" t="s">
        <v>438</v>
      </c>
      <c r="G912">
        <v>7</v>
      </c>
      <c r="H912">
        <v>11</v>
      </c>
      <c r="I912">
        <v>0</v>
      </c>
      <c r="J912" t="s">
        <v>34</v>
      </c>
      <c r="K912" t="s">
        <v>24</v>
      </c>
      <c r="L912">
        <v>52</v>
      </c>
      <c r="M912">
        <v>90.091999999999999</v>
      </c>
      <c r="N912">
        <v>92.386148000000006</v>
      </c>
      <c r="O912">
        <v>28.571999999999999</v>
      </c>
      <c r="P912">
        <v>36.631</v>
      </c>
      <c r="Q912">
        <v>24.885000000000002</v>
      </c>
      <c r="R912" t="s">
        <v>478</v>
      </c>
      <c r="S912" t="s">
        <v>83</v>
      </c>
      <c r="T912">
        <f>IF(TRIM(Table1[[#This Row],[PitStopLaps]])="",0,
LEN(Table1[[#This Row],[PitStopLaps]])-LEN(SUBSTITUTE(Table1[[#This Row],[PitStopLaps]],",",""))+1)</f>
        <v>2</v>
      </c>
      <c r="U912">
        <f>Table1[[#This Row],[StartPosition]]-Table1[[#This Row],[FinishPosition]]</f>
        <v>-4</v>
      </c>
    </row>
    <row r="913" spans="1:21" x14ac:dyDescent="0.3">
      <c r="A913">
        <v>2020</v>
      </c>
      <c r="B913">
        <v>5</v>
      </c>
      <c r="C913" t="s">
        <v>471</v>
      </c>
      <c r="D913" t="s">
        <v>20</v>
      </c>
      <c r="E913" t="s">
        <v>21</v>
      </c>
      <c r="F913" t="s">
        <v>22</v>
      </c>
      <c r="G913">
        <v>11</v>
      </c>
      <c r="H913">
        <v>12</v>
      </c>
      <c r="I913">
        <v>0</v>
      </c>
      <c r="J913" t="s">
        <v>34</v>
      </c>
      <c r="K913" t="s">
        <v>24</v>
      </c>
      <c r="L913">
        <v>52</v>
      </c>
      <c r="M913">
        <v>90.784999999999997</v>
      </c>
      <c r="N913">
        <v>92.418531000000002</v>
      </c>
      <c r="O913">
        <v>28.454999999999998</v>
      </c>
      <c r="P913">
        <v>37.000999999999998</v>
      </c>
      <c r="Q913">
        <v>25.004999999999999</v>
      </c>
      <c r="R913" t="s">
        <v>395</v>
      </c>
      <c r="S913" t="s">
        <v>83</v>
      </c>
      <c r="T913">
        <f>IF(TRIM(Table1[[#This Row],[PitStopLaps]])="",0,
LEN(Table1[[#This Row],[PitStopLaps]])-LEN(SUBSTITUTE(Table1[[#This Row],[PitStopLaps]],",",""))+1)</f>
        <v>2</v>
      </c>
      <c r="U913">
        <f>Table1[[#This Row],[StartPosition]]-Table1[[#This Row],[FinishPosition]]</f>
        <v>-1</v>
      </c>
    </row>
    <row r="914" spans="1:21" x14ac:dyDescent="0.3">
      <c r="A914">
        <v>2020</v>
      </c>
      <c r="B914">
        <v>5</v>
      </c>
      <c r="C914" t="s">
        <v>471</v>
      </c>
      <c r="D914" t="s">
        <v>47</v>
      </c>
      <c r="E914" t="s">
        <v>48</v>
      </c>
      <c r="F914" t="s">
        <v>37</v>
      </c>
      <c r="G914">
        <v>12</v>
      </c>
      <c r="H914">
        <v>13</v>
      </c>
      <c r="I914">
        <v>0</v>
      </c>
      <c r="J914" t="s">
        <v>34</v>
      </c>
      <c r="K914" t="s">
        <v>24</v>
      </c>
      <c r="L914">
        <v>52</v>
      </c>
      <c r="M914">
        <v>90.555999999999997</v>
      </c>
      <c r="N914">
        <v>92.355744000000001</v>
      </c>
      <c r="O914">
        <v>28.492999999999999</v>
      </c>
      <c r="P914">
        <v>36.741</v>
      </c>
      <c r="Q914">
        <v>24.920999999999999</v>
      </c>
      <c r="R914" t="s">
        <v>479</v>
      </c>
      <c r="S914" t="s">
        <v>83</v>
      </c>
      <c r="T914">
        <f>IF(TRIM(Table1[[#This Row],[PitStopLaps]])="",0,
LEN(Table1[[#This Row],[PitStopLaps]])-LEN(SUBSTITUTE(Table1[[#This Row],[PitStopLaps]],",",""))+1)</f>
        <v>2</v>
      </c>
      <c r="U914">
        <f>Table1[[#This Row],[StartPosition]]-Table1[[#This Row],[FinishPosition]]</f>
        <v>-1</v>
      </c>
    </row>
    <row r="915" spans="1:21" x14ac:dyDescent="0.3">
      <c r="A915">
        <v>2020</v>
      </c>
      <c r="B915">
        <v>5</v>
      </c>
      <c r="C915" t="s">
        <v>471</v>
      </c>
      <c r="D915" t="s">
        <v>31</v>
      </c>
      <c r="E915" t="s">
        <v>32</v>
      </c>
      <c r="F915" t="s">
        <v>42</v>
      </c>
      <c r="G915">
        <v>5</v>
      </c>
      <c r="H915">
        <v>14</v>
      </c>
      <c r="I915">
        <v>0</v>
      </c>
      <c r="J915" t="s">
        <v>34</v>
      </c>
      <c r="K915" t="s">
        <v>65</v>
      </c>
      <c r="L915">
        <v>51</v>
      </c>
      <c r="M915">
        <v>91.168000000000006</v>
      </c>
      <c r="N915">
        <v>92.667794999999998</v>
      </c>
      <c r="O915">
        <v>28.539000000000001</v>
      </c>
      <c r="P915">
        <v>37.136000000000003</v>
      </c>
      <c r="Q915">
        <v>24.968</v>
      </c>
      <c r="R915" t="s">
        <v>480</v>
      </c>
      <c r="S915" t="s">
        <v>83</v>
      </c>
      <c r="T915">
        <f>IF(TRIM(Table1[[#This Row],[PitStopLaps]])="",0,
LEN(Table1[[#This Row],[PitStopLaps]])-LEN(SUBSTITUTE(Table1[[#This Row],[PitStopLaps]],",",""))+1)</f>
        <v>3</v>
      </c>
      <c r="U915">
        <f>Table1[[#This Row],[StartPosition]]-Table1[[#This Row],[FinishPosition]]</f>
        <v>-9</v>
      </c>
    </row>
    <row r="916" spans="1:21" x14ac:dyDescent="0.3">
      <c r="A916">
        <v>2020</v>
      </c>
      <c r="B916">
        <v>5</v>
      </c>
      <c r="C916" t="s">
        <v>471</v>
      </c>
      <c r="D916" t="s">
        <v>29</v>
      </c>
      <c r="E916" t="s">
        <v>30</v>
      </c>
      <c r="F916" t="s">
        <v>243</v>
      </c>
      <c r="G916">
        <v>20</v>
      </c>
      <c r="H916">
        <v>15</v>
      </c>
      <c r="I916">
        <v>0</v>
      </c>
      <c r="J916" t="s">
        <v>34</v>
      </c>
      <c r="K916" t="s">
        <v>65</v>
      </c>
      <c r="L916">
        <v>51</v>
      </c>
      <c r="M916">
        <v>91.756</v>
      </c>
      <c r="N916">
        <v>93.614895000000004</v>
      </c>
      <c r="O916">
        <v>29.064</v>
      </c>
      <c r="P916">
        <v>37.42</v>
      </c>
      <c r="Q916">
        <v>25.137</v>
      </c>
      <c r="R916">
        <v>26</v>
      </c>
      <c r="S916" t="s">
        <v>83</v>
      </c>
      <c r="T916">
        <f>IF(TRIM(Table1[[#This Row],[PitStopLaps]])="",0,
LEN(Table1[[#This Row],[PitStopLaps]])-LEN(SUBSTITUTE(Table1[[#This Row],[PitStopLaps]],",",""))+1)</f>
        <v>1</v>
      </c>
      <c r="U916">
        <f>Table1[[#This Row],[StartPosition]]-Table1[[#This Row],[FinishPosition]]</f>
        <v>5</v>
      </c>
    </row>
    <row r="917" spans="1:21" x14ac:dyDescent="0.3">
      <c r="A917">
        <v>2020</v>
      </c>
      <c r="B917">
        <v>5</v>
      </c>
      <c r="C917" t="s">
        <v>471</v>
      </c>
      <c r="D917" t="s">
        <v>67</v>
      </c>
      <c r="E917" t="s">
        <v>68</v>
      </c>
      <c r="F917" t="s">
        <v>69</v>
      </c>
      <c r="G917">
        <v>13</v>
      </c>
      <c r="H917">
        <v>16</v>
      </c>
      <c r="I917">
        <v>0</v>
      </c>
      <c r="J917" t="s">
        <v>34</v>
      </c>
      <c r="K917" t="s">
        <v>65</v>
      </c>
      <c r="L917">
        <v>51</v>
      </c>
      <c r="M917">
        <v>90.793000000000006</v>
      </c>
      <c r="N917">
        <v>93.192064999999999</v>
      </c>
      <c r="O917">
        <v>28.795999999999999</v>
      </c>
      <c r="P917">
        <v>37.015999999999998</v>
      </c>
      <c r="Q917">
        <v>24.896999999999998</v>
      </c>
      <c r="R917" t="s">
        <v>481</v>
      </c>
      <c r="S917" t="s">
        <v>83</v>
      </c>
      <c r="T917">
        <f>IF(TRIM(Table1[[#This Row],[PitStopLaps]])="",0,
LEN(Table1[[#This Row],[PitStopLaps]])-LEN(SUBSTITUTE(Table1[[#This Row],[PitStopLaps]],",",""))+1)</f>
        <v>2</v>
      </c>
      <c r="U917">
        <f>Table1[[#This Row],[StartPosition]]-Table1[[#This Row],[FinishPosition]]</f>
        <v>-3</v>
      </c>
    </row>
    <row r="918" spans="1:21" x14ac:dyDescent="0.3">
      <c r="A918">
        <v>2020</v>
      </c>
      <c r="B918">
        <v>5</v>
      </c>
      <c r="C918" t="s">
        <v>471</v>
      </c>
      <c r="D918" t="s">
        <v>250</v>
      </c>
      <c r="E918" t="s">
        <v>251</v>
      </c>
      <c r="F918" t="s">
        <v>243</v>
      </c>
      <c r="G918">
        <v>19</v>
      </c>
      <c r="H918">
        <v>17</v>
      </c>
      <c r="I918">
        <v>0</v>
      </c>
      <c r="J918" t="s">
        <v>34</v>
      </c>
      <c r="K918" t="s">
        <v>65</v>
      </c>
      <c r="L918">
        <v>51</v>
      </c>
      <c r="M918">
        <v>91.825999999999993</v>
      </c>
      <c r="N918">
        <v>93.414716999999996</v>
      </c>
      <c r="O918">
        <v>28.99</v>
      </c>
      <c r="P918">
        <v>37.445</v>
      </c>
      <c r="Q918">
        <v>25.233000000000001</v>
      </c>
      <c r="R918" t="s">
        <v>482</v>
      </c>
      <c r="S918" t="s">
        <v>83</v>
      </c>
      <c r="T918">
        <f>IF(TRIM(Table1[[#This Row],[PitStopLaps]])="",0,
LEN(Table1[[#This Row],[PitStopLaps]])-LEN(SUBSTITUTE(Table1[[#This Row],[PitStopLaps]],",",""))+1)</f>
        <v>2</v>
      </c>
      <c r="U918">
        <f>Table1[[#This Row],[StartPosition]]-Table1[[#This Row],[FinishPosition]]</f>
        <v>2</v>
      </c>
    </row>
    <row r="919" spans="1:21" x14ac:dyDescent="0.3">
      <c r="A919">
        <v>2020</v>
      </c>
      <c r="B919">
        <v>5</v>
      </c>
      <c r="C919" t="s">
        <v>471</v>
      </c>
      <c r="D919" t="s">
        <v>252</v>
      </c>
      <c r="E919" t="s">
        <v>253</v>
      </c>
      <c r="F919" t="s">
        <v>60</v>
      </c>
      <c r="G919">
        <v>15</v>
      </c>
      <c r="H919">
        <v>18</v>
      </c>
      <c r="I919">
        <v>0</v>
      </c>
      <c r="J919" t="s">
        <v>34</v>
      </c>
      <c r="K919" t="s">
        <v>65</v>
      </c>
      <c r="L919">
        <v>51</v>
      </c>
      <c r="M919">
        <v>91.408000000000001</v>
      </c>
      <c r="N919">
        <v>93.065363000000005</v>
      </c>
      <c r="O919">
        <v>28.96</v>
      </c>
      <c r="P919">
        <v>37.180999999999997</v>
      </c>
      <c r="Q919">
        <v>25.004999999999999</v>
      </c>
      <c r="R919" t="s">
        <v>483</v>
      </c>
      <c r="S919" t="s">
        <v>83</v>
      </c>
      <c r="T919">
        <f>IF(TRIM(Table1[[#This Row],[PitStopLaps]])="",0,
LEN(Table1[[#This Row],[PitStopLaps]])-LEN(SUBSTITUTE(Table1[[#This Row],[PitStopLaps]],",",""))+1)</f>
        <v>3</v>
      </c>
      <c r="U919">
        <f>Table1[[#This Row],[StartPosition]]-Table1[[#This Row],[FinishPosition]]</f>
        <v>-3</v>
      </c>
    </row>
    <row r="920" spans="1:21" x14ac:dyDescent="0.3">
      <c r="A920">
        <v>2020</v>
      </c>
      <c r="B920">
        <v>5</v>
      </c>
      <c r="C920" t="s">
        <v>471</v>
      </c>
      <c r="D920" t="s">
        <v>440</v>
      </c>
      <c r="E920" t="s">
        <v>441</v>
      </c>
      <c r="F920" t="s">
        <v>60</v>
      </c>
      <c r="G920">
        <v>18</v>
      </c>
      <c r="H920">
        <v>19</v>
      </c>
      <c r="I920">
        <v>0</v>
      </c>
      <c r="J920" t="s">
        <v>34</v>
      </c>
      <c r="K920" t="s">
        <v>65</v>
      </c>
      <c r="L920">
        <v>51</v>
      </c>
      <c r="M920">
        <v>89.95</v>
      </c>
      <c r="N920">
        <v>93.112181000000007</v>
      </c>
      <c r="O920">
        <v>28.652000000000001</v>
      </c>
      <c r="P920">
        <v>36.329000000000001</v>
      </c>
      <c r="Q920">
        <v>24.960999999999999</v>
      </c>
      <c r="R920" t="s">
        <v>484</v>
      </c>
      <c r="S920" t="s">
        <v>83</v>
      </c>
      <c r="T920">
        <f>IF(TRIM(Table1[[#This Row],[PitStopLaps]])="",0,
LEN(Table1[[#This Row],[PitStopLaps]])-LEN(SUBSTITUTE(Table1[[#This Row],[PitStopLaps]],",",""))+1)</f>
        <v>3</v>
      </c>
      <c r="U920">
        <f>Table1[[#This Row],[StartPosition]]-Table1[[#This Row],[FinishPosition]]</f>
        <v>-1</v>
      </c>
    </row>
    <row r="921" spans="1:21" x14ac:dyDescent="0.3">
      <c r="A921">
        <v>2020</v>
      </c>
      <c r="B921">
        <v>5</v>
      </c>
      <c r="C921" t="s">
        <v>471</v>
      </c>
      <c r="D921" t="s">
        <v>71</v>
      </c>
      <c r="E921" t="s">
        <v>72</v>
      </c>
      <c r="F921" t="s">
        <v>69</v>
      </c>
      <c r="G921">
        <v>17</v>
      </c>
      <c r="H921">
        <v>20</v>
      </c>
      <c r="I921">
        <v>0</v>
      </c>
      <c r="J921" t="s">
        <v>34</v>
      </c>
      <c r="K921" t="s">
        <v>179</v>
      </c>
      <c r="L921">
        <v>43</v>
      </c>
      <c r="M921">
        <v>91.83</v>
      </c>
      <c r="N921">
        <v>93.970782999999997</v>
      </c>
      <c r="O921">
        <v>29.077000000000002</v>
      </c>
      <c r="P921">
        <v>37.487000000000002</v>
      </c>
      <c r="Q921">
        <v>25.265999999999998</v>
      </c>
      <c r="R921" t="s">
        <v>485</v>
      </c>
      <c r="S921" t="s">
        <v>83</v>
      </c>
      <c r="T921">
        <f>IF(TRIM(Table1[[#This Row],[PitStopLaps]])="",0,
LEN(Table1[[#This Row],[PitStopLaps]])-LEN(SUBSTITUTE(Table1[[#This Row],[PitStopLaps]],",",""))+1)</f>
        <v>3</v>
      </c>
      <c r="U921">
        <f>Table1[[#This Row],[StartPosition]]-Table1[[#This Row],[FinishPosition]]</f>
        <v>-3</v>
      </c>
    </row>
    <row r="922" spans="1:21" x14ac:dyDescent="0.3">
      <c r="A922">
        <v>2020</v>
      </c>
      <c r="B922">
        <v>6</v>
      </c>
      <c r="C922" t="s">
        <v>125</v>
      </c>
      <c r="D922" t="s">
        <v>26</v>
      </c>
      <c r="E922" t="s">
        <v>27</v>
      </c>
      <c r="F922" t="s">
        <v>28</v>
      </c>
      <c r="G922">
        <v>1</v>
      </c>
      <c r="H922">
        <v>1</v>
      </c>
      <c r="I922">
        <v>25</v>
      </c>
      <c r="J922" t="s">
        <v>23</v>
      </c>
      <c r="K922" t="s">
        <v>24</v>
      </c>
      <c r="L922">
        <v>66</v>
      </c>
      <c r="M922">
        <v>79.822000000000003</v>
      </c>
      <c r="N922">
        <v>82.669867999999994</v>
      </c>
      <c r="O922">
        <v>22.423999999999999</v>
      </c>
      <c r="P922">
        <v>29.626999999999999</v>
      </c>
      <c r="Q922">
        <v>27.658999999999999</v>
      </c>
      <c r="R922" t="s">
        <v>185</v>
      </c>
      <c r="S922" t="s">
        <v>83</v>
      </c>
      <c r="T922">
        <f>IF(TRIM(Table1[[#This Row],[PitStopLaps]])="",0,
LEN(Table1[[#This Row],[PitStopLaps]])-LEN(SUBSTITUTE(Table1[[#This Row],[PitStopLaps]],",",""))+1)</f>
        <v>2</v>
      </c>
      <c r="U922">
        <f>Table1[[#This Row],[StartPosition]]-Table1[[#This Row],[FinishPosition]]</f>
        <v>0</v>
      </c>
    </row>
    <row r="923" spans="1:21" x14ac:dyDescent="0.3">
      <c r="A923">
        <v>2020</v>
      </c>
      <c r="B923">
        <v>6</v>
      </c>
      <c r="C923" t="s">
        <v>125</v>
      </c>
      <c r="D923" t="s">
        <v>38</v>
      </c>
      <c r="E923" t="s">
        <v>39</v>
      </c>
      <c r="F923" t="s">
        <v>33</v>
      </c>
      <c r="G923">
        <v>3</v>
      </c>
      <c r="H923">
        <v>2</v>
      </c>
      <c r="I923">
        <v>18</v>
      </c>
      <c r="J923" t="s">
        <v>23</v>
      </c>
      <c r="K923" t="s">
        <v>24</v>
      </c>
      <c r="L923">
        <v>66</v>
      </c>
      <c r="M923">
        <v>81.477000000000004</v>
      </c>
      <c r="N923">
        <v>83.070195999999996</v>
      </c>
      <c r="O923">
        <v>22.85</v>
      </c>
      <c r="P923">
        <v>30.315999999999999</v>
      </c>
      <c r="Q923">
        <v>27.93</v>
      </c>
      <c r="R923" t="s">
        <v>486</v>
      </c>
      <c r="S923" t="s">
        <v>83</v>
      </c>
      <c r="T923">
        <f>IF(TRIM(Table1[[#This Row],[PitStopLaps]])="",0,
LEN(Table1[[#This Row],[PitStopLaps]])-LEN(SUBSTITUTE(Table1[[#This Row],[PitStopLaps]],",",""))+1)</f>
        <v>2</v>
      </c>
      <c r="U923">
        <f>Table1[[#This Row],[StartPosition]]-Table1[[#This Row],[FinishPosition]]</f>
        <v>1</v>
      </c>
    </row>
    <row r="924" spans="1:21" x14ac:dyDescent="0.3">
      <c r="A924">
        <v>2020</v>
      </c>
      <c r="B924">
        <v>6</v>
      </c>
      <c r="C924" t="s">
        <v>125</v>
      </c>
      <c r="D924" t="s">
        <v>43</v>
      </c>
      <c r="E924" t="s">
        <v>44</v>
      </c>
      <c r="F924" t="s">
        <v>28</v>
      </c>
      <c r="G924">
        <v>2</v>
      </c>
      <c r="H924">
        <v>3</v>
      </c>
      <c r="I924">
        <v>16</v>
      </c>
      <c r="J924" t="s">
        <v>23</v>
      </c>
      <c r="K924" t="s">
        <v>24</v>
      </c>
      <c r="L924">
        <v>66</v>
      </c>
      <c r="M924">
        <v>78.183000000000007</v>
      </c>
      <c r="N924">
        <v>83.024880999999993</v>
      </c>
      <c r="O924">
        <v>22.029</v>
      </c>
      <c r="P924">
        <v>28.991</v>
      </c>
      <c r="Q924">
        <v>27.068999999999999</v>
      </c>
      <c r="R924" t="s">
        <v>487</v>
      </c>
      <c r="S924" t="s">
        <v>83</v>
      </c>
      <c r="T924">
        <f>IF(TRIM(Table1[[#This Row],[PitStopLaps]])="",0,
LEN(Table1[[#This Row],[PitStopLaps]])-LEN(SUBSTITUTE(Table1[[#This Row],[PitStopLaps]],",",""))+1)</f>
        <v>3</v>
      </c>
      <c r="U924">
        <f>Table1[[#This Row],[StartPosition]]-Table1[[#This Row],[FinishPosition]]</f>
        <v>-1</v>
      </c>
    </row>
    <row r="925" spans="1:21" x14ac:dyDescent="0.3">
      <c r="A925">
        <v>2020</v>
      </c>
      <c r="B925">
        <v>6</v>
      </c>
      <c r="C925" t="s">
        <v>125</v>
      </c>
      <c r="D925" t="s">
        <v>58</v>
      </c>
      <c r="E925" t="s">
        <v>59</v>
      </c>
      <c r="F925" t="s">
        <v>192</v>
      </c>
      <c r="G925">
        <v>5</v>
      </c>
      <c r="H925">
        <v>4</v>
      </c>
      <c r="I925">
        <v>12</v>
      </c>
      <c r="J925" t="s">
        <v>34</v>
      </c>
      <c r="K925" t="s">
        <v>65</v>
      </c>
      <c r="L925">
        <v>65</v>
      </c>
      <c r="M925">
        <v>82.024000000000001</v>
      </c>
      <c r="N925">
        <v>84.252499999999998</v>
      </c>
      <c r="O925">
        <v>22.617000000000001</v>
      </c>
      <c r="P925">
        <v>30.574999999999999</v>
      </c>
      <c r="Q925">
        <v>28.620999999999999</v>
      </c>
      <c r="R925" t="s">
        <v>488</v>
      </c>
      <c r="S925" t="s">
        <v>83</v>
      </c>
      <c r="T925">
        <f>IF(TRIM(Table1[[#This Row],[PitStopLaps]])="",0,
LEN(Table1[[#This Row],[PitStopLaps]])-LEN(SUBSTITUTE(Table1[[#This Row],[PitStopLaps]],",",""))+1)</f>
        <v>2</v>
      </c>
      <c r="U925">
        <f>Table1[[#This Row],[StartPosition]]-Table1[[#This Row],[FinishPosition]]</f>
        <v>1</v>
      </c>
    </row>
    <row r="926" spans="1:21" x14ac:dyDescent="0.3">
      <c r="A926">
        <v>2020</v>
      </c>
      <c r="B926">
        <v>6</v>
      </c>
      <c r="C926" t="s">
        <v>125</v>
      </c>
      <c r="D926" t="s">
        <v>49</v>
      </c>
      <c r="E926" t="s">
        <v>50</v>
      </c>
      <c r="F926" t="s">
        <v>192</v>
      </c>
      <c r="G926">
        <v>4</v>
      </c>
      <c r="H926">
        <v>5</v>
      </c>
      <c r="I926">
        <v>10</v>
      </c>
      <c r="J926" t="s">
        <v>34</v>
      </c>
      <c r="K926" t="s">
        <v>65</v>
      </c>
      <c r="L926">
        <v>65</v>
      </c>
      <c r="M926">
        <v>82.515000000000001</v>
      </c>
      <c r="N926">
        <v>84.545612000000006</v>
      </c>
      <c r="O926">
        <v>22.736000000000001</v>
      </c>
      <c r="P926">
        <v>30.759</v>
      </c>
      <c r="Q926">
        <v>28.507000000000001</v>
      </c>
      <c r="R926">
        <v>29</v>
      </c>
      <c r="S926" t="s">
        <v>83</v>
      </c>
      <c r="T926">
        <f>IF(TRIM(Table1[[#This Row],[PitStopLaps]])="",0,
LEN(Table1[[#This Row],[PitStopLaps]])-LEN(SUBSTITUTE(Table1[[#This Row],[PitStopLaps]],",",""))+1)</f>
        <v>1</v>
      </c>
      <c r="U926">
        <f>Table1[[#This Row],[StartPosition]]-Table1[[#This Row],[FinishPosition]]</f>
        <v>-1</v>
      </c>
    </row>
    <row r="927" spans="1:21" x14ac:dyDescent="0.3">
      <c r="A927">
        <v>2020</v>
      </c>
      <c r="B927">
        <v>6</v>
      </c>
      <c r="C927" t="s">
        <v>125</v>
      </c>
      <c r="D927" t="s">
        <v>47</v>
      </c>
      <c r="E927" t="s">
        <v>48</v>
      </c>
      <c r="F927" t="s">
        <v>37</v>
      </c>
      <c r="G927">
        <v>7</v>
      </c>
      <c r="H927">
        <v>6</v>
      </c>
      <c r="I927">
        <v>8</v>
      </c>
      <c r="J927" t="s">
        <v>34</v>
      </c>
      <c r="K927" t="s">
        <v>65</v>
      </c>
      <c r="L927">
        <v>65</v>
      </c>
      <c r="M927">
        <v>81.771000000000001</v>
      </c>
      <c r="N927">
        <v>84.296515999999997</v>
      </c>
      <c r="O927">
        <v>22.64</v>
      </c>
      <c r="P927">
        <v>30.43</v>
      </c>
      <c r="Q927">
        <v>28.544</v>
      </c>
      <c r="R927" t="s">
        <v>489</v>
      </c>
      <c r="S927" t="s">
        <v>83</v>
      </c>
      <c r="T927">
        <f>IF(TRIM(Table1[[#This Row],[PitStopLaps]])="",0,
LEN(Table1[[#This Row],[PitStopLaps]])-LEN(SUBSTITUTE(Table1[[#This Row],[PitStopLaps]],",",""))+1)</f>
        <v>2</v>
      </c>
      <c r="U927">
        <f>Table1[[#This Row],[StartPosition]]-Table1[[#This Row],[FinishPosition]]</f>
        <v>1</v>
      </c>
    </row>
    <row r="928" spans="1:21" x14ac:dyDescent="0.3">
      <c r="A928">
        <v>2020</v>
      </c>
      <c r="B928">
        <v>6</v>
      </c>
      <c r="C928" t="s">
        <v>125</v>
      </c>
      <c r="D928" t="s">
        <v>20</v>
      </c>
      <c r="E928" t="s">
        <v>21</v>
      </c>
      <c r="F928" t="s">
        <v>22</v>
      </c>
      <c r="G928">
        <v>11</v>
      </c>
      <c r="H928">
        <v>7</v>
      </c>
      <c r="I928">
        <v>6</v>
      </c>
      <c r="J928" t="s">
        <v>34</v>
      </c>
      <c r="K928" t="s">
        <v>65</v>
      </c>
      <c r="L928">
        <v>65</v>
      </c>
      <c r="M928">
        <v>82.706999999999994</v>
      </c>
      <c r="N928">
        <v>84.772000000000006</v>
      </c>
      <c r="O928">
        <v>23.24</v>
      </c>
      <c r="P928">
        <v>30.777000000000001</v>
      </c>
      <c r="Q928">
        <v>28.683</v>
      </c>
      <c r="R928">
        <v>29</v>
      </c>
      <c r="S928" t="s">
        <v>83</v>
      </c>
      <c r="T928">
        <f>IF(TRIM(Table1[[#This Row],[PitStopLaps]])="",0,
LEN(Table1[[#This Row],[PitStopLaps]])-LEN(SUBSTITUTE(Table1[[#This Row],[PitStopLaps]],",",""))+1)</f>
        <v>1</v>
      </c>
      <c r="U928">
        <f>Table1[[#This Row],[StartPosition]]-Table1[[#This Row],[FinishPosition]]</f>
        <v>4</v>
      </c>
    </row>
    <row r="929" spans="1:21" x14ac:dyDescent="0.3">
      <c r="A929">
        <v>2020</v>
      </c>
      <c r="B929">
        <v>6</v>
      </c>
      <c r="C929" t="s">
        <v>125</v>
      </c>
      <c r="D929" t="s">
        <v>248</v>
      </c>
      <c r="E929" t="s">
        <v>249</v>
      </c>
      <c r="F929" t="s">
        <v>33</v>
      </c>
      <c r="G929">
        <v>6</v>
      </c>
      <c r="H929">
        <v>8</v>
      </c>
      <c r="I929">
        <v>4</v>
      </c>
      <c r="J929" t="s">
        <v>34</v>
      </c>
      <c r="K929" t="s">
        <v>65</v>
      </c>
      <c r="L929">
        <v>65</v>
      </c>
      <c r="M929">
        <v>82.194000000000003</v>
      </c>
      <c r="N929">
        <v>84.540716000000003</v>
      </c>
      <c r="O929">
        <v>23.196000000000002</v>
      </c>
      <c r="P929">
        <v>30.594999999999999</v>
      </c>
      <c r="Q929">
        <v>28.059000000000001</v>
      </c>
      <c r="R929" t="s">
        <v>411</v>
      </c>
      <c r="S929" t="s">
        <v>83</v>
      </c>
      <c r="T929">
        <f>IF(TRIM(Table1[[#This Row],[PitStopLaps]])="",0,
LEN(Table1[[#This Row],[PitStopLaps]])-LEN(SUBSTITUTE(Table1[[#This Row],[PitStopLaps]],",",""))+1)</f>
        <v>2</v>
      </c>
      <c r="U929">
        <f>Table1[[#This Row],[StartPosition]]-Table1[[#This Row],[FinishPosition]]</f>
        <v>-2</v>
      </c>
    </row>
    <row r="930" spans="1:21" x14ac:dyDescent="0.3">
      <c r="A930">
        <v>2020</v>
      </c>
      <c r="B930">
        <v>6</v>
      </c>
      <c r="C930" t="s">
        <v>125</v>
      </c>
      <c r="D930" t="s">
        <v>73</v>
      </c>
      <c r="E930" t="s">
        <v>74</v>
      </c>
      <c r="F930" t="s">
        <v>438</v>
      </c>
      <c r="G930">
        <v>10</v>
      </c>
      <c r="H930">
        <v>9</v>
      </c>
      <c r="I930">
        <v>2</v>
      </c>
      <c r="J930" t="s">
        <v>34</v>
      </c>
      <c r="K930" t="s">
        <v>65</v>
      </c>
      <c r="L930">
        <v>65</v>
      </c>
      <c r="M930">
        <v>82.543000000000006</v>
      </c>
      <c r="N930">
        <v>84.512699999999995</v>
      </c>
      <c r="O930">
        <v>22.992999999999999</v>
      </c>
      <c r="P930">
        <v>30.875</v>
      </c>
      <c r="Q930">
        <v>28.327999999999999</v>
      </c>
      <c r="R930" t="s">
        <v>389</v>
      </c>
      <c r="S930" t="s">
        <v>83</v>
      </c>
      <c r="T930">
        <f>IF(TRIM(Table1[[#This Row],[PitStopLaps]])="",0,
LEN(Table1[[#This Row],[PitStopLaps]])-LEN(SUBSTITUTE(Table1[[#This Row],[PitStopLaps]],",",""))+1)</f>
        <v>2</v>
      </c>
      <c r="U930">
        <f>Table1[[#This Row],[StartPosition]]-Table1[[#This Row],[FinishPosition]]</f>
        <v>1</v>
      </c>
    </row>
    <row r="931" spans="1:21" x14ac:dyDescent="0.3">
      <c r="A931">
        <v>2020</v>
      </c>
      <c r="B931">
        <v>6</v>
      </c>
      <c r="C931" t="s">
        <v>125</v>
      </c>
      <c r="D931" t="s">
        <v>246</v>
      </c>
      <c r="E931" t="s">
        <v>247</v>
      </c>
      <c r="F931" t="s">
        <v>37</v>
      </c>
      <c r="G931">
        <v>8</v>
      </c>
      <c r="H931">
        <v>10</v>
      </c>
      <c r="I931">
        <v>1</v>
      </c>
      <c r="J931" t="s">
        <v>34</v>
      </c>
      <c r="K931" t="s">
        <v>65</v>
      </c>
      <c r="L931">
        <v>65</v>
      </c>
      <c r="M931">
        <v>82.391999999999996</v>
      </c>
      <c r="N931">
        <v>84.532449999999997</v>
      </c>
      <c r="O931">
        <v>23.016999999999999</v>
      </c>
      <c r="P931">
        <v>30.591999999999999</v>
      </c>
      <c r="Q931">
        <v>28.585999999999999</v>
      </c>
      <c r="R931" t="s">
        <v>380</v>
      </c>
      <c r="S931" t="s">
        <v>83</v>
      </c>
      <c r="T931">
        <f>IF(TRIM(Table1[[#This Row],[PitStopLaps]])="",0,
LEN(Table1[[#This Row],[PitStopLaps]])-LEN(SUBSTITUTE(Table1[[#This Row],[PitStopLaps]],",",""))+1)</f>
        <v>2</v>
      </c>
      <c r="U931">
        <f>Table1[[#This Row],[StartPosition]]-Table1[[#This Row],[FinishPosition]]</f>
        <v>-2</v>
      </c>
    </row>
    <row r="932" spans="1:21" x14ac:dyDescent="0.3">
      <c r="A932">
        <v>2020</v>
      </c>
      <c r="B932">
        <v>6</v>
      </c>
      <c r="C932" t="s">
        <v>125</v>
      </c>
      <c r="D932" t="s">
        <v>31</v>
      </c>
      <c r="E932" t="s">
        <v>32</v>
      </c>
      <c r="F932" t="s">
        <v>42</v>
      </c>
      <c r="G932">
        <v>13</v>
      </c>
      <c r="H932">
        <v>11</v>
      </c>
      <c r="I932">
        <v>0</v>
      </c>
      <c r="J932" t="s">
        <v>34</v>
      </c>
      <c r="K932" t="s">
        <v>65</v>
      </c>
      <c r="L932">
        <v>65</v>
      </c>
      <c r="M932">
        <v>82.463999999999999</v>
      </c>
      <c r="N932">
        <v>84.801612000000006</v>
      </c>
      <c r="O932">
        <v>23.048999999999999</v>
      </c>
      <c r="P932">
        <v>30.654</v>
      </c>
      <c r="Q932">
        <v>28.449000000000002</v>
      </c>
      <c r="R932">
        <v>35</v>
      </c>
      <c r="S932" t="s">
        <v>83</v>
      </c>
      <c r="T932">
        <f>IF(TRIM(Table1[[#This Row],[PitStopLaps]])="",0,
LEN(Table1[[#This Row],[PitStopLaps]])-LEN(SUBSTITUTE(Table1[[#This Row],[PitStopLaps]],",",""))+1)</f>
        <v>1</v>
      </c>
      <c r="U932">
        <f>Table1[[#This Row],[StartPosition]]-Table1[[#This Row],[FinishPosition]]</f>
        <v>2</v>
      </c>
    </row>
    <row r="933" spans="1:21" x14ac:dyDescent="0.3">
      <c r="A933">
        <v>2020</v>
      </c>
      <c r="B933">
        <v>6</v>
      </c>
      <c r="C933" t="s">
        <v>125</v>
      </c>
      <c r="D933" t="s">
        <v>244</v>
      </c>
      <c r="E933" t="s">
        <v>245</v>
      </c>
      <c r="F933" t="s">
        <v>438</v>
      </c>
      <c r="G933">
        <v>12</v>
      </c>
      <c r="H933">
        <v>12</v>
      </c>
      <c r="I933">
        <v>0</v>
      </c>
      <c r="J933" t="s">
        <v>34</v>
      </c>
      <c r="K933" t="s">
        <v>65</v>
      </c>
      <c r="L933">
        <v>65</v>
      </c>
      <c r="M933">
        <v>82.335999999999999</v>
      </c>
      <c r="N933">
        <v>84.468232999999998</v>
      </c>
      <c r="O933">
        <v>23.05</v>
      </c>
      <c r="P933">
        <v>30.728999999999999</v>
      </c>
      <c r="Q933">
        <v>28.363</v>
      </c>
      <c r="R933" t="s">
        <v>308</v>
      </c>
      <c r="S933" t="s">
        <v>83</v>
      </c>
      <c r="T933">
        <f>IF(TRIM(Table1[[#This Row],[PitStopLaps]])="",0,
LEN(Table1[[#This Row],[PitStopLaps]])-LEN(SUBSTITUTE(Table1[[#This Row],[PitStopLaps]],",",""))+1)</f>
        <v>2</v>
      </c>
      <c r="U933">
        <f>Table1[[#This Row],[StartPosition]]-Table1[[#This Row],[FinishPosition]]</f>
        <v>0</v>
      </c>
    </row>
    <row r="934" spans="1:21" x14ac:dyDescent="0.3">
      <c r="A934">
        <v>2020</v>
      </c>
      <c r="B934">
        <v>6</v>
      </c>
      <c r="C934" t="s">
        <v>125</v>
      </c>
      <c r="D934" t="s">
        <v>52</v>
      </c>
      <c r="E934" t="s">
        <v>53</v>
      </c>
      <c r="F934" t="s">
        <v>42</v>
      </c>
      <c r="G934">
        <v>15</v>
      </c>
      <c r="H934">
        <v>13</v>
      </c>
      <c r="I934">
        <v>0</v>
      </c>
      <c r="J934" t="s">
        <v>34</v>
      </c>
      <c r="K934" t="s">
        <v>65</v>
      </c>
      <c r="L934">
        <v>65</v>
      </c>
      <c r="M934">
        <v>82.174000000000007</v>
      </c>
      <c r="N934">
        <v>84.975595999999996</v>
      </c>
      <c r="O934">
        <v>22.986999999999998</v>
      </c>
      <c r="P934">
        <v>30.492000000000001</v>
      </c>
      <c r="Q934">
        <v>28.516999999999999</v>
      </c>
      <c r="R934">
        <v>34</v>
      </c>
      <c r="S934" t="s">
        <v>83</v>
      </c>
      <c r="T934">
        <f>IF(TRIM(Table1[[#This Row],[PitStopLaps]])="",0,
LEN(Table1[[#This Row],[PitStopLaps]])-LEN(SUBSTITUTE(Table1[[#This Row],[PitStopLaps]],",",""))+1)</f>
        <v>1</v>
      </c>
      <c r="U934">
        <f>Table1[[#This Row],[StartPosition]]-Table1[[#This Row],[FinishPosition]]</f>
        <v>2</v>
      </c>
    </row>
    <row r="935" spans="1:21" x14ac:dyDescent="0.3">
      <c r="A935">
        <v>2020</v>
      </c>
      <c r="B935">
        <v>6</v>
      </c>
      <c r="C935" t="s">
        <v>125</v>
      </c>
      <c r="D935" t="s">
        <v>29</v>
      </c>
      <c r="E935" t="s">
        <v>30</v>
      </c>
      <c r="F935" t="s">
        <v>243</v>
      </c>
      <c r="G935">
        <v>14</v>
      </c>
      <c r="H935">
        <v>14</v>
      </c>
      <c r="I935">
        <v>0</v>
      </c>
      <c r="J935" t="s">
        <v>34</v>
      </c>
      <c r="K935" t="s">
        <v>65</v>
      </c>
      <c r="L935">
        <v>65</v>
      </c>
      <c r="M935">
        <v>81.888000000000005</v>
      </c>
      <c r="N935">
        <v>84.735215999999994</v>
      </c>
      <c r="O935">
        <v>22.545999999999999</v>
      </c>
      <c r="P935">
        <v>30.45</v>
      </c>
      <c r="Q935">
        <v>28.279</v>
      </c>
      <c r="R935" t="s">
        <v>284</v>
      </c>
      <c r="S935" t="s">
        <v>83</v>
      </c>
      <c r="T935">
        <f>IF(TRIM(Table1[[#This Row],[PitStopLaps]])="",0,
LEN(Table1[[#This Row],[PitStopLaps]])-LEN(SUBSTITUTE(Table1[[#This Row],[PitStopLaps]],",",""))+1)</f>
        <v>2</v>
      </c>
      <c r="U935">
        <f>Table1[[#This Row],[StartPosition]]-Table1[[#This Row],[FinishPosition]]</f>
        <v>0</v>
      </c>
    </row>
    <row r="936" spans="1:21" x14ac:dyDescent="0.3">
      <c r="A936">
        <v>2020</v>
      </c>
      <c r="B936">
        <v>6</v>
      </c>
      <c r="C936" t="s">
        <v>125</v>
      </c>
      <c r="D936" t="s">
        <v>71</v>
      </c>
      <c r="E936" t="s">
        <v>72</v>
      </c>
      <c r="F936" t="s">
        <v>69</v>
      </c>
      <c r="G936">
        <v>16</v>
      </c>
      <c r="H936">
        <v>15</v>
      </c>
      <c r="I936">
        <v>0</v>
      </c>
      <c r="J936" t="s">
        <v>34</v>
      </c>
      <c r="K936" t="s">
        <v>65</v>
      </c>
      <c r="L936">
        <v>65</v>
      </c>
      <c r="M936">
        <v>83.474000000000004</v>
      </c>
      <c r="N936">
        <v>85.144564000000003</v>
      </c>
      <c r="O936">
        <v>23.454999999999998</v>
      </c>
      <c r="P936">
        <v>31.004999999999999</v>
      </c>
      <c r="Q936">
        <v>28.814</v>
      </c>
      <c r="R936">
        <v>28</v>
      </c>
      <c r="S936" t="s">
        <v>83</v>
      </c>
      <c r="T936">
        <f>IF(TRIM(Table1[[#This Row],[PitStopLaps]])="",0,
LEN(Table1[[#This Row],[PitStopLaps]])-LEN(SUBSTITUTE(Table1[[#This Row],[PitStopLaps]],",",""))+1)</f>
        <v>1</v>
      </c>
      <c r="U936">
        <f>Table1[[#This Row],[StartPosition]]-Table1[[#This Row],[FinishPosition]]</f>
        <v>1</v>
      </c>
    </row>
    <row r="937" spans="1:21" x14ac:dyDescent="0.3">
      <c r="A937">
        <v>2020</v>
      </c>
      <c r="B937">
        <v>6</v>
      </c>
      <c r="C937" t="s">
        <v>125</v>
      </c>
      <c r="D937" t="s">
        <v>250</v>
      </c>
      <c r="E937" t="s">
        <v>251</v>
      </c>
      <c r="F937" t="s">
        <v>243</v>
      </c>
      <c r="G937">
        <v>20</v>
      </c>
      <c r="H937">
        <v>16</v>
      </c>
      <c r="I937">
        <v>0</v>
      </c>
      <c r="J937" t="s">
        <v>34</v>
      </c>
      <c r="K937" t="s">
        <v>65</v>
      </c>
      <c r="L937">
        <v>65</v>
      </c>
      <c r="M937">
        <v>81.801000000000002</v>
      </c>
      <c r="N937">
        <v>84.865832999999995</v>
      </c>
      <c r="O937">
        <v>22.94</v>
      </c>
      <c r="P937">
        <v>30.317</v>
      </c>
      <c r="Q937">
        <v>28.297000000000001</v>
      </c>
      <c r="R937" t="s">
        <v>308</v>
      </c>
      <c r="S937" t="s">
        <v>83</v>
      </c>
      <c r="T937">
        <f>IF(TRIM(Table1[[#This Row],[PitStopLaps]])="",0,
LEN(Table1[[#This Row],[PitStopLaps]])-LEN(SUBSTITUTE(Table1[[#This Row],[PitStopLaps]],",",""))+1)</f>
        <v>2</v>
      </c>
      <c r="U937">
        <f>Table1[[#This Row],[StartPosition]]-Table1[[#This Row],[FinishPosition]]</f>
        <v>4</v>
      </c>
    </row>
    <row r="938" spans="1:21" x14ac:dyDescent="0.3">
      <c r="A938">
        <v>2020</v>
      </c>
      <c r="B938">
        <v>6</v>
      </c>
      <c r="C938" t="s">
        <v>125</v>
      </c>
      <c r="D938" t="s">
        <v>252</v>
      </c>
      <c r="E938" t="s">
        <v>253</v>
      </c>
      <c r="F938" t="s">
        <v>60</v>
      </c>
      <c r="G938">
        <v>18</v>
      </c>
      <c r="H938">
        <v>17</v>
      </c>
      <c r="I938">
        <v>0</v>
      </c>
      <c r="J938" t="s">
        <v>34</v>
      </c>
      <c r="K938" t="s">
        <v>65</v>
      </c>
      <c r="L938">
        <v>65</v>
      </c>
      <c r="M938">
        <v>82.503</v>
      </c>
      <c r="N938">
        <v>85.095950000000002</v>
      </c>
      <c r="O938">
        <v>23.367999999999999</v>
      </c>
      <c r="P938">
        <v>30.67</v>
      </c>
      <c r="Q938">
        <v>28.262</v>
      </c>
      <c r="R938" t="s">
        <v>477</v>
      </c>
      <c r="S938" t="s">
        <v>83</v>
      </c>
      <c r="T938">
        <f>IF(TRIM(Table1[[#This Row],[PitStopLaps]])="",0,
LEN(Table1[[#This Row],[PitStopLaps]])-LEN(SUBSTITUTE(Table1[[#This Row],[PitStopLaps]],",",""))+1)</f>
        <v>2</v>
      </c>
      <c r="U938">
        <f>Table1[[#This Row],[StartPosition]]-Table1[[#This Row],[FinishPosition]]</f>
        <v>1</v>
      </c>
    </row>
    <row r="939" spans="1:21" x14ac:dyDescent="0.3">
      <c r="A939">
        <v>2020</v>
      </c>
      <c r="B939">
        <v>6</v>
      </c>
      <c r="C939" t="s">
        <v>125</v>
      </c>
      <c r="D939" t="s">
        <v>440</v>
      </c>
      <c r="E939" t="s">
        <v>441</v>
      </c>
      <c r="F939" t="s">
        <v>60</v>
      </c>
      <c r="G939">
        <v>19</v>
      </c>
      <c r="H939">
        <v>18</v>
      </c>
      <c r="I939">
        <v>0</v>
      </c>
      <c r="J939" t="s">
        <v>34</v>
      </c>
      <c r="K939" t="s">
        <v>127</v>
      </c>
      <c r="L939">
        <v>64</v>
      </c>
      <c r="M939">
        <v>82.03</v>
      </c>
      <c r="N939">
        <v>85.106254000000007</v>
      </c>
      <c r="O939">
        <v>22.937000000000001</v>
      </c>
      <c r="P939">
        <v>30.475999999999999</v>
      </c>
      <c r="Q939">
        <v>28.282</v>
      </c>
      <c r="R939" t="s">
        <v>490</v>
      </c>
      <c r="S939" t="s">
        <v>83</v>
      </c>
      <c r="T939">
        <f>IF(TRIM(Table1[[#This Row],[PitStopLaps]])="",0,
LEN(Table1[[#This Row],[PitStopLaps]])-LEN(SUBSTITUTE(Table1[[#This Row],[PitStopLaps]],",",""))+1)</f>
        <v>2</v>
      </c>
      <c r="U939">
        <f>Table1[[#This Row],[StartPosition]]-Table1[[#This Row],[FinishPosition]]</f>
        <v>1</v>
      </c>
    </row>
    <row r="940" spans="1:21" x14ac:dyDescent="0.3">
      <c r="A940">
        <v>2020</v>
      </c>
      <c r="B940">
        <v>6</v>
      </c>
      <c r="C940" t="s">
        <v>125</v>
      </c>
      <c r="D940" t="s">
        <v>67</v>
      </c>
      <c r="E940" t="s">
        <v>68</v>
      </c>
      <c r="F940" t="s">
        <v>69</v>
      </c>
      <c r="G940">
        <v>17</v>
      </c>
      <c r="H940">
        <v>19</v>
      </c>
      <c r="I940">
        <v>0</v>
      </c>
      <c r="J940" t="s">
        <v>34</v>
      </c>
      <c r="K940" t="s">
        <v>127</v>
      </c>
      <c r="L940">
        <v>64</v>
      </c>
      <c r="M940">
        <v>80.409000000000006</v>
      </c>
      <c r="N940">
        <v>85.292983000000007</v>
      </c>
      <c r="O940">
        <v>22.748000000000001</v>
      </c>
      <c r="P940">
        <v>29.63</v>
      </c>
      <c r="Q940">
        <v>28.030999999999999</v>
      </c>
      <c r="R940" t="s">
        <v>491</v>
      </c>
      <c r="S940" t="s">
        <v>83</v>
      </c>
      <c r="T940">
        <f>IF(TRIM(Table1[[#This Row],[PitStopLaps]])="",0,
LEN(Table1[[#This Row],[PitStopLaps]])-LEN(SUBSTITUTE(Table1[[#This Row],[PitStopLaps]],",",""))+1)</f>
        <v>2</v>
      </c>
      <c r="U940">
        <f>Table1[[#This Row],[StartPosition]]-Table1[[#This Row],[FinishPosition]]</f>
        <v>-2</v>
      </c>
    </row>
    <row r="941" spans="1:21" x14ac:dyDescent="0.3">
      <c r="A941">
        <v>2020</v>
      </c>
      <c r="B941">
        <v>6</v>
      </c>
      <c r="C941" t="s">
        <v>125</v>
      </c>
      <c r="D941" t="s">
        <v>54</v>
      </c>
      <c r="E941" t="s">
        <v>55</v>
      </c>
      <c r="F941" t="s">
        <v>22</v>
      </c>
      <c r="G941">
        <v>9</v>
      </c>
      <c r="H941">
        <v>20</v>
      </c>
      <c r="I941">
        <v>0</v>
      </c>
      <c r="J941" t="s">
        <v>34</v>
      </c>
      <c r="K941" t="s">
        <v>442</v>
      </c>
      <c r="L941">
        <v>38</v>
      </c>
      <c r="M941">
        <v>83.968000000000004</v>
      </c>
      <c r="N941">
        <v>86.988851999999994</v>
      </c>
      <c r="O941">
        <v>22.890999999999998</v>
      </c>
      <c r="P941">
        <v>31.155000000000001</v>
      </c>
      <c r="Q941">
        <v>28.896999999999998</v>
      </c>
      <c r="R941" t="s">
        <v>492</v>
      </c>
      <c r="S941" t="s">
        <v>83</v>
      </c>
      <c r="T941">
        <f>IF(TRIM(Table1[[#This Row],[PitStopLaps]])="",0,
LEN(Table1[[#This Row],[PitStopLaps]])-LEN(SUBSTITUTE(Table1[[#This Row],[PitStopLaps]],",",""))+1)</f>
        <v>2</v>
      </c>
      <c r="U941">
        <f>Table1[[#This Row],[StartPosition]]-Table1[[#This Row],[FinishPosition]]</f>
        <v>-11</v>
      </c>
    </row>
    <row r="942" spans="1:21" x14ac:dyDescent="0.3">
      <c r="A942">
        <v>2020</v>
      </c>
      <c r="B942">
        <v>7</v>
      </c>
      <c r="C942" t="s">
        <v>188</v>
      </c>
      <c r="D942" t="s">
        <v>26</v>
      </c>
      <c r="E942" t="s">
        <v>27</v>
      </c>
      <c r="F942" t="s">
        <v>28</v>
      </c>
      <c r="G942">
        <v>1</v>
      </c>
      <c r="H942">
        <v>1</v>
      </c>
      <c r="I942">
        <v>25</v>
      </c>
      <c r="J942" t="s">
        <v>23</v>
      </c>
      <c r="K942" t="s">
        <v>24</v>
      </c>
      <c r="L942">
        <v>44</v>
      </c>
      <c r="M942">
        <v>107.758</v>
      </c>
      <c r="N942">
        <v>108.938461</v>
      </c>
      <c r="O942">
        <v>31.504999999999999</v>
      </c>
      <c r="P942">
        <v>46.953000000000003</v>
      </c>
      <c r="Q942">
        <v>29.274999999999999</v>
      </c>
      <c r="R942">
        <v>11</v>
      </c>
      <c r="S942" t="s">
        <v>83</v>
      </c>
      <c r="T942">
        <f>IF(TRIM(Table1[[#This Row],[PitStopLaps]])="",0,
LEN(Table1[[#This Row],[PitStopLaps]])-LEN(SUBSTITUTE(Table1[[#This Row],[PitStopLaps]],",",""))+1)</f>
        <v>1</v>
      </c>
      <c r="U942">
        <f>Table1[[#This Row],[StartPosition]]-Table1[[#This Row],[FinishPosition]]</f>
        <v>0</v>
      </c>
    </row>
    <row r="943" spans="1:21" x14ac:dyDescent="0.3">
      <c r="A943">
        <v>2020</v>
      </c>
      <c r="B943">
        <v>7</v>
      </c>
      <c r="C943" t="s">
        <v>188</v>
      </c>
      <c r="D943" t="s">
        <v>43</v>
      </c>
      <c r="E943" t="s">
        <v>44</v>
      </c>
      <c r="F943" t="s">
        <v>28</v>
      </c>
      <c r="G943">
        <v>2</v>
      </c>
      <c r="H943">
        <v>2</v>
      </c>
      <c r="I943">
        <v>18</v>
      </c>
      <c r="J943" t="s">
        <v>23</v>
      </c>
      <c r="K943" t="s">
        <v>24</v>
      </c>
      <c r="L943">
        <v>44</v>
      </c>
      <c r="M943">
        <v>107.983</v>
      </c>
      <c r="N943">
        <v>109.159589</v>
      </c>
      <c r="O943">
        <v>31.324999999999999</v>
      </c>
      <c r="P943">
        <v>47.143000000000001</v>
      </c>
      <c r="Q943">
        <v>29.215</v>
      </c>
      <c r="R943">
        <v>11</v>
      </c>
      <c r="S943" t="s">
        <v>83</v>
      </c>
      <c r="T943">
        <f>IF(TRIM(Table1[[#This Row],[PitStopLaps]])="",0,
LEN(Table1[[#This Row],[PitStopLaps]])-LEN(SUBSTITUTE(Table1[[#This Row],[PitStopLaps]],",",""))+1)</f>
        <v>1</v>
      </c>
      <c r="U943">
        <f>Table1[[#This Row],[StartPosition]]-Table1[[#This Row],[FinishPosition]]</f>
        <v>0</v>
      </c>
    </row>
    <row r="944" spans="1:21" x14ac:dyDescent="0.3">
      <c r="A944">
        <v>2020</v>
      </c>
      <c r="B944">
        <v>7</v>
      </c>
      <c r="C944" t="s">
        <v>188</v>
      </c>
      <c r="D944" t="s">
        <v>38</v>
      </c>
      <c r="E944" t="s">
        <v>39</v>
      </c>
      <c r="F944" t="s">
        <v>33</v>
      </c>
      <c r="G944">
        <v>3</v>
      </c>
      <c r="H944">
        <v>3</v>
      </c>
      <c r="I944">
        <v>15</v>
      </c>
      <c r="J944" t="s">
        <v>23</v>
      </c>
      <c r="K944" t="s">
        <v>24</v>
      </c>
      <c r="L944">
        <v>44</v>
      </c>
      <c r="M944">
        <v>108.30500000000001</v>
      </c>
      <c r="N944">
        <v>109.409871</v>
      </c>
      <c r="O944">
        <v>31.315999999999999</v>
      </c>
      <c r="P944">
        <v>47.723999999999997</v>
      </c>
      <c r="Q944">
        <v>29.103999999999999</v>
      </c>
      <c r="R944">
        <v>11</v>
      </c>
      <c r="S944" t="s">
        <v>83</v>
      </c>
      <c r="T944">
        <f>IF(TRIM(Table1[[#This Row],[PitStopLaps]])="",0,
LEN(Table1[[#This Row],[PitStopLaps]])-LEN(SUBSTITUTE(Table1[[#This Row],[PitStopLaps]],",",""))+1)</f>
        <v>1</v>
      </c>
      <c r="U944">
        <f>Table1[[#This Row],[StartPosition]]-Table1[[#This Row],[FinishPosition]]</f>
        <v>0</v>
      </c>
    </row>
    <row r="945" spans="1:21" x14ac:dyDescent="0.3">
      <c r="A945">
        <v>2020</v>
      </c>
      <c r="B945">
        <v>7</v>
      </c>
      <c r="C945" t="s">
        <v>188</v>
      </c>
      <c r="D945" t="s">
        <v>31</v>
      </c>
      <c r="E945" t="s">
        <v>32</v>
      </c>
      <c r="F945" t="s">
        <v>42</v>
      </c>
      <c r="G945">
        <v>4</v>
      </c>
      <c r="H945">
        <v>4</v>
      </c>
      <c r="I945">
        <v>13</v>
      </c>
      <c r="J945" t="s">
        <v>34</v>
      </c>
      <c r="K945" t="s">
        <v>24</v>
      </c>
      <c r="L945">
        <v>44</v>
      </c>
      <c r="M945">
        <v>107.483</v>
      </c>
      <c r="N945">
        <v>109.634564</v>
      </c>
      <c r="O945">
        <v>30.85</v>
      </c>
      <c r="P945">
        <v>47.228000000000002</v>
      </c>
      <c r="Q945">
        <v>28.966999999999999</v>
      </c>
      <c r="R945">
        <v>11</v>
      </c>
      <c r="S945" t="s">
        <v>83</v>
      </c>
      <c r="T945">
        <f>IF(TRIM(Table1[[#This Row],[PitStopLaps]])="",0,
LEN(Table1[[#This Row],[PitStopLaps]])-LEN(SUBSTITUTE(Table1[[#This Row],[PitStopLaps]],",",""))+1)</f>
        <v>1</v>
      </c>
      <c r="U945">
        <f>Table1[[#This Row],[StartPosition]]-Table1[[#This Row],[FinishPosition]]</f>
        <v>0</v>
      </c>
    </row>
    <row r="946" spans="1:21" x14ac:dyDescent="0.3">
      <c r="A946">
        <v>2020</v>
      </c>
      <c r="B946">
        <v>7</v>
      </c>
      <c r="C946" t="s">
        <v>188</v>
      </c>
      <c r="D946" t="s">
        <v>52</v>
      </c>
      <c r="E946" t="s">
        <v>53</v>
      </c>
      <c r="F946" t="s">
        <v>42</v>
      </c>
      <c r="G946">
        <v>6</v>
      </c>
      <c r="H946">
        <v>5</v>
      </c>
      <c r="I946">
        <v>10</v>
      </c>
      <c r="J946" t="s">
        <v>34</v>
      </c>
      <c r="K946" t="s">
        <v>24</v>
      </c>
      <c r="L946">
        <v>44</v>
      </c>
      <c r="M946">
        <v>108.54</v>
      </c>
      <c r="N946">
        <v>110.20228899999999</v>
      </c>
      <c r="O946">
        <v>30.657</v>
      </c>
      <c r="P946">
        <v>47.984999999999999</v>
      </c>
      <c r="Q946">
        <v>29.265999999999998</v>
      </c>
      <c r="R946">
        <v>11</v>
      </c>
      <c r="S946" t="s">
        <v>83</v>
      </c>
      <c r="T946">
        <f>IF(TRIM(Table1[[#This Row],[PitStopLaps]])="",0,
LEN(Table1[[#This Row],[PitStopLaps]])-LEN(SUBSTITUTE(Table1[[#This Row],[PitStopLaps]],",",""))+1)</f>
        <v>1</v>
      </c>
      <c r="U946">
        <f>Table1[[#This Row],[StartPosition]]-Table1[[#This Row],[FinishPosition]]</f>
        <v>1</v>
      </c>
    </row>
    <row r="947" spans="1:21" x14ac:dyDescent="0.3">
      <c r="A947">
        <v>2020</v>
      </c>
      <c r="B947">
        <v>7</v>
      </c>
      <c r="C947" t="s">
        <v>188</v>
      </c>
      <c r="D947" t="s">
        <v>248</v>
      </c>
      <c r="E947" t="s">
        <v>249</v>
      </c>
      <c r="F947" t="s">
        <v>33</v>
      </c>
      <c r="G947">
        <v>5</v>
      </c>
      <c r="H947">
        <v>6</v>
      </c>
      <c r="I947">
        <v>8</v>
      </c>
      <c r="J947" t="s">
        <v>34</v>
      </c>
      <c r="K947" t="s">
        <v>24</v>
      </c>
      <c r="L947">
        <v>44</v>
      </c>
      <c r="M947">
        <v>108.736</v>
      </c>
      <c r="N947">
        <v>110.285</v>
      </c>
      <c r="O947">
        <v>30.896000000000001</v>
      </c>
      <c r="P947">
        <v>47.689</v>
      </c>
      <c r="Q947">
        <v>29.149000000000001</v>
      </c>
      <c r="R947">
        <v>11</v>
      </c>
      <c r="S947" t="s">
        <v>83</v>
      </c>
      <c r="T947">
        <f>IF(TRIM(Table1[[#This Row],[PitStopLaps]])="",0,
LEN(Table1[[#This Row],[PitStopLaps]])-LEN(SUBSTITUTE(Table1[[#This Row],[PitStopLaps]],",",""))+1)</f>
        <v>1</v>
      </c>
      <c r="U947">
        <f>Table1[[#This Row],[StartPosition]]-Table1[[#This Row],[FinishPosition]]</f>
        <v>-1</v>
      </c>
    </row>
    <row r="948" spans="1:21" x14ac:dyDescent="0.3">
      <c r="A948">
        <v>2020</v>
      </c>
      <c r="B948">
        <v>7</v>
      </c>
      <c r="C948" t="s">
        <v>188</v>
      </c>
      <c r="D948" t="s">
        <v>246</v>
      </c>
      <c r="E948" t="s">
        <v>247</v>
      </c>
      <c r="F948" t="s">
        <v>37</v>
      </c>
      <c r="G948">
        <v>10</v>
      </c>
      <c r="H948">
        <v>7</v>
      </c>
      <c r="I948">
        <v>6</v>
      </c>
      <c r="J948" t="s">
        <v>34</v>
      </c>
      <c r="K948" t="s">
        <v>24</v>
      </c>
      <c r="L948">
        <v>44</v>
      </c>
      <c r="M948">
        <v>108.55200000000001</v>
      </c>
      <c r="N948">
        <v>110.420368</v>
      </c>
      <c r="O948">
        <v>30.576000000000001</v>
      </c>
      <c r="P948">
        <v>47.715000000000003</v>
      </c>
      <c r="Q948">
        <v>29.108000000000001</v>
      </c>
      <c r="R948">
        <v>11</v>
      </c>
      <c r="S948" t="s">
        <v>83</v>
      </c>
      <c r="T948">
        <f>IF(TRIM(Table1[[#This Row],[PitStopLaps]])="",0,
LEN(Table1[[#This Row],[PitStopLaps]])-LEN(SUBSTITUTE(Table1[[#This Row],[PitStopLaps]],",",""))+1)</f>
        <v>1</v>
      </c>
      <c r="U948">
        <f>Table1[[#This Row],[StartPosition]]-Table1[[#This Row],[FinishPosition]]</f>
        <v>3</v>
      </c>
    </row>
    <row r="949" spans="1:21" x14ac:dyDescent="0.3">
      <c r="A949">
        <v>2020</v>
      </c>
      <c r="B949">
        <v>7</v>
      </c>
      <c r="C949" t="s">
        <v>188</v>
      </c>
      <c r="D949" t="s">
        <v>73</v>
      </c>
      <c r="E949" t="s">
        <v>74</v>
      </c>
      <c r="F949" t="s">
        <v>438</v>
      </c>
      <c r="G949">
        <v>12</v>
      </c>
      <c r="H949">
        <v>8</v>
      </c>
      <c r="I949">
        <v>4</v>
      </c>
      <c r="J949" t="s">
        <v>34</v>
      </c>
      <c r="K949" t="s">
        <v>24</v>
      </c>
      <c r="L949">
        <v>44</v>
      </c>
      <c r="M949">
        <v>107.839</v>
      </c>
      <c r="N949">
        <v>110.037055</v>
      </c>
      <c r="O949">
        <v>30.608000000000001</v>
      </c>
      <c r="P949">
        <v>47.697000000000003</v>
      </c>
      <c r="Q949">
        <v>29.11</v>
      </c>
      <c r="R949">
        <v>26</v>
      </c>
      <c r="S949" t="s">
        <v>83</v>
      </c>
      <c r="T949">
        <f>IF(TRIM(Table1[[#This Row],[PitStopLaps]])="",0,
LEN(Table1[[#This Row],[PitStopLaps]])-LEN(SUBSTITUTE(Table1[[#This Row],[PitStopLaps]],",",""))+1)</f>
        <v>1</v>
      </c>
      <c r="U949">
        <f>Table1[[#This Row],[StartPosition]]-Table1[[#This Row],[FinishPosition]]</f>
        <v>4</v>
      </c>
    </row>
    <row r="950" spans="1:21" x14ac:dyDescent="0.3">
      <c r="A950">
        <v>2020</v>
      </c>
      <c r="B950">
        <v>7</v>
      </c>
      <c r="C950" t="s">
        <v>188</v>
      </c>
      <c r="D950" t="s">
        <v>58</v>
      </c>
      <c r="E950" t="s">
        <v>59</v>
      </c>
      <c r="F950" t="s">
        <v>192</v>
      </c>
      <c r="G950">
        <v>9</v>
      </c>
      <c r="H950">
        <v>9</v>
      </c>
      <c r="I950">
        <v>2</v>
      </c>
      <c r="J950" t="s">
        <v>34</v>
      </c>
      <c r="K950" t="s">
        <v>24</v>
      </c>
      <c r="L950">
        <v>44</v>
      </c>
      <c r="M950">
        <v>109.136</v>
      </c>
      <c r="N950">
        <v>110.588368</v>
      </c>
      <c r="O950">
        <v>30.943000000000001</v>
      </c>
      <c r="P950">
        <v>48.006</v>
      </c>
      <c r="Q950">
        <v>29.353000000000002</v>
      </c>
      <c r="R950">
        <v>11</v>
      </c>
      <c r="S950" t="s">
        <v>83</v>
      </c>
      <c r="T950">
        <f>IF(TRIM(Table1[[#This Row],[PitStopLaps]])="",0,
LEN(Table1[[#This Row],[PitStopLaps]])-LEN(SUBSTITUTE(Table1[[#This Row],[PitStopLaps]],",",""))+1)</f>
        <v>1</v>
      </c>
      <c r="U950">
        <f>Table1[[#This Row],[StartPosition]]-Table1[[#This Row],[FinishPosition]]</f>
        <v>0</v>
      </c>
    </row>
    <row r="951" spans="1:21" x14ac:dyDescent="0.3">
      <c r="A951">
        <v>2020</v>
      </c>
      <c r="B951">
        <v>7</v>
      </c>
      <c r="C951" t="s">
        <v>188</v>
      </c>
      <c r="D951" t="s">
        <v>49</v>
      </c>
      <c r="E951" t="s">
        <v>50</v>
      </c>
      <c r="F951" t="s">
        <v>192</v>
      </c>
      <c r="G951">
        <v>8</v>
      </c>
      <c r="H951">
        <v>10</v>
      </c>
      <c r="I951">
        <v>1</v>
      </c>
      <c r="J951" t="s">
        <v>34</v>
      </c>
      <c r="K951" t="s">
        <v>24</v>
      </c>
      <c r="L951">
        <v>44</v>
      </c>
      <c r="M951">
        <v>108.389</v>
      </c>
      <c r="N951">
        <v>110.231222</v>
      </c>
      <c r="O951">
        <v>30.696999999999999</v>
      </c>
      <c r="P951">
        <v>47.603999999999999</v>
      </c>
      <c r="Q951">
        <v>29.359000000000002</v>
      </c>
      <c r="R951">
        <v>18</v>
      </c>
      <c r="S951" t="s">
        <v>83</v>
      </c>
      <c r="T951">
        <f>IF(TRIM(Table1[[#This Row],[PitStopLaps]])="",0,
LEN(Table1[[#This Row],[PitStopLaps]])-LEN(SUBSTITUTE(Table1[[#This Row],[PitStopLaps]],",",""))+1)</f>
        <v>1</v>
      </c>
      <c r="U951">
        <f>Table1[[#This Row],[StartPosition]]-Table1[[#This Row],[FinishPosition]]</f>
        <v>-2</v>
      </c>
    </row>
    <row r="952" spans="1:21" x14ac:dyDescent="0.3">
      <c r="A952">
        <v>2020</v>
      </c>
      <c r="B952">
        <v>7</v>
      </c>
      <c r="C952" t="s">
        <v>188</v>
      </c>
      <c r="D952" t="s">
        <v>244</v>
      </c>
      <c r="E952" t="s">
        <v>245</v>
      </c>
      <c r="F952" t="s">
        <v>438</v>
      </c>
      <c r="G952">
        <v>11</v>
      </c>
      <c r="H952">
        <v>11</v>
      </c>
      <c r="I952">
        <v>0</v>
      </c>
      <c r="J952" t="s">
        <v>34</v>
      </c>
      <c r="K952" t="s">
        <v>24</v>
      </c>
      <c r="L952">
        <v>44</v>
      </c>
      <c r="M952">
        <v>109.83199999999999</v>
      </c>
      <c r="N952">
        <v>111.115289</v>
      </c>
      <c r="O952">
        <v>30.832999999999998</v>
      </c>
      <c r="P952">
        <v>48.843000000000004</v>
      </c>
      <c r="Q952">
        <v>29.423999999999999</v>
      </c>
      <c r="R952">
        <v>11</v>
      </c>
      <c r="S952" t="s">
        <v>83</v>
      </c>
      <c r="T952">
        <f>IF(TRIM(Table1[[#This Row],[PitStopLaps]])="",0,
LEN(Table1[[#This Row],[PitStopLaps]])-LEN(SUBSTITUTE(Table1[[#This Row],[PitStopLaps]],",",""))+1)</f>
        <v>1</v>
      </c>
      <c r="U952">
        <f>Table1[[#This Row],[StartPosition]]-Table1[[#This Row],[FinishPosition]]</f>
        <v>0</v>
      </c>
    </row>
    <row r="953" spans="1:21" x14ac:dyDescent="0.3">
      <c r="A953">
        <v>2020</v>
      </c>
      <c r="B953">
        <v>7</v>
      </c>
      <c r="C953" t="s">
        <v>188</v>
      </c>
      <c r="D953" t="s">
        <v>29</v>
      </c>
      <c r="E953" t="s">
        <v>30</v>
      </c>
      <c r="F953" t="s">
        <v>243</v>
      </c>
      <c r="G953">
        <v>16</v>
      </c>
      <c r="H953">
        <v>12</v>
      </c>
      <c r="I953">
        <v>0</v>
      </c>
      <c r="J953" t="s">
        <v>34</v>
      </c>
      <c r="K953" t="s">
        <v>24</v>
      </c>
      <c r="L953">
        <v>44</v>
      </c>
      <c r="M953">
        <v>109.822</v>
      </c>
      <c r="N953">
        <v>111.202263</v>
      </c>
      <c r="O953">
        <v>31.131</v>
      </c>
      <c r="P953">
        <v>48.561</v>
      </c>
      <c r="Q953">
        <v>29.501999999999999</v>
      </c>
      <c r="R953">
        <v>10</v>
      </c>
      <c r="S953" t="s">
        <v>83</v>
      </c>
      <c r="T953">
        <f>IF(TRIM(Table1[[#This Row],[PitStopLaps]])="",0,
LEN(Table1[[#This Row],[PitStopLaps]])-LEN(SUBSTITUTE(Table1[[#This Row],[PitStopLaps]],",",""))+1)</f>
        <v>1</v>
      </c>
      <c r="U953">
        <f>Table1[[#This Row],[StartPosition]]-Table1[[#This Row],[FinishPosition]]</f>
        <v>4</v>
      </c>
    </row>
    <row r="954" spans="1:21" x14ac:dyDescent="0.3">
      <c r="A954">
        <v>2020</v>
      </c>
      <c r="B954">
        <v>7</v>
      </c>
      <c r="C954" t="s">
        <v>188</v>
      </c>
      <c r="D954" t="s">
        <v>20</v>
      </c>
      <c r="E954" t="s">
        <v>21</v>
      </c>
      <c r="F954" t="s">
        <v>22</v>
      </c>
      <c r="G954">
        <v>14</v>
      </c>
      <c r="H954">
        <v>13</v>
      </c>
      <c r="I954">
        <v>0</v>
      </c>
      <c r="J954" t="s">
        <v>34</v>
      </c>
      <c r="K954" t="s">
        <v>24</v>
      </c>
      <c r="L954">
        <v>44</v>
      </c>
      <c r="M954">
        <v>109.958</v>
      </c>
      <c r="N954">
        <v>111.247421</v>
      </c>
      <c r="O954">
        <v>31.210999999999999</v>
      </c>
      <c r="P954">
        <v>48.673999999999999</v>
      </c>
      <c r="Q954">
        <v>29.507000000000001</v>
      </c>
      <c r="R954">
        <v>11</v>
      </c>
      <c r="S954" t="s">
        <v>83</v>
      </c>
      <c r="T954">
        <f>IF(TRIM(Table1[[#This Row],[PitStopLaps]])="",0,
LEN(Table1[[#This Row],[PitStopLaps]])-LEN(SUBSTITUTE(Table1[[#This Row],[PitStopLaps]],",",""))+1)</f>
        <v>1</v>
      </c>
      <c r="U954">
        <f>Table1[[#This Row],[StartPosition]]-Table1[[#This Row],[FinishPosition]]</f>
        <v>1</v>
      </c>
    </row>
    <row r="955" spans="1:21" x14ac:dyDescent="0.3">
      <c r="A955">
        <v>2020</v>
      </c>
      <c r="B955">
        <v>7</v>
      </c>
      <c r="C955" t="s">
        <v>188</v>
      </c>
      <c r="D955" t="s">
        <v>54</v>
      </c>
      <c r="E955" t="s">
        <v>55</v>
      </c>
      <c r="F955" t="s">
        <v>22</v>
      </c>
      <c r="G955">
        <v>13</v>
      </c>
      <c r="H955">
        <v>14</v>
      </c>
      <c r="I955">
        <v>0</v>
      </c>
      <c r="J955" t="s">
        <v>34</v>
      </c>
      <c r="K955" t="s">
        <v>24</v>
      </c>
      <c r="L955">
        <v>44</v>
      </c>
      <c r="M955">
        <v>107.84</v>
      </c>
      <c r="N955">
        <v>110.820666</v>
      </c>
      <c r="O955">
        <v>30.824999999999999</v>
      </c>
      <c r="P955">
        <v>47.058</v>
      </c>
      <c r="Q955">
        <v>29.245999999999999</v>
      </c>
      <c r="R955" t="s">
        <v>493</v>
      </c>
      <c r="S955" t="s">
        <v>83</v>
      </c>
      <c r="T955">
        <f>IF(TRIM(Table1[[#This Row],[PitStopLaps]])="",0,
LEN(Table1[[#This Row],[PitStopLaps]])-LEN(SUBSTITUTE(Table1[[#This Row],[PitStopLaps]],",",""))+1)</f>
        <v>2</v>
      </c>
      <c r="U955">
        <f>Table1[[#This Row],[StartPosition]]-Table1[[#This Row],[FinishPosition]]</f>
        <v>-1</v>
      </c>
    </row>
    <row r="956" spans="1:21" x14ac:dyDescent="0.3">
      <c r="A956">
        <v>2020</v>
      </c>
      <c r="B956">
        <v>7</v>
      </c>
      <c r="C956" t="s">
        <v>188</v>
      </c>
      <c r="D956" t="s">
        <v>67</v>
      </c>
      <c r="E956" t="s">
        <v>68</v>
      </c>
      <c r="F956" t="s">
        <v>69</v>
      </c>
      <c r="G956">
        <v>17</v>
      </c>
      <c r="H956">
        <v>15</v>
      </c>
      <c r="I956">
        <v>0</v>
      </c>
      <c r="J956" t="s">
        <v>34</v>
      </c>
      <c r="K956" t="s">
        <v>24</v>
      </c>
      <c r="L956">
        <v>44</v>
      </c>
      <c r="M956">
        <v>110.018</v>
      </c>
      <c r="N956">
        <v>111.375105</v>
      </c>
      <c r="O956">
        <v>31.155000000000001</v>
      </c>
      <c r="P956">
        <v>48.307000000000002</v>
      </c>
      <c r="Q956">
        <v>29.646000000000001</v>
      </c>
      <c r="R956">
        <v>10</v>
      </c>
      <c r="S956" t="s">
        <v>83</v>
      </c>
      <c r="T956">
        <f>IF(TRIM(Table1[[#This Row],[PitStopLaps]])="",0,
LEN(Table1[[#This Row],[PitStopLaps]])-LEN(SUBSTITUTE(Table1[[#This Row],[PitStopLaps]],",",""))+1)</f>
        <v>1</v>
      </c>
      <c r="U956">
        <f>Table1[[#This Row],[StartPosition]]-Table1[[#This Row],[FinishPosition]]</f>
        <v>2</v>
      </c>
    </row>
    <row r="957" spans="1:21" x14ac:dyDescent="0.3">
      <c r="A957">
        <v>2020</v>
      </c>
      <c r="B957">
        <v>7</v>
      </c>
      <c r="C957" t="s">
        <v>188</v>
      </c>
      <c r="D957" t="s">
        <v>440</v>
      </c>
      <c r="E957" t="s">
        <v>441</v>
      </c>
      <c r="F957" t="s">
        <v>60</v>
      </c>
      <c r="G957">
        <v>19</v>
      </c>
      <c r="H957">
        <v>16</v>
      </c>
      <c r="I957">
        <v>0</v>
      </c>
      <c r="J957" t="s">
        <v>34</v>
      </c>
      <c r="K957" t="s">
        <v>24</v>
      </c>
      <c r="L957">
        <v>44</v>
      </c>
      <c r="M957">
        <v>108.048</v>
      </c>
      <c r="N957">
        <v>111.103416</v>
      </c>
      <c r="O957">
        <v>31.061</v>
      </c>
      <c r="P957">
        <v>47.097000000000001</v>
      </c>
      <c r="Q957">
        <v>29.225000000000001</v>
      </c>
      <c r="R957" t="s">
        <v>494</v>
      </c>
      <c r="S957" t="s">
        <v>83</v>
      </c>
      <c r="T957">
        <f>IF(TRIM(Table1[[#This Row],[PitStopLaps]])="",0,
LEN(Table1[[#This Row],[PitStopLaps]])-LEN(SUBSTITUTE(Table1[[#This Row],[PitStopLaps]],",",""))+1)</f>
        <v>2</v>
      </c>
      <c r="U957">
        <f>Table1[[#This Row],[StartPosition]]-Table1[[#This Row],[FinishPosition]]</f>
        <v>3</v>
      </c>
    </row>
    <row r="958" spans="1:21" x14ac:dyDescent="0.3">
      <c r="A958">
        <v>2020</v>
      </c>
      <c r="B958">
        <v>7</v>
      </c>
      <c r="C958" t="s">
        <v>188</v>
      </c>
      <c r="D958" t="s">
        <v>71</v>
      </c>
      <c r="E958" t="s">
        <v>72</v>
      </c>
      <c r="F958" t="s">
        <v>69</v>
      </c>
      <c r="G958">
        <v>20</v>
      </c>
      <c r="H958">
        <v>17</v>
      </c>
      <c r="I958">
        <v>0</v>
      </c>
      <c r="J958" t="s">
        <v>34</v>
      </c>
      <c r="K958" t="s">
        <v>24</v>
      </c>
      <c r="L958">
        <v>44</v>
      </c>
      <c r="M958">
        <v>108.083</v>
      </c>
      <c r="N958">
        <v>111.220055</v>
      </c>
      <c r="O958">
        <v>31.521000000000001</v>
      </c>
      <c r="P958">
        <v>46.973999999999997</v>
      </c>
      <c r="Q958">
        <v>29.451000000000001</v>
      </c>
      <c r="R958" t="s">
        <v>495</v>
      </c>
      <c r="S958" t="s">
        <v>83</v>
      </c>
      <c r="T958">
        <f>IF(TRIM(Table1[[#This Row],[PitStopLaps]])="",0,
LEN(Table1[[#This Row],[PitStopLaps]])-LEN(SUBSTITUTE(Table1[[#This Row],[PitStopLaps]],",",""))+1)</f>
        <v>2</v>
      </c>
      <c r="U958">
        <f>Table1[[#This Row],[StartPosition]]-Table1[[#This Row],[FinishPosition]]</f>
        <v>3</v>
      </c>
    </row>
    <row r="959" spans="1:21" x14ac:dyDescent="0.3">
      <c r="A959">
        <v>2020</v>
      </c>
      <c r="B959">
        <v>7</v>
      </c>
      <c r="C959" t="s">
        <v>188</v>
      </c>
      <c r="D959" t="s">
        <v>250</v>
      </c>
      <c r="E959" t="s">
        <v>251</v>
      </c>
      <c r="F959" t="s">
        <v>243</v>
      </c>
      <c r="G959">
        <v>18</v>
      </c>
      <c r="H959">
        <v>18</v>
      </c>
      <c r="I959">
        <v>0</v>
      </c>
      <c r="J959" t="s">
        <v>34</v>
      </c>
      <c r="K959" t="s">
        <v>123</v>
      </c>
      <c r="L959">
        <v>10</v>
      </c>
      <c r="M959">
        <v>111.79300000000001</v>
      </c>
      <c r="N959">
        <v>112.675625</v>
      </c>
      <c r="O959">
        <v>31.465</v>
      </c>
      <c r="P959">
        <v>50.088999999999999</v>
      </c>
      <c r="Q959">
        <v>29.902999999999999</v>
      </c>
      <c r="S959" t="s">
        <v>83</v>
      </c>
      <c r="T959">
        <f>IF(TRIM(Table1[[#This Row],[PitStopLaps]])="",0,
LEN(Table1[[#This Row],[PitStopLaps]])-LEN(SUBSTITUTE(Table1[[#This Row],[PitStopLaps]],",",""))+1)</f>
        <v>0</v>
      </c>
      <c r="U959">
        <f>Table1[[#This Row],[StartPosition]]-Table1[[#This Row],[FinishPosition]]</f>
        <v>0</v>
      </c>
    </row>
    <row r="960" spans="1:21" x14ac:dyDescent="0.3">
      <c r="A960">
        <v>2020</v>
      </c>
      <c r="B960">
        <v>7</v>
      </c>
      <c r="C960" t="s">
        <v>188</v>
      </c>
      <c r="D960" t="s">
        <v>252</v>
      </c>
      <c r="E960" t="s">
        <v>253</v>
      </c>
      <c r="F960" t="s">
        <v>60</v>
      </c>
      <c r="G960">
        <v>15</v>
      </c>
      <c r="H960">
        <v>19</v>
      </c>
      <c r="I960">
        <v>0</v>
      </c>
      <c r="J960" t="s">
        <v>34</v>
      </c>
      <c r="K960" t="s">
        <v>496</v>
      </c>
      <c r="L960">
        <v>10</v>
      </c>
      <c r="M960">
        <v>111.754</v>
      </c>
      <c r="N960">
        <v>112.78175</v>
      </c>
      <c r="O960">
        <v>31.26</v>
      </c>
      <c r="P960">
        <v>50.271999999999998</v>
      </c>
      <c r="Q960">
        <v>29.995999999999999</v>
      </c>
      <c r="S960" t="s">
        <v>83</v>
      </c>
      <c r="T960">
        <f>IF(TRIM(Table1[[#This Row],[PitStopLaps]])="",0,
LEN(Table1[[#This Row],[PitStopLaps]])-LEN(SUBSTITUTE(Table1[[#This Row],[PitStopLaps]],",",""))+1)</f>
        <v>0</v>
      </c>
      <c r="U960">
        <f>Table1[[#This Row],[StartPosition]]-Table1[[#This Row],[FinishPosition]]</f>
        <v>-4</v>
      </c>
    </row>
    <row r="961" spans="1:21" x14ac:dyDescent="0.3">
      <c r="A961">
        <v>2020</v>
      </c>
      <c r="B961">
        <v>7</v>
      </c>
      <c r="C961" t="s">
        <v>188</v>
      </c>
      <c r="D961" t="s">
        <v>47</v>
      </c>
      <c r="E961" t="s">
        <v>48</v>
      </c>
      <c r="F961" t="s">
        <v>37</v>
      </c>
      <c r="G961">
        <v>7</v>
      </c>
      <c r="H961">
        <v>20</v>
      </c>
      <c r="I961">
        <v>0</v>
      </c>
      <c r="J961" t="s">
        <v>34</v>
      </c>
      <c r="K961" t="s">
        <v>145</v>
      </c>
      <c r="S961" t="s">
        <v>83</v>
      </c>
      <c r="T961">
        <f>IF(TRIM(Table1[[#This Row],[PitStopLaps]])="",0,
LEN(Table1[[#This Row],[PitStopLaps]])-LEN(SUBSTITUTE(Table1[[#This Row],[PitStopLaps]],",",""))+1)</f>
        <v>0</v>
      </c>
      <c r="U961">
        <f>Table1[[#This Row],[StartPosition]]-Table1[[#This Row],[FinishPosition]]</f>
        <v>-13</v>
      </c>
    </row>
    <row r="962" spans="1:21" x14ac:dyDescent="0.3">
      <c r="A962">
        <v>2020</v>
      </c>
      <c r="B962">
        <v>8</v>
      </c>
      <c r="C962" t="s">
        <v>367</v>
      </c>
      <c r="D962" t="s">
        <v>73</v>
      </c>
      <c r="E962" t="s">
        <v>74</v>
      </c>
      <c r="F962" t="s">
        <v>438</v>
      </c>
      <c r="G962">
        <v>10</v>
      </c>
      <c r="H962">
        <v>1</v>
      </c>
      <c r="I962">
        <v>25</v>
      </c>
      <c r="J962" t="s">
        <v>23</v>
      </c>
      <c r="K962" t="s">
        <v>24</v>
      </c>
      <c r="L962">
        <v>53</v>
      </c>
      <c r="M962">
        <v>84.037000000000006</v>
      </c>
      <c r="N962">
        <v>86.471408999999994</v>
      </c>
      <c r="O962">
        <v>27.87</v>
      </c>
      <c r="P962">
        <v>28.164000000000001</v>
      </c>
      <c r="Q962">
        <v>27.742000000000001</v>
      </c>
      <c r="R962" t="s">
        <v>371</v>
      </c>
      <c r="S962" t="s">
        <v>83</v>
      </c>
      <c r="T962">
        <f>IF(TRIM(Table1[[#This Row],[PitStopLaps]])="",0,
LEN(Table1[[#This Row],[PitStopLaps]])-LEN(SUBSTITUTE(Table1[[#This Row],[PitStopLaps]],",",""))+1)</f>
        <v>2</v>
      </c>
      <c r="U962">
        <f>Table1[[#This Row],[StartPosition]]-Table1[[#This Row],[FinishPosition]]</f>
        <v>9</v>
      </c>
    </row>
    <row r="963" spans="1:21" x14ac:dyDescent="0.3">
      <c r="A963">
        <v>2020</v>
      </c>
      <c r="B963">
        <v>8</v>
      </c>
      <c r="C963" t="s">
        <v>367</v>
      </c>
      <c r="D963" t="s">
        <v>47</v>
      </c>
      <c r="E963" t="s">
        <v>48</v>
      </c>
      <c r="F963" t="s">
        <v>37</v>
      </c>
      <c r="G963">
        <v>3</v>
      </c>
      <c r="H963">
        <v>2</v>
      </c>
      <c r="I963">
        <v>18</v>
      </c>
      <c r="J963" t="s">
        <v>23</v>
      </c>
      <c r="K963" t="s">
        <v>24</v>
      </c>
      <c r="L963">
        <v>53</v>
      </c>
      <c r="M963">
        <v>83.882000000000005</v>
      </c>
      <c r="N963">
        <v>86.074265999999994</v>
      </c>
      <c r="O963">
        <v>27.548999999999999</v>
      </c>
      <c r="P963">
        <v>28.347999999999999</v>
      </c>
      <c r="Q963">
        <v>27.747</v>
      </c>
      <c r="R963" t="s">
        <v>497</v>
      </c>
      <c r="S963" t="s">
        <v>83</v>
      </c>
      <c r="T963">
        <f>IF(TRIM(Table1[[#This Row],[PitStopLaps]])="",0,
LEN(Table1[[#This Row],[PitStopLaps]])-LEN(SUBSTITUTE(Table1[[#This Row],[PitStopLaps]],",",""))+1)</f>
        <v>2</v>
      </c>
      <c r="U963">
        <f>Table1[[#This Row],[StartPosition]]-Table1[[#This Row],[FinishPosition]]</f>
        <v>1</v>
      </c>
    </row>
    <row r="964" spans="1:21" x14ac:dyDescent="0.3">
      <c r="A964">
        <v>2020</v>
      </c>
      <c r="B964">
        <v>8</v>
      </c>
      <c r="C964" t="s">
        <v>367</v>
      </c>
      <c r="D964" t="s">
        <v>58</v>
      </c>
      <c r="E964" t="s">
        <v>59</v>
      </c>
      <c r="F964" t="s">
        <v>192</v>
      </c>
      <c r="G964">
        <v>8</v>
      </c>
      <c r="H964">
        <v>3</v>
      </c>
      <c r="I964">
        <v>15</v>
      </c>
      <c r="J964" t="s">
        <v>23</v>
      </c>
      <c r="K964" t="s">
        <v>24</v>
      </c>
      <c r="L964">
        <v>53</v>
      </c>
      <c r="M964">
        <v>83.897000000000006</v>
      </c>
      <c r="N964">
        <v>86.511200000000002</v>
      </c>
      <c r="O964">
        <v>27.553999999999998</v>
      </c>
      <c r="P964">
        <v>28.216999999999999</v>
      </c>
      <c r="Q964">
        <v>27.853999999999999</v>
      </c>
      <c r="R964">
        <v>26</v>
      </c>
      <c r="S964" t="s">
        <v>83</v>
      </c>
      <c r="T964">
        <f>IF(TRIM(Table1[[#This Row],[PitStopLaps]])="",0,
LEN(Table1[[#This Row],[PitStopLaps]])-LEN(SUBSTITUTE(Table1[[#This Row],[PitStopLaps]],",",""))+1)</f>
        <v>1</v>
      </c>
      <c r="U964">
        <f>Table1[[#This Row],[StartPosition]]-Table1[[#This Row],[FinishPosition]]</f>
        <v>5</v>
      </c>
    </row>
    <row r="965" spans="1:21" x14ac:dyDescent="0.3">
      <c r="A965">
        <v>2020</v>
      </c>
      <c r="B965">
        <v>8</v>
      </c>
      <c r="C965" t="s">
        <v>367</v>
      </c>
      <c r="D965" t="s">
        <v>246</v>
      </c>
      <c r="E965" t="s">
        <v>247</v>
      </c>
      <c r="F965" t="s">
        <v>37</v>
      </c>
      <c r="G965">
        <v>6</v>
      </c>
      <c r="H965">
        <v>4</v>
      </c>
      <c r="I965">
        <v>12</v>
      </c>
      <c r="J965" t="s">
        <v>34</v>
      </c>
      <c r="K965" t="s">
        <v>24</v>
      </c>
      <c r="L965">
        <v>53</v>
      </c>
      <c r="M965">
        <v>84.231999999999999</v>
      </c>
      <c r="N965">
        <v>86.272110999999995</v>
      </c>
      <c r="O965">
        <v>27.555</v>
      </c>
      <c r="P965">
        <v>28.356999999999999</v>
      </c>
      <c r="Q965">
        <v>27.661000000000001</v>
      </c>
      <c r="R965" t="s">
        <v>497</v>
      </c>
      <c r="S965" t="s">
        <v>83</v>
      </c>
      <c r="T965">
        <f>IF(TRIM(Table1[[#This Row],[PitStopLaps]])="",0,
LEN(Table1[[#This Row],[PitStopLaps]])-LEN(SUBSTITUTE(Table1[[#This Row],[PitStopLaps]],",",""))+1)</f>
        <v>2</v>
      </c>
      <c r="U965">
        <f>Table1[[#This Row],[StartPosition]]-Table1[[#This Row],[FinishPosition]]</f>
        <v>2</v>
      </c>
    </row>
    <row r="966" spans="1:21" x14ac:dyDescent="0.3">
      <c r="A966">
        <v>2020</v>
      </c>
      <c r="B966">
        <v>8</v>
      </c>
      <c r="C966" t="s">
        <v>367</v>
      </c>
      <c r="D966" t="s">
        <v>43</v>
      </c>
      <c r="E966" t="s">
        <v>44</v>
      </c>
      <c r="F966" t="s">
        <v>28</v>
      </c>
      <c r="G966">
        <v>2</v>
      </c>
      <c r="H966">
        <v>5</v>
      </c>
      <c r="I966">
        <v>10</v>
      </c>
      <c r="J966" t="s">
        <v>34</v>
      </c>
      <c r="K966" t="s">
        <v>24</v>
      </c>
      <c r="L966">
        <v>53</v>
      </c>
      <c r="M966">
        <v>83.960999999999999</v>
      </c>
      <c r="N966">
        <v>86.296266000000003</v>
      </c>
      <c r="O966">
        <v>27.552</v>
      </c>
      <c r="P966">
        <v>28.366</v>
      </c>
      <c r="Q966">
        <v>27.649000000000001</v>
      </c>
      <c r="R966" t="s">
        <v>497</v>
      </c>
      <c r="S966" t="s">
        <v>83</v>
      </c>
      <c r="T966">
        <f>IF(TRIM(Table1[[#This Row],[PitStopLaps]])="",0,
LEN(Table1[[#This Row],[PitStopLaps]])-LEN(SUBSTITUTE(Table1[[#This Row],[PitStopLaps]],",",""))+1)</f>
        <v>2</v>
      </c>
      <c r="U966">
        <f>Table1[[#This Row],[StartPosition]]-Table1[[#This Row],[FinishPosition]]</f>
        <v>-3</v>
      </c>
    </row>
    <row r="967" spans="1:21" x14ac:dyDescent="0.3">
      <c r="A967">
        <v>2020</v>
      </c>
      <c r="B967">
        <v>8</v>
      </c>
      <c r="C967" t="s">
        <v>367</v>
      </c>
      <c r="D967" t="s">
        <v>31</v>
      </c>
      <c r="E967" t="s">
        <v>32</v>
      </c>
      <c r="F967" t="s">
        <v>42</v>
      </c>
      <c r="G967">
        <v>7</v>
      </c>
      <c r="H967">
        <v>6</v>
      </c>
      <c r="I967">
        <v>8</v>
      </c>
      <c r="J967" t="s">
        <v>34</v>
      </c>
      <c r="K967" t="s">
        <v>24</v>
      </c>
      <c r="L967">
        <v>53</v>
      </c>
      <c r="M967">
        <v>83.897999999999996</v>
      </c>
      <c r="N967">
        <v>86.214332999999996</v>
      </c>
      <c r="O967">
        <v>27.375</v>
      </c>
      <c r="P967">
        <v>28.318999999999999</v>
      </c>
      <c r="Q967">
        <v>27.981000000000002</v>
      </c>
      <c r="R967" t="s">
        <v>497</v>
      </c>
      <c r="S967" t="s">
        <v>83</v>
      </c>
      <c r="T967">
        <f>IF(TRIM(Table1[[#This Row],[PitStopLaps]])="",0,
LEN(Table1[[#This Row],[PitStopLaps]])-LEN(SUBSTITUTE(Table1[[#This Row],[PitStopLaps]],",",""))+1)</f>
        <v>2</v>
      </c>
      <c r="U967">
        <f>Table1[[#This Row],[StartPosition]]-Table1[[#This Row],[FinishPosition]]</f>
        <v>1</v>
      </c>
    </row>
    <row r="968" spans="1:21" x14ac:dyDescent="0.3">
      <c r="A968">
        <v>2020</v>
      </c>
      <c r="B968">
        <v>8</v>
      </c>
      <c r="C968" t="s">
        <v>367</v>
      </c>
      <c r="D968" t="s">
        <v>26</v>
      </c>
      <c r="E968" t="s">
        <v>27</v>
      </c>
      <c r="F968" t="s">
        <v>28</v>
      </c>
      <c r="G968">
        <v>1</v>
      </c>
      <c r="H968">
        <v>7</v>
      </c>
      <c r="I968">
        <v>7</v>
      </c>
      <c r="J968" t="s">
        <v>34</v>
      </c>
      <c r="K968" t="s">
        <v>24</v>
      </c>
      <c r="L968">
        <v>53</v>
      </c>
      <c r="M968">
        <v>82.745999999999995</v>
      </c>
      <c r="N968">
        <v>84.399906000000001</v>
      </c>
      <c r="O968">
        <v>27.163</v>
      </c>
      <c r="P968">
        <v>27.834</v>
      </c>
      <c r="Q968">
        <v>27.396000000000001</v>
      </c>
      <c r="R968" t="s">
        <v>498</v>
      </c>
      <c r="S968" t="s">
        <v>83</v>
      </c>
      <c r="T968">
        <f>IF(TRIM(Table1[[#This Row],[PitStopLaps]])="",0,
LEN(Table1[[#This Row],[PitStopLaps]])-LEN(SUBSTITUTE(Table1[[#This Row],[PitStopLaps]],",",""))+1)</f>
        <v>3</v>
      </c>
      <c r="U968">
        <f>Table1[[#This Row],[StartPosition]]-Table1[[#This Row],[FinishPosition]]</f>
        <v>-6</v>
      </c>
    </row>
    <row r="969" spans="1:21" x14ac:dyDescent="0.3">
      <c r="A969">
        <v>2020</v>
      </c>
      <c r="B969">
        <v>8</v>
      </c>
      <c r="C969" t="s">
        <v>367</v>
      </c>
      <c r="D969" t="s">
        <v>52</v>
      </c>
      <c r="E969" t="s">
        <v>53</v>
      </c>
      <c r="F969" t="s">
        <v>42</v>
      </c>
      <c r="G969">
        <v>12</v>
      </c>
      <c r="H969">
        <v>8</v>
      </c>
      <c r="I969">
        <v>4</v>
      </c>
      <c r="J969" t="s">
        <v>34</v>
      </c>
      <c r="K969" t="s">
        <v>24</v>
      </c>
      <c r="L969">
        <v>53</v>
      </c>
      <c r="M969">
        <v>84.49</v>
      </c>
      <c r="N969">
        <v>86.402908999999994</v>
      </c>
      <c r="O969">
        <v>27.619</v>
      </c>
      <c r="P969">
        <v>28.492000000000001</v>
      </c>
      <c r="Q969">
        <v>27.85</v>
      </c>
      <c r="R969" t="s">
        <v>497</v>
      </c>
      <c r="S969" t="s">
        <v>83</v>
      </c>
      <c r="T969">
        <f>IF(TRIM(Table1[[#This Row],[PitStopLaps]])="",0,
LEN(Table1[[#This Row],[PitStopLaps]])-LEN(SUBSTITUTE(Table1[[#This Row],[PitStopLaps]],",",""))+1)</f>
        <v>2</v>
      </c>
      <c r="U969">
        <f>Table1[[#This Row],[StartPosition]]-Table1[[#This Row],[FinishPosition]]</f>
        <v>4</v>
      </c>
    </row>
    <row r="970" spans="1:21" x14ac:dyDescent="0.3">
      <c r="A970">
        <v>2020</v>
      </c>
      <c r="B970">
        <v>8</v>
      </c>
      <c r="C970" t="s">
        <v>367</v>
      </c>
      <c r="D970" t="s">
        <v>244</v>
      </c>
      <c r="E970" t="s">
        <v>245</v>
      </c>
      <c r="F970" t="s">
        <v>438</v>
      </c>
      <c r="G970">
        <v>11</v>
      </c>
      <c r="H970">
        <v>9</v>
      </c>
      <c r="I970">
        <v>2</v>
      </c>
      <c r="J970" t="s">
        <v>34</v>
      </c>
      <c r="K970" t="s">
        <v>24</v>
      </c>
      <c r="L970">
        <v>53</v>
      </c>
      <c r="M970">
        <v>84.478999999999999</v>
      </c>
      <c r="N970">
        <v>86.499771999999993</v>
      </c>
      <c r="O970">
        <v>27.49</v>
      </c>
      <c r="P970">
        <v>28.597999999999999</v>
      </c>
      <c r="Q970">
        <v>27.931999999999999</v>
      </c>
      <c r="R970" t="s">
        <v>497</v>
      </c>
      <c r="S970" t="s">
        <v>83</v>
      </c>
      <c r="T970">
        <f>IF(TRIM(Table1[[#This Row],[PitStopLaps]])="",0,
LEN(Table1[[#This Row],[PitStopLaps]])-LEN(SUBSTITUTE(Table1[[#This Row],[PitStopLaps]],",",""))+1)</f>
        <v>2</v>
      </c>
      <c r="U970">
        <f>Table1[[#This Row],[StartPosition]]-Table1[[#This Row],[FinishPosition]]</f>
        <v>2</v>
      </c>
    </row>
    <row r="971" spans="1:21" x14ac:dyDescent="0.3">
      <c r="A971">
        <v>2020</v>
      </c>
      <c r="B971">
        <v>8</v>
      </c>
      <c r="C971" t="s">
        <v>367</v>
      </c>
      <c r="D971" t="s">
        <v>49</v>
      </c>
      <c r="E971" t="s">
        <v>50</v>
      </c>
      <c r="F971" t="s">
        <v>192</v>
      </c>
      <c r="G971">
        <v>4</v>
      </c>
      <c r="H971">
        <v>10</v>
      </c>
      <c r="I971">
        <v>1</v>
      </c>
      <c r="J971" t="s">
        <v>34</v>
      </c>
      <c r="K971" t="s">
        <v>24</v>
      </c>
      <c r="L971">
        <v>53</v>
      </c>
      <c r="M971">
        <v>84.335999999999999</v>
      </c>
      <c r="N971">
        <v>86.316477000000006</v>
      </c>
      <c r="O971">
        <v>27.483000000000001</v>
      </c>
      <c r="P971">
        <v>28.568999999999999</v>
      </c>
      <c r="Q971">
        <v>27.952999999999999</v>
      </c>
      <c r="R971" t="s">
        <v>497</v>
      </c>
      <c r="S971" t="s">
        <v>83</v>
      </c>
      <c r="T971">
        <f>IF(TRIM(Table1[[#This Row],[PitStopLaps]])="",0,
LEN(Table1[[#This Row],[PitStopLaps]])-LEN(SUBSTITUTE(Table1[[#This Row],[PitStopLaps]],",",""))+1)</f>
        <v>2</v>
      </c>
      <c r="U971">
        <f>Table1[[#This Row],[StartPosition]]-Table1[[#This Row],[FinishPosition]]</f>
        <v>-6</v>
      </c>
    </row>
    <row r="972" spans="1:21" x14ac:dyDescent="0.3">
      <c r="A972">
        <v>2020</v>
      </c>
      <c r="B972">
        <v>8</v>
      </c>
      <c r="C972" t="s">
        <v>367</v>
      </c>
      <c r="D972" t="s">
        <v>440</v>
      </c>
      <c r="E972" t="s">
        <v>441</v>
      </c>
      <c r="F972" t="s">
        <v>60</v>
      </c>
      <c r="G972">
        <v>20</v>
      </c>
      <c r="H972">
        <v>11</v>
      </c>
      <c r="I972">
        <v>0</v>
      </c>
      <c r="J972" t="s">
        <v>34</v>
      </c>
      <c r="K972" t="s">
        <v>24</v>
      </c>
      <c r="L972">
        <v>53</v>
      </c>
      <c r="M972">
        <v>84.998999999999995</v>
      </c>
      <c r="N972">
        <v>87.264380000000003</v>
      </c>
      <c r="O972">
        <v>27.928000000000001</v>
      </c>
      <c r="P972">
        <v>28.652000000000001</v>
      </c>
      <c r="Q972">
        <v>28.062000000000001</v>
      </c>
      <c r="R972" t="s">
        <v>90</v>
      </c>
      <c r="S972" t="s">
        <v>83</v>
      </c>
      <c r="T972">
        <f>IF(TRIM(Table1[[#This Row],[PitStopLaps]])="",0,
LEN(Table1[[#This Row],[PitStopLaps]])-LEN(SUBSTITUTE(Table1[[#This Row],[PitStopLaps]],",",""))+1)</f>
        <v>2</v>
      </c>
      <c r="U972">
        <f>Table1[[#This Row],[StartPosition]]-Table1[[#This Row],[FinishPosition]]</f>
        <v>9</v>
      </c>
    </row>
    <row r="973" spans="1:21" x14ac:dyDescent="0.3">
      <c r="A973">
        <v>2020</v>
      </c>
      <c r="B973">
        <v>8</v>
      </c>
      <c r="C973" t="s">
        <v>367</v>
      </c>
      <c r="D973" t="s">
        <v>67</v>
      </c>
      <c r="E973" t="s">
        <v>68</v>
      </c>
      <c r="F973" t="s">
        <v>69</v>
      </c>
      <c r="G973">
        <v>16</v>
      </c>
      <c r="H973">
        <v>12</v>
      </c>
      <c r="I973">
        <v>0</v>
      </c>
      <c r="J973" t="s">
        <v>34</v>
      </c>
      <c r="K973" t="s">
        <v>24</v>
      </c>
      <c r="L973">
        <v>53</v>
      </c>
      <c r="M973">
        <v>84.784999999999997</v>
      </c>
      <c r="N973">
        <v>86.827340000000007</v>
      </c>
      <c r="O973">
        <v>27.791</v>
      </c>
      <c r="P973">
        <v>28.696999999999999</v>
      </c>
      <c r="Q973">
        <v>28.218</v>
      </c>
      <c r="R973" t="s">
        <v>497</v>
      </c>
      <c r="S973" t="s">
        <v>83</v>
      </c>
      <c r="T973">
        <f>IF(TRIM(Table1[[#This Row],[PitStopLaps]])="",0,
LEN(Table1[[#This Row],[PitStopLaps]])-LEN(SUBSTITUTE(Table1[[#This Row],[PitStopLaps]],",",""))+1)</f>
        <v>2</v>
      </c>
      <c r="U973">
        <f>Table1[[#This Row],[StartPosition]]-Table1[[#This Row],[FinishPosition]]</f>
        <v>4</v>
      </c>
    </row>
    <row r="974" spans="1:21" x14ac:dyDescent="0.3">
      <c r="A974">
        <v>2020</v>
      </c>
      <c r="B974">
        <v>8</v>
      </c>
      <c r="C974" t="s">
        <v>367</v>
      </c>
      <c r="D974" t="s">
        <v>29</v>
      </c>
      <c r="E974" t="s">
        <v>30</v>
      </c>
      <c r="F974" t="s">
        <v>243</v>
      </c>
      <c r="G974">
        <v>14</v>
      </c>
      <c r="H974">
        <v>13</v>
      </c>
      <c r="I974">
        <v>0</v>
      </c>
      <c r="J974" t="s">
        <v>34</v>
      </c>
      <c r="K974" t="s">
        <v>24</v>
      </c>
      <c r="L974">
        <v>53</v>
      </c>
      <c r="M974">
        <v>84.834999999999994</v>
      </c>
      <c r="N974">
        <v>87.328348000000005</v>
      </c>
      <c r="O974">
        <v>27.824999999999999</v>
      </c>
      <c r="P974">
        <v>28.725000000000001</v>
      </c>
      <c r="Q974">
        <v>28.015999999999998</v>
      </c>
      <c r="R974" t="s">
        <v>499</v>
      </c>
      <c r="S974" t="s">
        <v>83</v>
      </c>
      <c r="T974">
        <f>IF(TRIM(Table1[[#This Row],[PitStopLaps]])="",0,
LEN(Table1[[#This Row],[PitStopLaps]])-LEN(SUBSTITUTE(Table1[[#This Row],[PitStopLaps]],",",""))+1)</f>
        <v>2</v>
      </c>
      <c r="U974">
        <f>Table1[[#This Row],[StartPosition]]-Table1[[#This Row],[FinishPosition]]</f>
        <v>1</v>
      </c>
    </row>
    <row r="975" spans="1:21" x14ac:dyDescent="0.3">
      <c r="A975">
        <v>2020</v>
      </c>
      <c r="B975">
        <v>8</v>
      </c>
      <c r="C975" t="s">
        <v>367</v>
      </c>
      <c r="D975" t="s">
        <v>252</v>
      </c>
      <c r="E975" t="s">
        <v>253</v>
      </c>
      <c r="F975" t="s">
        <v>60</v>
      </c>
      <c r="G975">
        <v>19</v>
      </c>
      <c r="H975">
        <v>14</v>
      </c>
      <c r="I975">
        <v>0</v>
      </c>
      <c r="J975" t="s">
        <v>34</v>
      </c>
      <c r="K975" t="s">
        <v>24</v>
      </c>
      <c r="L975">
        <v>53</v>
      </c>
      <c r="M975">
        <v>84.421000000000006</v>
      </c>
      <c r="N975">
        <v>86.946954000000005</v>
      </c>
      <c r="O975">
        <v>27.890999999999998</v>
      </c>
      <c r="P975">
        <v>28.635000000000002</v>
      </c>
      <c r="Q975">
        <v>27.826000000000001</v>
      </c>
      <c r="R975" t="s">
        <v>497</v>
      </c>
      <c r="S975" t="s">
        <v>83</v>
      </c>
      <c r="T975">
        <f>IF(TRIM(Table1[[#This Row],[PitStopLaps]])="",0,
LEN(Table1[[#This Row],[PitStopLaps]])-LEN(SUBSTITUTE(Table1[[#This Row],[PitStopLaps]],",",""))+1)</f>
        <v>2</v>
      </c>
      <c r="U975">
        <f>Table1[[#This Row],[StartPosition]]-Table1[[#This Row],[FinishPosition]]</f>
        <v>5</v>
      </c>
    </row>
    <row r="976" spans="1:21" x14ac:dyDescent="0.3">
      <c r="A976">
        <v>2020</v>
      </c>
      <c r="B976">
        <v>8</v>
      </c>
      <c r="C976" t="s">
        <v>367</v>
      </c>
      <c r="D976" t="s">
        <v>248</v>
      </c>
      <c r="E976" t="s">
        <v>249</v>
      </c>
      <c r="F976" t="s">
        <v>33</v>
      </c>
      <c r="G976">
        <v>9</v>
      </c>
      <c r="H976">
        <v>15</v>
      </c>
      <c r="I976">
        <v>0</v>
      </c>
      <c r="J976" t="s">
        <v>34</v>
      </c>
      <c r="K976" t="s">
        <v>24</v>
      </c>
      <c r="L976">
        <v>53</v>
      </c>
      <c r="M976">
        <v>84.888000000000005</v>
      </c>
      <c r="N976">
        <v>86.792771999999999</v>
      </c>
      <c r="O976">
        <v>27.515999999999998</v>
      </c>
      <c r="P976">
        <v>28.757000000000001</v>
      </c>
      <c r="Q976">
        <v>28.119</v>
      </c>
      <c r="R976" t="s">
        <v>497</v>
      </c>
      <c r="S976" t="s">
        <v>83</v>
      </c>
      <c r="T976">
        <f>IF(TRIM(Table1[[#This Row],[PitStopLaps]])="",0,
LEN(Table1[[#This Row],[PitStopLaps]])-LEN(SUBSTITUTE(Table1[[#This Row],[PitStopLaps]],",",""))+1)</f>
        <v>2</v>
      </c>
      <c r="U976">
        <f>Table1[[#This Row],[StartPosition]]-Table1[[#This Row],[FinishPosition]]</f>
        <v>-6</v>
      </c>
    </row>
    <row r="977" spans="1:21" x14ac:dyDescent="0.3">
      <c r="A977">
        <v>2020</v>
      </c>
      <c r="B977">
        <v>8</v>
      </c>
      <c r="C977" t="s">
        <v>367</v>
      </c>
      <c r="D977" t="s">
        <v>250</v>
      </c>
      <c r="E977" t="s">
        <v>251</v>
      </c>
      <c r="F977" t="s">
        <v>243</v>
      </c>
      <c r="G977">
        <v>18</v>
      </c>
      <c r="H977">
        <v>16</v>
      </c>
      <c r="I977">
        <v>0</v>
      </c>
      <c r="J977" t="s">
        <v>34</v>
      </c>
      <c r="K977" t="s">
        <v>24</v>
      </c>
      <c r="L977">
        <v>53</v>
      </c>
      <c r="M977">
        <v>84.855999999999995</v>
      </c>
      <c r="N977">
        <v>86.040594999999996</v>
      </c>
      <c r="O977">
        <v>27.945</v>
      </c>
      <c r="P977">
        <v>28.402999999999999</v>
      </c>
      <c r="Q977">
        <v>28.385000000000002</v>
      </c>
      <c r="R977" t="s">
        <v>500</v>
      </c>
      <c r="S977" t="s">
        <v>83</v>
      </c>
      <c r="T977">
        <f>IF(TRIM(Table1[[#This Row],[PitStopLaps]])="",0,
LEN(Table1[[#This Row],[PitStopLaps]])-LEN(SUBSTITUTE(Table1[[#This Row],[PitStopLaps]],",",""))+1)</f>
        <v>3</v>
      </c>
      <c r="U977">
        <f>Table1[[#This Row],[StartPosition]]-Table1[[#This Row],[FinishPosition]]</f>
        <v>2</v>
      </c>
    </row>
    <row r="978" spans="1:21" x14ac:dyDescent="0.3">
      <c r="A978">
        <v>2020</v>
      </c>
      <c r="B978">
        <v>8</v>
      </c>
      <c r="C978" t="s">
        <v>367</v>
      </c>
      <c r="D978" t="s">
        <v>38</v>
      </c>
      <c r="E978" t="s">
        <v>39</v>
      </c>
      <c r="F978" t="s">
        <v>33</v>
      </c>
      <c r="G978">
        <v>5</v>
      </c>
      <c r="H978">
        <v>17</v>
      </c>
      <c r="I978">
        <v>0</v>
      </c>
      <c r="J978" t="s">
        <v>34</v>
      </c>
      <c r="K978" t="s">
        <v>167</v>
      </c>
      <c r="L978">
        <v>30</v>
      </c>
      <c r="M978">
        <v>85.539000000000001</v>
      </c>
      <c r="N978">
        <v>88.243285</v>
      </c>
      <c r="O978">
        <v>27.614000000000001</v>
      </c>
      <c r="P978">
        <v>29.21</v>
      </c>
      <c r="Q978">
        <v>28.317</v>
      </c>
      <c r="R978" t="s">
        <v>501</v>
      </c>
      <c r="S978" t="s">
        <v>83</v>
      </c>
      <c r="T978">
        <f>IF(TRIM(Table1[[#This Row],[PitStopLaps]])="",0,
LEN(Table1[[#This Row],[PitStopLaps]])-LEN(SUBSTITUTE(Table1[[#This Row],[PitStopLaps]],",",""))+1)</f>
        <v>3</v>
      </c>
      <c r="U978">
        <f>Table1[[#This Row],[StartPosition]]-Table1[[#This Row],[FinishPosition]]</f>
        <v>-12</v>
      </c>
    </row>
    <row r="979" spans="1:21" x14ac:dyDescent="0.3">
      <c r="A979">
        <v>2020</v>
      </c>
      <c r="B979">
        <v>8</v>
      </c>
      <c r="C979" t="s">
        <v>367</v>
      </c>
      <c r="D979" t="s">
        <v>54</v>
      </c>
      <c r="E979" t="s">
        <v>55</v>
      </c>
      <c r="F979" t="s">
        <v>22</v>
      </c>
      <c r="G979">
        <v>13</v>
      </c>
      <c r="H979">
        <v>18</v>
      </c>
      <c r="I979">
        <v>0</v>
      </c>
      <c r="J979" t="s">
        <v>34</v>
      </c>
      <c r="K979" t="s">
        <v>123</v>
      </c>
      <c r="L979">
        <v>24</v>
      </c>
      <c r="M979">
        <v>86.025999999999996</v>
      </c>
      <c r="N979">
        <v>86.645937000000004</v>
      </c>
      <c r="O979">
        <v>28.077999999999999</v>
      </c>
      <c r="P979">
        <v>28.95</v>
      </c>
      <c r="Q979">
        <v>28.83</v>
      </c>
      <c r="R979" t="s">
        <v>502</v>
      </c>
      <c r="S979" t="s">
        <v>83</v>
      </c>
      <c r="T979">
        <f>IF(TRIM(Table1[[#This Row],[PitStopLaps]])="",0,
LEN(Table1[[#This Row],[PitStopLaps]])-LEN(SUBSTITUTE(Table1[[#This Row],[PitStopLaps]],",",""))+1)</f>
        <v>2</v>
      </c>
      <c r="U979">
        <f>Table1[[#This Row],[StartPosition]]-Table1[[#This Row],[FinishPosition]]</f>
        <v>-5</v>
      </c>
    </row>
    <row r="980" spans="1:21" x14ac:dyDescent="0.3">
      <c r="A980">
        <v>2020</v>
      </c>
      <c r="B980">
        <v>8</v>
      </c>
      <c r="C980" t="s">
        <v>367</v>
      </c>
      <c r="D980" t="s">
        <v>71</v>
      </c>
      <c r="E980" t="s">
        <v>72</v>
      </c>
      <c r="F980" t="s">
        <v>69</v>
      </c>
      <c r="G980">
        <v>15</v>
      </c>
      <c r="H980">
        <v>19</v>
      </c>
      <c r="I980">
        <v>0</v>
      </c>
      <c r="J980" t="s">
        <v>34</v>
      </c>
      <c r="K980" t="s">
        <v>167</v>
      </c>
      <c r="L980">
        <v>18</v>
      </c>
      <c r="M980">
        <v>85.787000000000006</v>
      </c>
      <c r="N980">
        <v>86.206333000000001</v>
      </c>
      <c r="O980">
        <v>28.262</v>
      </c>
      <c r="P980">
        <v>28.821999999999999</v>
      </c>
      <c r="Q980">
        <v>28.637</v>
      </c>
      <c r="R980" t="s">
        <v>459</v>
      </c>
      <c r="S980" t="s">
        <v>83</v>
      </c>
      <c r="T980">
        <f>IF(TRIM(Table1[[#This Row],[PitStopLaps]])="",0,
LEN(Table1[[#This Row],[PitStopLaps]])-LEN(SUBSTITUTE(Table1[[#This Row],[PitStopLaps]],",",""))+1)</f>
        <v>2</v>
      </c>
      <c r="U980">
        <f>Table1[[#This Row],[StartPosition]]-Table1[[#This Row],[FinishPosition]]</f>
        <v>-4</v>
      </c>
    </row>
    <row r="981" spans="1:21" x14ac:dyDescent="0.3">
      <c r="A981">
        <v>2020</v>
      </c>
      <c r="B981">
        <v>8</v>
      </c>
      <c r="C981" t="s">
        <v>367</v>
      </c>
      <c r="D981" t="s">
        <v>20</v>
      </c>
      <c r="E981" t="s">
        <v>21</v>
      </c>
      <c r="F981" t="s">
        <v>22</v>
      </c>
      <c r="G981">
        <v>17</v>
      </c>
      <c r="H981">
        <v>20</v>
      </c>
      <c r="I981">
        <v>0</v>
      </c>
      <c r="J981" t="s">
        <v>34</v>
      </c>
      <c r="K981" t="s">
        <v>81</v>
      </c>
      <c r="L981">
        <v>6</v>
      </c>
      <c r="M981">
        <v>87.106999999999999</v>
      </c>
      <c r="N981">
        <v>87.751499999999993</v>
      </c>
      <c r="O981">
        <v>28.189</v>
      </c>
      <c r="P981">
        <v>29.581</v>
      </c>
      <c r="Q981">
        <v>29.195</v>
      </c>
      <c r="R981">
        <v>6</v>
      </c>
      <c r="S981" t="s">
        <v>83</v>
      </c>
      <c r="T981">
        <f>IF(TRIM(Table1[[#This Row],[PitStopLaps]])="",0,
LEN(Table1[[#This Row],[PitStopLaps]])-LEN(SUBSTITUTE(Table1[[#This Row],[PitStopLaps]],",",""))+1)</f>
        <v>1</v>
      </c>
      <c r="U981">
        <f>Table1[[#This Row],[StartPosition]]-Table1[[#This Row],[FinishPosition]]</f>
        <v>-3</v>
      </c>
    </row>
    <row r="982" spans="1:21" x14ac:dyDescent="0.3">
      <c r="A982">
        <v>2020</v>
      </c>
      <c r="B982">
        <v>9</v>
      </c>
      <c r="C982" t="s">
        <v>503</v>
      </c>
      <c r="D982" t="s">
        <v>26</v>
      </c>
      <c r="E982" t="s">
        <v>27</v>
      </c>
      <c r="F982" t="s">
        <v>28</v>
      </c>
      <c r="G982">
        <v>1</v>
      </c>
      <c r="H982">
        <v>1</v>
      </c>
      <c r="I982">
        <v>26</v>
      </c>
      <c r="J982" t="s">
        <v>23</v>
      </c>
      <c r="K982" t="s">
        <v>24</v>
      </c>
      <c r="L982">
        <v>59</v>
      </c>
      <c r="M982">
        <v>78.832999999999998</v>
      </c>
      <c r="N982">
        <v>82.182522000000006</v>
      </c>
      <c r="O982">
        <v>28.718</v>
      </c>
      <c r="P982">
        <v>21.555</v>
      </c>
      <c r="Q982">
        <v>28.56</v>
      </c>
      <c r="R982" t="s">
        <v>504</v>
      </c>
      <c r="S982" t="s">
        <v>83</v>
      </c>
      <c r="T982">
        <f>IF(TRIM(Table1[[#This Row],[PitStopLaps]])="",0,
LEN(Table1[[#This Row],[PitStopLaps]])-LEN(SUBSTITUTE(Table1[[#This Row],[PitStopLaps]],",",""))+1)</f>
        <v>5</v>
      </c>
      <c r="U982">
        <f>Table1[[#This Row],[StartPosition]]-Table1[[#This Row],[FinishPosition]]</f>
        <v>0</v>
      </c>
    </row>
    <row r="983" spans="1:21" x14ac:dyDescent="0.3">
      <c r="A983">
        <v>2020</v>
      </c>
      <c r="B983">
        <v>9</v>
      </c>
      <c r="C983" t="s">
        <v>503</v>
      </c>
      <c r="D983" t="s">
        <v>43</v>
      </c>
      <c r="E983" t="s">
        <v>44</v>
      </c>
      <c r="F983" t="s">
        <v>28</v>
      </c>
      <c r="G983">
        <v>2</v>
      </c>
      <c r="H983">
        <v>2</v>
      </c>
      <c r="I983">
        <v>18</v>
      </c>
      <c r="J983" t="s">
        <v>23</v>
      </c>
      <c r="K983" t="s">
        <v>24</v>
      </c>
      <c r="L983">
        <v>59</v>
      </c>
      <c r="M983">
        <v>79.432000000000002</v>
      </c>
      <c r="N983">
        <v>82.367818</v>
      </c>
      <c r="O983">
        <v>29.004000000000001</v>
      </c>
      <c r="P983">
        <v>21.741</v>
      </c>
      <c r="Q983">
        <v>28.637</v>
      </c>
      <c r="R983" t="s">
        <v>505</v>
      </c>
      <c r="S983" t="s">
        <v>83</v>
      </c>
      <c r="T983">
        <f>IF(TRIM(Table1[[#This Row],[PitStopLaps]])="",0,
LEN(Table1[[#This Row],[PitStopLaps]])-LEN(SUBSTITUTE(Table1[[#This Row],[PitStopLaps]],",",""))+1)</f>
        <v>5</v>
      </c>
      <c r="U983">
        <f>Table1[[#This Row],[StartPosition]]-Table1[[#This Row],[FinishPosition]]</f>
        <v>0</v>
      </c>
    </row>
    <row r="984" spans="1:21" x14ac:dyDescent="0.3">
      <c r="A984">
        <v>2020</v>
      </c>
      <c r="B984">
        <v>9</v>
      </c>
      <c r="C984" t="s">
        <v>503</v>
      </c>
      <c r="D984" t="s">
        <v>248</v>
      </c>
      <c r="E984" t="s">
        <v>249</v>
      </c>
      <c r="F984" t="s">
        <v>33</v>
      </c>
      <c r="G984">
        <v>4</v>
      </c>
      <c r="H984">
        <v>3</v>
      </c>
      <c r="I984">
        <v>15</v>
      </c>
      <c r="J984" t="s">
        <v>23</v>
      </c>
      <c r="K984" t="s">
        <v>24</v>
      </c>
      <c r="L984">
        <v>59</v>
      </c>
      <c r="M984">
        <v>80.039000000000001</v>
      </c>
      <c r="N984">
        <v>82.890726999999998</v>
      </c>
      <c r="O984">
        <v>29.003</v>
      </c>
      <c r="P984">
        <v>22.061</v>
      </c>
      <c r="Q984">
        <v>28.529</v>
      </c>
      <c r="R984" t="s">
        <v>506</v>
      </c>
      <c r="S984" t="s">
        <v>83</v>
      </c>
      <c r="T984">
        <f>IF(TRIM(Table1[[#This Row],[PitStopLaps]])="",0,
LEN(Table1[[#This Row],[PitStopLaps]])-LEN(SUBSTITUTE(Table1[[#This Row],[PitStopLaps]],",",""))+1)</f>
        <v>5</v>
      </c>
      <c r="U984">
        <f>Table1[[#This Row],[StartPosition]]-Table1[[#This Row],[FinishPosition]]</f>
        <v>1</v>
      </c>
    </row>
    <row r="985" spans="1:21" x14ac:dyDescent="0.3">
      <c r="A985">
        <v>2020</v>
      </c>
      <c r="B985">
        <v>9</v>
      </c>
      <c r="C985" t="s">
        <v>503</v>
      </c>
      <c r="D985" t="s">
        <v>31</v>
      </c>
      <c r="E985" t="s">
        <v>32</v>
      </c>
      <c r="F985" t="s">
        <v>42</v>
      </c>
      <c r="G985">
        <v>8</v>
      </c>
      <c r="H985">
        <v>4</v>
      </c>
      <c r="I985">
        <v>12</v>
      </c>
      <c r="J985" t="s">
        <v>34</v>
      </c>
      <c r="K985" t="s">
        <v>24</v>
      </c>
      <c r="L985">
        <v>59</v>
      </c>
      <c r="M985">
        <v>80.426000000000002</v>
      </c>
      <c r="N985">
        <v>82.944453999999993</v>
      </c>
      <c r="O985">
        <v>29.396999999999998</v>
      </c>
      <c r="P985">
        <v>22.058</v>
      </c>
      <c r="Q985">
        <v>28.777000000000001</v>
      </c>
      <c r="R985" t="s">
        <v>507</v>
      </c>
      <c r="S985" t="s">
        <v>83</v>
      </c>
      <c r="T985">
        <f>IF(TRIM(Table1[[#This Row],[PitStopLaps]])="",0,
LEN(Table1[[#This Row],[PitStopLaps]])-LEN(SUBSTITUTE(Table1[[#This Row],[PitStopLaps]],",",""))+1)</f>
        <v>5</v>
      </c>
      <c r="U985">
        <f>Table1[[#This Row],[StartPosition]]-Table1[[#This Row],[FinishPosition]]</f>
        <v>4</v>
      </c>
    </row>
    <row r="986" spans="1:21" x14ac:dyDescent="0.3">
      <c r="A986">
        <v>2020</v>
      </c>
      <c r="B986">
        <v>9</v>
      </c>
      <c r="C986" t="s">
        <v>503</v>
      </c>
      <c r="D986" t="s">
        <v>49</v>
      </c>
      <c r="E986" t="s">
        <v>50</v>
      </c>
      <c r="F986" t="s">
        <v>192</v>
      </c>
      <c r="G986">
        <v>7</v>
      </c>
      <c r="H986">
        <v>5</v>
      </c>
      <c r="I986">
        <v>10</v>
      </c>
      <c r="J986" t="s">
        <v>34</v>
      </c>
      <c r="K986" t="s">
        <v>24</v>
      </c>
      <c r="L986">
        <v>59</v>
      </c>
      <c r="M986">
        <v>80.632000000000005</v>
      </c>
      <c r="N986">
        <v>83.310045000000002</v>
      </c>
      <c r="O986">
        <v>29.443000000000001</v>
      </c>
      <c r="P986">
        <v>22.172999999999998</v>
      </c>
      <c r="Q986">
        <v>28.728000000000002</v>
      </c>
      <c r="R986" t="s">
        <v>508</v>
      </c>
      <c r="S986" t="s">
        <v>83</v>
      </c>
      <c r="T986">
        <f>IF(TRIM(Table1[[#This Row],[PitStopLaps]])="",0,
LEN(Table1[[#This Row],[PitStopLaps]])-LEN(SUBSTITUTE(Table1[[#This Row],[PitStopLaps]],",",""))+1)</f>
        <v>5</v>
      </c>
      <c r="U986">
        <f>Table1[[#This Row],[StartPosition]]-Table1[[#This Row],[FinishPosition]]</f>
        <v>2</v>
      </c>
    </row>
    <row r="987" spans="1:21" x14ac:dyDescent="0.3">
      <c r="A987">
        <v>2020</v>
      </c>
      <c r="B987">
        <v>9</v>
      </c>
      <c r="C987" t="s">
        <v>503</v>
      </c>
      <c r="D987" t="s">
        <v>246</v>
      </c>
      <c r="E987" t="s">
        <v>247</v>
      </c>
      <c r="F987" t="s">
        <v>37</v>
      </c>
      <c r="G987">
        <v>11</v>
      </c>
      <c r="H987">
        <v>6</v>
      </c>
      <c r="I987">
        <v>8</v>
      </c>
      <c r="J987" t="s">
        <v>34</v>
      </c>
      <c r="K987" t="s">
        <v>24</v>
      </c>
      <c r="L987">
        <v>59</v>
      </c>
      <c r="M987">
        <v>81.197999999999993</v>
      </c>
      <c r="N987">
        <v>83.423317999999995</v>
      </c>
      <c r="O987">
        <v>30.013999999999999</v>
      </c>
      <c r="P987">
        <v>21.974</v>
      </c>
      <c r="Q987">
        <v>29.052</v>
      </c>
      <c r="R987" t="s">
        <v>509</v>
      </c>
      <c r="S987" t="s">
        <v>83</v>
      </c>
      <c r="T987">
        <f>IF(TRIM(Table1[[#This Row],[PitStopLaps]])="",0,
LEN(Table1[[#This Row],[PitStopLaps]])-LEN(SUBSTITUTE(Table1[[#This Row],[PitStopLaps]],",",""))+1)</f>
        <v>5</v>
      </c>
      <c r="U987">
        <f>Table1[[#This Row],[StartPosition]]-Table1[[#This Row],[FinishPosition]]</f>
        <v>5</v>
      </c>
    </row>
    <row r="988" spans="1:21" x14ac:dyDescent="0.3">
      <c r="A988">
        <v>2020</v>
      </c>
      <c r="B988">
        <v>9</v>
      </c>
      <c r="C988" t="s">
        <v>503</v>
      </c>
      <c r="D988" t="s">
        <v>244</v>
      </c>
      <c r="E988" t="s">
        <v>245</v>
      </c>
      <c r="F988" t="s">
        <v>438</v>
      </c>
      <c r="G988">
        <v>12</v>
      </c>
      <c r="H988">
        <v>7</v>
      </c>
      <c r="I988">
        <v>6</v>
      </c>
      <c r="J988" t="s">
        <v>34</v>
      </c>
      <c r="K988" t="s">
        <v>24</v>
      </c>
      <c r="L988">
        <v>59</v>
      </c>
      <c r="M988">
        <v>81.457999999999998</v>
      </c>
      <c r="N988">
        <v>83.721953999999997</v>
      </c>
      <c r="O988">
        <v>29.808</v>
      </c>
      <c r="P988">
        <v>22.256</v>
      </c>
      <c r="Q988">
        <v>28.995000000000001</v>
      </c>
      <c r="R988" t="s">
        <v>509</v>
      </c>
      <c r="S988" t="s">
        <v>83</v>
      </c>
      <c r="T988">
        <f>IF(TRIM(Table1[[#This Row],[PitStopLaps]])="",0,
LEN(Table1[[#This Row],[PitStopLaps]])-LEN(SUBSTITUTE(Table1[[#This Row],[PitStopLaps]],",",""))+1)</f>
        <v>5</v>
      </c>
      <c r="U988">
        <f>Table1[[#This Row],[StartPosition]]-Table1[[#This Row],[FinishPosition]]</f>
        <v>5</v>
      </c>
    </row>
    <row r="989" spans="1:21" x14ac:dyDescent="0.3">
      <c r="A989">
        <v>2020</v>
      </c>
      <c r="B989">
        <v>9</v>
      </c>
      <c r="C989" t="s">
        <v>503</v>
      </c>
      <c r="D989" t="s">
        <v>54</v>
      </c>
      <c r="E989" t="s">
        <v>55</v>
      </c>
      <c r="F989" t="s">
        <v>22</v>
      </c>
      <c r="G989">
        <v>5</v>
      </c>
      <c r="H989">
        <v>8</v>
      </c>
      <c r="I989">
        <v>4</v>
      </c>
      <c r="J989" t="s">
        <v>34</v>
      </c>
      <c r="K989" t="s">
        <v>24</v>
      </c>
      <c r="L989">
        <v>59</v>
      </c>
      <c r="M989">
        <v>81.228999999999999</v>
      </c>
      <c r="N989">
        <v>83.770976000000005</v>
      </c>
      <c r="O989">
        <v>29.623999999999999</v>
      </c>
      <c r="P989">
        <v>22.059000000000001</v>
      </c>
      <c r="Q989">
        <v>29.167999999999999</v>
      </c>
      <c r="R989" t="s">
        <v>510</v>
      </c>
      <c r="S989" t="s">
        <v>83</v>
      </c>
      <c r="T989">
        <f>IF(TRIM(Table1[[#This Row],[PitStopLaps]])="",0,
LEN(Table1[[#This Row],[PitStopLaps]])-LEN(SUBSTITUTE(Table1[[#This Row],[PitStopLaps]],",",""))+1)</f>
        <v>5</v>
      </c>
      <c r="U989">
        <f>Table1[[#This Row],[StartPosition]]-Table1[[#This Row],[FinishPosition]]</f>
        <v>-3</v>
      </c>
    </row>
    <row r="990" spans="1:21" x14ac:dyDescent="0.3">
      <c r="A990">
        <v>2020</v>
      </c>
      <c r="B990">
        <v>9</v>
      </c>
      <c r="C990" t="s">
        <v>503</v>
      </c>
      <c r="D990" t="s">
        <v>29</v>
      </c>
      <c r="E990" t="s">
        <v>30</v>
      </c>
      <c r="F990" t="s">
        <v>243</v>
      </c>
      <c r="G990">
        <v>13</v>
      </c>
      <c r="H990">
        <v>9</v>
      </c>
      <c r="I990">
        <v>2</v>
      </c>
      <c r="J990" t="s">
        <v>34</v>
      </c>
      <c r="K990" t="s">
        <v>24</v>
      </c>
      <c r="L990">
        <v>59</v>
      </c>
      <c r="M990">
        <v>81.164000000000001</v>
      </c>
      <c r="N990">
        <v>84.193093000000005</v>
      </c>
      <c r="O990">
        <v>29.608000000000001</v>
      </c>
      <c r="P990">
        <v>22.186</v>
      </c>
      <c r="Q990">
        <v>29.228000000000002</v>
      </c>
      <c r="R990" t="s">
        <v>511</v>
      </c>
      <c r="S990" t="s">
        <v>83</v>
      </c>
      <c r="T990">
        <f>IF(TRIM(Table1[[#This Row],[PitStopLaps]])="",0,
LEN(Table1[[#This Row],[PitStopLaps]])-LEN(SUBSTITUTE(Table1[[#This Row],[PitStopLaps]],",",""))+1)</f>
        <v>6</v>
      </c>
      <c r="U990">
        <f>Table1[[#This Row],[StartPosition]]-Table1[[#This Row],[FinishPosition]]</f>
        <v>4</v>
      </c>
    </row>
    <row r="991" spans="1:21" x14ac:dyDescent="0.3">
      <c r="A991">
        <v>2020</v>
      </c>
      <c r="B991">
        <v>9</v>
      </c>
      <c r="C991" t="s">
        <v>503</v>
      </c>
      <c r="D991" t="s">
        <v>20</v>
      </c>
      <c r="E991" t="s">
        <v>21</v>
      </c>
      <c r="F991" t="s">
        <v>22</v>
      </c>
      <c r="G991">
        <v>14</v>
      </c>
      <c r="H991">
        <v>10</v>
      </c>
      <c r="I991">
        <v>1</v>
      </c>
      <c r="J991" t="s">
        <v>34</v>
      </c>
      <c r="K991" t="s">
        <v>24</v>
      </c>
      <c r="L991">
        <v>59</v>
      </c>
      <c r="M991">
        <v>81.201999999999998</v>
      </c>
      <c r="N991">
        <v>84.311340000000001</v>
      </c>
      <c r="O991">
        <v>29.805</v>
      </c>
      <c r="P991">
        <v>22.170999999999999</v>
      </c>
      <c r="Q991">
        <v>29.202000000000002</v>
      </c>
      <c r="R991" t="s">
        <v>512</v>
      </c>
      <c r="S991" t="s">
        <v>83</v>
      </c>
      <c r="T991">
        <f>IF(TRIM(Table1[[#This Row],[PitStopLaps]])="",0,
LEN(Table1[[#This Row],[PitStopLaps]])-LEN(SUBSTITUTE(Table1[[#This Row],[PitStopLaps]],",",""))+1)</f>
        <v>6</v>
      </c>
      <c r="U991">
        <f>Table1[[#This Row],[StartPosition]]-Table1[[#This Row],[FinishPosition]]</f>
        <v>4</v>
      </c>
    </row>
    <row r="992" spans="1:21" x14ac:dyDescent="0.3">
      <c r="A992">
        <v>2020</v>
      </c>
      <c r="B992">
        <v>9</v>
      </c>
      <c r="C992" t="s">
        <v>503</v>
      </c>
      <c r="D992" t="s">
        <v>252</v>
      </c>
      <c r="E992" t="s">
        <v>253</v>
      </c>
      <c r="F992" t="s">
        <v>60</v>
      </c>
      <c r="G992">
        <v>18</v>
      </c>
      <c r="H992">
        <v>11</v>
      </c>
      <c r="I992">
        <v>0</v>
      </c>
      <c r="J992" t="s">
        <v>34</v>
      </c>
      <c r="K992" t="s">
        <v>24</v>
      </c>
      <c r="L992">
        <v>59</v>
      </c>
      <c r="M992">
        <v>81.644999999999996</v>
      </c>
      <c r="N992">
        <v>84.338499999999996</v>
      </c>
      <c r="O992">
        <v>29.977</v>
      </c>
      <c r="P992">
        <v>22.350999999999999</v>
      </c>
      <c r="Q992">
        <v>29.184000000000001</v>
      </c>
      <c r="R992" t="s">
        <v>509</v>
      </c>
      <c r="S992" t="s">
        <v>83</v>
      </c>
      <c r="T992">
        <f>IF(TRIM(Table1[[#This Row],[PitStopLaps]])="",0,
LEN(Table1[[#This Row],[PitStopLaps]])-LEN(SUBSTITUTE(Table1[[#This Row],[PitStopLaps]],",",""))+1)</f>
        <v>5</v>
      </c>
      <c r="U992">
        <f>Table1[[#This Row],[StartPosition]]-Table1[[#This Row],[FinishPosition]]</f>
        <v>7</v>
      </c>
    </row>
    <row r="993" spans="1:21" x14ac:dyDescent="0.3">
      <c r="A993">
        <v>2020</v>
      </c>
      <c r="B993">
        <v>9</v>
      </c>
      <c r="C993" t="s">
        <v>503</v>
      </c>
      <c r="D993" t="s">
        <v>67</v>
      </c>
      <c r="E993" t="s">
        <v>68</v>
      </c>
      <c r="F993" t="s">
        <v>69</v>
      </c>
      <c r="G993">
        <v>15</v>
      </c>
      <c r="H993">
        <v>12</v>
      </c>
      <c r="I993">
        <v>0</v>
      </c>
      <c r="J993" t="s">
        <v>34</v>
      </c>
      <c r="K993" t="s">
        <v>24</v>
      </c>
      <c r="L993">
        <v>59</v>
      </c>
      <c r="M993">
        <v>82.263000000000005</v>
      </c>
      <c r="N993">
        <v>85.119394999999997</v>
      </c>
      <c r="O993">
        <v>30.202000000000002</v>
      </c>
      <c r="P993">
        <v>22.573</v>
      </c>
      <c r="Q993">
        <v>29.488</v>
      </c>
      <c r="R993" t="s">
        <v>513</v>
      </c>
      <c r="S993" t="s">
        <v>83</v>
      </c>
      <c r="T993">
        <f>IF(TRIM(Table1[[#This Row],[PitStopLaps]])="",0,
LEN(Table1[[#This Row],[PitStopLaps]])-LEN(SUBSTITUTE(Table1[[#This Row],[PitStopLaps]],",",""))+1)</f>
        <v>5</v>
      </c>
      <c r="U993">
        <f>Table1[[#This Row],[StartPosition]]-Table1[[#This Row],[FinishPosition]]</f>
        <v>3</v>
      </c>
    </row>
    <row r="994" spans="1:21" x14ac:dyDescent="0.3">
      <c r="A994">
        <v>2020</v>
      </c>
      <c r="B994">
        <v>9</v>
      </c>
      <c r="C994" t="s">
        <v>503</v>
      </c>
      <c r="D994" t="s">
        <v>58</v>
      </c>
      <c r="E994" t="s">
        <v>59</v>
      </c>
      <c r="F994" t="s">
        <v>192</v>
      </c>
      <c r="G994">
        <v>6</v>
      </c>
      <c r="H994">
        <v>13</v>
      </c>
      <c r="I994">
        <v>0</v>
      </c>
      <c r="J994" t="s">
        <v>34</v>
      </c>
      <c r="K994" t="s">
        <v>98</v>
      </c>
      <c r="L994">
        <v>43</v>
      </c>
      <c r="M994">
        <v>82.067999999999998</v>
      </c>
      <c r="N994">
        <v>83.601419000000007</v>
      </c>
      <c r="O994">
        <v>30.167000000000002</v>
      </c>
      <c r="P994">
        <v>22.466999999999999</v>
      </c>
      <c r="Q994">
        <v>29.195</v>
      </c>
      <c r="R994" t="s">
        <v>514</v>
      </c>
      <c r="S994" t="s">
        <v>83</v>
      </c>
      <c r="T994">
        <f>IF(TRIM(Table1[[#This Row],[PitStopLaps]])="",0,
LEN(Table1[[#This Row],[PitStopLaps]])-LEN(SUBSTITUTE(Table1[[#This Row],[PitStopLaps]],",",""))+1)</f>
        <v>3</v>
      </c>
      <c r="U994">
        <f>Table1[[#This Row],[StartPosition]]-Table1[[#This Row],[FinishPosition]]</f>
        <v>-7</v>
      </c>
    </row>
    <row r="995" spans="1:21" x14ac:dyDescent="0.3">
      <c r="A995">
        <v>2020</v>
      </c>
      <c r="B995">
        <v>9</v>
      </c>
      <c r="C995" t="s">
        <v>503</v>
      </c>
      <c r="D995" t="s">
        <v>52</v>
      </c>
      <c r="E995" t="s">
        <v>53</v>
      </c>
      <c r="F995" t="s">
        <v>42</v>
      </c>
      <c r="G995">
        <v>10</v>
      </c>
      <c r="H995">
        <v>14</v>
      </c>
      <c r="I995">
        <v>0</v>
      </c>
      <c r="J995" t="s">
        <v>34</v>
      </c>
      <c r="K995" t="s">
        <v>81</v>
      </c>
      <c r="L995">
        <v>8</v>
      </c>
      <c r="R995" t="s">
        <v>515</v>
      </c>
      <c r="S995" t="s">
        <v>83</v>
      </c>
      <c r="T995">
        <f>IF(TRIM(Table1[[#This Row],[PitStopLaps]])="",0,
LEN(Table1[[#This Row],[PitStopLaps]])-LEN(SUBSTITUTE(Table1[[#This Row],[PitStopLaps]],",",""))+1)</f>
        <v>2</v>
      </c>
      <c r="U995">
        <f>Table1[[#This Row],[StartPosition]]-Table1[[#This Row],[FinishPosition]]</f>
        <v>-4</v>
      </c>
    </row>
    <row r="996" spans="1:21" x14ac:dyDescent="0.3">
      <c r="A996">
        <v>2020</v>
      </c>
      <c r="B996">
        <v>9</v>
      </c>
      <c r="C996" t="s">
        <v>503</v>
      </c>
      <c r="D996" t="s">
        <v>440</v>
      </c>
      <c r="E996" t="s">
        <v>441</v>
      </c>
      <c r="F996" t="s">
        <v>60</v>
      </c>
      <c r="G996">
        <v>19</v>
      </c>
      <c r="H996">
        <v>15</v>
      </c>
      <c r="I996">
        <v>0</v>
      </c>
      <c r="J996" t="s">
        <v>34</v>
      </c>
      <c r="K996" t="s">
        <v>124</v>
      </c>
      <c r="L996">
        <v>7</v>
      </c>
      <c r="S996" t="s">
        <v>83</v>
      </c>
      <c r="T996">
        <f>IF(TRIM(Table1[[#This Row],[PitStopLaps]])="",0,
LEN(Table1[[#This Row],[PitStopLaps]])-LEN(SUBSTITUTE(Table1[[#This Row],[PitStopLaps]],",",""))+1)</f>
        <v>0</v>
      </c>
      <c r="U996">
        <f>Table1[[#This Row],[StartPosition]]-Table1[[#This Row],[FinishPosition]]</f>
        <v>4</v>
      </c>
    </row>
    <row r="997" spans="1:21" x14ac:dyDescent="0.3">
      <c r="A997">
        <v>2020</v>
      </c>
      <c r="B997">
        <v>9</v>
      </c>
      <c r="C997" t="s">
        <v>503</v>
      </c>
      <c r="D997" t="s">
        <v>71</v>
      </c>
      <c r="E997" t="s">
        <v>72</v>
      </c>
      <c r="F997" t="s">
        <v>69</v>
      </c>
      <c r="G997">
        <v>20</v>
      </c>
      <c r="H997">
        <v>16</v>
      </c>
      <c r="I997">
        <v>0</v>
      </c>
      <c r="J997" t="s">
        <v>34</v>
      </c>
      <c r="K997" t="s">
        <v>124</v>
      </c>
      <c r="L997">
        <v>6</v>
      </c>
      <c r="S997" t="s">
        <v>83</v>
      </c>
      <c r="T997">
        <f>IF(TRIM(Table1[[#This Row],[PitStopLaps]])="",0,
LEN(Table1[[#This Row],[PitStopLaps]])-LEN(SUBSTITUTE(Table1[[#This Row],[PitStopLaps]],",",""))+1)</f>
        <v>0</v>
      </c>
      <c r="U997">
        <f>Table1[[#This Row],[StartPosition]]-Table1[[#This Row],[FinishPosition]]</f>
        <v>4</v>
      </c>
    </row>
    <row r="998" spans="1:21" x14ac:dyDescent="0.3">
      <c r="A998">
        <v>2020</v>
      </c>
      <c r="B998">
        <v>9</v>
      </c>
      <c r="C998" t="s">
        <v>503</v>
      </c>
      <c r="D998" t="s">
        <v>250</v>
      </c>
      <c r="E998" t="s">
        <v>251</v>
      </c>
      <c r="F998" t="s">
        <v>243</v>
      </c>
      <c r="G998">
        <v>17</v>
      </c>
      <c r="H998">
        <v>17</v>
      </c>
      <c r="I998">
        <v>0</v>
      </c>
      <c r="J998" t="s">
        <v>34</v>
      </c>
      <c r="K998" t="s">
        <v>124</v>
      </c>
      <c r="L998">
        <v>6</v>
      </c>
      <c r="S998" t="s">
        <v>83</v>
      </c>
      <c r="T998">
        <f>IF(TRIM(Table1[[#This Row],[PitStopLaps]])="",0,
LEN(Table1[[#This Row],[PitStopLaps]])-LEN(SUBSTITUTE(Table1[[#This Row],[PitStopLaps]],",",""))+1)</f>
        <v>0</v>
      </c>
      <c r="U998">
        <f>Table1[[#This Row],[StartPosition]]-Table1[[#This Row],[FinishPosition]]</f>
        <v>0</v>
      </c>
    </row>
    <row r="999" spans="1:21" x14ac:dyDescent="0.3">
      <c r="A999">
        <v>2020</v>
      </c>
      <c r="B999">
        <v>9</v>
      </c>
      <c r="C999" t="s">
        <v>503</v>
      </c>
      <c r="D999" t="s">
        <v>47</v>
      </c>
      <c r="E999" t="s">
        <v>48</v>
      </c>
      <c r="F999" t="s">
        <v>37</v>
      </c>
      <c r="G999">
        <v>9</v>
      </c>
      <c r="H999">
        <v>18</v>
      </c>
      <c r="I999">
        <v>0</v>
      </c>
      <c r="J999" t="s">
        <v>34</v>
      </c>
      <c r="K999" t="s">
        <v>124</v>
      </c>
      <c r="L999">
        <v>6</v>
      </c>
      <c r="S999" t="s">
        <v>83</v>
      </c>
      <c r="T999">
        <f>IF(TRIM(Table1[[#This Row],[PitStopLaps]])="",0,
LEN(Table1[[#This Row],[PitStopLaps]])-LEN(SUBSTITUTE(Table1[[#This Row],[PitStopLaps]],",",""))+1)</f>
        <v>0</v>
      </c>
      <c r="U999">
        <f>Table1[[#This Row],[StartPosition]]-Table1[[#This Row],[FinishPosition]]</f>
        <v>-9</v>
      </c>
    </row>
    <row r="1000" spans="1:21" x14ac:dyDescent="0.3">
      <c r="A1000">
        <v>2020</v>
      </c>
      <c r="B1000">
        <v>9</v>
      </c>
      <c r="C1000" t="s">
        <v>503</v>
      </c>
      <c r="D1000" t="s">
        <v>38</v>
      </c>
      <c r="E1000" t="s">
        <v>39</v>
      </c>
      <c r="F1000" t="s">
        <v>33</v>
      </c>
      <c r="G1000">
        <v>3</v>
      </c>
      <c r="H1000">
        <v>19</v>
      </c>
      <c r="I1000">
        <v>0</v>
      </c>
      <c r="J1000" t="s">
        <v>34</v>
      </c>
      <c r="K1000" t="s">
        <v>124</v>
      </c>
      <c r="L1000">
        <v>1</v>
      </c>
      <c r="S1000" t="s">
        <v>83</v>
      </c>
      <c r="T1000">
        <f>IF(TRIM(Table1[[#This Row],[PitStopLaps]])="",0,
LEN(Table1[[#This Row],[PitStopLaps]])-LEN(SUBSTITUTE(Table1[[#This Row],[PitStopLaps]],",",""))+1)</f>
        <v>0</v>
      </c>
      <c r="U1000">
        <f>Table1[[#This Row],[StartPosition]]-Table1[[#This Row],[FinishPosition]]</f>
        <v>-16</v>
      </c>
    </row>
    <row r="1001" spans="1:21" x14ac:dyDescent="0.3">
      <c r="A1001">
        <v>2020</v>
      </c>
      <c r="B1001">
        <v>9</v>
      </c>
      <c r="C1001" t="s">
        <v>503</v>
      </c>
      <c r="D1001" t="s">
        <v>73</v>
      </c>
      <c r="E1001" t="s">
        <v>74</v>
      </c>
      <c r="F1001" t="s">
        <v>438</v>
      </c>
      <c r="G1001">
        <v>16</v>
      </c>
      <c r="H1001">
        <v>20</v>
      </c>
      <c r="I1001">
        <v>0</v>
      </c>
      <c r="J1001" t="s">
        <v>34</v>
      </c>
      <c r="K1001" t="s">
        <v>124</v>
      </c>
      <c r="L1001">
        <v>1</v>
      </c>
      <c r="S1001" t="s">
        <v>83</v>
      </c>
      <c r="T1001">
        <f>IF(TRIM(Table1[[#This Row],[PitStopLaps]])="",0,
LEN(Table1[[#This Row],[PitStopLaps]])-LEN(SUBSTITUTE(Table1[[#This Row],[PitStopLaps]],",",""))+1)</f>
        <v>0</v>
      </c>
      <c r="U1001">
        <f>Table1[[#This Row],[StartPosition]]-Table1[[#This Row],[FinishPosition]]</f>
        <v>-4</v>
      </c>
    </row>
    <row r="1002" spans="1:21" x14ac:dyDescent="0.3">
      <c r="A1002">
        <v>2020</v>
      </c>
      <c r="B1002">
        <v>10</v>
      </c>
      <c r="C1002" t="s">
        <v>205</v>
      </c>
      <c r="D1002" t="s">
        <v>43</v>
      </c>
      <c r="E1002" t="s">
        <v>44</v>
      </c>
      <c r="F1002" t="s">
        <v>28</v>
      </c>
      <c r="G1002">
        <v>3</v>
      </c>
      <c r="H1002">
        <v>1</v>
      </c>
      <c r="I1002">
        <v>26</v>
      </c>
      <c r="J1002" t="s">
        <v>23</v>
      </c>
      <c r="K1002" t="s">
        <v>24</v>
      </c>
      <c r="L1002">
        <v>53</v>
      </c>
      <c r="M1002">
        <v>97.03</v>
      </c>
      <c r="N1002">
        <v>99.320976999999999</v>
      </c>
      <c r="O1002">
        <v>34.770000000000003</v>
      </c>
      <c r="P1002">
        <v>33.5</v>
      </c>
      <c r="Q1002">
        <v>28.76</v>
      </c>
      <c r="R1002">
        <v>26</v>
      </c>
      <c r="S1002" t="s">
        <v>83</v>
      </c>
      <c r="T1002">
        <f>IF(TRIM(Table1[[#This Row],[PitStopLaps]])="",0,
LEN(Table1[[#This Row],[PitStopLaps]])-LEN(SUBSTITUTE(Table1[[#This Row],[PitStopLaps]],",",""))+1)</f>
        <v>1</v>
      </c>
      <c r="U1002">
        <f>Table1[[#This Row],[StartPosition]]-Table1[[#This Row],[FinishPosition]]</f>
        <v>2</v>
      </c>
    </row>
    <row r="1003" spans="1:21" x14ac:dyDescent="0.3">
      <c r="A1003">
        <v>2020</v>
      </c>
      <c r="B1003">
        <v>10</v>
      </c>
      <c r="C1003" t="s">
        <v>205</v>
      </c>
      <c r="D1003" t="s">
        <v>38</v>
      </c>
      <c r="E1003" t="s">
        <v>39</v>
      </c>
      <c r="F1003" t="s">
        <v>33</v>
      </c>
      <c r="G1003">
        <v>2</v>
      </c>
      <c r="H1003">
        <v>2</v>
      </c>
      <c r="I1003">
        <v>18</v>
      </c>
      <c r="J1003" t="s">
        <v>23</v>
      </c>
      <c r="K1003" t="s">
        <v>24</v>
      </c>
      <c r="L1003">
        <v>53</v>
      </c>
      <c r="M1003">
        <v>97.331999999999994</v>
      </c>
      <c r="N1003">
        <v>99.486333000000002</v>
      </c>
      <c r="O1003">
        <v>34.933</v>
      </c>
      <c r="P1003">
        <v>33.656999999999996</v>
      </c>
      <c r="Q1003">
        <v>28.657</v>
      </c>
      <c r="R1003">
        <v>25</v>
      </c>
      <c r="S1003" t="s">
        <v>83</v>
      </c>
      <c r="T1003">
        <f>IF(TRIM(Table1[[#This Row],[PitStopLaps]])="",0,
LEN(Table1[[#This Row],[PitStopLaps]])-LEN(SUBSTITUTE(Table1[[#This Row],[PitStopLaps]],",",""))+1)</f>
        <v>1</v>
      </c>
      <c r="U1003">
        <f>Table1[[#This Row],[StartPosition]]-Table1[[#This Row],[FinishPosition]]</f>
        <v>0</v>
      </c>
    </row>
    <row r="1004" spans="1:21" x14ac:dyDescent="0.3">
      <c r="A1004">
        <v>2020</v>
      </c>
      <c r="B1004">
        <v>10</v>
      </c>
      <c r="C1004" t="s">
        <v>205</v>
      </c>
      <c r="D1004" t="s">
        <v>26</v>
      </c>
      <c r="E1004" t="s">
        <v>27</v>
      </c>
      <c r="F1004" t="s">
        <v>28</v>
      </c>
      <c r="G1004">
        <v>1</v>
      </c>
      <c r="H1004">
        <v>3</v>
      </c>
      <c r="I1004">
        <v>15</v>
      </c>
      <c r="J1004" t="s">
        <v>23</v>
      </c>
      <c r="K1004" t="s">
        <v>24</v>
      </c>
      <c r="L1004">
        <v>53</v>
      </c>
      <c r="M1004">
        <v>98.075000000000003</v>
      </c>
      <c r="N1004">
        <v>99.593377000000004</v>
      </c>
      <c r="O1004">
        <v>34.631</v>
      </c>
      <c r="P1004">
        <v>33.820999999999998</v>
      </c>
      <c r="Q1004">
        <v>29.077999999999999</v>
      </c>
      <c r="R1004">
        <v>16</v>
      </c>
      <c r="S1004" t="s">
        <v>83</v>
      </c>
      <c r="T1004">
        <f>IF(TRIM(Table1[[#This Row],[PitStopLaps]])="",0,
LEN(Table1[[#This Row],[PitStopLaps]])-LEN(SUBSTITUTE(Table1[[#This Row],[PitStopLaps]],",",""))+1)</f>
        <v>1</v>
      </c>
      <c r="U1004">
        <f>Table1[[#This Row],[StartPosition]]-Table1[[#This Row],[FinishPosition]]</f>
        <v>-2</v>
      </c>
    </row>
    <row r="1005" spans="1:21" x14ac:dyDescent="0.3">
      <c r="A1005">
        <v>2020</v>
      </c>
      <c r="B1005">
        <v>10</v>
      </c>
      <c r="C1005" t="s">
        <v>205</v>
      </c>
      <c r="D1005" t="s">
        <v>49</v>
      </c>
      <c r="E1005" t="s">
        <v>50</v>
      </c>
      <c r="F1005" t="s">
        <v>192</v>
      </c>
      <c r="G1005">
        <v>4</v>
      </c>
      <c r="H1005">
        <v>4</v>
      </c>
      <c r="I1005">
        <v>12</v>
      </c>
      <c r="J1005" t="s">
        <v>34</v>
      </c>
      <c r="K1005" t="s">
        <v>24</v>
      </c>
      <c r="L1005">
        <v>53</v>
      </c>
      <c r="M1005">
        <v>98.141000000000005</v>
      </c>
      <c r="N1005">
        <v>99.959154999999996</v>
      </c>
      <c r="O1005">
        <v>35.234000000000002</v>
      </c>
      <c r="P1005">
        <v>33.906999999999996</v>
      </c>
      <c r="Q1005">
        <v>28.641999999999999</v>
      </c>
      <c r="R1005">
        <v>20</v>
      </c>
      <c r="S1005" t="s">
        <v>83</v>
      </c>
      <c r="T1005">
        <f>IF(TRIM(Table1[[#This Row],[PitStopLaps]])="",0,
LEN(Table1[[#This Row],[PitStopLaps]])-LEN(SUBSTITUTE(Table1[[#This Row],[PitStopLaps]],",",""))+1)</f>
        <v>1</v>
      </c>
      <c r="U1005">
        <f>Table1[[#This Row],[StartPosition]]-Table1[[#This Row],[FinishPosition]]</f>
        <v>0</v>
      </c>
    </row>
    <row r="1006" spans="1:21" x14ac:dyDescent="0.3">
      <c r="A1006">
        <v>2020</v>
      </c>
      <c r="B1006">
        <v>10</v>
      </c>
      <c r="C1006" t="s">
        <v>205</v>
      </c>
      <c r="D1006" t="s">
        <v>31</v>
      </c>
      <c r="E1006" t="s">
        <v>32</v>
      </c>
      <c r="F1006" t="s">
        <v>42</v>
      </c>
      <c r="G1006">
        <v>5</v>
      </c>
      <c r="H1006">
        <v>5</v>
      </c>
      <c r="I1006">
        <v>10</v>
      </c>
      <c r="J1006" t="s">
        <v>34</v>
      </c>
      <c r="K1006" t="s">
        <v>24</v>
      </c>
      <c r="L1006">
        <v>53</v>
      </c>
      <c r="M1006">
        <v>97.885999999999996</v>
      </c>
      <c r="N1006">
        <v>100.21545399999999</v>
      </c>
      <c r="O1006">
        <v>35.134</v>
      </c>
      <c r="P1006">
        <v>34</v>
      </c>
      <c r="Q1006">
        <v>28.751999999999999</v>
      </c>
      <c r="R1006">
        <v>15</v>
      </c>
      <c r="S1006" t="s">
        <v>83</v>
      </c>
      <c r="T1006">
        <f>IF(TRIM(Table1[[#This Row],[PitStopLaps]])="",0,
LEN(Table1[[#This Row],[PitStopLaps]])-LEN(SUBSTITUTE(Table1[[#This Row],[PitStopLaps]],",",""))+1)</f>
        <v>1</v>
      </c>
      <c r="U1006">
        <f>Table1[[#This Row],[StartPosition]]-Table1[[#This Row],[FinishPosition]]</f>
        <v>0</v>
      </c>
    </row>
    <row r="1007" spans="1:21" x14ac:dyDescent="0.3">
      <c r="A1007">
        <v>2020</v>
      </c>
      <c r="B1007">
        <v>10</v>
      </c>
      <c r="C1007" t="s">
        <v>205</v>
      </c>
      <c r="D1007" t="s">
        <v>54</v>
      </c>
      <c r="E1007" t="s">
        <v>55</v>
      </c>
      <c r="F1007" t="s">
        <v>22</v>
      </c>
      <c r="G1007">
        <v>10</v>
      </c>
      <c r="H1007">
        <v>6</v>
      </c>
      <c r="I1007">
        <v>8</v>
      </c>
      <c r="J1007" t="s">
        <v>34</v>
      </c>
      <c r="K1007" t="s">
        <v>24</v>
      </c>
      <c r="L1007">
        <v>53</v>
      </c>
      <c r="M1007">
        <v>99.052999999999997</v>
      </c>
      <c r="N1007">
        <v>100.628159</v>
      </c>
      <c r="O1007">
        <v>35.539000000000001</v>
      </c>
      <c r="P1007">
        <v>34.412999999999997</v>
      </c>
      <c r="Q1007">
        <v>29.100999999999999</v>
      </c>
      <c r="R1007">
        <v>28</v>
      </c>
      <c r="S1007" t="s">
        <v>83</v>
      </c>
      <c r="T1007">
        <f>IF(TRIM(Table1[[#This Row],[PitStopLaps]])="",0,
LEN(Table1[[#This Row],[PitStopLaps]])-LEN(SUBSTITUTE(Table1[[#This Row],[PitStopLaps]],",",""))+1)</f>
        <v>1</v>
      </c>
      <c r="U1007">
        <f>Table1[[#This Row],[StartPosition]]-Table1[[#This Row],[FinishPosition]]</f>
        <v>4</v>
      </c>
    </row>
    <row r="1008" spans="1:21" x14ac:dyDescent="0.3">
      <c r="A1008">
        <v>2020</v>
      </c>
      <c r="B1008">
        <v>10</v>
      </c>
      <c r="C1008" t="s">
        <v>205</v>
      </c>
      <c r="D1008" t="s">
        <v>52</v>
      </c>
      <c r="E1008" t="s">
        <v>53</v>
      </c>
      <c r="F1008" t="s">
        <v>42</v>
      </c>
      <c r="G1008">
        <v>7</v>
      </c>
      <c r="H1008">
        <v>7</v>
      </c>
      <c r="I1008">
        <v>6</v>
      </c>
      <c r="J1008" t="s">
        <v>34</v>
      </c>
      <c r="K1008" t="s">
        <v>24</v>
      </c>
      <c r="L1008">
        <v>53</v>
      </c>
      <c r="M1008">
        <v>99.215999999999994</v>
      </c>
      <c r="N1008">
        <v>100.77327200000001</v>
      </c>
      <c r="O1008">
        <v>35.485999999999997</v>
      </c>
      <c r="P1008">
        <v>34.24</v>
      </c>
      <c r="Q1008">
        <v>29.384</v>
      </c>
      <c r="R1008">
        <v>18</v>
      </c>
      <c r="S1008" t="s">
        <v>83</v>
      </c>
      <c r="T1008">
        <f>IF(TRIM(Table1[[#This Row],[PitStopLaps]])="",0,
LEN(Table1[[#This Row],[PitStopLaps]])-LEN(SUBSTITUTE(Table1[[#This Row],[PitStopLaps]],",",""))+1)</f>
        <v>1</v>
      </c>
      <c r="U1008">
        <f>Table1[[#This Row],[StartPosition]]-Table1[[#This Row],[FinishPosition]]</f>
        <v>0</v>
      </c>
    </row>
    <row r="1009" spans="1:21" x14ac:dyDescent="0.3">
      <c r="A1009">
        <v>2020</v>
      </c>
      <c r="B1009">
        <v>10</v>
      </c>
      <c r="C1009" t="s">
        <v>205</v>
      </c>
      <c r="D1009" t="s">
        <v>244</v>
      </c>
      <c r="E1009" t="s">
        <v>245</v>
      </c>
      <c r="F1009" t="s">
        <v>438</v>
      </c>
      <c r="G1009">
        <v>11</v>
      </c>
      <c r="H1009">
        <v>8</v>
      </c>
      <c r="I1009">
        <v>4</v>
      </c>
      <c r="J1009" t="s">
        <v>34</v>
      </c>
      <c r="K1009" t="s">
        <v>24</v>
      </c>
      <c r="L1009">
        <v>53</v>
      </c>
      <c r="M1009">
        <v>99.132999999999996</v>
      </c>
      <c r="N1009">
        <v>100.768772</v>
      </c>
      <c r="O1009">
        <v>35.26</v>
      </c>
      <c r="P1009">
        <v>33.921999999999997</v>
      </c>
      <c r="Q1009">
        <v>29.734999999999999</v>
      </c>
      <c r="R1009">
        <v>30</v>
      </c>
      <c r="S1009" t="s">
        <v>83</v>
      </c>
      <c r="T1009">
        <f>IF(TRIM(Table1[[#This Row],[PitStopLaps]])="",0,
LEN(Table1[[#This Row],[PitStopLaps]])-LEN(SUBSTITUTE(Table1[[#This Row],[PitStopLaps]],",",""))+1)</f>
        <v>1</v>
      </c>
      <c r="U1009">
        <f>Table1[[#This Row],[StartPosition]]-Table1[[#This Row],[FinishPosition]]</f>
        <v>3</v>
      </c>
    </row>
    <row r="1010" spans="1:21" x14ac:dyDescent="0.3">
      <c r="A1010">
        <v>2020</v>
      </c>
      <c r="B1010">
        <v>10</v>
      </c>
      <c r="C1010" t="s">
        <v>205</v>
      </c>
      <c r="D1010" t="s">
        <v>73</v>
      </c>
      <c r="E1010" t="s">
        <v>74</v>
      </c>
      <c r="F1010" t="s">
        <v>438</v>
      </c>
      <c r="G1010">
        <v>9</v>
      </c>
      <c r="H1010">
        <v>9</v>
      </c>
      <c r="I1010">
        <v>2</v>
      </c>
      <c r="J1010" t="s">
        <v>34</v>
      </c>
      <c r="K1010" t="s">
        <v>24</v>
      </c>
      <c r="L1010">
        <v>53</v>
      </c>
      <c r="M1010">
        <v>97.230999999999995</v>
      </c>
      <c r="N1010">
        <v>100.80568100000001</v>
      </c>
      <c r="O1010">
        <v>34.994</v>
      </c>
      <c r="P1010">
        <v>33.54</v>
      </c>
      <c r="Q1010">
        <v>28.696999999999999</v>
      </c>
      <c r="R1010" t="s">
        <v>516</v>
      </c>
      <c r="S1010" t="s">
        <v>83</v>
      </c>
      <c r="T1010">
        <f>IF(TRIM(Table1[[#This Row],[PitStopLaps]])="",0,
LEN(Table1[[#This Row],[PitStopLaps]])-LEN(SUBSTITUTE(Table1[[#This Row],[PitStopLaps]],",",""))+1)</f>
        <v>2</v>
      </c>
      <c r="U1010">
        <f>Table1[[#This Row],[StartPosition]]-Table1[[#This Row],[FinishPosition]]</f>
        <v>0</v>
      </c>
    </row>
    <row r="1011" spans="1:21" x14ac:dyDescent="0.3">
      <c r="A1011">
        <v>2020</v>
      </c>
      <c r="B1011">
        <v>10</v>
      </c>
      <c r="C1011" t="s">
        <v>205</v>
      </c>
      <c r="D1011" t="s">
        <v>248</v>
      </c>
      <c r="E1011" t="s">
        <v>249</v>
      </c>
      <c r="F1011" t="s">
        <v>33</v>
      </c>
      <c r="G1011">
        <v>15</v>
      </c>
      <c r="H1011">
        <v>10</v>
      </c>
      <c r="I1011">
        <v>1</v>
      </c>
      <c r="J1011" t="s">
        <v>34</v>
      </c>
      <c r="K1011" t="s">
        <v>24</v>
      </c>
      <c r="L1011">
        <v>53</v>
      </c>
      <c r="M1011">
        <v>98.376999999999995</v>
      </c>
      <c r="N1011">
        <v>101.214111</v>
      </c>
      <c r="O1011">
        <v>35.35</v>
      </c>
      <c r="P1011">
        <v>33.840000000000003</v>
      </c>
      <c r="Q1011">
        <v>28.919</v>
      </c>
      <c r="R1011" t="s">
        <v>368</v>
      </c>
      <c r="S1011" t="s">
        <v>83</v>
      </c>
      <c r="T1011">
        <f>IF(TRIM(Table1[[#This Row],[PitStopLaps]])="",0,
LEN(Table1[[#This Row],[PitStopLaps]])-LEN(SUBSTITUTE(Table1[[#This Row],[PitStopLaps]],",",""))+1)</f>
        <v>2</v>
      </c>
      <c r="U1011">
        <f>Table1[[#This Row],[StartPosition]]-Table1[[#This Row],[FinishPosition]]</f>
        <v>5</v>
      </c>
    </row>
    <row r="1012" spans="1:21" x14ac:dyDescent="0.3">
      <c r="A1012">
        <v>2020</v>
      </c>
      <c r="B1012">
        <v>10</v>
      </c>
      <c r="C1012" t="s">
        <v>205</v>
      </c>
      <c r="D1012" t="s">
        <v>250</v>
      </c>
      <c r="E1012" t="s">
        <v>251</v>
      </c>
      <c r="F1012" t="s">
        <v>243</v>
      </c>
      <c r="G1012">
        <v>17</v>
      </c>
      <c r="H1012">
        <v>11</v>
      </c>
      <c r="I1012">
        <v>0</v>
      </c>
      <c r="J1012" t="s">
        <v>34</v>
      </c>
      <c r="K1012" t="s">
        <v>65</v>
      </c>
      <c r="L1012">
        <v>52</v>
      </c>
      <c r="M1012">
        <v>99.766000000000005</v>
      </c>
      <c r="N1012">
        <v>101.66079499999999</v>
      </c>
      <c r="O1012">
        <v>35.732999999999997</v>
      </c>
      <c r="P1012">
        <v>34.493000000000002</v>
      </c>
      <c r="Q1012">
        <v>29.486000000000001</v>
      </c>
      <c r="R1012">
        <v>16</v>
      </c>
      <c r="S1012" t="s">
        <v>83</v>
      </c>
      <c r="T1012">
        <f>IF(TRIM(Table1[[#This Row],[PitStopLaps]])="",0,
LEN(Table1[[#This Row],[PitStopLaps]])-LEN(SUBSTITUTE(Table1[[#This Row],[PitStopLaps]],",",""))+1)</f>
        <v>1</v>
      </c>
      <c r="U1012">
        <f>Table1[[#This Row],[StartPosition]]-Table1[[#This Row],[FinishPosition]]</f>
        <v>6</v>
      </c>
    </row>
    <row r="1013" spans="1:21" x14ac:dyDescent="0.3">
      <c r="A1013">
        <v>2020</v>
      </c>
      <c r="B1013">
        <v>10</v>
      </c>
      <c r="C1013" t="s">
        <v>205</v>
      </c>
      <c r="D1013" t="s">
        <v>71</v>
      </c>
      <c r="E1013" t="s">
        <v>72</v>
      </c>
      <c r="F1013" t="s">
        <v>69</v>
      </c>
      <c r="G1013">
        <v>18</v>
      </c>
      <c r="H1013">
        <v>12</v>
      </c>
      <c r="I1013">
        <v>0</v>
      </c>
      <c r="J1013" t="s">
        <v>34</v>
      </c>
      <c r="K1013" t="s">
        <v>65</v>
      </c>
      <c r="L1013">
        <v>52</v>
      </c>
      <c r="M1013">
        <v>100.38</v>
      </c>
      <c r="N1013">
        <v>101.68788600000001</v>
      </c>
      <c r="O1013">
        <v>35.869999999999997</v>
      </c>
      <c r="P1013">
        <v>34.756</v>
      </c>
      <c r="Q1013">
        <v>29.545999999999999</v>
      </c>
      <c r="R1013">
        <v>19</v>
      </c>
      <c r="S1013" t="s">
        <v>83</v>
      </c>
      <c r="T1013">
        <f>IF(TRIM(Table1[[#This Row],[PitStopLaps]])="",0,
LEN(Table1[[#This Row],[PitStopLaps]])-LEN(SUBSTITUTE(Table1[[#This Row],[PitStopLaps]],",",""))+1)</f>
        <v>1</v>
      </c>
      <c r="U1013">
        <f>Table1[[#This Row],[StartPosition]]-Table1[[#This Row],[FinishPosition]]</f>
        <v>6</v>
      </c>
    </row>
    <row r="1014" spans="1:21" x14ac:dyDescent="0.3">
      <c r="A1014">
        <v>2020</v>
      </c>
      <c r="B1014">
        <v>10</v>
      </c>
      <c r="C1014" t="s">
        <v>205</v>
      </c>
      <c r="D1014" t="s">
        <v>20</v>
      </c>
      <c r="E1014" t="s">
        <v>21</v>
      </c>
      <c r="F1014" t="s">
        <v>22</v>
      </c>
      <c r="G1014">
        <v>14</v>
      </c>
      <c r="H1014">
        <v>13</v>
      </c>
      <c r="I1014">
        <v>0</v>
      </c>
      <c r="J1014" t="s">
        <v>34</v>
      </c>
      <c r="K1014" t="s">
        <v>65</v>
      </c>
      <c r="L1014">
        <v>52</v>
      </c>
      <c r="M1014">
        <v>99.587999999999994</v>
      </c>
      <c r="N1014">
        <v>101.715521999999</v>
      </c>
      <c r="O1014">
        <v>35.654000000000003</v>
      </c>
      <c r="P1014">
        <v>34.384999999999998</v>
      </c>
      <c r="Q1014">
        <v>29.408999999999999</v>
      </c>
      <c r="R1014">
        <v>30</v>
      </c>
      <c r="S1014" t="s">
        <v>83</v>
      </c>
      <c r="T1014">
        <f>IF(TRIM(Table1[[#This Row],[PitStopLaps]])="",0,
LEN(Table1[[#This Row],[PitStopLaps]])-LEN(SUBSTITUTE(Table1[[#This Row],[PitStopLaps]],",",""))+1)</f>
        <v>1</v>
      </c>
      <c r="U1014">
        <f>Table1[[#This Row],[StartPosition]]-Table1[[#This Row],[FinishPosition]]</f>
        <v>1</v>
      </c>
    </row>
    <row r="1015" spans="1:21" x14ac:dyDescent="0.3">
      <c r="A1015">
        <v>2020</v>
      </c>
      <c r="B1015">
        <v>10</v>
      </c>
      <c r="C1015" t="s">
        <v>205</v>
      </c>
      <c r="D1015" t="s">
        <v>29</v>
      </c>
      <c r="E1015" t="s">
        <v>30</v>
      </c>
      <c r="F1015" t="s">
        <v>243</v>
      </c>
      <c r="G1015">
        <v>19</v>
      </c>
      <c r="H1015">
        <v>14</v>
      </c>
      <c r="I1015">
        <v>0</v>
      </c>
      <c r="J1015" t="s">
        <v>34</v>
      </c>
      <c r="K1015" t="s">
        <v>65</v>
      </c>
      <c r="L1015">
        <v>52</v>
      </c>
      <c r="M1015">
        <v>98.858000000000004</v>
      </c>
      <c r="N1015">
        <v>101.676613</v>
      </c>
      <c r="O1015">
        <v>35.61</v>
      </c>
      <c r="P1015">
        <v>34.222999999999999</v>
      </c>
      <c r="Q1015">
        <v>28.943000000000001</v>
      </c>
      <c r="R1015">
        <v>35</v>
      </c>
      <c r="S1015" t="s">
        <v>83</v>
      </c>
      <c r="T1015">
        <f>IF(TRIM(Table1[[#This Row],[PitStopLaps]])="",0,
LEN(Table1[[#This Row],[PitStopLaps]])-LEN(SUBSTITUTE(Table1[[#This Row],[PitStopLaps]],",",""))+1)</f>
        <v>1</v>
      </c>
      <c r="U1015">
        <f>Table1[[#This Row],[StartPosition]]-Table1[[#This Row],[FinishPosition]]</f>
        <v>5</v>
      </c>
    </row>
    <row r="1016" spans="1:21" x14ac:dyDescent="0.3">
      <c r="A1016">
        <v>2020</v>
      </c>
      <c r="B1016">
        <v>10</v>
      </c>
      <c r="C1016" t="s">
        <v>205</v>
      </c>
      <c r="D1016" t="s">
        <v>246</v>
      </c>
      <c r="E1016" t="s">
        <v>247</v>
      </c>
      <c r="F1016" t="s">
        <v>37</v>
      </c>
      <c r="G1016">
        <v>8</v>
      </c>
      <c r="H1016">
        <v>15</v>
      </c>
      <c r="I1016">
        <v>0</v>
      </c>
      <c r="J1016" t="s">
        <v>34</v>
      </c>
      <c r="K1016" t="s">
        <v>65</v>
      </c>
      <c r="L1016">
        <v>52</v>
      </c>
      <c r="M1016">
        <v>97.376999999999995</v>
      </c>
      <c r="N1016">
        <v>101.86513600000001</v>
      </c>
      <c r="O1016">
        <v>35.365000000000002</v>
      </c>
      <c r="P1016">
        <v>33.506999999999998</v>
      </c>
      <c r="Q1016">
        <v>28.504999999999999</v>
      </c>
      <c r="R1016" t="s">
        <v>517</v>
      </c>
      <c r="S1016" t="s">
        <v>83</v>
      </c>
      <c r="T1016">
        <f>IF(TRIM(Table1[[#This Row],[PitStopLaps]])="",0,
LEN(Table1[[#This Row],[PitStopLaps]])-LEN(SUBSTITUTE(Table1[[#This Row],[PitStopLaps]],",",""))+1)</f>
        <v>2</v>
      </c>
      <c r="U1016">
        <f>Table1[[#This Row],[StartPosition]]-Table1[[#This Row],[FinishPosition]]</f>
        <v>-7</v>
      </c>
    </row>
    <row r="1017" spans="1:21" x14ac:dyDescent="0.3">
      <c r="A1017">
        <v>2020</v>
      </c>
      <c r="B1017">
        <v>10</v>
      </c>
      <c r="C1017" t="s">
        <v>205</v>
      </c>
      <c r="D1017" t="s">
        <v>440</v>
      </c>
      <c r="E1017" t="s">
        <v>441</v>
      </c>
      <c r="F1017" t="s">
        <v>60</v>
      </c>
      <c r="G1017">
        <v>20</v>
      </c>
      <c r="H1017">
        <v>16</v>
      </c>
      <c r="I1017">
        <v>0</v>
      </c>
      <c r="J1017" t="s">
        <v>34</v>
      </c>
      <c r="K1017" t="s">
        <v>65</v>
      </c>
      <c r="L1017">
        <v>52</v>
      </c>
      <c r="M1017">
        <v>101.044</v>
      </c>
      <c r="N1017">
        <v>102.457386</v>
      </c>
      <c r="O1017">
        <v>35.841000000000001</v>
      </c>
      <c r="P1017">
        <v>34.869</v>
      </c>
      <c r="Q1017">
        <v>29.821999999999999</v>
      </c>
      <c r="R1017">
        <v>17</v>
      </c>
      <c r="S1017" t="s">
        <v>83</v>
      </c>
      <c r="T1017">
        <f>IF(TRIM(Table1[[#This Row],[PitStopLaps]])="",0,
LEN(Table1[[#This Row],[PitStopLaps]])-LEN(SUBSTITUTE(Table1[[#This Row],[PitStopLaps]],",",""))+1)</f>
        <v>1</v>
      </c>
      <c r="U1017">
        <f>Table1[[#This Row],[StartPosition]]-Table1[[#This Row],[FinishPosition]]</f>
        <v>4</v>
      </c>
    </row>
    <row r="1018" spans="1:21" x14ac:dyDescent="0.3">
      <c r="A1018">
        <v>2020</v>
      </c>
      <c r="B1018">
        <v>10</v>
      </c>
      <c r="C1018" t="s">
        <v>205</v>
      </c>
      <c r="D1018" t="s">
        <v>67</v>
      </c>
      <c r="E1018" t="s">
        <v>68</v>
      </c>
      <c r="F1018" t="s">
        <v>69</v>
      </c>
      <c r="G1018">
        <v>16</v>
      </c>
      <c r="H1018">
        <v>17</v>
      </c>
      <c r="I1018">
        <v>0</v>
      </c>
      <c r="J1018" t="s">
        <v>34</v>
      </c>
      <c r="K1018" t="s">
        <v>65</v>
      </c>
      <c r="L1018">
        <v>52</v>
      </c>
      <c r="M1018">
        <v>99.614000000000004</v>
      </c>
      <c r="N1018">
        <v>101.942604</v>
      </c>
      <c r="O1018">
        <v>35.612000000000002</v>
      </c>
      <c r="P1018">
        <v>34.408000000000001</v>
      </c>
      <c r="Q1018">
        <v>29.425999999999998</v>
      </c>
      <c r="R1018" t="s">
        <v>518</v>
      </c>
      <c r="S1018" t="s">
        <v>83</v>
      </c>
      <c r="T1018">
        <f>IF(TRIM(Table1[[#This Row],[PitStopLaps]])="",0,
LEN(Table1[[#This Row],[PitStopLaps]])-LEN(SUBSTITUTE(Table1[[#This Row],[PitStopLaps]],",",""))+1)</f>
        <v>2</v>
      </c>
      <c r="U1018">
        <f>Table1[[#This Row],[StartPosition]]-Table1[[#This Row],[FinishPosition]]</f>
        <v>-1</v>
      </c>
    </row>
    <row r="1019" spans="1:21" x14ac:dyDescent="0.3">
      <c r="A1019">
        <v>2020</v>
      </c>
      <c r="B1019">
        <v>10</v>
      </c>
      <c r="C1019" t="s">
        <v>205</v>
      </c>
      <c r="D1019" t="s">
        <v>252</v>
      </c>
      <c r="E1019" t="s">
        <v>253</v>
      </c>
      <c r="F1019" t="s">
        <v>60</v>
      </c>
      <c r="G1019">
        <v>13</v>
      </c>
      <c r="H1019">
        <v>18</v>
      </c>
      <c r="I1019">
        <v>0</v>
      </c>
      <c r="J1019" t="s">
        <v>34</v>
      </c>
      <c r="K1019" t="s">
        <v>65</v>
      </c>
      <c r="L1019">
        <v>52</v>
      </c>
      <c r="M1019">
        <v>97.352000000000004</v>
      </c>
      <c r="N1019">
        <v>102.54497600000001</v>
      </c>
      <c r="O1019">
        <v>35.000999999999998</v>
      </c>
      <c r="P1019">
        <v>33.676000000000002</v>
      </c>
      <c r="Q1019">
        <v>28.675000000000001</v>
      </c>
      <c r="R1019" t="s">
        <v>519</v>
      </c>
      <c r="S1019" t="s">
        <v>83</v>
      </c>
      <c r="T1019">
        <f>IF(TRIM(Table1[[#This Row],[PitStopLaps]])="",0,
LEN(Table1[[#This Row],[PitStopLaps]])-LEN(SUBSTITUTE(Table1[[#This Row],[PitStopLaps]],",",""))+1)</f>
        <v>3</v>
      </c>
      <c r="U1019">
        <f>Table1[[#This Row],[StartPosition]]-Table1[[#This Row],[FinishPosition]]</f>
        <v>-5</v>
      </c>
    </row>
    <row r="1020" spans="1:21" x14ac:dyDescent="0.3">
      <c r="A1020">
        <v>2020</v>
      </c>
      <c r="B1020">
        <v>10</v>
      </c>
      <c r="C1020" t="s">
        <v>205</v>
      </c>
      <c r="D1020" t="s">
        <v>47</v>
      </c>
      <c r="E1020" t="s">
        <v>48</v>
      </c>
      <c r="F1020" t="s">
        <v>37</v>
      </c>
      <c r="G1020">
        <v>6</v>
      </c>
      <c r="H1020">
        <v>19</v>
      </c>
      <c r="I1020">
        <v>0</v>
      </c>
      <c r="J1020" t="s">
        <v>34</v>
      </c>
      <c r="K1020" t="s">
        <v>123</v>
      </c>
      <c r="L1020">
        <v>1</v>
      </c>
      <c r="S1020" t="s">
        <v>83</v>
      </c>
      <c r="T1020">
        <f>IF(TRIM(Table1[[#This Row],[PitStopLaps]])="",0,
LEN(Table1[[#This Row],[PitStopLaps]])-LEN(SUBSTITUTE(Table1[[#This Row],[PitStopLaps]],",",""))+1)</f>
        <v>0</v>
      </c>
      <c r="U1020">
        <f>Table1[[#This Row],[StartPosition]]-Table1[[#This Row],[FinishPosition]]</f>
        <v>-13</v>
      </c>
    </row>
    <row r="1021" spans="1:21" x14ac:dyDescent="0.3">
      <c r="A1021">
        <v>2020</v>
      </c>
      <c r="B1021">
        <v>10</v>
      </c>
      <c r="C1021" t="s">
        <v>205</v>
      </c>
      <c r="D1021" t="s">
        <v>58</v>
      </c>
      <c r="E1021" t="s">
        <v>59</v>
      </c>
      <c r="F1021" t="s">
        <v>192</v>
      </c>
      <c r="G1021">
        <v>12</v>
      </c>
      <c r="H1021">
        <v>20</v>
      </c>
      <c r="I1021">
        <v>0</v>
      </c>
      <c r="J1021" t="s">
        <v>34</v>
      </c>
      <c r="K1021" t="s">
        <v>124</v>
      </c>
      <c r="L1021">
        <v>1</v>
      </c>
      <c r="S1021" t="s">
        <v>83</v>
      </c>
      <c r="T1021">
        <f>IF(TRIM(Table1[[#This Row],[PitStopLaps]])="",0,
LEN(Table1[[#This Row],[PitStopLaps]])-LEN(SUBSTITUTE(Table1[[#This Row],[PitStopLaps]],",",""))+1)</f>
        <v>0</v>
      </c>
      <c r="U1021">
        <f>Table1[[#This Row],[StartPosition]]-Table1[[#This Row],[FinishPosition]]</f>
        <v>-8</v>
      </c>
    </row>
    <row r="1022" spans="1:21" x14ac:dyDescent="0.3">
      <c r="A1022">
        <v>2020</v>
      </c>
      <c r="B1022">
        <v>11</v>
      </c>
      <c r="C1022" t="s">
        <v>520</v>
      </c>
      <c r="D1022" t="s">
        <v>26</v>
      </c>
      <c r="E1022" t="s">
        <v>27</v>
      </c>
      <c r="F1022" t="s">
        <v>28</v>
      </c>
      <c r="G1022">
        <v>2</v>
      </c>
      <c r="H1022">
        <v>1</v>
      </c>
      <c r="I1022">
        <v>25</v>
      </c>
      <c r="J1022" t="s">
        <v>23</v>
      </c>
      <c r="K1022" t="s">
        <v>24</v>
      </c>
      <c r="L1022">
        <v>60</v>
      </c>
      <c r="M1022">
        <v>88.144999999999996</v>
      </c>
      <c r="N1022">
        <v>90.654371999999995</v>
      </c>
      <c r="O1022">
        <v>28.824000000000002</v>
      </c>
      <c r="P1022">
        <v>36.582000000000001</v>
      </c>
      <c r="Q1022">
        <v>22.652999999999999</v>
      </c>
      <c r="R1022" t="s">
        <v>329</v>
      </c>
      <c r="S1022" t="s">
        <v>25</v>
      </c>
      <c r="T1022">
        <f>IF(TRIM(Table1[[#This Row],[PitStopLaps]])="",0,
LEN(Table1[[#This Row],[PitStopLaps]])-LEN(SUBSTITUTE(Table1[[#This Row],[PitStopLaps]],",",""))+1)</f>
        <v>2</v>
      </c>
      <c r="U1022">
        <f>Table1[[#This Row],[StartPosition]]-Table1[[#This Row],[FinishPosition]]</f>
        <v>1</v>
      </c>
    </row>
    <row r="1023" spans="1:21" x14ac:dyDescent="0.3">
      <c r="A1023">
        <v>2020</v>
      </c>
      <c r="B1023">
        <v>11</v>
      </c>
      <c r="C1023" t="s">
        <v>520</v>
      </c>
      <c r="D1023" t="s">
        <v>38</v>
      </c>
      <c r="E1023" t="s">
        <v>39</v>
      </c>
      <c r="F1023" t="s">
        <v>33</v>
      </c>
      <c r="G1023">
        <v>3</v>
      </c>
      <c r="H1023">
        <v>2</v>
      </c>
      <c r="I1023">
        <v>19</v>
      </c>
      <c r="J1023" t="s">
        <v>23</v>
      </c>
      <c r="K1023" t="s">
        <v>24</v>
      </c>
      <c r="L1023">
        <v>60</v>
      </c>
      <c r="M1023">
        <v>88.138999999999996</v>
      </c>
      <c r="N1023">
        <v>90.972627000000003</v>
      </c>
      <c r="O1023">
        <v>28.643000000000001</v>
      </c>
      <c r="P1023">
        <v>36.631</v>
      </c>
      <c r="Q1023">
        <v>22.864999999999998</v>
      </c>
      <c r="R1023" t="s">
        <v>329</v>
      </c>
      <c r="S1023" t="s">
        <v>25</v>
      </c>
      <c r="T1023">
        <f>IF(TRIM(Table1[[#This Row],[PitStopLaps]])="",0,
LEN(Table1[[#This Row],[PitStopLaps]])-LEN(SUBSTITUTE(Table1[[#This Row],[PitStopLaps]],",",""))+1)</f>
        <v>2</v>
      </c>
      <c r="U1023">
        <f>Table1[[#This Row],[StartPosition]]-Table1[[#This Row],[FinishPosition]]</f>
        <v>1</v>
      </c>
    </row>
    <row r="1024" spans="1:21" x14ac:dyDescent="0.3">
      <c r="A1024">
        <v>2020</v>
      </c>
      <c r="B1024">
        <v>11</v>
      </c>
      <c r="C1024" t="s">
        <v>520</v>
      </c>
      <c r="D1024" t="s">
        <v>31</v>
      </c>
      <c r="E1024" t="s">
        <v>32</v>
      </c>
      <c r="F1024" t="s">
        <v>42</v>
      </c>
      <c r="G1024">
        <v>6</v>
      </c>
      <c r="H1024">
        <v>3</v>
      </c>
      <c r="I1024">
        <v>15</v>
      </c>
      <c r="J1024" t="s">
        <v>23</v>
      </c>
      <c r="K1024" t="s">
        <v>24</v>
      </c>
      <c r="L1024">
        <v>60</v>
      </c>
      <c r="M1024">
        <v>89.584000000000003</v>
      </c>
      <c r="N1024">
        <v>92.137196000000003</v>
      </c>
      <c r="O1024">
        <v>29.256</v>
      </c>
      <c r="P1024">
        <v>37.094000000000001</v>
      </c>
      <c r="Q1024">
        <v>23.155999999999999</v>
      </c>
      <c r="R1024" t="s">
        <v>521</v>
      </c>
      <c r="S1024" t="s">
        <v>25</v>
      </c>
      <c r="T1024">
        <f>IF(TRIM(Table1[[#This Row],[PitStopLaps]])="",0,
LEN(Table1[[#This Row],[PitStopLaps]])-LEN(SUBSTITUTE(Table1[[#This Row],[PitStopLaps]],",",""))+1)</f>
        <v>2</v>
      </c>
      <c r="U1024">
        <f>Table1[[#This Row],[StartPosition]]-Table1[[#This Row],[FinishPosition]]</f>
        <v>3</v>
      </c>
    </row>
    <row r="1025" spans="1:21" x14ac:dyDescent="0.3">
      <c r="A1025">
        <v>2020</v>
      </c>
      <c r="B1025">
        <v>11</v>
      </c>
      <c r="C1025" t="s">
        <v>520</v>
      </c>
      <c r="D1025" t="s">
        <v>49</v>
      </c>
      <c r="E1025" t="s">
        <v>50</v>
      </c>
      <c r="F1025" t="s">
        <v>192</v>
      </c>
      <c r="G1025">
        <v>9</v>
      </c>
      <c r="H1025">
        <v>4</v>
      </c>
      <c r="I1025">
        <v>12</v>
      </c>
      <c r="J1025" t="s">
        <v>34</v>
      </c>
      <c r="K1025" t="s">
        <v>24</v>
      </c>
      <c r="L1025">
        <v>60</v>
      </c>
      <c r="M1025">
        <v>89.7</v>
      </c>
      <c r="N1025">
        <v>92.289119999999997</v>
      </c>
      <c r="O1025">
        <v>29.265999999999998</v>
      </c>
      <c r="P1025">
        <v>37.250999999999998</v>
      </c>
      <c r="Q1025">
        <v>23.146000000000001</v>
      </c>
      <c r="R1025" t="s">
        <v>312</v>
      </c>
      <c r="S1025" t="s">
        <v>25</v>
      </c>
      <c r="T1025">
        <f>IF(TRIM(Table1[[#This Row],[PitStopLaps]])="",0,
LEN(Table1[[#This Row],[PitStopLaps]])-LEN(SUBSTITUTE(Table1[[#This Row],[PitStopLaps]],",",""))+1)</f>
        <v>2</v>
      </c>
      <c r="U1025">
        <f>Table1[[#This Row],[StartPosition]]-Table1[[#This Row],[FinishPosition]]</f>
        <v>5</v>
      </c>
    </row>
    <row r="1026" spans="1:21" x14ac:dyDescent="0.3">
      <c r="A1026">
        <v>2020</v>
      </c>
      <c r="B1026">
        <v>11</v>
      </c>
      <c r="C1026" t="s">
        <v>520</v>
      </c>
      <c r="D1026" t="s">
        <v>47</v>
      </c>
      <c r="E1026" t="s">
        <v>48</v>
      </c>
      <c r="F1026" t="s">
        <v>37</v>
      </c>
      <c r="G1026">
        <v>10</v>
      </c>
      <c r="H1026">
        <v>5</v>
      </c>
      <c r="I1026">
        <v>10</v>
      </c>
      <c r="J1026" t="s">
        <v>34</v>
      </c>
      <c r="K1026" t="s">
        <v>24</v>
      </c>
      <c r="L1026">
        <v>60</v>
      </c>
      <c r="M1026">
        <v>90.129000000000005</v>
      </c>
      <c r="N1026">
        <v>92.503119999999996</v>
      </c>
      <c r="O1026">
        <v>29.533000000000001</v>
      </c>
      <c r="P1026">
        <v>37.384999999999998</v>
      </c>
      <c r="Q1026">
        <v>23.193000000000001</v>
      </c>
      <c r="R1026" t="s">
        <v>522</v>
      </c>
      <c r="S1026" t="s">
        <v>25</v>
      </c>
      <c r="T1026">
        <f>IF(TRIM(Table1[[#This Row],[PitStopLaps]])="",0,
LEN(Table1[[#This Row],[PitStopLaps]])-LEN(SUBSTITUTE(Table1[[#This Row],[PitStopLaps]],",",""))+1)</f>
        <v>2</v>
      </c>
      <c r="U1026">
        <f>Table1[[#This Row],[StartPosition]]-Table1[[#This Row],[FinishPosition]]</f>
        <v>5</v>
      </c>
    </row>
    <row r="1027" spans="1:21" x14ac:dyDescent="0.3">
      <c r="A1027">
        <v>2020</v>
      </c>
      <c r="B1027">
        <v>11</v>
      </c>
      <c r="C1027" t="s">
        <v>520</v>
      </c>
      <c r="D1027" t="s">
        <v>73</v>
      </c>
      <c r="E1027" t="s">
        <v>74</v>
      </c>
      <c r="F1027" t="s">
        <v>438</v>
      </c>
      <c r="G1027">
        <v>12</v>
      </c>
      <c r="H1027">
        <v>6</v>
      </c>
      <c r="I1027">
        <v>8</v>
      </c>
      <c r="J1027" t="s">
        <v>34</v>
      </c>
      <c r="K1027" t="s">
        <v>24</v>
      </c>
      <c r="L1027">
        <v>60</v>
      </c>
      <c r="M1027">
        <v>90.11</v>
      </c>
      <c r="N1027">
        <v>92.962599999999995</v>
      </c>
      <c r="O1027">
        <v>29.343</v>
      </c>
      <c r="P1027">
        <v>37.414000000000001</v>
      </c>
      <c r="Q1027">
        <v>23.13</v>
      </c>
      <c r="R1027" t="s">
        <v>523</v>
      </c>
      <c r="S1027" t="s">
        <v>25</v>
      </c>
      <c r="T1027">
        <f>IF(TRIM(Table1[[#This Row],[PitStopLaps]])="",0,
LEN(Table1[[#This Row],[PitStopLaps]])-LEN(SUBSTITUTE(Table1[[#This Row],[PitStopLaps]],",",""))+1)</f>
        <v>2</v>
      </c>
      <c r="U1027">
        <f>Table1[[#This Row],[StartPosition]]-Table1[[#This Row],[FinishPosition]]</f>
        <v>6</v>
      </c>
    </row>
    <row r="1028" spans="1:21" x14ac:dyDescent="0.3">
      <c r="A1028">
        <v>2020</v>
      </c>
      <c r="B1028">
        <v>11</v>
      </c>
      <c r="C1028" t="s">
        <v>520</v>
      </c>
      <c r="D1028" t="s">
        <v>54</v>
      </c>
      <c r="E1028" t="s">
        <v>55</v>
      </c>
      <c r="F1028" t="s">
        <v>22</v>
      </c>
      <c r="G1028">
        <v>4</v>
      </c>
      <c r="H1028">
        <v>7</v>
      </c>
      <c r="I1028">
        <v>6</v>
      </c>
      <c r="J1028" t="s">
        <v>34</v>
      </c>
      <c r="K1028" t="s">
        <v>24</v>
      </c>
      <c r="L1028">
        <v>60</v>
      </c>
      <c r="M1028">
        <v>90.712000000000003</v>
      </c>
      <c r="N1028">
        <v>92.733041</v>
      </c>
      <c r="O1028">
        <v>29.571000000000002</v>
      </c>
      <c r="P1028">
        <v>37.723999999999997</v>
      </c>
      <c r="Q1028">
        <v>23.388999999999999</v>
      </c>
      <c r="R1028" t="s">
        <v>495</v>
      </c>
      <c r="S1028" t="s">
        <v>25</v>
      </c>
      <c r="T1028">
        <f>IF(TRIM(Table1[[#This Row],[PitStopLaps]])="",0,
LEN(Table1[[#This Row],[PitStopLaps]])-LEN(SUBSTITUTE(Table1[[#This Row],[PitStopLaps]],",",""))+1)</f>
        <v>2</v>
      </c>
      <c r="U1028">
        <f>Table1[[#This Row],[StartPosition]]-Table1[[#This Row],[FinishPosition]]</f>
        <v>-3</v>
      </c>
    </row>
    <row r="1029" spans="1:21" x14ac:dyDescent="0.3">
      <c r="A1029">
        <v>2020</v>
      </c>
      <c r="B1029">
        <v>11</v>
      </c>
      <c r="C1029" t="s">
        <v>520</v>
      </c>
      <c r="D1029" t="s">
        <v>40</v>
      </c>
      <c r="E1029" t="s">
        <v>41</v>
      </c>
      <c r="F1029" t="s">
        <v>192</v>
      </c>
      <c r="G1029">
        <v>20</v>
      </c>
      <c r="H1029">
        <v>8</v>
      </c>
      <c r="I1029">
        <v>4</v>
      </c>
      <c r="J1029" t="s">
        <v>34</v>
      </c>
      <c r="K1029" t="s">
        <v>24</v>
      </c>
      <c r="L1029">
        <v>60</v>
      </c>
      <c r="M1029">
        <v>90.733000000000004</v>
      </c>
      <c r="N1029">
        <v>93.259140000000002</v>
      </c>
      <c r="O1029">
        <v>29.655999999999999</v>
      </c>
      <c r="P1029">
        <v>37.719000000000001</v>
      </c>
      <c r="Q1029">
        <v>23.100999999999999</v>
      </c>
      <c r="R1029" t="s">
        <v>373</v>
      </c>
      <c r="S1029" t="s">
        <v>25</v>
      </c>
      <c r="T1029">
        <f>IF(TRIM(Table1[[#This Row],[PitStopLaps]])="",0,
LEN(Table1[[#This Row],[PitStopLaps]])-LEN(SUBSTITUTE(Table1[[#This Row],[PitStopLaps]],",",""))+1)</f>
        <v>2</v>
      </c>
      <c r="U1029">
        <f>Table1[[#This Row],[StartPosition]]-Table1[[#This Row],[FinishPosition]]</f>
        <v>12</v>
      </c>
    </row>
    <row r="1030" spans="1:21" x14ac:dyDescent="0.3">
      <c r="A1030">
        <v>2020</v>
      </c>
      <c r="B1030">
        <v>11</v>
      </c>
      <c r="C1030" t="s">
        <v>520</v>
      </c>
      <c r="D1030" t="s">
        <v>67</v>
      </c>
      <c r="E1030" t="s">
        <v>68</v>
      </c>
      <c r="F1030" t="s">
        <v>69</v>
      </c>
      <c r="G1030">
        <v>16</v>
      </c>
      <c r="H1030">
        <v>9</v>
      </c>
      <c r="I1030">
        <v>2</v>
      </c>
      <c r="J1030" t="s">
        <v>34</v>
      </c>
      <c r="K1030" t="s">
        <v>24</v>
      </c>
      <c r="L1030">
        <v>60</v>
      </c>
      <c r="M1030">
        <v>91.561999999999998</v>
      </c>
      <c r="N1030">
        <v>93.460920000000002</v>
      </c>
      <c r="O1030">
        <v>29.843</v>
      </c>
      <c r="P1030">
        <v>37.817999999999998</v>
      </c>
      <c r="Q1030">
        <v>23.728999999999999</v>
      </c>
      <c r="R1030">
        <v>28</v>
      </c>
      <c r="S1030" t="s">
        <v>25</v>
      </c>
      <c r="T1030">
        <f>IF(TRIM(Table1[[#This Row],[PitStopLaps]])="",0,
LEN(Table1[[#This Row],[PitStopLaps]])-LEN(SUBSTITUTE(Table1[[#This Row],[PitStopLaps]],",",""))+1)</f>
        <v>1</v>
      </c>
      <c r="U1030">
        <f>Table1[[#This Row],[StartPosition]]-Table1[[#This Row],[FinishPosition]]</f>
        <v>7</v>
      </c>
    </row>
    <row r="1031" spans="1:21" x14ac:dyDescent="0.3">
      <c r="A1031">
        <v>2020</v>
      </c>
      <c r="B1031">
        <v>11</v>
      </c>
      <c r="C1031" t="s">
        <v>520</v>
      </c>
      <c r="D1031" t="s">
        <v>250</v>
      </c>
      <c r="E1031" t="s">
        <v>251</v>
      </c>
      <c r="F1031" t="s">
        <v>243</v>
      </c>
      <c r="G1031">
        <v>14</v>
      </c>
      <c r="H1031">
        <v>10</v>
      </c>
      <c r="I1031">
        <v>1</v>
      </c>
      <c r="J1031" t="s">
        <v>34</v>
      </c>
      <c r="K1031" t="s">
        <v>24</v>
      </c>
      <c r="L1031">
        <v>60</v>
      </c>
      <c r="M1031">
        <v>90.909000000000006</v>
      </c>
      <c r="N1031">
        <v>93.290978999999993</v>
      </c>
      <c r="O1031">
        <v>29.672999999999998</v>
      </c>
      <c r="P1031">
        <v>37.808</v>
      </c>
      <c r="Q1031">
        <v>23.425000000000001</v>
      </c>
      <c r="R1031" t="s">
        <v>393</v>
      </c>
      <c r="S1031" t="s">
        <v>25</v>
      </c>
      <c r="T1031">
        <f>IF(TRIM(Table1[[#This Row],[PitStopLaps]])="",0,
LEN(Table1[[#This Row],[PitStopLaps]])-LEN(SUBSTITUTE(Table1[[#This Row],[PitStopLaps]],",",""))+1)</f>
        <v>2</v>
      </c>
      <c r="U1031">
        <f>Table1[[#This Row],[StartPosition]]-Table1[[#This Row],[FinishPosition]]</f>
        <v>4</v>
      </c>
    </row>
    <row r="1032" spans="1:21" x14ac:dyDescent="0.3">
      <c r="A1032">
        <v>2020</v>
      </c>
      <c r="B1032">
        <v>11</v>
      </c>
      <c r="C1032" t="s">
        <v>520</v>
      </c>
      <c r="D1032" t="s">
        <v>20</v>
      </c>
      <c r="E1032" t="s">
        <v>21</v>
      </c>
      <c r="F1032" t="s">
        <v>22</v>
      </c>
      <c r="G1032">
        <v>11</v>
      </c>
      <c r="H1032">
        <v>11</v>
      </c>
      <c r="I1032">
        <v>0</v>
      </c>
      <c r="J1032" t="s">
        <v>34</v>
      </c>
      <c r="K1032" t="s">
        <v>24</v>
      </c>
      <c r="L1032">
        <v>60</v>
      </c>
      <c r="M1032">
        <v>90.408000000000001</v>
      </c>
      <c r="N1032">
        <v>93.261255000000006</v>
      </c>
      <c r="O1032">
        <v>29.538</v>
      </c>
      <c r="P1032">
        <v>37.582999999999998</v>
      </c>
      <c r="Q1032">
        <v>23.286999999999999</v>
      </c>
      <c r="R1032" t="s">
        <v>524</v>
      </c>
      <c r="S1032" t="s">
        <v>25</v>
      </c>
      <c r="T1032">
        <f>IF(TRIM(Table1[[#This Row],[PitStopLaps]])="",0,
LEN(Table1[[#This Row],[PitStopLaps]])-LEN(SUBSTITUTE(Table1[[#This Row],[PitStopLaps]],",",""))+1)</f>
        <v>2</v>
      </c>
      <c r="U1032">
        <f>Table1[[#This Row],[StartPosition]]-Table1[[#This Row],[FinishPosition]]</f>
        <v>0</v>
      </c>
    </row>
    <row r="1033" spans="1:21" x14ac:dyDescent="0.3">
      <c r="A1033">
        <v>2020</v>
      </c>
      <c r="B1033">
        <v>11</v>
      </c>
      <c r="C1033" t="s">
        <v>520</v>
      </c>
      <c r="D1033" t="s">
        <v>29</v>
      </c>
      <c r="E1033" t="s">
        <v>30</v>
      </c>
      <c r="F1033" t="s">
        <v>243</v>
      </c>
      <c r="G1033">
        <v>19</v>
      </c>
      <c r="H1033">
        <v>12</v>
      </c>
      <c r="I1033">
        <v>0</v>
      </c>
      <c r="J1033" t="s">
        <v>34</v>
      </c>
      <c r="K1033" t="s">
        <v>24</v>
      </c>
      <c r="L1033">
        <v>60</v>
      </c>
      <c r="M1033">
        <v>90.512</v>
      </c>
      <c r="N1033">
        <v>93.477877000000007</v>
      </c>
      <c r="O1033">
        <v>29.614000000000001</v>
      </c>
      <c r="P1033">
        <v>37.524999999999999</v>
      </c>
      <c r="Q1033">
        <v>23.271999999999998</v>
      </c>
      <c r="R1033" t="s">
        <v>399</v>
      </c>
      <c r="S1033" t="s">
        <v>25</v>
      </c>
      <c r="T1033">
        <f>IF(TRIM(Table1[[#This Row],[PitStopLaps]])="",0,
LEN(Table1[[#This Row],[PitStopLaps]])-LEN(SUBSTITUTE(Table1[[#This Row],[PitStopLaps]],",",""))+1)</f>
        <v>2</v>
      </c>
      <c r="U1033">
        <f>Table1[[#This Row],[StartPosition]]-Table1[[#This Row],[FinishPosition]]</f>
        <v>7</v>
      </c>
    </row>
    <row r="1034" spans="1:21" x14ac:dyDescent="0.3">
      <c r="A1034">
        <v>2020</v>
      </c>
      <c r="B1034">
        <v>11</v>
      </c>
      <c r="C1034" t="s">
        <v>520</v>
      </c>
      <c r="D1034" t="s">
        <v>71</v>
      </c>
      <c r="E1034" t="s">
        <v>72</v>
      </c>
      <c r="F1034" t="s">
        <v>69</v>
      </c>
      <c r="G1034">
        <v>15</v>
      </c>
      <c r="H1034">
        <v>13</v>
      </c>
      <c r="I1034">
        <v>0</v>
      </c>
      <c r="J1034" t="s">
        <v>34</v>
      </c>
      <c r="K1034" t="s">
        <v>24</v>
      </c>
      <c r="L1034">
        <v>60</v>
      </c>
      <c r="M1034">
        <v>90.456000000000003</v>
      </c>
      <c r="N1034">
        <v>93.351708000000002</v>
      </c>
      <c r="O1034">
        <v>29.524000000000001</v>
      </c>
      <c r="P1034">
        <v>37.475000000000001</v>
      </c>
      <c r="Q1034">
        <v>23.457000000000001</v>
      </c>
      <c r="R1034" t="s">
        <v>525</v>
      </c>
      <c r="S1034" t="s">
        <v>25</v>
      </c>
      <c r="T1034">
        <f>IF(TRIM(Table1[[#This Row],[PitStopLaps]])="",0,
LEN(Table1[[#This Row],[PitStopLaps]])-LEN(SUBSTITUTE(Table1[[#This Row],[PitStopLaps]],",",""))+1)</f>
        <v>2</v>
      </c>
      <c r="U1034">
        <f>Table1[[#This Row],[StartPosition]]-Table1[[#This Row],[FinishPosition]]</f>
        <v>2</v>
      </c>
    </row>
    <row r="1035" spans="1:21" x14ac:dyDescent="0.3">
      <c r="A1035">
        <v>2020</v>
      </c>
      <c r="B1035">
        <v>11</v>
      </c>
      <c r="C1035" t="s">
        <v>520</v>
      </c>
      <c r="D1035" t="s">
        <v>440</v>
      </c>
      <c r="E1035" t="s">
        <v>441</v>
      </c>
      <c r="F1035" t="s">
        <v>60</v>
      </c>
      <c r="G1035">
        <v>18</v>
      </c>
      <c r="H1035">
        <v>14</v>
      </c>
      <c r="I1035">
        <v>0</v>
      </c>
      <c r="J1035" t="s">
        <v>34</v>
      </c>
      <c r="K1035" t="s">
        <v>24</v>
      </c>
      <c r="L1035">
        <v>60</v>
      </c>
      <c r="M1035">
        <v>91.376999999999995</v>
      </c>
      <c r="N1035">
        <v>93.596145000000007</v>
      </c>
      <c r="O1035">
        <v>29.736999999999998</v>
      </c>
      <c r="P1035">
        <v>37.808999999999997</v>
      </c>
      <c r="Q1035">
        <v>23.533000000000001</v>
      </c>
      <c r="R1035" t="s">
        <v>526</v>
      </c>
      <c r="S1035" t="s">
        <v>25</v>
      </c>
      <c r="T1035">
        <f>IF(TRIM(Table1[[#This Row],[PitStopLaps]])="",0,
LEN(Table1[[#This Row],[PitStopLaps]])-LEN(SUBSTITUTE(Table1[[#This Row],[PitStopLaps]],",",""))+1)</f>
        <v>2</v>
      </c>
      <c r="U1035">
        <f>Table1[[#This Row],[StartPosition]]-Table1[[#This Row],[FinishPosition]]</f>
        <v>4</v>
      </c>
    </row>
    <row r="1036" spans="1:21" x14ac:dyDescent="0.3">
      <c r="A1036">
        <v>2020</v>
      </c>
      <c r="B1036">
        <v>11</v>
      </c>
      <c r="C1036" t="s">
        <v>520</v>
      </c>
      <c r="D1036" t="s">
        <v>244</v>
      </c>
      <c r="E1036" t="s">
        <v>245</v>
      </c>
      <c r="F1036" t="s">
        <v>438</v>
      </c>
      <c r="G1036">
        <v>13</v>
      </c>
      <c r="H1036">
        <v>15</v>
      </c>
      <c r="I1036">
        <v>0</v>
      </c>
      <c r="J1036" t="s">
        <v>34</v>
      </c>
      <c r="K1036" t="s">
        <v>24</v>
      </c>
      <c r="L1036">
        <v>60</v>
      </c>
      <c r="M1036">
        <v>92.213999999999999</v>
      </c>
      <c r="N1036">
        <v>93.486223999999893</v>
      </c>
      <c r="O1036">
        <v>29.962</v>
      </c>
      <c r="P1036">
        <v>38.42</v>
      </c>
      <c r="Q1036">
        <v>23.491</v>
      </c>
      <c r="R1036" t="s">
        <v>527</v>
      </c>
      <c r="S1036" t="s">
        <v>25</v>
      </c>
      <c r="T1036">
        <f>IF(TRIM(Table1[[#This Row],[PitStopLaps]])="",0,
LEN(Table1[[#This Row],[PitStopLaps]])-LEN(SUBSTITUTE(Table1[[#This Row],[PitStopLaps]],",",""))+1)</f>
        <v>2</v>
      </c>
      <c r="U1036">
        <f>Table1[[#This Row],[StartPosition]]-Table1[[#This Row],[FinishPosition]]</f>
        <v>-2</v>
      </c>
    </row>
    <row r="1037" spans="1:21" x14ac:dyDescent="0.3">
      <c r="A1037">
        <v>2020</v>
      </c>
      <c r="B1037">
        <v>11</v>
      </c>
      <c r="C1037" t="s">
        <v>520</v>
      </c>
      <c r="D1037" t="s">
        <v>246</v>
      </c>
      <c r="E1037" t="s">
        <v>247</v>
      </c>
      <c r="F1037" t="s">
        <v>37</v>
      </c>
      <c r="G1037">
        <v>8</v>
      </c>
      <c r="H1037">
        <v>16</v>
      </c>
      <c r="I1037">
        <v>0</v>
      </c>
      <c r="J1037" t="s">
        <v>34</v>
      </c>
      <c r="K1037" t="s">
        <v>167</v>
      </c>
      <c r="L1037">
        <v>43</v>
      </c>
      <c r="M1037">
        <v>92.328000000000003</v>
      </c>
      <c r="N1037">
        <v>93.503421000000003</v>
      </c>
      <c r="O1037">
        <v>30.125</v>
      </c>
      <c r="P1037">
        <v>38.292000000000002</v>
      </c>
      <c r="Q1037">
        <v>23.693999999999999</v>
      </c>
      <c r="R1037">
        <v>29</v>
      </c>
      <c r="S1037" t="s">
        <v>25</v>
      </c>
      <c r="T1037">
        <f>IF(TRIM(Table1[[#This Row],[PitStopLaps]])="",0,
LEN(Table1[[#This Row],[PitStopLaps]])-LEN(SUBSTITUTE(Table1[[#This Row],[PitStopLaps]],",",""))+1)</f>
        <v>1</v>
      </c>
      <c r="U1037">
        <f>Table1[[#This Row],[StartPosition]]-Table1[[#This Row],[FinishPosition]]</f>
        <v>-8</v>
      </c>
    </row>
    <row r="1038" spans="1:21" x14ac:dyDescent="0.3">
      <c r="A1038">
        <v>2020</v>
      </c>
      <c r="B1038">
        <v>11</v>
      </c>
      <c r="C1038" t="s">
        <v>520</v>
      </c>
      <c r="D1038" t="s">
        <v>248</v>
      </c>
      <c r="E1038" t="s">
        <v>249</v>
      </c>
      <c r="F1038" t="s">
        <v>33</v>
      </c>
      <c r="G1038">
        <v>5</v>
      </c>
      <c r="H1038">
        <v>17</v>
      </c>
      <c r="I1038">
        <v>0</v>
      </c>
      <c r="J1038" t="s">
        <v>34</v>
      </c>
      <c r="K1038" t="s">
        <v>528</v>
      </c>
      <c r="L1038">
        <v>23</v>
      </c>
      <c r="M1038">
        <v>92.33</v>
      </c>
      <c r="N1038">
        <v>93.691833000000003</v>
      </c>
      <c r="O1038">
        <v>29.972999999999999</v>
      </c>
      <c r="P1038">
        <v>38.168999999999997</v>
      </c>
      <c r="Q1038">
        <v>23.745999999999999</v>
      </c>
      <c r="R1038" t="s">
        <v>478</v>
      </c>
      <c r="S1038" t="s">
        <v>25</v>
      </c>
      <c r="T1038">
        <f>IF(TRIM(Table1[[#This Row],[PitStopLaps]])="",0,
LEN(Table1[[#This Row],[PitStopLaps]])-LEN(SUBSTITUTE(Table1[[#This Row],[PitStopLaps]],",",""))+1)</f>
        <v>2</v>
      </c>
      <c r="U1038">
        <f>Table1[[#This Row],[StartPosition]]-Table1[[#This Row],[FinishPosition]]</f>
        <v>-12</v>
      </c>
    </row>
    <row r="1039" spans="1:21" x14ac:dyDescent="0.3">
      <c r="A1039">
        <v>2020</v>
      </c>
      <c r="B1039">
        <v>11</v>
      </c>
      <c r="C1039" t="s">
        <v>520</v>
      </c>
      <c r="D1039" t="s">
        <v>52</v>
      </c>
      <c r="E1039" t="s">
        <v>53</v>
      </c>
      <c r="F1039" t="s">
        <v>42</v>
      </c>
      <c r="G1039">
        <v>7</v>
      </c>
      <c r="H1039">
        <v>18</v>
      </c>
      <c r="I1039">
        <v>0</v>
      </c>
      <c r="J1039" t="s">
        <v>34</v>
      </c>
      <c r="K1039" t="s">
        <v>132</v>
      </c>
      <c r="L1039">
        <v>22</v>
      </c>
      <c r="M1039">
        <v>93.188999999999993</v>
      </c>
      <c r="N1039">
        <v>94.022473000000005</v>
      </c>
      <c r="O1039">
        <v>30.234999999999999</v>
      </c>
      <c r="P1039">
        <v>39.03</v>
      </c>
      <c r="Q1039">
        <v>23.806000000000001</v>
      </c>
      <c r="R1039">
        <v>22</v>
      </c>
      <c r="S1039" t="s">
        <v>25</v>
      </c>
      <c r="T1039">
        <f>IF(TRIM(Table1[[#This Row],[PitStopLaps]])="",0,
LEN(Table1[[#This Row],[PitStopLaps]])-LEN(SUBSTITUTE(Table1[[#This Row],[PitStopLaps]],",",""))+1)</f>
        <v>1</v>
      </c>
      <c r="U1039">
        <f>Table1[[#This Row],[StartPosition]]-Table1[[#This Row],[FinishPosition]]</f>
        <v>-11</v>
      </c>
    </row>
    <row r="1040" spans="1:21" x14ac:dyDescent="0.3">
      <c r="A1040">
        <v>2020</v>
      </c>
      <c r="B1040">
        <v>11</v>
      </c>
      <c r="C1040" t="s">
        <v>520</v>
      </c>
      <c r="D1040" t="s">
        <v>43</v>
      </c>
      <c r="E1040" t="s">
        <v>44</v>
      </c>
      <c r="F1040" t="s">
        <v>28</v>
      </c>
      <c r="G1040">
        <v>1</v>
      </c>
      <c r="H1040">
        <v>19</v>
      </c>
      <c r="I1040">
        <v>0</v>
      </c>
      <c r="J1040" t="s">
        <v>34</v>
      </c>
      <c r="K1040" t="s">
        <v>167</v>
      </c>
      <c r="L1040">
        <v>18</v>
      </c>
      <c r="M1040">
        <v>91.884</v>
      </c>
      <c r="N1040">
        <v>92.056272000000007</v>
      </c>
      <c r="O1040">
        <v>30.039000000000001</v>
      </c>
      <c r="P1040">
        <v>38.116999999999997</v>
      </c>
      <c r="Q1040">
        <v>23.22</v>
      </c>
      <c r="R1040" t="s">
        <v>529</v>
      </c>
      <c r="S1040" t="s">
        <v>25</v>
      </c>
      <c r="T1040">
        <f>IF(TRIM(Table1[[#This Row],[PitStopLaps]])="",0,
LEN(Table1[[#This Row],[PitStopLaps]])-LEN(SUBSTITUTE(Table1[[#This Row],[PitStopLaps]],",",""))+1)</f>
        <v>2</v>
      </c>
      <c r="U1040">
        <f>Table1[[#This Row],[StartPosition]]-Table1[[#This Row],[FinishPosition]]</f>
        <v>-18</v>
      </c>
    </row>
    <row r="1041" spans="1:21" x14ac:dyDescent="0.3">
      <c r="A1041">
        <v>2020</v>
      </c>
      <c r="B1041">
        <v>11</v>
      </c>
      <c r="C1041" t="s">
        <v>520</v>
      </c>
      <c r="D1041" t="s">
        <v>252</v>
      </c>
      <c r="E1041" t="s">
        <v>253</v>
      </c>
      <c r="F1041" t="s">
        <v>60</v>
      </c>
      <c r="G1041">
        <v>17</v>
      </c>
      <c r="H1041">
        <v>20</v>
      </c>
      <c r="I1041">
        <v>0</v>
      </c>
      <c r="J1041" t="s">
        <v>34</v>
      </c>
      <c r="K1041" t="s">
        <v>124</v>
      </c>
      <c r="L1041">
        <v>13</v>
      </c>
      <c r="M1041">
        <v>94.525999999999996</v>
      </c>
      <c r="N1041">
        <v>95.281110999999996</v>
      </c>
      <c r="O1041">
        <v>30.975999999999999</v>
      </c>
      <c r="P1041">
        <v>39.281999999999996</v>
      </c>
      <c r="Q1041">
        <v>24.04</v>
      </c>
      <c r="R1041">
        <v>11</v>
      </c>
      <c r="S1041" t="s">
        <v>25</v>
      </c>
      <c r="T1041">
        <f>IF(TRIM(Table1[[#This Row],[PitStopLaps]])="",0,
LEN(Table1[[#This Row],[PitStopLaps]])-LEN(SUBSTITUTE(Table1[[#This Row],[PitStopLaps]],",",""))+1)</f>
        <v>1</v>
      </c>
      <c r="U1041">
        <f>Table1[[#This Row],[StartPosition]]-Table1[[#This Row],[FinishPosition]]</f>
        <v>-3</v>
      </c>
    </row>
    <row r="1042" spans="1:21" x14ac:dyDescent="0.3">
      <c r="A1042">
        <v>2020</v>
      </c>
      <c r="B1042">
        <v>12</v>
      </c>
      <c r="C1042" t="s">
        <v>530</v>
      </c>
      <c r="D1042" t="s">
        <v>26</v>
      </c>
      <c r="E1042" t="s">
        <v>27</v>
      </c>
      <c r="F1042" t="s">
        <v>28</v>
      </c>
      <c r="G1042">
        <v>1</v>
      </c>
      <c r="H1042">
        <v>1</v>
      </c>
      <c r="I1042">
        <v>26</v>
      </c>
      <c r="J1042" t="s">
        <v>23</v>
      </c>
      <c r="K1042" t="s">
        <v>24</v>
      </c>
      <c r="L1042">
        <v>66</v>
      </c>
      <c r="M1042">
        <v>78.75</v>
      </c>
      <c r="N1042">
        <v>81.068173999999999</v>
      </c>
      <c r="O1042">
        <v>22.928000000000001</v>
      </c>
      <c r="P1042">
        <v>30.103000000000002</v>
      </c>
      <c r="Q1042">
        <v>25.651</v>
      </c>
      <c r="R1042">
        <v>40</v>
      </c>
      <c r="S1042" t="s">
        <v>83</v>
      </c>
      <c r="T1042">
        <f>IF(TRIM(Table1[[#This Row],[PitStopLaps]])="",0,
LEN(Table1[[#This Row],[PitStopLaps]])-LEN(SUBSTITUTE(Table1[[#This Row],[PitStopLaps]],",",""))+1)</f>
        <v>1</v>
      </c>
      <c r="U1042">
        <f>Table1[[#This Row],[StartPosition]]-Table1[[#This Row],[FinishPosition]]</f>
        <v>0</v>
      </c>
    </row>
    <row r="1043" spans="1:21" x14ac:dyDescent="0.3">
      <c r="A1043">
        <v>2020</v>
      </c>
      <c r="B1043">
        <v>12</v>
      </c>
      <c r="C1043" t="s">
        <v>530</v>
      </c>
      <c r="D1043" t="s">
        <v>43</v>
      </c>
      <c r="E1043" t="s">
        <v>44</v>
      </c>
      <c r="F1043" t="s">
        <v>28</v>
      </c>
      <c r="G1043">
        <v>2</v>
      </c>
      <c r="H1043">
        <v>2</v>
      </c>
      <c r="I1043">
        <v>18</v>
      </c>
      <c r="J1043" t="s">
        <v>23</v>
      </c>
      <c r="K1043" t="s">
        <v>24</v>
      </c>
      <c r="L1043">
        <v>66</v>
      </c>
      <c r="M1043">
        <v>79.344999999999999</v>
      </c>
      <c r="N1043">
        <v>81.488237999999996</v>
      </c>
      <c r="O1043">
        <v>22.989000000000001</v>
      </c>
      <c r="P1043">
        <v>30.396000000000001</v>
      </c>
      <c r="Q1043">
        <v>25.914999999999999</v>
      </c>
      <c r="R1043">
        <v>41</v>
      </c>
      <c r="S1043" t="s">
        <v>83</v>
      </c>
      <c r="T1043">
        <f>IF(TRIM(Table1[[#This Row],[PitStopLaps]])="",0,
LEN(Table1[[#This Row],[PitStopLaps]])-LEN(SUBSTITUTE(Table1[[#This Row],[PitStopLaps]],",",""))+1)</f>
        <v>1</v>
      </c>
      <c r="U1043">
        <f>Table1[[#This Row],[StartPosition]]-Table1[[#This Row],[FinishPosition]]</f>
        <v>0</v>
      </c>
    </row>
    <row r="1044" spans="1:21" x14ac:dyDescent="0.3">
      <c r="A1044">
        <v>2020</v>
      </c>
      <c r="B1044">
        <v>12</v>
      </c>
      <c r="C1044" t="s">
        <v>530</v>
      </c>
      <c r="D1044" t="s">
        <v>38</v>
      </c>
      <c r="E1044" t="s">
        <v>39</v>
      </c>
      <c r="F1044" t="s">
        <v>33</v>
      </c>
      <c r="G1044">
        <v>3</v>
      </c>
      <c r="H1044">
        <v>3</v>
      </c>
      <c r="I1044">
        <v>15</v>
      </c>
      <c r="J1044" t="s">
        <v>23</v>
      </c>
      <c r="K1044" t="s">
        <v>24</v>
      </c>
      <c r="L1044">
        <v>66</v>
      </c>
      <c r="M1044">
        <v>79.853999999999999</v>
      </c>
      <c r="N1044">
        <v>81.619809000000004</v>
      </c>
      <c r="O1044">
        <v>23.286000000000001</v>
      </c>
      <c r="P1044">
        <v>30.564</v>
      </c>
      <c r="Q1044">
        <v>25.829000000000001</v>
      </c>
      <c r="R1044">
        <v>23</v>
      </c>
      <c r="S1044" t="s">
        <v>83</v>
      </c>
      <c r="T1044">
        <f>IF(TRIM(Table1[[#This Row],[PitStopLaps]])="",0,
LEN(Table1[[#This Row],[PitStopLaps]])-LEN(SUBSTITUTE(Table1[[#This Row],[PitStopLaps]],",",""))+1)</f>
        <v>1</v>
      </c>
      <c r="U1044">
        <f>Table1[[#This Row],[StartPosition]]-Table1[[#This Row],[FinishPosition]]</f>
        <v>0</v>
      </c>
    </row>
    <row r="1045" spans="1:21" x14ac:dyDescent="0.3">
      <c r="A1045">
        <v>2020</v>
      </c>
      <c r="B1045">
        <v>12</v>
      </c>
      <c r="C1045" t="s">
        <v>530</v>
      </c>
      <c r="D1045" t="s">
        <v>54</v>
      </c>
      <c r="E1045" t="s">
        <v>55</v>
      </c>
      <c r="F1045" t="s">
        <v>22</v>
      </c>
      <c r="G1045">
        <v>4</v>
      </c>
      <c r="H1045">
        <v>4</v>
      </c>
      <c r="I1045">
        <v>12</v>
      </c>
      <c r="J1045" t="s">
        <v>34</v>
      </c>
      <c r="K1045" t="s">
        <v>24</v>
      </c>
      <c r="L1045">
        <v>66</v>
      </c>
      <c r="M1045">
        <v>80.408000000000001</v>
      </c>
      <c r="N1045">
        <v>82.097412000000006</v>
      </c>
      <c r="O1045">
        <v>23.344000000000001</v>
      </c>
      <c r="P1045">
        <v>30.853999999999999</v>
      </c>
      <c r="Q1045">
        <v>25.911000000000001</v>
      </c>
      <c r="R1045">
        <v>34</v>
      </c>
      <c r="S1045" t="s">
        <v>83</v>
      </c>
      <c r="T1045">
        <f>IF(TRIM(Table1[[#This Row],[PitStopLaps]])="",0,
LEN(Table1[[#This Row],[PitStopLaps]])-LEN(SUBSTITUTE(Table1[[#This Row],[PitStopLaps]],",",""))+1)</f>
        <v>1</v>
      </c>
      <c r="U1045">
        <f>Table1[[#This Row],[StartPosition]]-Table1[[#This Row],[FinishPosition]]</f>
        <v>0</v>
      </c>
    </row>
    <row r="1046" spans="1:21" x14ac:dyDescent="0.3">
      <c r="A1046">
        <v>2020</v>
      </c>
      <c r="B1046">
        <v>12</v>
      </c>
      <c r="C1046" t="s">
        <v>530</v>
      </c>
      <c r="D1046" t="s">
        <v>73</v>
      </c>
      <c r="E1046" t="s">
        <v>74</v>
      </c>
      <c r="F1046" t="s">
        <v>438</v>
      </c>
      <c r="G1046">
        <v>9</v>
      </c>
      <c r="H1046">
        <v>5</v>
      </c>
      <c r="I1046">
        <v>10</v>
      </c>
      <c r="J1046" t="s">
        <v>34</v>
      </c>
      <c r="K1046" t="s">
        <v>65</v>
      </c>
      <c r="L1046">
        <v>65</v>
      </c>
      <c r="M1046">
        <v>80.551000000000002</v>
      </c>
      <c r="N1046">
        <v>82.582950999999994</v>
      </c>
      <c r="O1046">
        <v>23.623999999999999</v>
      </c>
      <c r="P1046">
        <v>30.859000000000002</v>
      </c>
      <c r="Q1046">
        <v>25.866</v>
      </c>
      <c r="R1046">
        <v>28</v>
      </c>
      <c r="S1046" t="s">
        <v>83</v>
      </c>
      <c r="T1046">
        <f>IF(TRIM(Table1[[#This Row],[PitStopLaps]])="",0,
LEN(Table1[[#This Row],[PitStopLaps]])-LEN(SUBSTITUTE(Table1[[#This Row],[PitStopLaps]],",",""))+1)</f>
        <v>1</v>
      </c>
      <c r="U1046">
        <f>Table1[[#This Row],[StartPosition]]-Table1[[#This Row],[FinishPosition]]</f>
        <v>4</v>
      </c>
    </row>
    <row r="1047" spans="1:21" x14ac:dyDescent="0.3">
      <c r="A1047">
        <v>2020</v>
      </c>
      <c r="B1047">
        <v>12</v>
      </c>
      <c r="C1047" t="s">
        <v>530</v>
      </c>
      <c r="D1047" t="s">
        <v>47</v>
      </c>
      <c r="E1047" t="s">
        <v>48</v>
      </c>
      <c r="F1047" t="s">
        <v>37</v>
      </c>
      <c r="G1047">
        <v>7</v>
      </c>
      <c r="H1047">
        <v>6</v>
      </c>
      <c r="I1047">
        <v>8</v>
      </c>
      <c r="J1047" t="s">
        <v>34</v>
      </c>
      <c r="K1047" t="s">
        <v>65</v>
      </c>
      <c r="L1047">
        <v>65</v>
      </c>
      <c r="M1047">
        <v>80.268000000000001</v>
      </c>
      <c r="N1047">
        <v>82.649305999999996</v>
      </c>
      <c r="O1047">
        <v>22.978999999999999</v>
      </c>
      <c r="P1047">
        <v>30.838000000000001</v>
      </c>
      <c r="Q1047">
        <v>26.143000000000001</v>
      </c>
      <c r="R1047">
        <v>26</v>
      </c>
      <c r="S1047" t="s">
        <v>83</v>
      </c>
      <c r="T1047">
        <f>IF(TRIM(Table1[[#This Row],[PitStopLaps]])="",0,
LEN(Table1[[#This Row],[PitStopLaps]])-LEN(SUBSTITUTE(Table1[[#This Row],[PitStopLaps]],",",""))+1)</f>
        <v>1</v>
      </c>
      <c r="U1047">
        <f>Table1[[#This Row],[StartPosition]]-Table1[[#This Row],[FinishPosition]]</f>
        <v>1</v>
      </c>
    </row>
    <row r="1048" spans="1:21" x14ac:dyDescent="0.3">
      <c r="A1048">
        <v>2020</v>
      </c>
      <c r="B1048">
        <v>12</v>
      </c>
      <c r="C1048" t="s">
        <v>530</v>
      </c>
      <c r="D1048" t="s">
        <v>49</v>
      </c>
      <c r="E1048" t="s">
        <v>50</v>
      </c>
      <c r="F1048" t="s">
        <v>192</v>
      </c>
      <c r="G1048">
        <v>5</v>
      </c>
      <c r="H1048">
        <v>7</v>
      </c>
      <c r="I1048">
        <v>6</v>
      </c>
      <c r="J1048" t="s">
        <v>34</v>
      </c>
      <c r="K1048" t="s">
        <v>65</v>
      </c>
      <c r="L1048">
        <v>65</v>
      </c>
      <c r="M1048">
        <v>80.802000000000007</v>
      </c>
      <c r="N1048">
        <v>82.199933999999999</v>
      </c>
      <c r="O1048">
        <v>23.663</v>
      </c>
      <c r="P1048">
        <v>30.725999999999999</v>
      </c>
      <c r="Q1048">
        <v>26.236000000000001</v>
      </c>
      <c r="R1048" t="s">
        <v>531</v>
      </c>
      <c r="S1048" t="s">
        <v>83</v>
      </c>
      <c r="T1048">
        <f>IF(TRIM(Table1[[#This Row],[PitStopLaps]])="",0,
LEN(Table1[[#This Row],[PitStopLaps]])-LEN(SUBSTITUTE(Table1[[#This Row],[PitStopLaps]],",",""))+1)</f>
        <v>2</v>
      </c>
      <c r="U1048">
        <f>Table1[[#This Row],[StartPosition]]-Table1[[#This Row],[FinishPosition]]</f>
        <v>-2</v>
      </c>
    </row>
    <row r="1049" spans="1:21" x14ac:dyDescent="0.3">
      <c r="A1049">
        <v>2020</v>
      </c>
      <c r="B1049">
        <v>12</v>
      </c>
      <c r="C1049" t="s">
        <v>530</v>
      </c>
      <c r="D1049" t="s">
        <v>52</v>
      </c>
      <c r="E1049" t="s">
        <v>53</v>
      </c>
      <c r="F1049" t="s">
        <v>42</v>
      </c>
      <c r="G1049">
        <v>11</v>
      </c>
      <c r="H1049">
        <v>8</v>
      </c>
      <c r="I1049">
        <v>4</v>
      </c>
      <c r="J1049" t="s">
        <v>34</v>
      </c>
      <c r="K1049" t="s">
        <v>65</v>
      </c>
      <c r="L1049">
        <v>65</v>
      </c>
      <c r="M1049">
        <v>80.858999999999995</v>
      </c>
      <c r="N1049">
        <v>82.671790000000001</v>
      </c>
      <c r="O1049">
        <v>23.498000000000001</v>
      </c>
      <c r="P1049">
        <v>30.931000000000001</v>
      </c>
      <c r="Q1049">
        <v>26.172000000000001</v>
      </c>
      <c r="R1049">
        <v>53</v>
      </c>
      <c r="S1049" t="s">
        <v>83</v>
      </c>
      <c r="T1049">
        <f>IF(TRIM(Table1[[#This Row],[PitStopLaps]])="",0,
LEN(Table1[[#This Row],[PitStopLaps]])-LEN(SUBSTITUTE(Table1[[#This Row],[PitStopLaps]],",",""))+1)</f>
        <v>1</v>
      </c>
      <c r="U1049">
        <f>Table1[[#This Row],[StartPosition]]-Table1[[#This Row],[FinishPosition]]</f>
        <v>3</v>
      </c>
    </row>
    <row r="1050" spans="1:21" x14ac:dyDescent="0.3">
      <c r="A1050">
        <v>2020</v>
      </c>
      <c r="B1050">
        <v>12</v>
      </c>
      <c r="C1050" t="s">
        <v>530</v>
      </c>
      <c r="D1050" t="s">
        <v>31</v>
      </c>
      <c r="E1050" t="s">
        <v>32</v>
      </c>
      <c r="F1050" t="s">
        <v>42</v>
      </c>
      <c r="G1050">
        <v>10</v>
      </c>
      <c r="H1050">
        <v>9</v>
      </c>
      <c r="I1050">
        <v>2</v>
      </c>
      <c r="J1050" t="s">
        <v>34</v>
      </c>
      <c r="K1050" t="s">
        <v>65</v>
      </c>
      <c r="L1050">
        <v>65</v>
      </c>
      <c r="M1050">
        <v>80.906000000000006</v>
      </c>
      <c r="N1050">
        <v>82.688838000000004</v>
      </c>
      <c r="O1050">
        <v>23.521000000000001</v>
      </c>
      <c r="P1050">
        <v>31.042000000000002</v>
      </c>
      <c r="Q1050">
        <v>26.096</v>
      </c>
      <c r="R1050">
        <v>14</v>
      </c>
      <c r="S1050" t="s">
        <v>83</v>
      </c>
      <c r="T1050">
        <f>IF(TRIM(Table1[[#This Row],[PitStopLaps]])="",0,
LEN(Table1[[#This Row],[PitStopLaps]])-LEN(SUBSTITUTE(Table1[[#This Row],[PitStopLaps]],",",""))+1)</f>
        <v>1</v>
      </c>
      <c r="U1050">
        <f>Table1[[#This Row],[StartPosition]]-Table1[[#This Row],[FinishPosition]]</f>
        <v>1</v>
      </c>
    </row>
    <row r="1051" spans="1:21" x14ac:dyDescent="0.3">
      <c r="A1051">
        <v>2020</v>
      </c>
      <c r="B1051">
        <v>12</v>
      </c>
      <c r="C1051" t="s">
        <v>530</v>
      </c>
      <c r="D1051" t="s">
        <v>20</v>
      </c>
      <c r="E1051" t="s">
        <v>21</v>
      </c>
      <c r="F1051" t="s">
        <v>22</v>
      </c>
      <c r="G1051">
        <v>15</v>
      </c>
      <c r="H1051">
        <v>10</v>
      </c>
      <c r="I1051">
        <v>1</v>
      </c>
      <c r="J1051" t="s">
        <v>34</v>
      </c>
      <c r="K1051" t="s">
        <v>65</v>
      </c>
      <c r="L1051">
        <v>65</v>
      </c>
      <c r="M1051">
        <v>80.730999999999995</v>
      </c>
      <c r="N1051">
        <v>82.653564000000003</v>
      </c>
      <c r="O1051">
        <v>23.417000000000002</v>
      </c>
      <c r="P1051">
        <v>30.86</v>
      </c>
      <c r="Q1051">
        <v>26.093</v>
      </c>
      <c r="R1051">
        <v>27</v>
      </c>
      <c r="S1051" t="s">
        <v>83</v>
      </c>
      <c r="T1051">
        <f>IF(TRIM(Table1[[#This Row],[PitStopLaps]])="",0,
LEN(Table1[[#This Row],[PitStopLaps]])-LEN(SUBSTITUTE(Table1[[#This Row],[PitStopLaps]],",",""))+1)</f>
        <v>1</v>
      </c>
      <c r="U1051">
        <f>Table1[[#This Row],[StartPosition]]-Table1[[#This Row],[FinishPosition]]</f>
        <v>5</v>
      </c>
    </row>
    <row r="1052" spans="1:21" x14ac:dyDescent="0.3">
      <c r="A1052">
        <v>2020</v>
      </c>
      <c r="B1052">
        <v>12</v>
      </c>
      <c r="C1052" t="s">
        <v>530</v>
      </c>
      <c r="D1052" t="s">
        <v>29</v>
      </c>
      <c r="E1052" t="s">
        <v>30</v>
      </c>
      <c r="F1052" t="s">
        <v>243</v>
      </c>
      <c r="G1052">
        <v>16</v>
      </c>
      <c r="H1052">
        <v>11</v>
      </c>
      <c r="I1052">
        <v>0</v>
      </c>
      <c r="J1052" t="s">
        <v>34</v>
      </c>
      <c r="K1052" t="s">
        <v>65</v>
      </c>
      <c r="L1052">
        <v>65</v>
      </c>
      <c r="M1052">
        <v>81.058000000000007</v>
      </c>
      <c r="N1052">
        <v>82.761806000000007</v>
      </c>
      <c r="O1052">
        <v>23.594999999999999</v>
      </c>
      <c r="P1052">
        <v>30.831</v>
      </c>
      <c r="Q1052">
        <v>26.077000000000002</v>
      </c>
      <c r="R1052">
        <v>11</v>
      </c>
      <c r="S1052" t="s">
        <v>83</v>
      </c>
      <c r="T1052">
        <f>IF(TRIM(Table1[[#This Row],[PitStopLaps]])="",0,
LEN(Table1[[#This Row],[PitStopLaps]])-LEN(SUBSTITUTE(Table1[[#This Row],[PitStopLaps]],",",""))+1)</f>
        <v>1</v>
      </c>
      <c r="U1052">
        <f>Table1[[#This Row],[StartPosition]]-Table1[[#This Row],[FinishPosition]]</f>
        <v>5</v>
      </c>
    </row>
    <row r="1053" spans="1:21" x14ac:dyDescent="0.3">
      <c r="A1053">
        <v>2020</v>
      </c>
      <c r="B1053">
        <v>12</v>
      </c>
      <c r="C1053" t="s">
        <v>530</v>
      </c>
      <c r="D1053" t="s">
        <v>248</v>
      </c>
      <c r="E1053" t="s">
        <v>249</v>
      </c>
      <c r="F1053" t="s">
        <v>33</v>
      </c>
      <c r="G1053">
        <v>6</v>
      </c>
      <c r="H1053">
        <v>12</v>
      </c>
      <c r="I1053">
        <v>0</v>
      </c>
      <c r="J1053" t="s">
        <v>34</v>
      </c>
      <c r="K1053" t="s">
        <v>65</v>
      </c>
      <c r="L1053">
        <v>65</v>
      </c>
      <c r="M1053">
        <v>79.89</v>
      </c>
      <c r="N1053">
        <v>82.490566000000001</v>
      </c>
      <c r="O1053">
        <v>23.37</v>
      </c>
      <c r="P1053">
        <v>30.515999999999998</v>
      </c>
      <c r="Q1053">
        <v>25.94</v>
      </c>
      <c r="R1053" t="s">
        <v>443</v>
      </c>
      <c r="S1053" t="s">
        <v>83</v>
      </c>
      <c r="T1053">
        <f>IF(TRIM(Table1[[#This Row],[PitStopLaps]])="",0,
LEN(Table1[[#This Row],[PitStopLaps]])-LEN(SUBSTITUTE(Table1[[#This Row],[PitStopLaps]],",",""))+1)</f>
        <v>2</v>
      </c>
      <c r="U1053">
        <f>Table1[[#This Row],[StartPosition]]-Table1[[#This Row],[FinishPosition]]</f>
        <v>-6</v>
      </c>
    </row>
    <row r="1054" spans="1:21" x14ac:dyDescent="0.3">
      <c r="A1054">
        <v>2020</v>
      </c>
      <c r="B1054">
        <v>12</v>
      </c>
      <c r="C1054" t="s">
        <v>530</v>
      </c>
      <c r="D1054" t="s">
        <v>246</v>
      </c>
      <c r="E1054" t="s">
        <v>247</v>
      </c>
      <c r="F1054" t="s">
        <v>37</v>
      </c>
      <c r="G1054">
        <v>8</v>
      </c>
      <c r="H1054">
        <v>13</v>
      </c>
      <c r="I1054">
        <v>0</v>
      </c>
      <c r="J1054" t="s">
        <v>34</v>
      </c>
      <c r="K1054" t="s">
        <v>65</v>
      </c>
      <c r="L1054">
        <v>65</v>
      </c>
      <c r="M1054">
        <v>79.36</v>
      </c>
      <c r="N1054">
        <v>82.533000000000001</v>
      </c>
      <c r="O1054">
        <v>23.111000000000001</v>
      </c>
      <c r="P1054">
        <v>30.295000000000002</v>
      </c>
      <c r="Q1054">
        <v>25.864999999999998</v>
      </c>
      <c r="R1054" t="s">
        <v>532</v>
      </c>
      <c r="S1054" t="s">
        <v>83</v>
      </c>
      <c r="T1054">
        <f>IF(TRIM(Table1[[#This Row],[PitStopLaps]])="",0,
LEN(Table1[[#This Row],[PitStopLaps]])-LEN(SUBSTITUTE(Table1[[#This Row],[PitStopLaps]],",",""))+1)</f>
        <v>2</v>
      </c>
      <c r="U1054">
        <f>Table1[[#This Row],[StartPosition]]-Table1[[#This Row],[FinishPosition]]</f>
        <v>-5</v>
      </c>
    </row>
    <row r="1055" spans="1:21" x14ac:dyDescent="0.3">
      <c r="A1055">
        <v>2020</v>
      </c>
      <c r="B1055">
        <v>12</v>
      </c>
      <c r="C1055" t="s">
        <v>530</v>
      </c>
      <c r="D1055" t="s">
        <v>252</v>
      </c>
      <c r="E1055" t="s">
        <v>253</v>
      </c>
      <c r="F1055" t="s">
        <v>60</v>
      </c>
      <c r="G1055">
        <v>14</v>
      </c>
      <c r="H1055">
        <v>14</v>
      </c>
      <c r="I1055">
        <v>0</v>
      </c>
      <c r="J1055" t="s">
        <v>34</v>
      </c>
      <c r="K1055" t="s">
        <v>65</v>
      </c>
      <c r="L1055">
        <v>65</v>
      </c>
      <c r="M1055">
        <v>80.882000000000005</v>
      </c>
      <c r="N1055">
        <v>83.113450999999998</v>
      </c>
      <c r="O1055">
        <v>23.155999999999999</v>
      </c>
      <c r="P1055">
        <v>31.015999999999998</v>
      </c>
      <c r="Q1055">
        <v>26.161999999999999</v>
      </c>
      <c r="R1055">
        <v>36</v>
      </c>
      <c r="S1055" t="s">
        <v>83</v>
      </c>
      <c r="T1055">
        <f>IF(TRIM(Table1[[#This Row],[PitStopLaps]])="",0,
LEN(Table1[[#This Row],[PitStopLaps]])-LEN(SUBSTITUTE(Table1[[#This Row],[PitStopLaps]],",",""))+1)</f>
        <v>1</v>
      </c>
      <c r="U1055">
        <f>Table1[[#This Row],[StartPosition]]-Table1[[#This Row],[FinishPosition]]</f>
        <v>0</v>
      </c>
    </row>
    <row r="1056" spans="1:21" x14ac:dyDescent="0.3">
      <c r="A1056">
        <v>2020</v>
      </c>
      <c r="B1056">
        <v>12</v>
      </c>
      <c r="C1056" t="s">
        <v>530</v>
      </c>
      <c r="D1056" t="s">
        <v>250</v>
      </c>
      <c r="E1056" t="s">
        <v>251</v>
      </c>
      <c r="F1056" t="s">
        <v>243</v>
      </c>
      <c r="G1056">
        <v>17</v>
      </c>
      <c r="H1056">
        <v>15</v>
      </c>
      <c r="I1056">
        <v>0</v>
      </c>
      <c r="J1056" t="s">
        <v>34</v>
      </c>
      <c r="K1056" t="s">
        <v>65</v>
      </c>
      <c r="L1056">
        <v>65</v>
      </c>
      <c r="M1056">
        <v>81.893000000000001</v>
      </c>
      <c r="N1056">
        <v>83.409548000000001</v>
      </c>
      <c r="O1056">
        <v>23.823</v>
      </c>
      <c r="P1056">
        <v>31.337</v>
      </c>
      <c r="Q1056">
        <v>26.474</v>
      </c>
      <c r="R1056">
        <v>28</v>
      </c>
      <c r="S1056" t="s">
        <v>83</v>
      </c>
      <c r="T1056">
        <f>IF(TRIM(Table1[[#This Row],[PitStopLaps]])="",0,
LEN(Table1[[#This Row],[PitStopLaps]])-LEN(SUBSTITUTE(Table1[[#This Row],[PitStopLaps]],",",""))+1)</f>
        <v>1</v>
      </c>
      <c r="U1056">
        <f>Table1[[#This Row],[StartPosition]]-Table1[[#This Row],[FinishPosition]]</f>
        <v>2</v>
      </c>
    </row>
    <row r="1057" spans="1:21" x14ac:dyDescent="0.3">
      <c r="A1057">
        <v>2020</v>
      </c>
      <c r="B1057">
        <v>12</v>
      </c>
      <c r="C1057" t="s">
        <v>530</v>
      </c>
      <c r="D1057" t="s">
        <v>71</v>
      </c>
      <c r="E1057" t="s">
        <v>72</v>
      </c>
      <c r="F1057" t="s">
        <v>69</v>
      </c>
      <c r="G1057">
        <v>19</v>
      </c>
      <c r="H1057">
        <v>16</v>
      </c>
      <c r="I1057">
        <v>0</v>
      </c>
      <c r="J1057" t="s">
        <v>34</v>
      </c>
      <c r="K1057" t="s">
        <v>65</v>
      </c>
      <c r="L1057">
        <v>65</v>
      </c>
      <c r="M1057">
        <v>81.459999999999994</v>
      </c>
      <c r="N1057">
        <v>83.422032000000002</v>
      </c>
      <c r="O1057">
        <v>23.661000000000001</v>
      </c>
      <c r="P1057">
        <v>31.192</v>
      </c>
      <c r="Q1057">
        <v>26.251999999999999</v>
      </c>
      <c r="R1057">
        <v>31</v>
      </c>
      <c r="S1057" t="s">
        <v>83</v>
      </c>
      <c r="T1057">
        <f>IF(TRIM(Table1[[#This Row],[PitStopLaps]])="",0,
LEN(Table1[[#This Row],[PitStopLaps]])-LEN(SUBSTITUTE(Table1[[#This Row],[PitStopLaps]],",",""))+1)</f>
        <v>1</v>
      </c>
      <c r="U1057">
        <f>Table1[[#This Row],[StartPosition]]-Table1[[#This Row],[FinishPosition]]</f>
        <v>3</v>
      </c>
    </row>
    <row r="1058" spans="1:21" x14ac:dyDescent="0.3">
      <c r="A1058">
        <v>2020</v>
      </c>
      <c r="B1058">
        <v>12</v>
      </c>
      <c r="C1058" t="s">
        <v>530</v>
      </c>
      <c r="D1058" t="s">
        <v>67</v>
      </c>
      <c r="E1058" t="s">
        <v>68</v>
      </c>
      <c r="F1058" t="s">
        <v>69</v>
      </c>
      <c r="G1058">
        <v>18</v>
      </c>
      <c r="H1058">
        <v>17</v>
      </c>
      <c r="I1058">
        <v>0</v>
      </c>
      <c r="J1058" t="s">
        <v>34</v>
      </c>
      <c r="K1058" t="s">
        <v>65</v>
      </c>
      <c r="L1058">
        <v>65</v>
      </c>
      <c r="M1058">
        <v>81.664000000000001</v>
      </c>
      <c r="N1058">
        <v>83.398724999999999</v>
      </c>
      <c r="O1058">
        <v>23.544</v>
      </c>
      <c r="P1058">
        <v>31.370999999999999</v>
      </c>
      <c r="Q1058">
        <v>26.408000000000001</v>
      </c>
      <c r="R1058">
        <v>26</v>
      </c>
      <c r="S1058" t="s">
        <v>83</v>
      </c>
      <c r="T1058">
        <f>IF(TRIM(Table1[[#This Row],[PitStopLaps]])="",0,
LEN(Table1[[#This Row],[PitStopLaps]])-LEN(SUBSTITUTE(Table1[[#This Row],[PitStopLaps]],",",""))+1)</f>
        <v>1</v>
      </c>
      <c r="U1058">
        <f>Table1[[#This Row],[StartPosition]]-Table1[[#This Row],[FinishPosition]]</f>
        <v>1</v>
      </c>
    </row>
    <row r="1059" spans="1:21" x14ac:dyDescent="0.3">
      <c r="A1059">
        <v>2020</v>
      </c>
      <c r="B1059">
        <v>12</v>
      </c>
      <c r="C1059" t="s">
        <v>530</v>
      </c>
      <c r="D1059" t="s">
        <v>440</v>
      </c>
      <c r="E1059" t="s">
        <v>441</v>
      </c>
      <c r="F1059" t="s">
        <v>60</v>
      </c>
      <c r="G1059">
        <v>20</v>
      </c>
      <c r="H1059">
        <v>18</v>
      </c>
      <c r="I1059">
        <v>0</v>
      </c>
      <c r="J1059" t="s">
        <v>34</v>
      </c>
      <c r="K1059" t="s">
        <v>127</v>
      </c>
      <c r="L1059">
        <v>64</v>
      </c>
      <c r="M1059">
        <v>81.858999999999995</v>
      </c>
      <c r="N1059">
        <v>83.670638999999994</v>
      </c>
      <c r="O1059">
        <v>23.497</v>
      </c>
      <c r="P1059">
        <v>31.591000000000001</v>
      </c>
      <c r="Q1059">
        <v>26.603000000000002</v>
      </c>
      <c r="R1059">
        <v>24</v>
      </c>
      <c r="S1059" t="s">
        <v>83</v>
      </c>
      <c r="T1059">
        <f>IF(TRIM(Table1[[#This Row],[PitStopLaps]])="",0,
LEN(Table1[[#This Row],[PitStopLaps]])-LEN(SUBSTITUTE(Table1[[#This Row],[PitStopLaps]],",",""))+1)</f>
        <v>1</v>
      </c>
      <c r="U1059">
        <f>Table1[[#This Row],[StartPosition]]-Table1[[#This Row],[FinishPosition]]</f>
        <v>2</v>
      </c>
    </row>
    <row r="1060" spans="1:21" x14ac:dyDescent="0.3">
      <c r="A1060">
        <v>2020</v>
      </c>
      <c r="B1060">
        <v>12</v>
      </c>
      <c r="C1060" t="s">
        <v>530</v>
      </c>
      <c r="D1060" t="s">
        <v>244</v>
      </c>
      <c r="E1060" t="s">
        <v>245</v>
      </c>
      <c r="F1060" t="s">
        <v>438</v>
      </c>
      <c r="G1060">
        <v>13</v>
      </c>
      <c r="H1060">
        <v>19</v>
      </c>
      <c r="I1060">
        <v>0</v>
      </c>
      <c r="J1060" t="s">
        <v>34</v>
      </c>
      <c r="K1060" t="s">
        <v>127</v>
      </c>
      <c r="L1060">
        <v>64</v>
      </c>
      <c r="M1060">
        <v>80.448999999999998</v>
      </c>
      <c r="N1060">
        <v>83.353813000000002</v>
      </c>
      <c r="O1060">
        <v>23.338000000000001</v>
      </c>
      <c r="P1060">
        <v>30.931999999999999</v>
      </c>
      <c r="Q1060">
        <v>26.157</v>
      </c>
      <c r="R1060" t="s">
        <v>533</v>
      </c>
      <c r="S1060" t="s">
        <v>83</v>
      </c>
      <c r="T1060">
        <f>IF(TRIM(Table1[[#This Row],[PitStopLaps]])="",0,
LEN(Table1[[#This Row],[PitStopLaps]])-LEN(SUBSTITUTE(Table1[[#This Row],[PitStopLaps]],",",""))+1)</f>
        <v>2</v>
      </c>
      <c r="U1060">
        <f>Table1[[#This Row],[StartPosition]]-Table1[[#This Row],[FinishPosition]]</f>
        <v>-6</v>
      </c>
    </row>
    <row r="1061" spans="1:21" x14ac:dyDescent="0.3">
      <c r="A1061">
        <v>2020</v>
      </c>
      <c r="B1061">
        <v>12</v>
      </c>
      <c r="C1061" t="s">
        <v>530</v>
      </c>
      <c r="D1061" t="s">
        <v>58</v>
      </c>
      <c r="E1061" t="s">
        <v>59</v>
      </c>
      <c r="F1061" t="s">
        <v>192</v>
      </c>
      <c r="G1061">
        <v>12</v>
      </c>
      <c r="H1061">
        <v>20</v>
      </c>
      <c r="I1061">
        <v>0</v>
      </c>
      <c r="J1061" t="s">
        <v>34</v>
      </c>
      <c r="K1061" t="s">
        <v>109</v>
      </c>
      <c r="L1061">
        <v>51</v>
      </c>
      <c r="M1061">
        <v>81.694000000000003</v>
      </c>
      <c r="N1061">
        <v>83.315911</v>
      </c>
      <c r="O1061">
        <v>23.722999999999999</v>
      </c>
      <c r="P1061">
        <v>31.135999999999999</v>
      </c>
      <c r="Q1061">
        <v>26.655999999999999</v>
      </c>
      <c r="R1061" t="s">
        <v>534</v>
      </c>
      <c r="S1061" t="s">
        <v>83</v>
      </c>
      <c r="T1061">
        <f>IF(TRIM(Table1[[#This Row],[PitStopLaps]])="",0,
LEN(Table1[[#This Row],[PitStopLaps]])-LEN(SUBSTITUTE(Table1[[#This Row],[PitStopLaps]],",",""))+1)</f>
        <v>3</v>
      </c>
      <c r="U1061">
        <f>Table1[[#This Row],[StartPosition]]-Table1[[#This Row],[FinishPosition]]</f>
        <v>-8</v>
      </c>
    </row>
    <row r="1062" spans="1:21" x14ac:dyDescent="0.3">
      <c r="A1062">
        <v>2020</v>
      </c>
      <c r="B1062">
        <v>13</v>
      </c>
      <c r="C1062" t="s">
        <v>535</v>
      </c>
      <c r="D1062" t="s">
        <v>26</v>
      </c>
      <c r="E1062" t="s">
        <v>27</v>
      </c>
      <c r="F1062" t="s">
        <v>28</v>
      </c>
      <c r="G1062">
        <v>2</v>
      </c>
      <c r="H1062">
        <v>1</v>
      </c>
      <c r="I1062">
        <v>26</v>
      </c>
      <c r="J1062" t="s">
        <v>23</v>
      </c>
      <c r="K1062" t="s">
        <v>24</v>
      </c>
      <c r="L1062">
        <v>63</v>
      </c>
      <c r="M1062">
        <v>75.483999999999995</v>
      </c>
      <c r="N1062">
        <v>78.364320000000006</v>
      </c>
      <c r="O1062">
        <v>24.335999999999999</v>
      </c>
      <c r="P1062">
        <v>25.951000000000001</v>
      </c>
      <c r="Q1062">
        <v>25.196999999999999</v>
      </c>
      <c r="R1062" t="s">
        <v>536</v>
      </c>
      <c r="S1062" t="s">
        <v>83</v>
      </c>
      <c r="T1062">
        <f>IF(TRIM(Table1[[#This Row],[PitStopLaps]])="",0,
LEN(Table1[[#This Row],[PitStopLaps]])-LEN(SUBSTITUTE(Table1[[#This Row],[PitStopLaps]],",",""))+1)</f>
        <v>2</v>
      </c>
      <c r="U1062">
        <f>Table1[[#This Row],[StartPosition]]-Table1[[#This Row],[FinishPosition]]</f>
        <v>1</v>
      </c>
    </row>
    <row r="1063" spans="1:21" x14ac:dyDescent="0.3">
      <c r="A1063">
        <v>2020</v>
      </c>
      <c r="B1063">
        <v>13</v>
      </c>
      <c r="C1063" t="s">
        <v>535</v>
      </c>
      <c r="D1063" t="s">
        <v>43</v>
      </c>
      <c r="E1063" t="s">
        <v>44</v>
      </c>
      <c r="F1063" t="s">
        <v>28</v>
      </c>
      <c r="G1063">
        <v>1</v>
      </c>
      <c r="H1063">
        <v>2</v>
      </c>
      <c r="I1063">
        <v>18</v>
      </c>
      <c r="J1063" t="s">
        <v>23</v>
      </c>
      <c r="K1063" t="s">
        <v>24</v>
      </c>
      <c r="L1063">
        <v>63</v>
      </c>
      <c r="M1063">
        <v>75.902000000000001</v>
      </c>
      <c r="N1063">
        <v>78.900019</v>
      </c>
      <c r="O1063">
        <v>24.411999999999999</v>
      </c>
      <c r="P1063">
        <v>26.097000000000001</v>
      </c>
      <c r="Q1063">
        <v>25.393000000000001</v>
      </c>
      <c r="R1063" t="s">
        <v>537</v>
      </c>
      <c r="S1063" t="s">
        <v>83</v>
      </c>
      <c r="T1063">
        <f>IF(TRIM(Table1[[#This Row],[PitStopLaps]])="",0,
LEN(Table1[[#This Row],[PitStopLaps]])-LEN(SUBSTITUTE(Table1[[#This Row],[PitStopLaps]],",",""))+1)</f>
        <v>2</v>
      </c>
      <c r="U1063">
        <f>Table1[[#This Row],[StartPosition]]-Table1[[#This Row],[FinishPosition]]</f>
        <v>-1</v>
      </c>
    </row>
    <row r="1064" spans="1:21" x14ac:dyDescent="0.3">
      <c r="A1064">
        <v>2020</v>
      </c>
      <c r="B1064">
        <v>13</v>
      </c>
      <c r="C1064" t="s">
        <v>535</v>
      </c>
      <c r="D1064" t="s">
        <v>31</v>
      </c>
      <c r="E1064" t="s">
        <v>32</v>
      </c>
      <c r="F1064" t="s">
        <v>42</v>
      </c>
      <c r="G1064">
        <v>5</v>
      </c>
      <c r="H1064">
        <v>3</v>
      </c>
      <c r="I1064">
        <v>15</v>
      </c>
      <c r="J1064" t="s">
        <v>23</v>
      </c>
      <c r="K1064" t="s">
        <v>24</v>
      </c>
      <c r="L1064">
        <v>63</v>
      </c>
      <c r="M1064">
        <v>77.552000000000007</v>
      </c>
      <c r="N1064">
        <v>79.593941999999998</v>
      </c>
      <c r="O1064">
        <v>24.869</v>
      </c>
      <c r="P1064">
        <v>26.698</v>
      </c>
      <c r="Q1064">
        <v>25.815000000000001</v>
      </c>
      <c r="R1064">
        <v>14</v>
      </c>
      <c r="S1064" t="s">
        <v>83</v>
      </c>
      <c r="T1064">
        <f>IF(TRIM(Table1[[#This Row],[PitStopLaps]])="",0,
LEN(Table1[[#This Row],[PitStopLaps]])-LEN(SUBSTITUTE(Table1[[#This Row],[PitStopLaps]],",",""))+1)</f>
        <v>1</v>
      </c>
      <c r="U1064">
        <f>Table1[[#This Row],[StartPosition]]-Table1[[#This Row],[FinishPosition]]</f>
        <v>2</v>
      </c>
    </row>
    <row r="1065" spans="1:21" x14ac:dyDescent="0.3">
      <c r="A1065">
        <v>2020</v>
      </c>
      <c r="B1065">
        <v>13</v>
      </c>
      <c r="C1065" t="s">
        <v>535</v>
      </c>
      <c r="D1065" t="s">
        <v>244</v>
      </c>
      <c r="E1065" t="s">
        <v>245</v>
      </c>
      <c r="F1065" t="s">
        <v>438</v>
      </c>
      <c r="G1065">
        <v>8</v>
      </c>
      <c r="H1065">
        <v>4</v>
      </c>
      <c r="I1065">
        <v>12</v>
      </c>
      <c r="J1065" t="s">
        <v>34</v>
      </c>
      <c r="K1065" t="s">
        <v>24</v>
      </c>
      <c r="L1065">
        <v>63</v>
      </c>
      <c r="M1065">
        <v>77.665999999999997</v>
      </c>
      <c r="N1065">
        <v>79.532803000000001</v>
      </c>
      <c r="O1065">
        <v>24.832999999999998</v>
      </c>
      <c r="P1065">
        <v>26.951999999999899</v>
      </c>
      <c r="Q1065">
        <v>25.87</v>
      </c>
      <c r="R1065" t="s">
        <v>538</v>
      </c>
      <c r="S1065" t="s">
        <v>83</v>
      </c>
      <c r="T1065">
        <f>IF(TRIM(Table1[[#This Row],[PitStopLaps]])="",0,
LEN(Table1[[#This Row],[PitStopLaps]])-LEN(SUBSTITUTE(Table1[[#This Row],[PitStopLaps]],",",""))+1)</f>
        <v>2</v>
      </c>
      <c r="U1065">
        <f>Table1[[#This Row],[StartPosition]]-Table1[[#This Row],[FinishPosition]]</f>
        <v>4</v>
      </c>
    </row>
    <row r="1066" spans="1:21" x14ac:dyDescent="0.3">
      <c r="A1066">
        <v>2020</v>
      </c>
      <c r="B1066">
        <v>13</v>
      </c>
      <c r="C1066" t="s">
        <v>535</v>
      </c>
      <c r="D1066" t="s">
        <v>54</v>
      </c>
      <c r="E1066" t="s">
        <v>55</v>
      </c>
      <c r="F1066" t="s">
        <v>22</v>
      </c>
      <c r="G1066">
        <v>7</v>
      </c>
      <c r="H1066">
        <v>5</v>
      </c>
      <c r="I1066">
        <v>10</v>
      </c>
      <c r="J1066" t="s">
        <v>34</v>
      </c>
      <c r="K1066" t="s">
        <v>24</v>
      </c>
      <c r="L1066">
        <v>63</v>
      </c>
      <c r="M1066">
        <v>78.173000000000002</v>
      </c>
      <c r="N1066">
        <v>79.677615000000003</v>
      </c>
      <c r="O1066">
        <v>25.001999999999999</v>
      </c>
      <c r="P1066">
        <v>27.094000000000001</v>
      </c>
      <c r="Q1066">
        <v>25.913</v>
      </c>
      <c r="R1066">
        <v>13</v>
      </c>
      <c r="S1066" t="s">
        <v>83</v>
      </c>
      <c r="T1066">
        <f>IF(TRIM(Table1[[#This Row],[PitStopLaps]])="",0,
LEN(Table1[[#This Row],[PitStopLaps]])-LEN(SUBSTITUTE(Table1[[#This Row],[PitStopLaps]],",",""))+1)</f>
        <v>1</v>
      </c>
      <c r="U1066">
        <f>Table1[[#This Row],[StartPosition]]-Table1[[#This Row],[FinishPosition]]</f>
        <v>2</v>
      </c>
    </row>
    <row r="1067" spans="1:21" x14ac:dyDescent="0.3">
      <c r="A1067">
        <v>2020</v>
      </c>
      <c r="B1067">
        <v>13</v>
      </c>
      <c r="C1067" t="s">
        <v>535</v>
      </c>
      <c r="D1067" t="s">
        <v>49</v>
      </c>
      <c r="E1067" t="s">
        <v>50</v>
      </c>
      <c r="F1067" t="s">
        <v>192</v>
      </c>
      <c r="G1067">
        <v>11</v>
      </c>
      <c r="H1067">
        <v>6</v>
      </c>
      <c r="I1067">
        <v>8</v>
      </c>
      <c r="J1067" t="s">
        <v>34</v>
      </c>
      <c r="K1067" t="s">
        <v>24</v>
      </c>
      <c r="L1067">
        <v>63</v>
      </c>
      <c r="M1067">
        <v>78.084000000000003</v>
      </c>
      <c r="N1067">
        <v>79.510825999999994</v>
      </c>
      <c r="O1067">
        <v>24.940999999999999</v>
      </c>
      <c r="P1067">
        <v>26.867000000000001</v>
      </c>
      <c r="Q1067">
        <v>25.965</v>
      </c>
      <c r="R1067" t="s">
        <v>539</v>
      </c>
      <c r="S1067" t="s">
        <v>83</v>
      </c>
      <c r="T1067">
        <f>IF(TRIM(Table1[[#This Row],[PitStopLaps]])="",0,
LEN(Table1[[#This Row],[PitStopLaps]])-LEN(SUBSTITUTE(Table1[[#This Row],[PitStopLaps]],",",""))+1)</f>
        <v>2</v>
      </c>
      <c r="U1067">
        <f>Table1[[#This Row],[StartPosition]]-Table1[[#This Row],[FinishPosition]]</f>
        <v>5</v>
      </c>
    </row>
    <row r="1068" spans="1:21" x14ac:dyDescent="0.3">
      <c r="A1068">
        <v>2020</v>
      </c>
      <c r="B1068">
        <v>13</v>
      </c>
      <c r="C1068" t="s">
        <v>535</v>
      </c>
      <c r="D1068" t="s">
        <v>47</v>
      </c>
      <c r="E1068" t="s">
        <v>48</v>
      </c>
      <c r="F1068" t="s">
        <v>37</v>
      </c>
      <c r="G1068">
        <v>10</v>
      </c>
      <c r="H1068">
        <v>7</v>
      </c>
      <c r="I1068">
        <v>6</v>
      </c>
      <c r="J1068" t="s">
        <v>34</v>
      </c>
      <c r="K1068" t="s">
        <v>24</v>
      </c>
      <c r="L1068">
        <v>63</v>
      </c>
      <c r="M1068">
        <v>78.117999999999995</v>
      </c>
      <c r="N1068">
        <v>79.650273999999996</v>
      </c>
      <c r="O1068">
        <v>24.683</v>
      </c>
      <c r="P1068">
        <v>27.064</v>
      </c>
      <c r="Q1068">
        <v>26.106000000000002</v>
      </c>
      <c r="R1068" t="s">
        <v>540</v>
      </c>
      <c r="S1068" t="s">
        <v>83</v>
      </c>
      <c r="T1068">
        <f>IF(TRIM(Table1[[#This Row],[PitStopLaps]])="",0,
LEN(Table1[[#This Row],[PitStopLaps]])-LEN(SUBSTITUTE(Table1[[#This Row],[PitStopLaps]],",",""))+1)</f>
        <v>2</v>
      </c>
      <c r="U1068">
        <f>Table1[[#This Row],[StartPosition]]-Table1[[#This Row],[FinishPosition]]</f>
        <v>3</v>
      </c>
    </row>
    <row r="1069" spans="1:21" x14ac:dyDescent="0.3">
      <c r="A1069">
        <v>2020</v>
      </c>
      <c r="B1069">
        <v>13</v>
      </c>
      <c r="C1069" t="s">
        <v>535</v>
      </c>
      <c r="D1069" t="s">
        <v>246</v>
      </c>
      <c r="E1069" t="s">
        <v>247</v>
      </c>
      <c r="F1069" t="s">
        <v>37</v>
      </c>
      <c r="G1069">
        <v>9</v>
      </c>
      <c r="H1069">
        <v>8</v>
      </c>
      <c r="I1069">
        <v>4</v>
      </c>
      <c r="J1069" t="s">
        <v>34</v>
      </c>
      <c r="K1069" t="s">
        <v>24</v>
      </c>
      <c r="L1069">
        <v>63</v>
      </c>
      <c r="M1069">
        <v>78.069000000000003</v>
      </c>
      <c r="N1069">
        <v>79.683430999999999</v>
      </c>
      <c r="O1069">
        <v>24.591000000000001</v>
      </c>
      <c r="P1069">
        <v>26.96</v>
      </c>
      <c r="Q1069">
        <v>26.120999999999999</v>
      </c>
      <c r="R1069" t="s">
        <v>541</v>
      </c>
      <c r="S1069" t="s">
        <v>83</v>
      </c>
      <c r="T1069">
        <f>IF(TRIM(Table1[[#This Row],[PitStopLaps]])="",0,
LEN(Table1[[#This Row],[PitStopLaps]])-LEN(SUBSTITUTE(Table1[[#This Row],[PitStopLaps]],",",""))+1)</f>
        <v>2</v>
      </c>
      <c r="U1069">
        <f>Table1[[#This Row],[StartPosition]]-Table1[[#This Row],[FinishPosition]]</f>
        <v>1</v>
      </c>
    </row>
    <row r="1070" spans="1:21" x14ac:dyDescent="0.3">
      <c r="A1070">
        <v>2020</v>
      </c>
      <c r="B1070">
        <v>13</v>
      </c>
      <c r="C1070" t="s">
        <v>535</v>
      </c>
      <c r="D1070" t="s">
        <v>29</v>
      </c>
      <c r="E1070" t="s">
        <v>30</v>
      </c>
      <c r="F1070" t="s">
        <v>243</v>
      </c>
      <c r="G1070">
        <v>18</v>
      </c>
      <c r="H1070">
        <v>9</v>
      </c>
      <c r="I1070">
        <v>2</v>
      </c>
      <c r="J1070" t="s">
        <v>34</v>
      </c>
      <c r="K1070" t="s">
        <v>24</v>
      </c>
      <c r="L1070">
        <v>63</v>
      </c>
      <c r="M1070">
        <v>78.087999999999994</v>
      </c>
      <c r="N1070">
        <v>80.02149</v>
      </c>
      <c r="O1070">
        <v>24.721</v>
      </c>
      <c r="P1070">
        <v>27.009</v>
      </c>
      <c r="Q1070">
        <v>26.358000000000001</v>
      </c>
      <c r="R1070">
        <v>48</v>
      </c>
      <c r="S1070" t="s">
        <v>83</v>
      </c>
      <c r="T1070">
        <f>IF(TRIM(Table1[[#This Row],[PitStopLaps]])="",0,
LEN(Table1[[#This Row],[PitStopLaps]])-LEN(SUBSTITUTE(Table1[[#This Row],[PitStopLaps]],",",""))+1)</f>
        <v>1</v>
      </c>
      <c r="U1070">
        <f>Table1[[#This Row],[StartPosition]]-Table1[[#This Row],[FinishPosition]]</f>
        <v>9</v>
      </c>
    </row>
    <row r="1071" spans="1:21" x14ac:dyDescent="0.3">
      <c r="A1071">
        <v>2020</v>
      </c>
      <c r="B1071">
        <v>13</v>
      </c>
      <c r="C1071" t="s">
        <v>535</v>
      </c>
      <c r="D1071" t="s">
        <v>250</v>
      </c>
      <c r="E1071" t="s">
        <v>251</v>
      </c>
      <c r="F1071" t="s">
        <v>243</v>
      </c>
      <c r="G1071">
        <v>20</v>
      </c>
      <c r="H1071">
        <v>10</v>
      </c>
      <c r="I1071">
        <v>1</v>
      </c>
      <c r="J1071" t="s">
        <v>34</v>
      </c>
      <c r="K1071" t="s">
        <v>24</v>
      </c>
      <c r="L1071">
        <v>63</v>
      </c>
      <c r="M1071">
        <v>78.793999999999997</v>
      </c>
      <c r="N1071">
        <v>80.116380000000007</v>
      </c>
      <c r="O1071">
        <v>25.225000000000001</v>
      </c>
      <c r="P1071">
        <v>27.128</v>
      </c>
      <c r="Q1071">
        <v>26.280999999999999</v>
      </c>
      <c r="R1071">
        <v>10</v>
      </c>
      <c r="S1071" t="s">
        <v>83</v>
      </c>
      <c r="T1071">
        <f>IF(TRIM(Table1[[#This Row],[PitStopLaps]])="",0,
LEN(Table1[[#This Row],[PitStopLaps]])-LEN(SUBSTITUTE(Table1[[#This Row],[PitStopLaps]],",",""))+1)</f>
        <v>1</v>
      </c>
      <c r="U1071">
        <f>Table1[[#This Row],[StartPosition]]-Table1[[#This Row],[FinishPosition]]</f>
        <v>10</v>
      </c>
    </row>
    <row r="1072" spans="1:21" x14ac:dyDescent="0.3">
      <c r="A1072">
        <v>2020</v>
      </c>
      <c r="B1072">
        <v>13</v>
      </c>
      <c r="C1072" t="s">
        <v>535</v>
      </c>
      <c r="D1072" t="s">
        <v>440</v>
      </c>
      <c r="E1072" t="s">
        <v>441</v>
      </c>
      <c r="F1072" t="s">
        <v>60</v>
      </c>
      <c r="G1072">
        <v>19</v>
      </c>
      <c r="H1072">
        <v>11</v>
      </c>
      <c r="I1072">
        <v>0</v>
      </c>
      <c r="J1072" t="s">
        <v>34</v>
      </c>
      <c r="K1072" t="s">
        <v>24</v>
      </c>
      <c r="L1072">
        <v>63</v>
      </c>
      <c r="M1072">
        <v>78.718999999999994</v>
      </c>
      <c r="N1072">
        <v>80.174763999999996</v>
      </c>
      <c r="O1072">
        <v>24.875</v>
      </c>
      <c r="P1072">
        <v>27.061</v>
      </c>
      <c r="Q1072">
        <v>26.417999999999999</v>
      </c>
      <c r="R1072">
        <v>34</v>
      </c>
      <c r="S1072" t="s">
        <v>83</v>
      </c>
      <c r="T1072">
        <f>IF(TRIM(Table1[[#This Row],[PitStopLaps]])="",0,
LEN(Table1[[#This Row],[PitStopLaps]])-LEN(SUBSTITUTE(Table1[[#This Row],[PitStopLaps]],",",""))+1)</f>
        <v>1</v>
      </c>
      <c r="U1072">
        <f>Table1[[#This Row],[StartPosition]]-Table1[[#This Row],[FinishPosition]]</f>
        <v>8</v>
      </c>
    </row>
    <row r="1073" spans="1:21" x14ac:dyDescent="0.3">
      <c r="A1073">
        <v>2020</v>
      </c>
      <c r="B1073">
        <v>13</v>
      </c>
      <c r="C1073" t="s">
        <v>535</v>
      </c>
      <c r="D1073" t="s">
        <v>20</v>
      </c>
      <c r="E1073" t="s">
        <v>21</v>
      </c>
      <c r="F1073" t="s">
        <v>22</v>
      </c>
      <c r="G1073">
        <v>14</v>
      </c>
      <c r="H1073">
        <v>12</v>
      </c>
      <c r="I1073">
        <v>0</v>
      </c>
      <c r="J1073" t="s">
        <v>34</v>
      </c>
      <c r="K1073" t="s">
        <v>24</v>
      </c>
      <c r="L1073">
        <v>63</v>
      </c>
      <c r="M1073">
        <v>77.766999999999996</v>
      </c>
      <c r="N1073">
        <v>79.93047</v>
      </c>
      <c r="O1073">
        <v>24.596</v>
      </c>
      <c r="P1073">
        <v>27.01</v>
      </c>
      <c r="Q1073">
        <v>26.04</v>
      </c>
      <c r="R1073" t="s">
        <v>542</v>
      </c>
      <c r="S1073" t="s">
        <v>83</v>
      </c>
      <c r="T1073">
        <f>IF(TRIM(Table1[[#This Row],[PitStopLaps]])="",0,
LEN(Table1[[#This Row],[PitStopLaps]])-LEN(SUBSTITUTE(Table1[[#This Row],[PitStopLaps]],",",""))+1)</f>
        <v>2</v>
      </c>
      <c r="U1073">
        <f>Table1[[#This Row],[StartPosition]]-Table1[[#This Row],[FinishPosition]]</f>
        <v>2</v>
      </c>
    </row>
    <row r="1074" spans="1:21" x14ac:dyDescent="0.3">
      <c r="A1074">
        <v>2020</v>
      </c>
      <c r="B1074">
        <v>13</v>
      </c>
      <c r="C1074" t="s">
        <v>535</v>
      </c>
      <c r="D1074" t="s">
        <v>58</v>
      </c>
      <c r="E1074" t="s">
        <v>59</v>
      </c>
      <c r="F1074" t="s">
        <v>192</v>
      </c>
      <c r="G1074">
        <v>15</v>
      </c>
      <c r="H1074">
        <v>13</v>
      </c>
      <c r="I1074">
        <v>0</v>
      </c>
      <c r="J1074" t="s">
        <v>34</v>
      </c>
      <c r="K1074" t="s">
        <v>24</v>
      </c>
      <c r="L1074">
        <v>63</v>
      </c>
      <c r="M1074">
        <v>78.36</v>
      </c>
      <c r="N1074">
        <v>79.799881999999997</v>
      </c>
      <c r="O1074">
        <v>24.92</v>
      </c>
      <c r="P1074">
        <v>27.013000000000002</v>
      </c>
      <c r="Q1074">
        <v>26.126999999999999</v>
      </c>
      <c r="R1074" t="s">
        <v>543</v>
      </c>
      <c r="S1074" t="s">
        <v>83</v>
      </c>
      <c r="T1074">
        <f>IF(TRIM(Table1[[#This Row],[PitStopLaps]])="",0,
LEN(Table1[[#This Row],[PitStopLaps]])-LEN(SUBSTITUTE(Table1[[#This Row],[PitStopLaps]],",",""))+1)</f>
        <v>3</v>
      </c>
      <c r="U1074">
        <f>Table1[[#This Row],[StartPosition]]-Table1[[#This Row],[FinishPosition]]</f>
        <v>2</v>
      </c>
    </row>
    <row r="1075" spans="1:21" x14ac:dyDescent="0.3">
      <c r="A1075">
        <v>2020</v>
      </c>
      <c r="B1075">
        <v>13</v>
      </c>
      <c r="C1075" t="s">
        <v>535</v>
      </c>
      <c r="D1075" t="s">
        <v>67</v>
      </c>
      <c r="E1075" t="s">
        <v>68</v>
      </c>
      <c r="F1075" t="s">
        <v>69</v>
      </c>
      <c r="G1075">
        <v>16</v>
      </c>
      <c r="H1075">
        <v>14</v>
      </c>
      <c r="I1075">
        <v>0</v>
      </c>
      <c r="J1075" t="s">
        <v>34</v>
      </c>
      <c r="K1075" t="s">
        <v>24</v>
      </c>
      <c r="L1075">
        <v>63</v>
      </c>
      <c r="M1075">
        <v>78.822000000000003</v>
      </c>
      <c r="N1075">
        <v>80.253399999999999</v>
      </c>
      <c r="O1075">
        <v>25.099</v>
      </c>
      <c r="P1075">
        <v>27.148</v>
      </c>
      <c r="Q1075">
        <v>26.303999999999998</v>
      </c>
      <c r="R1075" t="s">
        <v>544</v>
      </c>
      <c r="S1075" t="s">
        <v>83</v>
      </c>
      <c r="T1075">
        <f>IF(TRIM(Table1[[#This Row],[PitStopLaps]])="",0,
LEN(Table1[[#This Row],[PitStopLaps]])-LEN(SUBSTITUTE(Table1[[#This Row],[PitStopLaps]],",",""))+1)</f>
        <v>2</v>
      </c>
      <c r="U1075">
        <f>Table1[[#This Row],[StartPosition]]-Table1[[#This Row],[FinishPosition]]</f>
        <v>2</v>
      </c>
    </row>
    <row r="1076" spans="1:21" x14ac:dyDescent="0.3">
      <c r="A1076">
        <v>2020</v>
      </c>
      <c r="B1076">
        <v>13</v>
      </c>
      <c r="C1076" t="s">
        <v>535</v>
      </c>
      <c r="D1076" t="s">
        <v>248</v>
      </c>
      <c r="E1076" t="s">
        <v>249</v>
      </c>
      <c r="F1076" t="s">
        <v>33</v>
      </c>
      <c r="G1076">
        <v>6</v>
      </c>
      <c r="H1076">
        <v>15</v>
      </c>
      <c r="I1076">
        <v>0</v>
      </c>
      <c r="J1076" t="s">
        <v>34</v>
      </c>
      <c r="K1076" t="s">
        <v>24</v>
      </c>
      <c r="L1076">
        <v>63</v>
      </c>
      <c r="M1076">
        <v>76.177000000000007</v>
      </c>
      <c r="N1076">
        <v>79.619916000000003</v>
      </c>
      <c r="O1076">
        <v>24.568999999999999</v>
      </c>
      <c r="P1076">
        <v>26.047999999999998</v>
      </c>
      <c r="Q1076">
        <v>25.56</v>
      </c>
      <c r="R1076" t="s">
        <v>545</v>
      </c>
      <c r="S1076" t="s">
        <v>83</v>
      </c>
      <c r="T1076">
        <f>IF(TRIM(Table1[[#This Row],[PitStopLaps]])="",0,
LEN(Table1[[#This Row],[PitStopLaps]])-LEN(SUBSTITUTE(Table1[[#This Row],[PitStopLaps]],",",""))+1)</f>
        <v>2</v>
      </c>
      <c r="U1076">
        <f>Table1[[#This Row],[StartPosition]]-Table1[[#This Row],[FinishPosition]]</f>
        <v>-9</v>
      </c>
    </row>
    <row r="1077" spans="1:21" x14ac:dyDescent="0.3">
      <c r="A1077">
        <v>2020</v>
      </c>
      <c r="B1077">
        <v>13</v>
      </c>
      <c r="C1077" t="s">
        <v>535</v>
      </c>
      <c r="D1077" t="s">
        <v>252</v>
      </c>
      <c r="E1077" t="s">
        <v>253</v>
      </c>
      <c r="F1077" t="s">
        <v>60</v>
      </c>
      <c r="G1077">
        <v>13</v>
      </c>
      <c r="H1077">
        <v>16</v>
      </c>
      <c r="I1077">
        <v>0</v>
      </c>
      <c r="J1077" t="s">
        <v>34</v>
      </c>
      <c r="K1077" t="s">
        <v>123</v>
      </c>
      <c r="L1077">
        <v>52</v>
      </c>
      <c r="M1077">
        <v>78.811000000000007</v>
      </c>
      <c r="N1077">
        <v>80.009431000000006</v>
      </c>
      <c r="O1077">
        <v>25.099</v>
      </c>
      <c r="P1077">
        <v>27.056999999999999</v>
      </c>
      <c r="Q1077">
        <v>26.495999999999999</v>
      </c>
      <c r="R1077">
        <v>11</v>
      </c>
      <c r="S1077" t="s">
        <v>83</v>
      </c>
      <c r="T1077">
        <f>IF(TRIM(Table1[[#This Row],[PitStopLaps]])="",0,
LEN(Table1[[#This Row],[PitStopLaps]])-LEN(SUBSTITUTE(Table1[[#This Row],[PitStopLaps]],",",""))+1)</f>
        <v>1</v>
      </c>
      <c r="U1077">
        <f>Table1[[#This Row],[StartPosition]]-Table1[[#This Row],[FinishPosition]]</f>
        <v>-3</v>
      </c>
    </row>
    <row r="1078" spans="1:21" x14ac:dyDescent="0.3">
      <c r="A1078">
        <v>2020</v>
      </c>
      <c r="B1078">
        <v>13</v>
      </c>
      <c r="C1078" t="s">
        <v>535</v>
      </c>
      <c r="D1078" t="s">
        <v>38</v>
      </c>
      <c r="E1078" t="s">
        <v>39</v>
      </c>
      <c r="F1078" t="s">
        <v>33</v>
      </c>
      <c r="G1078">
        <v>3</v>
      </c>
      <c r="H1078">
        <v>17</v>
      </c>
      <c r="I1078">
        <v>0</v>
      </c>
      <c r="J1078" t="s">
        <v>34</v>
      </c>
      <c r="K1078" t="s">
        <v>98</v>
      </c>
      <c r="L1078">
        <v>51</v>
      </c>
      <c r="M1078">
        <v>77.637</v>
      </c>
      <c r="N1078">
        <v>78.879260000000002</v>
      </c>
      <c r="O1078">
        <v>24.716999999999999</v>
      </c>
      <c r="P1078">
        <v>26.832999999999998</v>
      </c>
      <c r="Q1078">
        <v>25.841999999999999</v>
      </c>
      <c r="R1078">
        <v>18</v>
      </c>
      <c r="S1078" t="s">
        <v>83</v>
      </c>
      <c r="T1078">
        <f>IF(TRIM(Table1[[#This Row],[PitStopLaps]])="",0,
LEN(Table1[[#This Row],[PitStopLaps]])-LEN(SUBSTITUTE(Table1[[#This Row],[PitStopLaps]],",",""))+1)</f>
        <v>1</v>
      </c>
      <c r="U1078">
        <f>Table1[[#This Row],[StartPosition]]-Table1[[#This Row],[FinishPosition]]</f>
        <v>-14</v>
      </c>
    </row>
    <row r="1079" spans="1:21" x14ac:dyDescent="0.3">
      <c r="A1079">
        <v>2020</v>
      </c>
      <c r="B1079">
        <v>13</v>
      </c>
      <c r="C1079" t="s">
        <v>535</v>
      </c>
      <c r="D1079" t="s">
        <v>71</v>
      </c>
      <c r="E1079" t="s">
        <v>72</v>
      </c>
      <c r="F1079" t="s">
        <v>69</v>
      </c>
      <c r="G1079">
        <v>17</v>
      </c>
      <c r="H1079">
        <v>18</v>
      </c>
      <c r="I1079">
        <v>0</v>
      </c>
      <c r="J1079" t="s">
        <v>34</v>
      </c>
      <c r="K1079" t="s">
        <v>546</v>
      </c>
      <c r="L1079">
        <v>47</v>
      </c>
      <c r="M1079">
        <v>79.272999999999996</v>
      </c>
      <c r="N1079">
        <v>80.334475999999995</v>
      </c>
      <c r="O1079">
        <v>25.47</v>
      </c>
      <c r="P1079">
        <v>27.260999999999999</v>
      </c>
      <c r="Q1079">
        <v>26.529</v>
      </c>
      <c r="R1079" t="s">
        <v>547</v>
      </c>
      <c r="S1079" t="s">
        <v>83</v>
      </c>
      <c r="T1079">
        <f>IF(TRIM(Table1[[#This Row],[PitStopLaps]])="",0,
LEN(Table1[[#This Row],[PitStopLaps]])-LEN(SUBSTITUTE(Table1[[#This Row],[PitStopLaps]],",",""))+1)</f>
        <v>2</v>
      </c>
      <c r="U1079">
        <f>Table1[[#This Row],[StartPosition]]-Table1[[#This Row],[FinishPosition]]</f>
        <v>-1</v>
      </c>
    </row>
    <row r="1080" spans="1:21" x14ac:dyDescent="0.3">
      <c r="A1080">
        <v>2020</v>
      </c>
      <c r="B1080">
        <v>13</v>
      </c>
      <c r="C1080" t="s">
        <v>535</v>
      </c>
      <c r="D1080" t="s">
        <v>52</v>
      </c>
      <c r="E1080" t="s">
        <v>53</v>
      </c>
      <c r="F1080" t="s">
        <v>42</v>
      </c>
      <c r="G1080">
        <v>12</v>
      </c>
      <c r="H1080">
        <v>19</v>
      </c>
      <c r="I1080">
        <v>0</v>
      </c>
      <c r="J1080" t="s">
        <v>34</v>
      </c>
      <c r="K1080" t="s">
        <v>132</v>
      </c>
      <c r="L1080">
        <v>28</v>
      </c>
      <c r="M1080">
        <v>79.605999999999995</v>
      </c>
      <c r="N1080">
        <v>80.746958000000006</v>
      </c>
      <c r="O1080">
        <v>25.4</v>
      </c>
      <c r="P1080">
        <v>27.422999999999998</v>
      </c>
      <c r="Q1080">
        <v>26.666</v>
      </c>
      <c r="R1080">
        <v>13</v>
      </c>
      <c r="S1080" t="s">
        <v>83</v>
      </c>
      <c r="T1080">
        <f>IF(TRIM(Table1[[#This Row],[PitStopLaps]])="",0,
LEN(Table1[[#This Row],[PitStopLaps]])-LEN(SUBSTITUTE(Table1[[#This Row],[PitStopLaps]],",",""))+1)</f>
        <v>1</v>
      </c>
      <c r="U1080">
        <f>Table1[[#This Row],[StartPosition]]-Table1[[#This Row],[FinishPosition]]</f>
        <v>-7</v>
      </c>
    </row>
    <row r="1081" spans="1:21" x14ac:dyDescent="0.3">
      <c r="A1081">
        <v>2020</v>
      </c>
      <c r="B1081">
        <v>13</v>
      </c>
      <c r="C1081" t="s">
        <v>535</v>
      </c>
      <c r="D1081" t="s">
        <v>73</v>
      </c>
      <c r="E1081" t="s">
        <v>74</v>
      </c>
      <c r="F1081" t="s">
        <v>438</v>
      </c>
      <c r="G1081">
        <v>4</v>
      </c>
      <c r="H1081">
        <v>20</v>
      </c>
      <c r="I1081">
        <v>0</v>
      </c>
      <c r="J1081" t="s">
        <v>34</v>
      </c>
      <c r="K1081" t="s">
        <v>362</v>
      </c>
      <c r="L1081">
        <v>8</v>
      </c>
      <c r="M1081">
        <v>80.403000000000006</v>
      </c>
      <c r="N1081">
        <v>80.855000000000004</v>
      </c>
      <c r="O1081">
        <v>25.503</v>
      </c>
      <c r="P1081">
        <v>27.869</v>
      </c>
      <c r="Q1081">
        <v>26.882999999999999</v>
      </c>
      <c r="R1081">
        <v>8</v>
      </c>
      <c r="S1081" t="s">
        <v>83</v>
      </c>
      <c r="T1081">
        <f>IF(TRIM(Table1[[#This Row],[PitStopLaps]])="",0,
LEN(Table1[[#This Row],[PitStopLaps]])-LEN(SUBSTITUTE(Table1[[#This Row],[PitStopLaps]],",",""))+1)</f>
        <v>1</v>
      </c>
      <c r="U1081">
        <f>Table1[[#This Row],[StartPosition]]-Table1[[#This Row],[FinishPosition]]</f>
        <v>-16</v>
      </c>
    </row>
    <row r="1082" spans="1:21" x14ac:dyDescent="0.3">
      <c r="A1082">
        <v>2020</v>
      </c>
      <c r="B1082">
        <v>14</v>
      </c>
      <c r="C1082" t="s">
        <v>548</v>
      </c>
      <c r="D1082" t="s">
        <v>26</v>
      </c>
      <c r="E1082" t="s">
        <v>27</v>
      </c>
      <c r="F1082" t="s">
        <v>28</v>
      </c>
      <c r="G1082">
        <v>6</v>
      </c>
      <c r="H1082">
        <v>1</v>
      </c>
      <c r="I1082">
        <v>25</v>
      </c>
      <c r="J1082" t="s">
        <v>23</v>
      </c>
      <c r="K1082" t="s">
        <v>24</v>
      </c>
      <c r="L1082">
        <v>58</v>
      </c>
      <c r="M1082">
        <v>99.412999999999997</v>
      </c>
      <c r="N1082">
        <v>103.993711</v>
      </c>
      <c r="O1082">
        <v>38.168999999999997</v>
      </c>
      <c r="P1082">
        <v>33.591999999999999</v>
      </c>
      <c r="Q1082">
        <v>27.122</v>
      </c>
      <c r="R1082">
        <v>8</v>
      </c>
      <c r="S1082" t="s">
        <v>25</v>
      </c>
      <c r="T1082">
        <f>IF(TRIM(Table1[[#This Row],[PitStopLaps]])="",0,
LEN(Table1[[#This Row],[PitStopLaps]])-LEN(SUBSTITUTE(Table1[[#This Row],[PitStopLaps]],",",""))+1)</f>
        <v>1</v>
      </c>
      <c r="U1082">
        <f>Table1[[#This Row],[StartPosition]]-Table1[[#This Row],[FinishPosition]]</f>
        <v>5</v>
      </c>
    </row>
    <row r="1083" spans="1:21" x14ac:dyDescent="0.3">
      <c r="A1083">
        <v>2020</v>
      </c>
      <c r="B1083">
        <v>14</v>
      </c>
      <c r="C1083" t="s">
        <v>548</v>
      </c>
      <c r="D1083" t="s">
        <v>49</v>
      </c>
      <c r="E1083" t="s">
        <v>50</v>
      </c>
      <c r="F1083" t="s">
        <v>192</v>
      </c>
      <c r="G1083">
        <v>3</v>
      </c>
      <c r="H1083">
        <v>2</v>
      </c>
      <c r="I1083">
        <v>18</v>
      </c>
      <c r="J1083" t="s">
        <v>23</v>
      </c>
      <c r="K1083" t="s">
        <v>24</v>
      </c>
      <c r="L1083">
        <v>58</v>
      </c>
      <c r="M1083">
        <v>100.392</v>
      </c>
      <c r="N1083">
        <v>104.85767300000001</v>
      </c>
      <c r="O1083">
        <v>38.292000000000002</v>
      </c>
      <c r="P1083">
        <v>33.362000000000002</v>
      </c>
      <c r="Q1083">
        <v>27.591000000000001</v>
      </c>
      <c r="R1083">
        <v>10</v>
      </c>
      <c r="S1083" t="s">
        <v>25</v>
      </c>
      <c r="T1083">
        <f>IF(TRIM(Table1[[#This Row],[PitStopLaps]])="",0,
LEN(Table1[[#This Row],[PitStopLaps]])-LEN(SUBSTITUTE(Table1[[#This Row],[PitStopLaps]],",",""))+1)</f>
        <v>1</v>
      </c>
      <c r="U1083">
        <f>Table1[[#This Row],[StartPosition]]-Table1[[#This Row],[FinishPosition]]</f>
        <v>1</v>
      </c>
    </row>
    <row r="1084" spans="1:21" x14ac:dyDescent="0.3">
      <c r="A1084">
        <v>2020</v>
      </c>
      <c r="B1084">
        <v>14</v>
      </c>
      <c r="C1084" t="s">
        <v>548</v>
      </c>
      <c r="D1084" t="s">
        <v>20</v>
      </c>
      <c r="E1084" t="s">
        <v>21</v>
      </c>
      <c r="F1084" t="s">
        <v>22</v>
      </c>
      <c r="G1084">
        <v>11</v>
      </c>
      <c r="H1084">
        <v>3</v>
      </c>
      <c r="I1084">
        <v>15</v>
      </c>
      <c r="J1084" t="s">
        <v>23</v>
      </c>
      <c r="K1084" t="s">
        <v>24</v>
      </c>
      <c r="L1084">
        <v>58</v>
      </c>
      <c r="M1084">
        <v>99.662000000000006</v>
      </c>
      <c r="N1084">
        <v>104.30104</v>
      </c>
      <c r="O1084">
        <v>37.942999999999998</v>
      </c>
      <c r="P1084">
        <v>33.36</v>
      </c>
      <c r="Q1084">
        <v>27.407</v>
      </c>
      <c r="R1084" t="s">
        <v>269</v>
      </c>
      <c r="S1084" t="s">
        <v>25</v>
      </c>
      <c r="T1084">
        <f>IF(TRIM(Table1[[#This Row],[PitStopLaps]])="",0,
LEN(Table1[[#This Row],[PitStopLaps]])-LEN(SUBSTITUTE(Table1[[#This Row],[PitStopLaps]],",",""))+1)</f>
        <v>2</v>
      </c>
      <c r="U1084">
        <f>Table1[[#This Row],[StartPosition]]-Table1[[#This Row],[FinishPosition]]</f>
        <v>8</v>
      </c>
    </row>
    <row r="1085" spans="1:21" x14ac:dyDescent="0.3">
      <c r="A1085">
        <v>2020</v>
      </c>
      <c r="B1085">
        <v>14</v>
      </c>
      <c r="C1085" t="s">
        <v>548</v>
      </c>
      <c r="D1085" t="s">
        <v>54</v>
      </c>
      <c r="E1085" t="s">
        <v>55</v>
      </c>
      <c r="F1085" t="s">
        <v>22</v>
      </c>
      <c r="G1085">
        <v>12</v>
      </c>
      <c r="H1085">
        <v>4</v>
      </c>
      <c r="I1085">
        <v>12</v>
      </c>
      <c r="J1085" t="s">
        <v>34</v>
      </c>
      <c r="K1085" t="s">
        <v>24</v>
      </c>
      <c r="L1085">
        <v>58</v>
      </c>
      <c r="M1085">
        <v>99.960999999999999</v>
      </c>
      <c r="N1085">
        <v>104.125607</v>
      </c>
      <c r="O1085">
        <v>36.982999999999997</v>
      </c>
      <c r="P1085">
        <v>33.139000000000003</v>
      </c>
      <c r="Q1085">
        <v>27.376000000000001</v>
      </c>
      <c r="R1085" t="s">
        <v>468</v>
      </c>
      <c r="S1085" t="s">
        <v>25</v>
      </c>
      <c r="T1085">
        <f>IF(TRIM(Table1[[#This Row],[PitStopLaps]])="",0,
LEN(Table1[[#This Row],[PitStopLaps]])-LEN(SUBSTITUTE(Table1[[#This Row],[PitStopLaps]],",",""))+1)</f>
        <v>2</v>
      </c>
      <c r="U1085">
        <f>Table1[[#This Row],[StartPosition]]-Table1[[#This Row],[FinishPosition]]</f>
        <v>8</v>
      </c>
    </row>
    <row r="1086" spans="1:21" x14ac:dyDescent="0.3">
      <c r="A1086">
        <v>2020</v>
      </c>
      <c r="B1086">
        <v>14</v>
      </c>
      <c r="C1086" t="s">
        <v>548</v>
      </c>
      <c r="D1086" t="s">
        <v>47</v>
      </c>
      <c r="E1086" t="s">
        <v>48</v>
      </c>
      <c r="F1086" t="s">
        <v>37</v>
      </c>
      <c r="G1086">
        <v>15</v>
      </c>
      <c r="H1086">
        <v>5</v>
      </c>
      <c r="I1086">
        <v>10</v>
      </c>
      <c r="J1086" t="s">
        <v>34</v>
      </c>
      <c r="K1086" t="s">
        <v>24</v>
      </c>
      <c r="L1086">
        <v>58</v>
      </c>
      <c r="M1086">
        <v>98.754000000000005</v>
      </c>
      <c r="N1086">
        <v>104.40031999999999</v>
      </c>
      <c r="O1086">
        <v>37.136000000000003</v>
      </c>
      <c r="P1086">
        <v>32.981999999999999</v>
      </c>
      <c r="Q1086">
        <v>27.350999999999999</v>
      </c>
      <c r="R1086" t="s">
        <v>549</v>
      </c>
      <c r="S1086" t="s">
        <v>25</v>
      </c>
      <c r="T1086">
        <f>IF(TRIM(Table1[[#This Row],[PitStopLaps]])="",0,
LEN(Table1[[#This Row],[PitStopLaps]])-LEN(SUBSTITUTE(Table1[[#This Row],[PitStopLaps]],",",""))+1)</f>
        <v>2</v>
      </c>
      <c r="U1086">
        <f>Table1[[#This Row],[StartPosition]]-Table1[[#This Row],[FinishPosition]]</f>
        <v>10</v>
      </c>
    </row>
    <row r="1087" spans="1:21" x14ac:dyDescent="0.3">
      <c r="A1087">
        <v>2020</v>
      </c>
      <c r="B1087">
        <v>14</v>
      </c>
      <c r="C1087" t="s">
        <v>548</v>
      </c>
      <c r="D1087" t="s">
        <v>38</v>
      </c>
      <c r="E1087" t="s">
        <v>39</v>
      </c>
      <c r="F1087" t="s">
        <v>33</v>
      </c>
      <c r="G1087">
        <v>2</v>
      </c>
      <c r="H1087">
        <v>6</v>
      </c>
      <c r="I1087">
        <v>8</v>
      </c>
      <c r="J1087" t="s">
        <v>34</v>
      </c>
      <c r="K1087" t="s">
        <v>24</v>
      </c>
      <c r="L1087">
        <v>58</v>
      </c>
      <c r="M1087">
        <v>98.430999999999997</v>
      </c>
      <c r="N1087">
        <v>104.268145</v>
      </c>
      <c r="O1087">
        <v>37.052999999999997</v>
      </c>
      <c r="P1087">
        <v>32.533000000000001</v>
      </c>
      <c r="Q1087">
        <v>27.146000000000001</v>
      </c>
      <c r="R1087" t="s">
        <v>550</v>
      </c>
      <c r="S1087" t="s">
        <v>25</v>
      </c>
      <c r="T1087">
        <f>IF(TRIM(Table1[[#This Row],[PitStopLaps]])="",0,
LEN(Table1[[#This Row],[PitStopLaps]])-LEN(SUBSTITUTE(Table1[[#This Row],[PitStopLaps]],",",""))+1)</f>
        <v>3</v>
      </c>
      <c r="U1087">
        <f>Table1[[#This Row],[StartPosition]]-Table1[[#This Row],[FinishPosition]]</f>
        <v>-4</v>
      </c>
    </row>
    <row r="1088" spans="1:21" x14ac:dyDescent="0.3">
      <c r="A1088">
        <v>2020</v>
      </c>
      <c r="B1088">
        <v>14</v>
      </c>
      <c r="C1088" t="s">
        <v>548</v>
      </c>
      <c r="D1088" t="s">
        <v>248</v>
      </c>
      <c r="E1088" t="s">
        <v>249</v>
      </c>
      <c r="F1088" t="s">
        <v>33</v>
      </c>
      <c r="G1088">
        <v>4</v>
      </c>
      <c r="H1088">
        <v>7</v>
      </c>
      <c r="I1088">
        <v>6</v>
      </c>
      <c r="J1088" t="s">
        <v>34</v>
      </c>
      <c r="K1088" t="s">
        <v>24</v>
      </c>
      <c r="L1088">
        <v>58</v>
      </c>
      <c r="M1088">
        <v>99.099000000000004</v>
      </c>
      <c r="N1088">
        <v>104.69184300000001</v>
      </c>
      <c r="O1088">
        <v>37.893999999999998</v>
      </c>
      <c r="P1088">
        <v>33.146000000000001</v>
      </c>
      <c r="Q1088">
        <v>27.736999999999998</v>
      </c>
      <c r="R1088" t="s">
        <v>551</v>
      </c>
      <c r="S1088" t="s">
        <v>25</v>
      </c>
      <c r="T1088">
        <f>IF(TRIM(Table1[[#This Row],[PitStopLaps]])="",0,
LEN(Table1[[#This Row],[PitStopLaps]])-LEN(SUBSTITUTE(Table1[[#This Row],[PitStopLaps]],",",""))+1)</f>
        <v>2</v>
      </c>
      <c r="U1088">
        <f>Table1[[#This Row],[StartPosition]]-Table1[[#This Row],[FinishPosition]]</f>
        <v>-3</v>
      </c>
    </row>
    <row r="1089" spans="1:21" x14ac:dyDescent="0.3">
      <c r="A1089">
        <v>2020</v>
      </c>
      <c r="B1089">
        <v>14</v>
      </c>
      <c r="C1089" t="s">
        <v>548</v>
      </c>
      <c r="D1089" t="s">
        <v>246</v>
      </c>
      <c r="E1089" t="s">
        <v>247</v>
      </c>
      <c r="F1089" t="s">
        <v>37</v>
      </c>
      <c r="G1089">
        <v>14</v>
      </c>
      <c r="H1089">
        <v>8</v>
      </c>
      <c r="I1089">
        <v>5</v>
      </c>
      <c r="J1089" t="s">
        <v>34</v>
      </c>
      <c r="K1089" t="s">
        <v>24</v>
      </c>
      <c r="L1089">
        <v>58</v>
      </c>
      <c r="M1089">
        <v>96.805999999999997</v>
      </c>
      <c r="N1089">
        <v>104.796294</v>
      </c>
      <c r="O1089">
        <v>37.5</v>
      </c>
      <c r="P1089">
        <v>32.244</v>
      </c>
      <c r="Q1089">
        <v>27.062000000000001</v>
      </c>
      <c r="R1089" t="s">
        <v>552</v>
      </c>
      <c r="S1089" t="s">
        <v>25</v>
      </c>
      <c r="T1089">
        <f>IF(TRIM(Table1[[#This Row],[PitStopLaps]])="",0,
LEN(Table1[[#This Row],[PitStopLaps]])-LEN(SUBSTITUTE(Table1[[#This Row],[PitStopLaps]],",",""))+1)</f>
        <v>2</v>
      </c>
      <c r="U1089">
        <f>Table1[[#This Row],[StartPosition]]-Table1[[#This Row],[FinishPosition]]</f>
        <v>6</v>
      </c>
    </row>
    <row r="1090" spans="1:21" x14ac:dyDescent="0.3">
      <c r="A1090">
        <v>2020</v>
      </c>
      <c r="B1090">
        <v>14</v>
      </c>
      <c r="C1090" t="s">
        <v>548</v>
      </c>
      <c r="D1090" t="s">
        <v>58</v>
      </c>
      <c r="E1090" t="s">
        <v>59</v>
      </c>
      <c r="F1090" t="s">
        <v>192</v>
      </c>
      <c r="G1090">
        <v>1</v>
      </c>
      <c r="H1090">
        <v>9</v>
      </c>
      <c r="I1090">
        <v>2</v>
      </c>
      <c r="J1090" t="s">
        <v>34</v>
      </c>
      <c r="K1090" t="s">
        <v>24</v>
      </c>
      <c r="L1090">
        <v>58</v>
      </c>
      <c r="M1090">
        <v>99.921000000000006</v>
      </c>
      <c r="N1090">
        <v>105.30706000000001</v>
      </c>
      <c r="O1090">
        <v>38.64</v>
      </c>
      <c r="P1090">
        <v>33.094000000000001</v>
      </c>
      <c r="Q1090">
        <v>27.722999999999999</v>
      </c>
      <c r="R1090" t="s">
        <v>552</v>
      </c>
      <c r="S1090" t="s">
        <v>25</v>
      </c>
      <c r="T1090">
        <f>IF(TRIM(Table1[[#This Row],[PitStopLaps]])="",0,
LEN(Table1[[#This Row],[PitStopLaps]])-LEN(SUBSTITUTE(Table1[[#This Row],[PitStopLaps]],",",""))+1)</f>
        <v>2</v>
      </c>
      <c r="U1090">
        <f>Table1[[#This Row],[StartPosition]]-Table1[[#This Row],[FinishPosition]]</f>
        <v>-8</v>
      </c>
    </row>
    <row r="1091" spans="1:21" x14ac:dyDescent="0.3">
      <c r="A1091">
        <v>2020</v>
      </c>
      <c r="B1091">
        <v>14</v>
      </c>
      <c r="C1091" t="s">
        <v>548</v>
      </c>
      <c r="D1091" t="s">
        <v>31</v>
      </c>
      <c r="E1091" t="s">
        <v>32</v>
      </c>
      <c r="F1091" t="s">
        <v>42</v>
      </c>
      <c r="G1091">
        <v>5</v>
      </c>
      <c r="H1091">
        <v>10</v>
      </c>
      <c r="I1091">
        <v>1</v>
      </c>
      <c r="J1091" t="s">
        <v>34</v>
      </c>
      <c r="K1091" t="s">
        <v>24</v>
      </c>
      <c r="L1091">
        <v>58</v>
      </c>
      <c r="M1091">
        <v>100.67700000000001</v>
      </c>
      <c r="N1091">
        <v>105.4967</v>
      </c>
      <c r="O1091">
        <v>38.148000000000003</v>
      </c>
      <c r="P1091">
        <v>34.036999999999999</v>
      </c>
      <c r="Q1091">
        <v>28.032</v>
      </c>
      <c r="R1091" t="s">
        <v>553</v>
      </c>
      <c r="S1091" t="s">
        <v>25</v>
      </c>
      <c r="T1091">
        <f>IF(TRIM(Table1[[#This Row],[PitStopLaps]])="",0,
LEN(Table1[[#This Row],[PitStopLaps]])-LEN(SUBSTITUTE(Table1[[#This Row],[PitStopLaps]],",",""))+1)</f>
        <v>2</v>
      </c>
      <c r="U1091">
        <f>Table1[[#This Row],[StartPosition]]-Table1[[#This Row],[FinishPosition]]</f>
        <v>-5</v>
      </c>
    </row>
    <row r="1092" spans="1:21" x14ac:dyDescent="0.3">
      <c r="A1092">
        <v>2020</v>
      </c>
      <c r="B1092">
        <v>14</v>
      </c>
      <c r="C1092" t="s">
        <v>548</v>
      </c>
      <c r="D1092" t="s">
        <v>52</v>
      </c>
      <c r="E1092" t="s">
        <v>53</v>
      </c>
      <c r="F1092" t="s">
        <v>42</v>
      </c>
      <c r="G1092">
        <v>7</v>
      </c>
      <c r="H1092">
        <v>11</v>
      </c>
      <c r="I1092">
        <v>0</v>
      </c>
      <c r="J1092" t="s">
        <v>34</v>
      </c>
      <c r="K1092" t="s">
        <v>65</v>
      </c>
      <c r="L1092">
        <v>57</v>
      </c>
      <c r="M1092">
        <v>101.006</v>
      </c>
      <c r="N1092">
        <v>105.105509</v>
      </c>
      <c r="O1092">
        <v>38.667000000000002</v>
      </c>
      <c r="P1092">
        <v>33.722999999999999</v>
      </c>
      <c r="Q1092">
        <v>28.013000000000002</v>
      </c>
      <c r="R1092" t="s">
        <v>554</v>
      </c>
      <c r="S1092" t="s">
        <v>25</v>
      </c>
      <c r="T1092">
        <f>IF(TRIM(Table1[[#This Row],[PitStopLaps]])="",0,
LEN(Table1[[#This Row],[PitStopLaps]])-LEN(SUBSTITUTE(Table1[[#This Row],[PitStopLaps]],",",""))+1)</f>
        <v>2</v>
      </c>
      <c r="U1092">
        <f>Table1[[#This Row],[StartPosition]]-Table1[[#This Row],[FinishPosition]]</f>
        <v>-4</v>
      </c>
    </row>
    <row r="1093" spans="1:21" x14ac:dyDescent="0.3">
      <c r="A1093">
        <v>2020</v>
      </c>
      <c r="B1093">
        <v>14</v>
      </c>
      <c r="C1093" t="s">
        <v>548</v>
      </c>
      <c r="D1093" t="s">
        <v>244</v>
      </c>
      <c r="E1093" t="s">
        <v>245</v>
      </c>
      <c r="F1093" t="s">
        <v>438</v>
      </c>
      <c r="G1093">
        <v>16</v>
      </c>
      <c r="H1093">
        <v>12</v>
      </c>
      <c r="I1093">
        <v>0</v>
      </c>
      <c r="J1093" t="s">
        <v>34</v>
      </c>
      <c r="K1093" t="s">
        <v>65</v>
      </c>
      <c r="L1093">
        <v>57</v>
      </c>
      <c r="M1093">
        <v>101.01900000000001</v>
      </c>
      <c r="N1093">
        <v>105.959192</v>
      </c>
      <c r="O1093">
        <v>38.380000000000003</v>
      </c>
      <c r="P1093">
        <v>33.436</v>
      </c>
      <c r="Q1093">
        <v>28.132999999999999</v>
      </c>
      <c r="R1093">
        <v>8</v>
      </c>
      <c r="S1093" t="s">
        <v>25</v>
      </c>
      <c r="T1093">
        <f>IF(TRIM(Table1[[#This Row],[PitStopLaps]])="",0,
LEN(Table1[[#This Row],[PitStopLaps]])-LEN(SUBSTITUTE(Table1[[#This Row],[PitStopLaps]],",",""))+1)</f>
        <v>1</v>
      </c>
      <c r="U1093">
        <f>Table1[[#This Row],[StartPosition]]-Table1[[#This Row],[FinishPosition]]</f>
        <v>4</v>
      </c>
    </row>
    <row r="1094" spans="1:21" x14ac:dyDescent="0.3">
      <c r="A1094">
        <v>2020</v>
      </c>
      <c r="B1094">
        <v>14</v>
      </c>
      <c r="C1094" t="s">
        <v>548</v>
      </c>
      <c r="D1094" t="s">
        <v>73</v>
      </c>
      <c r="E1094" t="s">
        <v>74</v>
      </c>
      <c r="F1094" t="s">
        <v>438</v>
      </c>
      <c r="G1094">
        <v>19</v>
      </c>
      <c r="H1094">
        <v>13</v>
      </c>
      <c r="I1094">
        <v>0</v>
      </c>
      <c r="J1094" t="s">
        <v>34</v>
      </c>
      <c r="K1094" t="s">
        <v>65</v>
      </c>
      <c r="L1094">
        <v>57</v>
      </c>
      <c r="M1094">
        <v>99.585999999999999</v>
      </c>
      <c r="N1094">
        <v>105.89185999999999</v>
      </c>
      <c r="O1094">
        <v>38.271000000000001</v>
      </c>
      <c r="P1094">
        <v>33.418999999999997</v>
      </c>
      <c r="Q1094">
        <v>27.494</v>
      </c>
      <c r="R1094" t="s">
        <v>549</v>
      </c>
      <c r="S1094" t="s">
        <v>25</v>
      </c>
      <c r="T1094">
        <f>IF(TRIM(Table1[[#This Row],[PitStopLaps]])="",0,
LEN(Table1[[#This Row],[PitStopLaps]])-LEN(SUBSTITUTE(Table1[[#This Row],[PitStopLaps]],",",""))+1)</f>
        <v>2</v>
      </c>
      <c r="U1094">
        <f>Table1[[#This Row],[StartPosition]]-Table1[[#This Row],[FinishPosition]]</f>
        <v>6</v>
      </c>
    </row>
    <row r="1095" spans="1:21" x14ac:dyDescent="0.3">
      <c r="A1095">
        <v>2020</v>
      </c>
      <c r="B1095">
        <v>14</v>
      </c>
      <c r="C1095" t="s">
        <v>548</v>
      </c>
      <c r="D1095" t="s">
        <v>43</v>
      </c>
      <c r="E1095" t="s">
        <v>44</v>
      </c>
      <c r="F1095" t="s">
        <v>28</v>
      </c>
      <c r="G1095">
        <v>9</v>
      </c>
      <c r="H1095">
        <v>14</v>
      </c>
      <c r="I1095">
        <v>0</v>
      </c>
      <c r="J1095" t="s">
        <v>34</v>
      </c>
      <c r="K1095" t="s">
        <v>65</v>
      </c>
      <c r="L1095">
        <v>57</v>
      </c>
      <c r="M1095">
        <v>98.192999999999998</v>
      </c>
      <c r="N1095">
        <v>106.3338</v>
      </c>
      <c r="O1095">
        <v>37.777999999999999</v>
      </c>
      <c r="P1095">
        <v>33.225999999999999</v>
      </c>
      <c r="Q1095">
        <v>27.189</v>
      </c>
      <c r="R1095" t="s">
        <v>555</v>
      </c>
      <c r="S1095" t="s">
        <v>25</v>
      </c>
      <c r="T1095">
        <f>IF(TRIM(Table1[[#This Row],[PitStopLaps]])="",0,
LEN(Table1[[#This Row],[PitStopLaps]])-LEN(SUBSTITUTE(Table1[[#This Row],[PitStopLaps]],",",""))+1)</f>
        <v>2</v>
      </c>
      <c r="U1095">
        <f>Table1[[#This Row],[StartPosition]]-Table1[[#This Row],[FinishPosition]]</f>
        <v>-5</v>
      </c>
    </row>
    <row r="1096" spans="1:21" x14ac:dyDescent="0.3">
      <c r="A1096">
        <v>2020</v>
      </c>
      <c r="B1096">
        <v>14</v>
      </c>
      <c r="C1096" t="s">
        <v>548</v>
      </c>
      <c r="D1096" t="s">
        <v>29</v>
      </c>
      <c r="E1096" t="s">
        <v>30</v>
      </c>
      <c r="F1096" t="s">
        <v>243</v>
      </c>
      <c r="G1096">
        <v>8</v>
      </c>
      <c r="H1096">
        <v>15</v>
      </c>
      <c r="I1096">
        <v>0</v>
      </c>
      <c r="J1096" t="s">
        <v>34</v>
      </c>
      <c r="K1096" t="s">
        <v>65</v>
      </c>
      <c r="L1096">
        <v>57</v>
      </c>
      <c r="M1096">
        <v>99.742999999999995</v>
      </c>
      <c r="N1096">
        <v>106.40447899999999</v>
      </c>
      <c r="O1096">
        <v>37.572000000000003</v>
      </c>
      <c r="P1096">
        <v>33.776000000000003</v>
      </c>
      <c r="Q1096">
        <v>27.486000000000001</v>
      </c>
      <c r="R1096" t="s">
        <v>556</v>
      </c>
      <c r="S1096" t="s">
        <v>25</v>
      </c>
      <c r="T1096">
        <f>IF(TRIM(Table1[[#This Row],[PitStopLaps]])="",0,
LEN(Table1[[#This Row],[PitStopLaps]])-LEN(SUBSTITUTE(Table1[[#This Row],[PitStopLaps]],",",""))+1)</f>
        <v>3</v>
      </c>
      <c r="U1096">
        <f>Table1[[#This Row],[StartPosition]]-Table1[[#This Row],[FinishPosition]]</f>
        <v>-7</v>
      </c>
    </row>
    <row r="1097" spans="1:21" x14ac:dyDescent="0.3">
      <c r="A1097">
        <v>2020</v>
      </c>
      <c r="B1097">
        <v>14</v>
      </c>
      <c r="C1097" t="s">
        <v>548</v>
      </c>
      <c r="D1097" t="s">
        <v>252</v>
      </c>
      <c r="E1097" t="s">
        <v>253</v>
      </c>
      <c r="F1097" t="s">
        <v>60</v>
      </c>
      <c r="G1097">
        <v>0</v>
      </c>
      <c r="H1097">
        <v>16</v>
      </c>
      <c r="I1097">
        <v>0</v>
      </c>
      <c r="J1097" t="s">
        <v>34</v>
      </c>
      <c r="K1097" t="s">
        <v>65</v>
      </c>
      <c r="L1097">
        <v>57</v>
      </c>
      <c r="M1097">
        <v>100.81399999999999</v>
      </c>
      <c r="N1097">
        <v>107.67446</v>
      </c>
      <c r="O1097">
        <v>38.363999999999997</v>
      </c>
      <c r="P1097">
        <v>34.030999999999999</v>
      </c>
      <c r="Q1097">
        <v>28.245000000000001</v>
      </c>
      <c r="R1097" t="s">
        <v>557</v>
      </c>
      <c r="S1097" t="s">
        <v>25</v>
      </c>
      <c r="T1097">
        <f>IF(TRIM(Table1[[#This Row],[PitStopLaps]])="",0,
LEN(Table1[[#This Row],[PitStopLaps]])-LEN(SUBSTITUTE(Table1[[#This Row],[PitStopLaps]],",",""))+1)</f>
        <v>2</v>
      </c>
      <c r="U1097">
        <f>Table1[[#This Row],[StartPosition]]-Table1[[#This Row],[FinishPosition]]</f>
        <v>-16</v>
      </c>
    </row>
    <row r="1098" spans="1:21" x14ac:dyDescent="0.3">
      <c r="A1098">
        <v>2020</v>
      </c>
      <c r="B1098">
        <v>14</v>
      </c>
      <c r="C1098" t="s">
        <v>548</v>
      </c>
      <c r="D1098" t="s">
        <v>71</v>
      </c>
      <c r="E1098" t="s">
        <v>72</v>
      </c>
      <c r="F1098" t="s">
        <v>69</v>
      </c>
      <c r="G1098">
        <v>13</v>
      </c>
      <c r="H1098">
        <v>17</v>
      </c>
      <c r="I1098">
        <v>0</v>
      </c>
      <c r="J1098" t="s">
        <v>34</v>
      </c>
      <c r="K1098" t="s">
        <v>402</v>
      </c>
      <c r="L1098">
        <v>55</v>
      </c>
      <c r="M1098">
        <v>100.94799999999999</v>
      </c>
      <c r="N1098">
        <v>106.391893</v>
      </c>
      <c r="O1098">
        <v>38.569000000000003</v>
      </c>
      <c r="P1098">
        <v>33.784999999999997</v>
      </c>
      <c r="Q1098">
        <v>28.148</v>
      </c>
      <c r="R1098" t="s">
        <v>558</v>
      </c>
      <c r="S1098" t="s">
        <v>25</v>
      </c>
      <c r="T1098">
        <f>IF(TRIM(Table1[[#This Row],[PitStopLaps]])="",0,
LEN(Table1[[#This Row],[PitStopLaps]])-LEN(SUBSTITUTE(Table1[[#This Row],[PitStopLaps]],",",""))+1)</f>
        <v>3</v>
      </c>
      <c r="U1098">
        <f>Table1[[#This Row],[StartPosition]]-Table1[[#This Row],[FinishPosition]]</f>
        <v>-4</v>
      </c>
    </row>
    <row r="1099" spans="1:21" x14ac:dyDescent="0.3">
      <c r="A1099">
        <v>2020</v>
      </c>
      <c r="B1099">
        <v>14</v>
      </c>
      <c r="C1099" t="s">
        <v>548</v>
      </c>
      <c r="D1099" t="s">
        <v>67</v>
      </c>
      <c r="E1099" t="s">
        <v>68</v>
      </c>
      <c r="F1099" t="s">
        <v>69</v>
      </c>
      <c r="G1099">
        <v>17</v>
      </c>
      <c r="H1099">
        <v>18</v>
      </c>
      <c r="I1099">
        <v>0</v>
      </c>
      <c r="J1099" t="s">
        <v>34</v>
      </c>
      <c r="K1099" t="s">
        <v>109</v>
      </c>
      <c r="L1099">
        <v>49</v>
      </c>
      <c r="M1099">
        <v>103.28100000000001</v>
      </c>
      <c r="N1099">
        <v>109.466292</v>
      </c>
      <c r="O1099">
        <v>38.478000000000002</v>
      </c>
      <c r="P1099">
        <v>34.75</v>
      </c>
      <c r="Q1099">
        <v>28.568000000000001</v>
      </c>
      <c r="R1099" t="s">
        <v>559</v>
      </c>
      <c r="S1099" t="s">
        <v>25</v>
      </c>
      <c r="T1099">
        <f>IF(TRIM(Table1[[#This Row],[PitStopLaps]])="",0,
LEN(Table1[[#This Row],[PitStopLaps]])-LEN(SUBSTITUTE(Table1[[#This Row],[PitStopLaps]],",",""))+1)</f>
        <v>3</v>
      </c>
      <c r="U1099">
        <f>Table1[[#This Row],[StartPosition]]-Table1[[#This Row],[FinishPosition]]</f>
        <v>-1</v>
      </c>
    </row>
    <row r="1100" spans="1:21" x14ac:dyDescent="0.3">
      <c r="A1100">
        <v>2020</v>
      </c>
      <c r="B1100">
        <v>14</v>
      </c>
      <c r="C1100" t="s">
        <v>548</v>
      </c>
      <c r="D1100" t="s">
        <v>440</v>
      </c>
      <c r="E1100" t="s">
        <v>441</v>
      </c>
      <c r="F1100" t="s">
        <v>60</v>
      </c>
      <c r="G1100">
        <v>0</v>
      </c>
      <c r="H1100">
        <v>19</v>
      </c>
      <c r="I1100">
        <v>0</v>
      </c>
      <c r="J1100" t="s">
        <v>34</v>
      </c>
      <c r="K1100" t="s">
        <v>109</v>
      </c>
      <c r="L1100">
        <v>39</v>
      </c>
      <c r="M1100">
        <v>103.495</v>
      </c>
      <c r="N1100">
        <v>112.49525</v>
      </c>
      <c r="O1100">
        <v>38.979999999999997</v>
      </c>
      <c r="P1100">
        <v>35.338000000000001</v>
      </c>
      <c r="Q1100">
        <v>28.405999999999999</v>
      </c>
      <c r="R1100" t="s">
        <v>560</v>
      </c>
      <c r="S1100" t="s">
        <v>25</v>
      </c>
      <c r="T1100">
        <f>IF(TRIM(Table1[[#This Row],[PitStopLaps]])="",0,
LEN(Table1[[#This Row],[PitStopLaps]])-LEN(SUBSTITUTE(Table1[[#This Row],[PitStopLaps]],",",""))+1)</f>
        <v>3</v>
      </c>
      <c r="U1100">
        <f>Table1[[#This Row],[StartPosition]]-Table1[[#This Row],[FinishPosition]]</f>
        <v>-19</v>
      </c>
    </row>
    <row r="1101" spans="1:21" x14ac:dyDescent="0.3">
      <c r="A1101">
        <v>2020</v>
      </c>
      <c r="B1101">
        <v>14</v>
      </c>
      <c r="C1101" t="s">
        <v>548</v>
      </c>
      <c r="D1101" t="s">
        <v>250</v>
      </c>
      <c r="E1101" t="s">
        <v>251</v>
      </c>
      <c r="F1101" t="s">
        <v>243</v>
      </c>
      <c r="G1101">
        <v>10</v>
      </c>
      <c r="H1101">
        <v>20</v>
      </c>
      <c r="I1101">
        <v>0</v>
      </c>
      <c r="J1101" t="s">
        <v>34</v>
      </c>
      <c r="K1101" t="s">
        <v>132</v>
      </c>
      <c r="L1101">
        <v>12</v>
      </c>
      <c r="M1101">
        <v>111.122</v>
      </c>
      <c r="N1101">
        <v>117.81925</v>
      </c>
      <c r="O1101">
        <v>42.151000000000003</v>
      </c>
      <c r="P1101">
        <v>39.250999999999998</v>
      </c>
      <c r="Q1101">
        <v>29.72</v>
      </c>
      <c r="R1101">
        <v>8</v>
      </c>
      <c r="S1101" t="s">
        <v>25</v>
      </c>
      <c r="T1101">
        <f>IF(TRIM(Table1[[#This Row],[PitStopLaps]])="",0,
LEN(Table1[[#This Row],[PitStopLaps]])-LEN(SUBSTITUTE(Table1[[#This Row],[PitStopLaps]],",",""))+1)</f>
        <v>1</v>
      </c>
      <c r="U1101">
        <f>Table1[[#This Row],[StartPosition]]-Table1[[#This Row],[FinishPosition]]</f>
        <v>-10</v>
      </c>
    </row>
    <row r="1102" spans="1:21" x14ac:dyDescent="0.3">
      <c r="A1102">
        <v>2020</v>
      </c>
      <c r="B1102">
        <v>15</v>
      </c>
      <c r="C1102" t="s">
        <v>82</v>
      </c>
      <c r="D1102" t="s">
        <v>26</v>
      </c>
      <c r="E1102" t="s">
        <v>27</v>
      </c>
      <c r="F1102" t="s">
        <v>28</v>
      </c>
      <c r="G1102">
        <v>1</v>
      </c>
      <c r="H1102">
        <v>1</v>
      </c>
      <c r="I1102">
        <v>25</v>
      </c>
      <c r="J1102" t="s">
        <v>23</v>
      </c>
      <c r="K1102" t="s">
        <v>24</v>
      </c>
      <c r="L1102">
        <v>57</v>
      </c>
      <c r="M1102">
        <v>92.864000000000004</v>
      </c>
      <c r="N1102">
        <v>93.990166000000002</v>
      </c>
      <c r="O1102">
        <v>29.434999999999999</v>
      </c>
      <c r="P1102">
        <v>40.265000000000001</v>
      </c>
      <c r="Q1102">
        <v>22.835999999999999</v>
      </c>
      <c r="R1102" t="s">
        <v>561</v>
      </c>
      <c r="S1102" t="s">
        <v>83</v>
      </c>
      <c r="T1102">
        <f>IF(TRIM(Table1[[#This Row],[PitStopLaps]])="",0,
LEN(Table1[[#This Row],[PitStopLaps]])-LEN(SUBSTITUTE(Table1[[#This Row],[PitStopLaps]],",",""))+1)</f>
        <v>3</v>
      </c>
      <c r="U1102">
        <f>Table1[[#This Row],[StartPosition]]-Table1[[#This Row],[FinishPosition]]</f>
        <v>0</v>
      </c>
    </row>
    <row r="1103" spans="1:21" x14ac:dyDescent="0.3">
      <c r="A1103">
        <v>2020</v>
      </c>
      <c r="B1103">
        <v>15</v>
      </c>
      <c r="C1103" t="s">
        <v>82</v>
      </c>
      <c r="D1103" t="s">
        <v>38</v>
      </c>
      <c r="E1103" t="s">
        <v>39</v>
      </c>
      <c r="F1103" t="s">
        <v>33</v>
      </c>
      <c r="G1103">
        <v>3</v>
      </c>
      <c r="H1103">
        <v>2</v>
      </c>
      <c r="I1103">
        <v>19</v>
      </c>
      <c r="J1103" t="s">
        <v>23</v>
      </c>
      <c r="K1103" t="s">
        <v>24</v>
      </c>
      <c r="L1103">
        <v>57</v>
      </c>
      <c r="M1103">
        <v>92.013999999999996</v>
      </c>
      <c r="N1103">
        <v>93.901076000000003</v>
      </c>
      <c r="O1103">
        <v>29.41</v>
      </c>
      <c r="P1103">
        <v>39.518000000000001</v>
      </c>
      <c r="Q1103">
        <v>22.844999999999999</v>
      </c>
      <c r="R1103" t="s">
        <v>562</v>
      </c>
      <c r="S1103" t="s">
        <v>83</v>
      </c>
      <c r="T1103">
        <f>IF(TRIM(Table1[[#This Row],[PitStopLaps]])="",0,
LEN(Table1[[#This Row],[PitStopLaps]])-LEN(SUBSTITUTE(Table1[[#This Row],[PitStopLaps]],",",""))+1)</f>
        <v>4</v>
      </c>
      <c r="U1103">
        <f>Table1[[#This Row],[StartPosition]]-Table1[[#This Row],[FinishPosition]]</f>
        <v>1</v>
      </c>
    </row>
    <row r="1104" spans="1:21" x14ac:dyDescent="0.3">
      <c r="A1104">
        <v>2020</v>
      </c>
      <c r="B1104">
        <v>15</v>
      </c>
      <c r="C1104" t="s">
        <v>82</v>
      </c>
      <c r="D1104" t="s">
        <v>248</v>
      </c>
      <c r="E1104" t="s">
        <v>249</v>
      </c>
      <c r="F1104" t="s">
        <v>33</v>
      </c>
      <c r="G1104">
        <v>4</v>
      </c>
      <c r="H1104">
        <v>3</v>
      </c>
      <c r="I1104">
        <v>15</v>
      </c>
      <c r="J1104" t="s">
        <v>23</v>
      </c>
      <c r="K1104" t="s">
        <v>24</v>
      </c>
      <c r="L1104">
        <v>57</v>
      </c>
      <c r="M1104">
        <v>93.683999999999997</v>
      </c>
      <c r="N1104">
        <v>94.937511999999998</v>
      </c>
      <c r="O1104">
        <v>29.925000000000001</v>
      </c>
      <c r="P1104">
        <v>40.540999999999997</v>
      </c>
      <c r="Q1104">
        <v>23.024000000000001</v>
      </c>
      <c r="R1104" t="s">
        <v>563</v>
      </c>
      <c r="S1104" t="s">
        <v>83</v>
      </c>
      <c r="T1104">
        <f>IF(TRIM(Table1[[#This Row],[PitStopLaps]])="",0,
LEN(Table1[[#This Row],[PitStopLaps]])-LEN(SUBSTITUTE(Table1[[#This Row],[PitStopLaps]],",",""))+1)</f>
        <v>3</v>
      </c>
      <c r="U1104">
        <f>Table1[[#This Row],[StartPosition]]-Table1[[#This Row],[FinishPosition]]</f>
        <v>1</v>
      </c>
    </row>
    <row r="1105" spans="1:21" x14ac:dyDescent="0.3">
      <c r="A1105">
        <v>2020</v>
      </c>
      <c r="B1105">
        <v>15</v>
      </c>
      <c r="C1105" t="s">
        <v>82</v>
      </c>
      <c r="D1105" t="s">
        <v>246</v>
      </c>
      <c r="E1105" t="s">
        <v>247</v>
      </c>
      <c r="F1105" t="s">
        <v>37</v>
      </c>
      <c r="G1105">
        <v>9</v>
      </c>
      <c r="H1105">
        <v>4</v>
      </c>
      <c r="I1105">
        <v>12</v>
      </c>
      <c r="J1105" t="s">
        <v>34</v>
      </c>
      <c r="K1105" t="s">
        <v>24</v>
      </c>
      <c r="L1105">
        <v>57</v>
      </c>
      <c r="M1105">
        <v>93.587999999999994</v>
      </c>
      <c r="N1105">
        <v>95.142511999999996</v>
      </c>
      <c r="O1105">
        <v>29.574999999999999</v>
      </c>
      <c r="P1105">
        <v>40.395000000000003</v>
      </c>
      <c r="Q1105">
        <v>23.17</v>
      </c>
      <c r="R1105" t="s">
        <v>564</v>
      </c>
      <c r="S1105" t="s">
        <v>83</v>
      </c>
      <c r="T1105">
        <f>IF(TRIM(Table1[[#This Row],[PitStopLaps]])="",0,
LEN(Table1[[#This Row],[PitStopLaps]])-LEN(SUBSTITUTE(Table1[[#This Row],[PitStopLaps]],",",""))+1)</f>
        <v>3</v>
      </c>
      <c r="U1105">
        <f>Table1[[#This Row],[StartPosition]]-Table1[[#This Row],[FinishPosition]]</f>
        <v>5</v>
      </c>
    </row>
    <row r="1106" spans="1:21" x14ac:dyDescent="0.3">
      <c r="A1106">
        <v>2020</v>
      </c>
      <c r="B1106">
        <v>15</v>
      </c>
      <c r="C1106" t="s">
        <v>82</v>
      </c>
      <c r="D1106" t="s">
        <v>47</v>
      </c>
      <c r="E1106" t="s">
        <v>48</v>
      </c>
      <c r="F1106" t="s">
        <v>37</v>
      </c>
      <c r="G1106">
        <v>15</v>
      </c>
      <c r="H1106">
        <v>5</v>
      </c>
      <c r="I1106">
        <v>10</v>
      </c>
      <c r="J1106" t="s">
        <v>34</v>
      </c>
      <c r="K1106" t="s">
        <v>24</v>
      </c>
      <c r="L1106">
        <v>57</v>
      </c>
      <c r="M1106">
        <v>93.411000000000001</v>
      </c>
      <c r="N1106">
        <v>95.284800000000004</v>
      </c>
      <c r="O1106">
        <v>29.725999999999999</v>
      </c>
      <c r="P1106">
        <v>40.383000000000003</v>
      </c>
      <c r="Q1106">
        <v>23.076000000000001</v>
      </c>
      <c r="R1106" t="s">
        <v>565</v>
      </c>
      <c r="S1106" t="s">
        <v>83</v>
      </c>
      <c r="T1106">
        <f>IF(TRIM(Table1[[#This Row],[PitStopLaps]])="",0,
LEN(Table1[[#This Row],[PitStopLaps]])-LEN(SUBSTITUTE(Table1[[#This Row],[PitStopLaps]],",",""))+1)</f>
        <v>3</v>
      </c>
      <c r="U1106">
        <f>Table1[[#This Row],[StartPosition]]-Table1[[#This Row],[FinishPosition]]</f>
        <v>10</v>
      </c>
    </row>
    <row r="1107" spans="1:21" x14ac:dyDescent="0.3">
      <c r="A1107">
        <v>2020</v>
      </c>
      <c r="B1107">
        <v>15</v>
      </c>
      <c r="C1107" t="s">
        <v>82</v>
      </c>
      <c r="D1107" t="s">
        <v>73</v>
      </c>
      <c r="E1107" t="s">
        <v>74</v>
      </c>
      <c r="F1107" t="s">
        <v>438</v>
      </c>
      <c r="G1107">
        <v>8</v>
      </c>
      <c r="H1107">
        <v>6</v>
      </c>
      <c r="I1107">
        <v>8</v>
      </c>
      <c r="J1107" t="s">
        <v>34</v>
      </c>
      <c r="K1107" t="s">
        <v>24</v>
      </c>
      <c r="L1107">
        <v>57</v>
      </c>
      <c r="M1107">
        <v>94.816999999999993</v>
      </c>
      <c r="N1107">
        <v>96.016999999999996</v>
      </c>
      <c r="O1107">
        <v>30.114000000000001</v>
      </c>
      <c r="P1107">
        <v>40.970999999999997</v>
      </c>
      <c r="Q1107">
        <v>23.295999999999999</v>
      </c>
      <c r="R1107" t="s">
        <v>193</v>
      </c>
      <c r="S1107" t="s">
        <v>83</v>
      </c>
      <c r="T1107">
        <f>IF(TRIM(Table1[[#This Row],[PitStopLaps]])="",0,
LEN(Table1[[#This Row],[PitStopLaps]])-LEN(SUBSTITUTE(Table1[[#This Row],[PitStopLaps]],",",""))+1)</f>
        <v>2</v>
      </c>
      <c r="U1107">
        <f>Table1[[#This Row],[StartPosition]]-Table1[[#This Row],[FinishPosition]]</f>
        <v>2</v>
      </c>
    </row>
    <row r="1108" spans="1:21" x14ac:dyDescent="0.3">
      <c r="A1108">
        <v>2020</v>
      </c>
      <c r="B1108">
        <v>15</v>
      </c>
      <c r="C1108" t="s">
        <v>82</v>
      </c>
      <c r="D1108" t="s">
        <v>31</v>
      </c>
      <c r="E1108" t="s">
        <v>32</v>
      </c>
      <c r="F1108" t="s">
        <v>42</v>
      </c>
      <c r="G1108">
        <v>6</v>
      </c>
      <c r="H1108">
        <v>7</v>
      </c>
      <c r="I1108">
        <v>6</v>
      </c>
      <c r="J1108" t="s">
        <v>34</v>
      </c>
      <c r="K1108" t="s">
        <v>24</v>
      </c>
      <c r="L1108">
        <v>57</v>
      </c>
      <c r="M1108">
        <v>92.826999999999998</v>
      </c>
      <c r="N1108">
        <v>95.502195</v>
      </c>
      <c r="O1108">
        <v>29.358000000000001</v>
      </c>
      <c r="P1108">
        <v>40.26</v>
      </c>
      <c r="Q1108">
        <v>23.091999999999999</v>
      </c>
      <c r="R1108" t="s">
        <v>566</v>
      </c>
      <c r="S1108" t="s">
        <v>83</v>
      </c>
      <c r="T1108">
        <f>IF(TRIM(Table1[[#This Row],[PitStopLaps]])="",0,
LEN(Table1[[#This Row],[PitStopLaps]])-LEN(SUBSTITUTE(Table1[[#This Row],[PitStopLaps]],",",""))+1)</f>
        <v>3</v>
      </c>
      <c r="U1108">
        <f>Table1[[#This Row],[StartPosition]]-Table1[[#This Row],[FinishPosition]]</f>
        <v>-1</v>
      </c>
    </row>
    <row r="1109" spans="1:21" x14ac:dyDescent="0.3">
      <c r="A1109">
        <v>2020</v>
      </c>
      <c r="B1109">
        <v>15</v>
      </c>
      <c r="C1109" t="s">
        <v>82</v>
      </c>
      <c r="D1109" t="s">
        <v>43</v>
      </c>
      <c r="E1109" t="s">
        <v>44</v>
      </c>
      <c r="F1109" t="s">
        <v>28</v>
      </c>
      <c r="G1109">
        <v>2</v>
      </c>
      <c r="H1109">
        <v>8</v>
      </c>
      <c r="I1109">
        <v>4</v>
      </c>
      <c r="J1109" t="s">
        <v>34</v>
      </c>
      <c r="K1109" t="s">
        <v>24</v>
      </c>
      <c r="L1109">
        <v>57</v>
      </c>
      <c r="M1109">
        <v>93.352000000000004</v>
      </c>
      <c r="N1109">
        <v>95.535121000000004</v>
      </c>
      <c r="O1109">
        <v>29.445</v>
      </c>
      <c r="P1109">
        <v>40.35</v>
      </c>
      <c r="Q1109">
        <v>23.042000000000002</v>
      </c>
      <c r="R1109" t="s">
        <v>567</v>
      </c>
      <c r="S1109" t="s">
        <v>83</v>
      </c>
      <c r="T1109">
        <f>IF(TRIM(Table1[[#This Row],[PitStopLaps]])="",0,
LEN(Table1[[#This Row],[PitStopLaps]])-LEN(SUBSTITUTE(Table1[[#This Row],[PitStopLaps]],",",""))+1)</f>
        <v>4</v>
      </c>
      <c r="U1109">
        <f>Table1[[#This Row],[StartPosition]]-Table1[[#This Row],[FinishPosition]]</f>
        <v>-6</v>
      </c>
    </row>
    <row r="1110" spans="1:21" x14ac:dyDescent="0.3">
      <c r="A1110">
        <v>2020</v>
      </c>
      <c r="B1110">
        <v>15</v>
      </c>
      <c r="C1110" t="s">
        <v>82</v>
      </c>
      <c r="D1110" t="s">
        <v>52</v>
      </c>
      <c r="E1110" t="s">
        <v>53</v>
      </c>
      <c r="F1110" t="s">
        <v>42</v>
      </c>
      <c r="G1110">
        <v>7</v>
      </c>
      <c r="H1110">
        <v>9</v>
      </c>
      <c r="I1110">
        <v>2</v>
      </c>
      <c r="J1110" t="s">
        <v>34</v>
      </c>
      <c r="K1110" t="s">
        <v>24</v>
      </c>
      <c r="L1110">
        <v>57</v>
      </c>
      <c r="M1110">
        <v>94.353999999999999</v>
      </c>
      <c r="N1110">
        <v>95.787170000000003</v>
      </c>
      <c r="O1110">
        <v>29.907</v>
      </c>
      <c r="P1110">
        <v>40.817999999999998</v>
      </c>
      <c r="Q1110">
        <v>23.295000000000002</v>
      </c>
      <c r="R1110" t="s">
        <v>568</v>
      </c>
      <c r="S1110" t="s">
        <v>83</v>
      </c>
      <c r="T1110">
        <f>IF(TRIM(Table1[[#This Row],[PitStopLaps]])="",0,
LEN(Table1[[#This Row],[PitStopLaps]])-LEN(SUBSTITUTE(Table1[[#This Row],[PitStopLaps]],",",""))+1)</f>
        <v>3</v>
      </c>
      <c r="U1110">
        <f>Table1[[#This Row],[StartPosition]]-Table1[[#This Row],[FinishPosition]]</f>
        <v>-2</v>
      </c>
    </row>
    <row r="1111" spans="1:21" x14ac:dyDescent="0.3">
      <c r="A1111">
        <v>2020</v>
      </c>
      <c r="B1111">
        <v>15</v>
      </c>
      <c r="C1111" t="s">
        <v>82</v>
      </c>
      <c r="D1111" t="s">
        <v>54</v>
      </c>
      <c r="E1111" t="s">
        <v>55</v>
      </c>
      <c r="F1111" t="s">
        <v>22</v>
      </c>
      <c r="G1111">
        <v>12</v>
      </c>
      <c r="H1111">
        <v>10</v>
      </c>
      <c r="I1111">
        <v>1</v>
      </c>
      <c r="J1111" t="s">
        <v>34</v>
      </c>
      <c r="K1111" t="s">
        <v>65</v>
      </c>
      <c r="L1111">
        <v>56</v>
      </c>
      <c r="M1111">
        <v>93.625</v>
      </c>
      <c r="N1111">
        <v>96.098560000000006</v>
      </c>
      <c r="O1111">
        <v>29.998000000000001</v>
      </c>
      <c r="P1111">
        <v>40.331000000000003</v>
      </c>
      <c r="Q1111">
        <v>23.138999999999999</v>
      </c>
      <c r="R1111" t="s">
        <v>569</v>
      </c>
      <c r="S1111" t="s">
        <v>83</v>
      </c>
      <c r="T1111">
        <f>IF(TRIM(Table1[[#This Row],[PitStopLaps]])="",0,
LEN(Table1[[#This Row],[PitStopLaps]])-LEN(SUBSTITUTE(Table1[[#This Row],[PitStopLaps]],",",""))+1)</f>
        <v>3</v>
      </c>
      <c r="U1111">
        <f>Table1[[#This Row],[StartPosition]]-Table1[[#This Row],[FinishPosition]]</f>
        <v>2</v>
      </c>
    </row>
    <row r="1112" spans="1:21" x14ac:dyDescent="0.3">
      <c r="A1112">
        <v>2020</v>
      </c>
      <c r="B1112">
        <v>15</v>
      </c>
      <c r="C1112" t="s">
        <v>82</v>
      </c>
      <c r="D1112" t="s">
        <v>244</v>
      </c>
      <c r="E1112" t="s">
        <v>245</v>
      </c>
      <c r="F1112" t="s">
        <v>438</v>
      </c>
      <c r="G1112">
        <v>10</v>
      </c>
      <c r="H1112">
        <v>11</v>
      </c>
      <c r="I1112">
        <v>0</v>
      </c>
      <c r="J1112" t="s">
        <v>34</v>
      </c>
      <c r="K1112" t="s">
        <v>65</v>
      </c>
      <c r="L1112">
        <v>56</v>
      </c>
      <c r="M1112">
        <v>94.141000000000005</v>
      </c>
      <c r="N1112">
        <v>96.2714</v>
      </c>
      <c r="O1112">
        <v>29.707000000000001</v>
      </c>
      <c r="P1112">
        <v>40.945</v>
      </c>
      <c r="Q1112">
        <v>23.393999999999998</v>
      </c>
      <c r="R1112" t="s">
        <v>570</v>
      </c>
      <c r="S1112" t="s">
        <v>83</v>
      </c>
      <c r="T1112">
        <f>IF(TRIM(Table1[[#This Row],[PitStopLaps]])="",0,
LEN(Table1[[#This Row],[PitStopLaps]])-LEN(SUBSTITUTE(Table1[[#This Row],[PitStopLaps]],",",""))+1)</f>
        <v>3</v>
      </c>
      <c r="U1112">
        <f>Table1[[#This Row],[StartPosition]]-Table1[[#This Row],[FinishPosition]]</f>
        <v>-1</v>
      </c>
    </row>
    <row r="1113" spans="1:21" x14ac:dyDescent="0.3">
      <c r="A1113">
        <v>2020</v>
      </c>
      <c r="B1113">
        <v>15</v>
      </c>
      <c r="C1113" t="s">
        <v>82</v>
      </c>
      <c r="D1113" t="s">
        <v>252</v>
      </c>
      <c r="E1113" t="s">
        <v>253</v>
      </c>
      <c r="F1113" t="s">
        <v>60</v>
      </c>
      <c r="G1113">
        <v>14</v>
      </c>
      <c r="H1113">
        <v>12</v>
      </c>
      <c r="I1113">
        <v>0</v>
      </c>
      <c r="J1113" t="s">
        <v>34</v>
      </c>
      <c r="K1113" t="s">
        <v>65</v>
      </c>
      <c r="L1113">
        <v>56</v>
      </c>
      <c r="M1113">
        <v>95.042000000000002</v>
      </c>
      <c r="N1113">
        <v>96.771150000000006</v>
      </c>
      <c r="O1113">
        <v>30.265000000000001</v>
      </c>
      <c r="P1113">
        <v>41.442</v>
      </c>
      <c r="Q1113">
        <v>23.140999999999998</v>
      </c>
      <c r="R1113" t="s">
        <v>571</v>
      </c>
      <c r="S1113" t="s">
        <v>83</v>
      </c>
      <c r="T1113">
        <f>IF(TRIM(Table1[[#This Row],[PitStopLaps]])="",0,
LEN(Table1[[#This Row],[PitStopLaps]])-LEN(SUBSTITUTE(Table1[[#This Row],[PitStopLaps]],",",""))+1)</f>
        <v>3</v>
      </c>
      <c r="U1113">
        <f>Table1[[#This Row],[StartPosition]]-Table1[[#This Row],[FinishPosition]]</f>
        <v>2</v>
      </c>
    </row>
    <row r="1114" spans="1:21" x14ac:dyDescent="0.3">
      <c r="A1114">
        <v>2020</v>
      </c>
      <c r="B1114">
        <v>15</v>
      </c>
      <c r="C1114" t="s">
        <v>82</v>
      </c>
      <c r="D1114" t="s">
        <v>20</v>
      </c>
      <c r="E1114" t="s">
        <v>21</v>
      </c>
      <c r="F1114" t="s">
        <v>22</v>
      </c>
      <c r="G1114">
        <v>11</v>
      </c>
      <c r="H1114">
        <v>13</v>
      </c>
      <c r="I1114">
        <v>0</v>
      </c>
      <c r="J1114" t="s">
        <v>34</v>
      </c>
      <c r="K1114" t="s">
        <v>65</v>
      </c>
      <c r="L1114">
        <v>56</v>
      </c>
      <c r="M1114">
        <v>93.861000000000004</v>
      </c>
      <c r="N1114">
        <v>96.807474999999997</v>
      </c>
      <c r="O1114">
        <v>29.638000000000002</v>
      </c>
      <c r="P1114">
        <v>40.703000000000003</v>
      </c>
      <c r="Q1114">
        <v>23.492999999999999</v>
      </c>
      <c r="R1114" t="s">
        <v>571</v>
      </c>
      <c r="S1114" t="s">
        <v>83</v>
      </c>
      <c r="T1114">
        <f>IF(TRIM(Table1[[#This Row],[PitStopLaps]])="",0,
LEN(Table1[[#This Row],[PitStopLaps]])-LEN(SUBSTITUTE(Table1[[#This Row],[PitStopLaps]],",",""))+1)</f>
        <v>3</v>
      </c>
      <c r="U1114">
        <f>Table1[[#This Row],[StartPosition]]-Table1[[#This Row],[FinishPosition]]</f>
        <v>-2</v>
      </c>
    </row>
    <row r="1115" spans="1:21" x14ac:dyDescent="0.3">
      <c r="A1115">
        <v>2020</v>
      </c>
      <c r="B1115">
        <v>15</v>
      </c>
      <c r="C1115" t="s">
        <v>82</v>
      </c>
      <c r="D1115" t="s">
        <v>440</v>
      </c>
      <c r="E1115" t="s">
        <v>441</v>
      </c>
      <c r="F1115" t="s">
        <v>60</v>
      </c>
      <c r="G1115">
        <v>20</v>
      </c>
      <c r="H1115">
        <v>14</v>
      </c>
      <c r="I1115">
        <v>0</v>
      </c>
      <c r="J1115" t="s">
        <v>34</v>
      </c>
      <c r="K1115" t="s">
        <v>65</v>
      </c>
      <c r="L1115">
        <v>56</v>
      </c>
      <c r="M1115">
        <v>94.590999999999994</v>
      </c>
      <c r="N1115">
        <v>97.049850000000006</v>
      </c>
      <c r="O1115">
        <v>30.245999999999999</v>
      </c>
      <c r="P1115">
        <v>40.911999999999999</v>
      </c>
      <c r="Q1115">
        <v>23.219000000000001</v>
      </c>
      <c r="R1115" t="s">
        <v>572</v>
      </c>
      <c r="S1115" t="s">
        <v>83</v>
      </c>
      <c r="T1115">
        <f>IF(TRIM(Table1[[#This Row],[PitStopLaps]])="",0,
LEN(Table1[[#This Row],[PitStopLaps]])-LEN(SUBSTITUTE(Table1[[#This Row],[PitStopLaps]],",",""))+1)</f>
        <v>3</v>
      </c>
      <c r="U1115">
        <f>Table1[[#This Row],[StartPosition]]-Table1[[#This Row],[FinishPosition]]</f>
        <v>6</v>
      </c>
    </row>
    <row r="1116" spans="1:21" x14ac:dyDescent="0.3">
      <c r="A1116">
        <v>2020</v>
      </c>
      <c r="B1116">
        <v>15</v>
      </c>
      <c r="C1116" t="s">
        <v>82</v>
      </c>
      <c r="D1116" t="s">
        <v>29</v>
      </c>
      <c r="E1116" t="s">
        <v>30</v>
      </c>
      <c r="F1116" t="s">
        <v>243</v>
      </c>
      <c r="G1116">
        <v>17</v>
      </c>
      <c r="H1116">
        <v>15</v>
      </c>
      <c r="I1116">
        <v>0</v>
      </c>
      <c r="J1116" t="s">
        <v>34</v>
      </c>
      <c r="K1116" t="s">
        <v>65</v>
      </c>
      <c r="L1116">
        <v>56</v>
      </c>
      <c r="M1116">
        <v>93.572999999999993</v>
      </c>
      <c r="N1116">
        <v>96.853350000000006</v>
      </c>
      <c r="O1116">
        <v>29.792000000000002</v>
      </c>
      <c r="P1116">
        <v>40.414999999999999</v>
      </c>
      <c r="Q1116">
        <v>23.193999999999999</v>
      </c>
      <c r="R1116" t="s">
        <v>573</v>
      </c>
      <c r="S1116" t="s">
        <v>83</v>
      </c>
      <c r="T1116">
        <f>IF(TRIM(Table1[[#This Row],[PitStopLaps]])="",0,
LEN(Table1[[#This Row],[PitStopLaps]])-LEN(SUBSTITUTE(Table1[[#This Row],[PitStopLaps]],",",""))+1)</f>
        <v>3</v>
      </c>
      <c r="U1116">
        <f>Table1[[#This Row],[StartPosition]]-Table1[[#This Row],[FinishPosition]]</f>
        <v>2</v>
      </c>
    </row>
    <row r="1117" spans="1:21" x14ac:dyDescent="0.3">
      <c r="A1117">
        <v>2020</v>
      </c>
      <c r="B1117">
        <v>15</v>
      </c>
      <c r="C1117" t="s">
        <v>82</v>
      </c>
      <c r="D1117" t="s">
        <v>250</v>
      </c>
      <c r="E1117" t="s">
        <v>251</v>
      </c>
      <c r="F1117" t="s">
        <v>243</v>
      </c>
      <c r="G1117">
        <v>16</v>
      </c>
      <c r="H1117">
        <v>16</v>
      </c>
      <c r="I1117">
        <v>0</v>
      </c>
      <c r="J1117" t="s">
        <v>34</v>
      </c>
      <c r="K1117" t="s">
        <v>65</v>
      </c>
      <c r="L1117">
        <v>56</v>
      </c>
      <c r="M1117">
        <v>94.536000000000001</v>
      </c>
      <c r="N1117">
        <v>97.267332999999994</v>
      </c>
      <c r="O1117">
        <v>30.151</v>
      </c>
      <c r="P1117">
        <v>40.945</v>
      </c>
      <c r="Q1117">
        <v>23.44</v>
      </c>
      <c r="R1117" t="s">
        <v>574</v>
      </c>
      <c r="S1117" t="s">
        <v>83</v>
      </c>
      <c r="T1117">
        <f>IF(TRIM(Table1[[#This Row],[PitStopLaps]])="",0,
LEN(Table1[[#This Row],[PitStopLaps]])-LEN(SUBSTITUTE(Table1[[#This Row],[PitStopLaps]],",",""))+1)</f>
        <v>3</v>
      </c>
      <c r="U1117">
        <f>Table1[[#This Row],[StartPosition]]-Table1[[#This Row],[FinishPosition]]</f>
        <v>0</v>
      </c>
    </row>
    <row r="1118" spans="1:21" x14ac:dyDescent="0.3">
      <c r="A1118">
        <v>2020</v>
      </c>
      <c r="B1118">
        <v>15</v>
      </c>
      <c r="C1118" t="s">
        <v>82</v>
      </c>
      <c r="D1118" t="s">
        <v>71</v>
      </c>
      <c r="E1118" t="s">
        <v>72</v>
      </c>
      <c r="F1118" t="s">
        <v>69</v>
      </c>
      <c r="G1118">
        <v>18</v>
      </c>
      <c r="H1118">
        <v>17</v>
      </c>
      <c r="I1118">
        <v>0</v>
      </c>
      <c r="J1118" t="s">
        <v>34</v>
      </c>
      <c r="K1118" t="s">
        <v>65</v>
      </c>
      <c r="L1118">
        <v>56</v>
      </c>
      <c r="M1118">
        <v>95.241</v>
      </c>
      <c r="N1118">
        <v>97.845904000000004</v>
      </c>
      <c r="O1118">
        <v>30.378</v>
      </c>
      <c r="P1118">
        <v>41.222000000000001</v>
      </c>
      <c r="Q1118">
        <v>23.6</v>
      </c>
      <c r="R1118" t="s">
        <v>575</v>
      </c>
      <c r="S1118" t="s">
        <v>83</v>
      </c>
      <c r="T1118">
        <f>IF(TRIM(Table1[[#This Row],[PitStopLaps]])="",0,
LEN(Table1[[#This Row],[PitStopLaps]])-LEN(SUBSTITUTE(Table1[[#This Row],[PitStopLaps]],",",""))+1)</f>
        <v>4</v>
      </c>
      <c r="U1118">
        <f>Table1[[#This Row],[StartPosition]]-Table1[[#This Row],[FinishPosition]]</f>
        <v>1</v>
      </c>
    </row>
    <row r="1119" spans="1:21" x14ac:dyDescent="0.3">
      <c r="A1119">
        <v>2020</v>
      </c>
      <c r="B1119">
        <v>15</v>
      </c>
      <c r="C1119" t="s">
        <v>82</v>
      </c>
      <c r="D1119" t="s">
        <v>49</v>
      </c>
      <c r="E1119" t="s">
        <v>50</v>
      </c>
      <c r="F1119" t="s">
        <v>192</v>
      </c>
      <c r="G1119">
        <v>5</v>
      </c>
      <c r="H1119">
        <v>18</v>
      </c>
      <c r="I1119">
        <v>0</v>
      </c>
      <c r="J1119" t="s">
        <v>34</v>
      </c>
      <c r="K1119" t="s">
        <v>75</v>
      </c>
      <c r="L1119">
        <v>54</v>
      </c>
      <c r="M1119">
        <v>93.629000000000005</v>
      </c>
      <c r="N1119">
        <v>94.876390000000001</v>
      </c>
      <c r="O1119">
        <v>29.780999999999999</v>
      </c>
      <c r="P1119">
        <v>40.445</v>
      </c>
      <c r="Q1119">
        <v>23.001000000000001</v>
      </c>
      <c r="R1119" t="s">
        <v>576</v>
      </c>
      <c r="S1119" t="s">
        <v>83</v>
      </c>
      <c r="T1119">
        <f>IF(TRIM(Table1[[#This Row],[PitStopLaps]])="",0,
LEN(Table1[[#This Row],[PitStopLaps]])-LEN(SUBSTITUTE(Table1[[#This Row],[PitStopLaps]],",",""))+1)</f>
        <v>3</v>
      </c>
      <c r="U1119">
        <f>Table1[[#This Row],[StartPosition]]-Table1[[#This Row],[FinishPosition]]</f>
        <v>-13</v>
      </c>
    </row>
    <row r="1120" spans="1:21" x14ac:dyDescent="0.3">
      <c r="A1120">
        <v>2020</v>
      </c>
      <c r="B1120">
        <v>15</v>
      </c>
      <c r="C1120" t="s">
        <v>82</v>
      </c>
      <c r="D1120" t="s">
        <v>58</v>
      </c>
      <c r="E1120" t="s">
        <v>59</v>
      </c>
      <c r="F1120" t="s">
        <v>192</v>
      </c>
      <c r="G1120">
        <v>13</v>
      </c>
      <c r="H1120">
        <v>19</v>
      </c>
      <c r="I1120">
        <v>0</v>
      </c>
      <c r="J1120" t="s">
        <v>34</v>
      </c>
      <c r="K1120" t="s">
        <v>124</v>
      </c>
      <c r="L1120">
        <v>3</v>
      </c>
      <c r="R1120">
        <v>1</v>
      </c>
      <c r="S1120" t="s">
        <v>83</v>
      </c>
      <c r="T1120">
        <f>IF(TRIM(Table1[[#This Row],[PitStopLaps]])="",0,
LEN(Table1[[#This Row],[PitStopLaps]])-LEN(SUBSTITUTE(Table1[[#This Row],[PitStopLaps]],",",""))+1)</f>
        <v>1</v>
      </c>
      <c r="U1120">
        <f>Table1[[#This Row],[StartPosition]]-Table1[[#This Row],[FinishPosition]]</f>
        <v>-6</v>
      </c>
    </row>
    <row r="1121" spans="1:21" x14ac:dyDescent="0.3">
      <c r="A1121">
        <v>2020</v>
      </c>
      <c r="B1121">
        <v>15</v>
      </c>
      <c r="C1121" t="s">
        <v>82</v>
      </c>
      <c r="D1121" t="s">
        <v>67</v>
      </c>
      <c r="E1121" t="s">
        <v>68</v>
      </c>
      <c r="F1121" t="s">
        <v>69</v>
      </c>
      <c r="G1121">
        <v>19</v>
      </c>
      <c r="H1121">
        <v>20</v>
      </c>
      <c r="I1121">
        <v>0</v>
      </c>
      <c r="J1121" t="s">
        <v>34</v>
      </c>
      <c r="K1121" t="s">
        <v>124</v>
      </c>
      <c r="L1121">
        <v>1</v>
      </c>
      <c r="S1121" t="s">
        <v>83</v>
      </c>
      <c r="T1121">
        <f>IF(TRIM(Table1[[#This Row],[PitStopLaps]])="",0,
LEN(Table1[[#This Row],[PitStopLaps]])-LEN(SUBSTITUTE(Table1[[#This Row],[PitStopLaps]],",",""))+1)</f>
        <v>0</v>
      </c>
      <c r="U1121">
        <f>Table1[[#This Row],[StartPosition]]-Table1[[#This Row],[FinishPosition]]</f>
        <v>-1</v>
      </c>
    </row>
    <row r="1122" spans="1:21" x14ac:dyDescent="0.3">
      <c r="A1122">
        <v>2020</v>
      </c>
      <c r="B1122">
        <v>16</v>
      </c>
      <c r="C1122" t="s">
        <v>577</v>
      </c>
      <c r="D1122" t="s">
        <v>49</v>
      </c>
      <c r="E1122" t="s">
        <v>50</v>
      </c>
      <c r="F1122" t="s">
        <v>192</v>
      </c>
      <c r="G1122">
        <v>5</v>
      </c>
      <c r="H1122">
        <v>1</v>
      </c>
      <c r="I1122">
        <v>25</v>
      </c>
      <c r="J1122" t="s">
        <v>23</v>
      </c>
      <c r="K1122" t="s">
        <v>24</v>
      </c>
      <c r="L1122">
        <v>87</v>
      </c>
      <c r="M1122">
        <v>56.789000000000001</v>
      </c>
      <c r="N1122">
        <v>58.020142</v>
      </c>
      <c r="O1122">
        <v>19.670000000000002</v>
      </c>
      <c r="P1122">
        <v>19.927</v>
      </c>
      <c r="Q1122">
        <v>16.72</v>
      </c>
      <c r="R1122" t="s">
        <v>517</v>
      </c>
      <c r="S1122" t="s">
        <v>83</v>
      </c>
      <c r="T1122">
        <f>IF(TRIM(Table1[[#This Row],[PitStopLaps]])="",0,
LEN(Table1[[#This Row],[PitStopLaps]])-LEN(SUBSTITUTE(Table1[[#This Row],[PitStopLaps]],",",""))+1)</f>
        <v>2</v>
      </c>
      <c r="U1122">
        <f>Table1[[#This Row],[StartPosition]]-Table1[[#This Row],[FinishPosition]]</f>
        <v>4</v>
      </c>
    </row>
    <row r="1123" spans="1:21" x14ac:dyDescent="0.3">
      <c r="A1123">
        <v>2020</v>
      </c>
      <c r="B1123">
        <v>16</v>
      </c>
      <c r="C1123" t="s">
        <v>577</v>
      </c>
      <c r="D1123" t="s">
        <v>52</v>
      </c>
      <c r="E1123" t="s">
        <v>53</v>
      </c>
      <c r="F1123" t="s">
        <v>42</v>
      </c>
      <c r="G1123">
        <v>11</v>
      </c>
      <c r="H1123">
        <v>2</v>
      </c>
      <c r="I1123">
        <v>18</v>
      </c>
      <c r="J1123" t="s">
        <v>23</v>
      </c>
      <c r="K1123" t="s">
        <v>24</v>
      </c>
      <c r="L1123">
        <v>87</v>
      </c>
      <c r="M1123">
        <v>57.35</v>
      </c>
      <c r="N1123">
        <v>58.255927999999997</v>
      </c>
      <c r="O1123">
        <v>19.88</v>
      </c>
      <c r="P1123">
        <v>20.206</v>
      </c>
      <c r="Q1123">
        <v>16.882999999999999</v>
      </c>
      <c r="R1123">
        <v>41</v>
      </c>
      <c r="S1123" t="s">
        <v>83</v>
      </c>
      <c r="T1123">
        <f>IF(TRIM(Table1[[#This Row],[PitStopLaps]])="",0,
LEN(Table1[[#This Row],[PitStopLaps]])-LEN(SUBSTITUTE(Table1[[#This Row],[PitStopLaps]],",",""))+1)</f>
        <v>1</v>
      </c>
      <c r="U1123">
        <f>Table1[[#This Row],[StartPosition]]-Table1[[#This Row],[FinishPosition]]</f>
        <v>9</v>
      </c>
    </row>
    <row r="1124" spans="1:21" x14ac:dyDescent="0.3">
      <c r="A1124">
        <v>2020</v>
      </c>
      <c r="B1124">
        <v>16</v>
      </c>
      <c r="C1124" t="s">
        <v>577</v>
      </c>
      <c r="D1124" t="s">
        <v>58</v>
      </c>
      <c r="E1124" t="s">
        <v>59</v>
      </c>
      <c r="F1124" t="s">
        <v>192</v>
      </c>
      <c r="G1124">
        <v>10</v>
      </c>
      <c r="H1124">
        <v>3</v>
      </c>
      <c r="I1124">
        <v>15</v>
      </c>
      <c r="J1124" t="s">
        <v>23</v>
      </c>
      <c r="K1124" t="s">
        <v>24</v>
      </c>
      <c r="L1124">
        <v>87</v>
      </c>
      <c r="M1124">
        <v>57.387999999999998</v>
      </c>
      <c r="N1124">
        <v>58.268928000000002</v>
      </c>
      <c r="O1124">
        <v>19.925000000000001</v>
      </c>
      <c r="P1124">
        <v>20.364000000000001</v>
      </c>
      <c r="Q1124">
        <v>16.789000000000001</v>
      </c>
      <c r="R1124">
        <v>42</v>
      </c>
      <c r="S1124" t="s">
        <v>83</v>
      </c>
      <c r="T1124">
        <f>IF(TRIM(Table1[[#This Row],[PitStopLaps]])="",0,
LEN(Table1[[#This Row],[PitStopLaps]])-LEN(SUBSTITUTE(Table1[[#This Row],[PitStopLaps]],",",""))+1)</f>
        <v>1</v>
      </c>
      <c r="U1124">
        <f>Table1[[#This Row],[StartPosition]]-Table1[[#This Row],[FinishPosition]]</f>
        <v>7</v>
      </c>
    </row>
    <row r="1125" spans="1:21" x14ac:dyDescent="0.3">
      <c r="A1125">
        <v>2020</v>
      </c>
      <c r="B1125">
        <v>16</v>
      </c>
      <c r="C1125" t="s">
        <v>577</v>
      </c>
      <c r="D1125" t="s">
        <v>47</v>
      </c>
      <c r="E1125" t="s">
        <v>48</v>
      </c>
      <c r="F1125" t="s">
        <v>37</v>
      </c>
      <c r="G1125">
        <v>8</v>
      </c>
      <c r="H1125">
        <v>4</v>
      </c>
      <c r="I1125">
        <v>12</v>
      </c>
      <c r="J1125" t="s">
        <v>34</v>
      </c>
      <c r="K1125" t="s">
        <v>24</v>
      </c>
      <c r="L1125">
        <v>87</v>
      </c>
      <c r="M1125">
        <v>57.164999999999999</v>
      </c>
      <c r="N1125">
        <v>58.150984999999999</v>
      </c>
      <c r="O1125">
        <v>19.710999999999999</v>
      </c>
      <c r="P1125">
        <v>20.169</v>
      </c>
      <c r="Q1125">
        <v>16.712</v>
      </c>
      <c r="R1125" t="s">
        <v>578</v>
      </c>
      <c r="S1125" t="s">
        <v>83</v>
      </c>
      <c r="T1125">
        <f>IF(TRIM(Table1[[#This Row],[PitStopLaps]])="",0,
LEN(Table1[[#This Row],[PitStopLaps]])-LEN(SUBSTITUTE(Table1[[#This Row],[PitStopLaps]],",",""))+1)</f>
        <v>2</v>
      </c>
      <c r="U1125">
        <f>Table1[[#This Row],[StartPosition]]-Table1[[#This Row],[FinishPosition]]</f>
        <v>4</v>
      </c>
    </row>
    <row r="1126" spans="1:21" x14ac:dyDescent="0.3">
      <c r="A1126">
        <v>2020</v>
      </c>
      <c r="B1126">
        <v>16</v>
      </c>
      <c r="C1126" t="s">
        <v>577</v>
      </c>
      <c r="D1126" t="s">
        <v>31</v>
      </c>
      <c r="E1126" t="s">
        <v>32</v>
      </c>
      <c r="F1126" t="s">
        <v>42</v>
      </c>
      <c r="G1126">
        <v>7</v>
      </c>
      <c r="H1126">
        <v>5</v>
      </c>
      <c r="I1126">
        <v>10</v>
      </c>
      <c r="J1126" t="s">
        <v>34</v>
      </c>
      <c r="K1126" t="s">
        <v>24</v>
      </c>
      <c r="L1126">
        <v>87</v>
      </c>
      <c r="M1126">
        <v>56.978999999999999</v>
      </c>
      <c r="N1126">
        <v>58.195942000000002</v>
      </c>
      <c r="O1126">
        <v>19.853999999999999</v>
      </c>
      <c r="P1126">
        <v>20.114000000000001</v>
      </c>
      <c r="Q1126">
        <v>16.719000000000001</v>
      </c>
      <c r="R1126" t="s">
        <v>579</v>
      </c>
      <c r="S1126" t="s">
        <v>83</v>
      </c>
      <c r="T1126">
        <f>IF(TRIM(Table1[[#This Row],[PitStopLaps]])="",0,
LEN(Table1[[#This Row],[PitStopLaps]])-LEN(SUBSTITUTE(Table1[[#This Row],[PitStopLaps]],",",""))+1)</f>
        <v>2</v>
      </c>
      <c r="U1126">
        <f>Table1[[#This Row],[StartPosition]]-Table1[[#This Row],[FinishPosition]]</f>
        <v>2</v>
      </c>
    </row>
    <row r="1127" spans="1:21" x14ac:dyDescent="0.3">
      <c r="A1127">
        <v>2020</v>
      </c>
      <c r="B1127">
        <v>16</v>
      </c>
      <c r="C1127" t="s">
        <v>577</v>
      </c>
      <c r="D1127" t="s">
        <v>248</v>
      </c>
      <c r="E1127" t="s">
        <v>249</v>
      </c>
      <c r="F1127" t="s">
        <v>33</v>
      </c>
      <c r="G1127">
        <v>12</v>
      </c>
      <c r="H1127">
        <v>6</v>
      </c>
      <c r="I1127">
        <v>8</v>
      </c>
      <c r="J1127" t="s">
        <v>34</v>
      </c>
      <c r="K1127" t="s">
        <v>24</v>
      </c>
      <c r="L1127">
        <v>87</v>
      </c>
      <c r="M1127">
        <v>57.055999999999997</v>
      </c>
      <c r="N1127">
        <v>58.335709999999999</v>
      </c>
      <c r="O1127">
        <v>19.645</v>
      </c>
      <c r="P1127">
        <v>20.081</v>
      </c>
      <c r="Q1127">
        <v>16.759</v>
      </c>
      <c r="R1127" t="s">
        <v>580</v>
      </c>
      <c r="S1127" t="s">
        <v>83</v>
      </c>
      <c r="T1127">
        <f>IF(TRIM(Table1[[#This Row],[PitStopLaps]])="",0,
LEN(Table1[[#This Row],[PitStopLaps]])-LEN(SUBSTITUTE(Table1[[#This Row],[PitStopLaps]],",",""))+1)</f>
        <v>2</v>
      </c>
      <c r="U1127">
        <f>Table1[[#This Row],[StartPosition]]-Table1[[#This Row],[FinishPosition]]</f>
        <v>6</v>
      </c>
    </row>
    <row r="1128" spans="1:21" x14ac:dyDescent="0.3">
      <c r="A1128">
        <v>2020</v>
      </c>
      <c r="B1128">
        <v>16</v>
      </c>
      <c r="C1128" t="s">
        <v>577</v>
      </c>
      <c r="D1128" t="s">
        <v>244</v>
      </c>
      <c r="E1128" t="s">
        <v>245</v>
      </c>
      <c r="F1128" t="s">
        <v>438</v>
      </c>
      <c r="G1128">
        <v>6</v>
      </c>
      <c r="H1128">
        <v>7</v>
      </c>
      <c r="I1128">
        <v>6</v>
      </c>
      <c r="J1128" t="s">
        <v>34</v>
      </c>
      <c r="K1128" t="s">
        <v>24</v>
      </c>
      <c r="L1128">
        <v>87</v>
      </c>
      <c r="M1128">
        <v>57.000999999999998</v>
      </c>
      <c r="N1128">
        <v>58.189234999999996</v>
      </c>
      <c r="O1128">
        <v>19.664999999999999</v>
      </c>
      <c r="P1128">
        <v>20.344999999999999</v>
      </c>
      <c r="Q1128">
        <v>16.751000000000001</v>
      </c>
      <c r="R1128" t="s">
        <v>233</v>
      </c>
      <c r="S1128" t="s">
        <v>83</v>
      </c>
      <c r="T1128">
        <f>IF(TRIM(Table1[[#This Row],[PitStopLaps]])="",0,
LEN(Table1[[#This Row],[PitStopLaps]])-LEN(SUBSTITUTE(Table1[[#This Row],[PitStopLaps]],",",""))+1)</f>
        <v>2</v>
      </c>
      <c r="U1128">
        <f>Table1[[#This Row],[StartPosition]]-Table1[[#This Row],[FinishPosition]]</f>
        <v>-1</v>
      </c>
    </row>
    <row r="1129" spans="1:21" x14ac:dyDescent="0.3">
      <c r="A1129">
        <v>2020</v>
      </c>
      <c r="B1129">
        <v>16</v>
      </c>
      <c r="C1129" t="s">
        <v>577</v>
      </c>
      <c r="D1129" t="s">
        <v>43</v>
      </c>
      <c r="E1129" t="s">
        <v>44</v>
      </c>
      <c r="F1129" t="s">
        <v>28</v>
      </c>
      <c r="G1129">
        <v>1</v>
      </c>
      <c r="H1129">
        <v>8</v>
      </c>
      <c r="I1129">
        <v>4</v>
      </c>
      <c r="J1129" t="s">
        <v>34</v>
      </c>
      <c r="K1129" t="s">
        <v>24</v>
      </c>
      <c r="L1129">
        <v>87</v>
      </c>
      <c r="M1129">
        <v>56.563000000000002</v>
      </c>
      <c r="N1129">
        <v>57.950767999999997</v>
      </c>
      <c r="O1129">
        <v>19.745000000000001</v>
      </c>
      <c r="P1129">
        <v>19.849</v>
      </c>
      <c r="Q1129">
        <v>16.748000000000001</v>
      </c>
      <c r="R1129" t="s">
        <v>581</v>
      </c>
      <c r="S1129" t="s">
        <v>83</v>
      </c>
      <c r="T1129">
        <f>IF(TRIM(Table1[[#This Row],[PitStopLaps]])="",0,
LEN(Table1[[#This Row],[PitStopLaps]])-LEN(SUBSTITUTE(Table1[[#This Row],[PitStopLaps]],",",""))+1)</f>
        <v>2</v>
      </c>
      <c r="U1129">
        <f>Table1[[#This Row],[StartPosition]]-Table1[[#This Row],[FinishPosition]]</f>
        <v>-7</v>
      </c>
    </row>
    <row r="1130" spans="1:21" x14ac:dyDescent="0.3">
      <c r="A1130">
        <v>2020</v>
      </c>
      <c r="B1130">
        <v>16</v>
      </c>
      <c r="C1130" t="s">
        <v>577</v>
      </c>
      <c r="D1130" t="s">
        <v>252</v>
      </c>
      <c r="E1130" t="s">
        <v>253</v>
      </c>
      <c r="F1130" t="s">
        <v>28</v>
      </c>
      <c r="G1130">
        <v>2</v>
      </c>
      <c r="H1130">
        <v>9</v>
      </c>
      <c r="I1130">
        <v>3</v>
      </c>
      <c r="J1130" t="s">
        <v>34</v>
      </c>
      <c r="K1130" t="s">
        <v>24</v>
      </c>
      <c r="L1130">
        <v>87</v>
      </c>
      <c r="M1130">
        <v>55.404000000000003</v>
      </c>
      <c r="N1130">
        <v>57.596719999999998</v>
      </c>
      <c r="O1130">
        <v>19.228999999999999</v>
      </c>
      <c r="P1130">
        <v>19.606000000000002</v>
      </c>
      <c r="Q1130">
        <v>16.568999999999999</v>
      </c>
      <c r="R1130" t="s">
        <v>582</v>
      </c>
      <c r="S1130" t="s">
        <v>83</v>
      </c>
      <c r="T1130">
        <f>IF(TRIM(Table1[[#This Row],[PitStopLaps]])="",0,
LEN(Table1[[#This Row],[PitStopLaps]])-LEN(SUBSTITUTE(Table1[[#This Row],[PitStopLaps]],",",""))+1)</f>
        <v>4</v>
      </c>
      <c r="U1130">
        <f>Table1[[#This Row],[StartPosition]]-Table1[[#This Row],[FinishPosition]]</f>
        <v>-7</v>
      </c>
    </row>
    <row r="1131" spans="1:21" x14ac:dyDescent="0.3">
      <c r="A1131">
        <v>2020</v>
      </c>
      <c r="B1131">
        <v>16</v>
      </c>
      <c r="C1131" t="s">
        <v>577</v>
      </c>
      <c r="D1131" t="s">
        <v>246</v>
      </c>
      <c r="E1131" t="s">
        <v>247</v>
      </c>
      <c r="F1131" t="s">
        <v>37</v>
      </c>
      <c r="G1131">
        <v>19</v>
      </c>
      <c r="H1131">
        <v>10</v>
      </c>
      <c r="I1131">
        <v>1</v>
      </c>
      <c r="J1131" t="s">
        <v>34</v>
      </c>
      <c r="K1131" t="s">
        <v>24</v>
      </c>
      <c r="L1131">
        <v>87</v>
      </c>
      <c r="M1131">
        <v>57.27</v>
      </c>
      <c r="N1131">
        <v>58.472543999999999</v>
      </c>
      <c r="O1131">
        <v>19.809999999999999</v>
      </c>
      <c r="P1131">
        <v>20.22</v>
      </c>
      <c r="Q1131">
        <v>16.745999999999999</v>
      </c>
      <c r="R1131" t="s">
        <v>583</v>
      </c>
      <c r="S1131" t="s">
        <v>83</v>
      </c>
      <c r="T1131">
        <f>IF(TRIM(Table1[[#This Row],[PitStopLaps]])="",0,
LEN(Table1[[#This Row],[PitStopLaps]])-LEN(SUBSTITUTE(Table1[[#This Row],[PitStopLaps]],",",""))+1)</f>
        <v>2</v>
      </c>
      <c r="U1131">
        <f>Table1[[#This Row],[StartPosition]]-Table1[[#This Row],[FinishPosition]]</f>
        <v>9</v>
      </c>
    </row>
    <row r="1132" spans="1:21" x14ac:dyDescent="0.3">
      <c r="A1132">
        <v>2020</v>
      </c>
      <c r="B1132">
        <v>16</v>
      </c>
      <c r="C1132" t="s">
        <v>577</v>
      </c>
      <c r="D1132" t="s">
        <v>73</v>
      </c>
      <c r="E1132" t="s">
        <v>74</v>
      </c>
      <c r="F1132" t="s">
        <v>438</v>
      </c>
      <c r="G1132">
        <v>9</v>
      </c>
      <c r="H1132">
        <v>11</v>
      </c>
      <c r="I1132">
        <v>0</v>
      </c>
      <c r="J1132" t="s">
        <v>34</v>
      </c>
      <c r="K1132" t="s">
        <v>24</v>
      </c>
      <c r="L1132">
        <v>87</v>
      </c>
      <c r="M1132">
        <v>57.22</v>
      </c>
      <c r="N1132">
        <v>58.307865</v>
      </c>
      <c r="O1132">
        <v>19.936</v>
      </c>
      <c r="P1132">
        <v>20.326000000000001</v>
      </c>
      <c r="Q1132">
        <v>16.844000000000001</v>
      </c>
      <c r="R1132" t="s">
        <v>182</v>
      </c>
      <c r="S1132" t="s">
        <v>83</v>
      </c>
      <c r="T1132">
        <f>IF(TRIM(Table1[[#This Row],[PitStopLaps]])="",0,
LEN(Table1[[#This Row],[PitStopLaps]])-LEN(SUBSTITUTE(Table1[[#This Row],[PitStopLaps]],",",""))+1)</f>
        <v>2</v>
      </c>
      <c r="U1132">
        <f>Table1[[#This Row],[StartPosition]]-Table1[[#This Row],[FinishPosition]]</f>
        <v>-2</v>
      </c>
    </row>
    <row r="1133" spans="1:21" x14ac:dyDescent="0.3">
      <c r="A1133">
        <v>2020</v>
      </c>
      <c r="B1133">
        <v>16</v>
      </c>
      <c r="C1133" t="s">
        <v>577</v>
      </c>
      <c r="D1133" t="s">
        <v>20</v>
      </c>
      <c r="E1133" t="s">
        <v>21</v>
      </c>
      <c r="F1133" t="s">
        <v>22</v>
      </c>
      <c r="G1133">
        <v>13</v>
      </c>
      <c r="H1133">
        <v>12</v>
      </c>
      <c r="I1133">
        <v>0</v>
      </c>
      <c r="J1133" t="s">
        <v>34</v>
      </c>
      <c r="K1133" t="s">
        <v>24</v>
      </c>
      <c r="L1133">
        <v>87</v>
      </c>
      <c r="M1133">
        <v>56.905000000000001</v>
      </c>
      <c r="N1133">
        <v>58.592028999999997</v>
      </c>
      <c r="O1133">
        <v>19.795999999999999</v>
      </c>
      <c r="P1133">
        <v>20.013999999999999</v>
      </c>
      <c r="Q1133">
        <v>16.902999999999999</v>
      </c>
      <c r="R1133" t="s">
        <v>584</v>
      </c>
      <c r="S1133" t="s">
        <v>83</v>
      </c>
      <c r="T1133">
        <f>IF(TRIM(Table1[[#This Row],[PitStopLaps]])="",0,
LEN(Table1[[#This Row],[PitStopLaps]])-LEN(SUBSTITUTE(Table1[[#This Row],[PitStopLaps]],",",""))+1)</f>
        <v>3</v>
      </c>
      <c r="U1133">
        <f>Table1[[#This Row],[StartPosition]]-Table1[[#This Row],[FinishPosition]]</f>
        <v>1</v>
      </c>
    </row>
    <row r="1134" spans="1:21" x14ac:dyDescent="0.3">
      <c r="A1134">
        <v>2020</v>
      </c>
      <c r="B1134">
        <v>16</v>
      </c>
      <c r="C1134" t="s">
        <v>577</v>
      </c>
      <c r="D1134" t="s">
        <v>250</v>
      </c>
      <c r="E1134" t="s">
        <v>251</v>
      </c>
      <c r="F1134" t="s">
        <v>243</v>
      </c>
      <c r="G1134">
        <v>14</v>
      </c>
      <c r="H1134">
        <v>13</v>
      </c>
      <c r="I1134">
        <v>0</v>
      </c>
      <c r="J1134" t="s">
        <v>34</v>
      </c>
      <c r="K1134" t="s">
        <v>24</v>
      </c>
      <c r="L1134">
        <v>87</v>
      </c>
      <c r="M1134">
        <v>56.887</v>
      </c>
      <c r="N1134">
        <v>58.731661000000003</v>
      </c>
      <c r="O1134">
        <v>19.843</v>
      </c>
      <c r="P1134">
        <v>20.13</v>
      </c>
      <c r="Q1134">
        <v>16.803999999999998</v>
      </c>
      <c r="R1134" t="s">
        <v>585</v>
      </c>
      <c r="S1134" t="s">
        <v>83</v>
      </c>
      <c r="T1134">
        <f>IF(TRIM(Table1[[#This Row],[PitStopLaps]])="",0,
LEN(Table1[[#This Row],[PitStopLaps]])-LEN(SUBSTITUTE(Table1[[#This Row],[PitStopLaps]],",",""))+1)</f>
        <v>2</v>
      </c>
      <c r="U1134">
        <f>Table1[[#This Row],[StartPosition]]-Table1[[#This Row],[FinishPosition]]</f>
        <v>1</v>
      </c>
    </row>
    <row r="1135" spans="1:21" x14ac:dyDescent="0.3">
      <c r="A1135">
        <v>2020</v>
      </c>
      <c r="B1135">
        <v>16</v>
      </c>
      <c r="C1135" t="s">
        <v>577</v>
      </c>
      <c r="D1135" t="s">
        <v>29</v>
      </c>
      <c r="E1135" t="s">
        <v>30</v>
      </c>
      <c r="F1135" t="s">
        <v>243</v>
      </c>
      <c r="G1135">
        <v>18</v>
      </c>
      <c r="H1135">
        <v>14</v>
      </c>
      <c r="I1135">
        <v>0</v>
      </c>
      <c r="J1135" t="s">
        <v>34</v>
      </c>
      <c r="K1135" t="s">
        <v>24</v>
      </c>
      <c r="L1135">
        <v>87</v>
      </c>
      <c r="M1135">
        <v>57.375</v>
      </c>
      <c r="N1135">
        <v>58.873410999999997</v>
      </c>
      <c r="O1135">
        <v>19.882000000000001</v>
      </c>
      <c r="P1135">
        <v>20.334</v>
      </c>
      <c r="Q1135">
        <v>16.808</v>
      </c>
      <c r="R1135" t="s">
        <v>586</v>
      </c>
      <c r="S1135" t="s">
        <v>83</v>
      </c>
      <c r="T1135">
        <f>IF(TRIM(Table1[[#This Row],[PitStopLaps]])="",0,
LEN(Table1[[#This Row],[PitStopLaps]])-LEN(SUBSTITUTE(Table1[[#This Row],[PitStopLaps]],",",""))+1)</f>
        <v>3</v>
      </c>
      <c r="U1135">
        <f>Table1[[#This Row],[StartPosition]]-Table1[[#This Row],[FinishPosition]]</f>
        <v>4</v>
      </c>
    </row>
    <row r="1136" spans="1:21" x14ac:dyDescent="0.3">
      <c r="A1136">
        <v>2020</v>
      </c>
      <c r="B1136">
        <v>16</v>
      </c>
      <c r="C1136" t="s">
        <v>577</v>
      </c>
      <c r="D1136" t="s">
        <v>71</v>
      </c>
      <c r="E1136" t="s">
        <v>72</v>
      </c>
      <c r="F1136" t="s">
        <v>69</v>
      </c>
      <c r="G1136">
        <v>15</v>
      </c>
      <c r="H1136">
        <v>15</v>
      </c>
      <c r="I1136">
        <v>0</v>
      </c>
      <c r="J1136" t="s">
        <v>34</v>
      </c>
      <c r="K1136" t="s">
        <v>24</v>
      </c>
      <c r="L1136">
        <v>87</v>
      </c>
      <c r="M1136">
        <v>57.515999999999998</v>
      </c>
      <c r="N1136">
        <v>59.008411000000002</v>
      </c>
      <c r="O1136">
        <v>20.103000000000002</v>
      </c>
      <c r="P1136">
        <v>20.276</v>
      </c>
      <c r="Q1136">
        <v>17.126000000000001</v>
      </c>
      <c r="R1136" t="s">
        <v>585</v>
      </c>
      <c r="S1136" t="s">
        <v>83</v>
      </c>
      <c r="T1136">
        <f>IF(TRIM(Table1[[#This Row],[PitStopLaps]])="",0,
LEN(Table1[[#This Row],[PitStopLaps]])-LEN(SUBSTITUTE(Table1[[#This Row],[PitStopLaps]],",",""))+1)</f>
        <v>2</v>
      </c>
      <c r="U1136">
        <f>Table1[[#This Row],[StartPosition]]-Table1[[#This Row],[FinishPosition]]</f>
        <v>0</v>
      </c>
    </row>
    <row r="1137" spans="1:21" x14ac:dyDescent="0.3">
      <c r="A1137">
        <v>2020</v>
      </c>
      <c r="B1137">
        <v>16</v>
      </c>
      <c r="C1137" t="s">
        <v>577</v>
      </c>
      <c r="D1137" t="s">
        <v>587</v>
      </c>
      <c r="E1137" t="s">
        <v>588</v>
      </c>
      <c r="F1137" t="s">
        <v>60</v>
      </c>
      <c r="G1137">
        <v>17</v>
      </c>
      <c r="H1137">
        <v>16</v>
      </c>
      <c r="I1137">
        <v>0</v>
      </c>
      <c r="J1137" t="s">
        <v>34</v>
      </c>
      <c r="K1137" t="s">
        <v>24</v>
      </c>
      <c r="L1137">
        <v>87</v>
      </c>
      <c r="M1137">
        <v>57.392000000000003</v>
      </c>
      <c r="N1137">
        <v>58.980910000000002</v>
      </c>
      <c r="O1137">
        <v>20.010999999999999</v>
      </c>
      <c r="P1137">
        <v>20.414999999999999</v>
      </c>
      <c r="Q1137">
        <v>16.888999999999999</v>
      </c>
      <c r="R1137" t="s">
        <v>589</v>
      </c>
      <c r="S1137" t="s">
        <v>83</v>
      </c>
      <c r="T1137">
        <f>IF(TRIM(Table1[[#This Row],[PitStopLaps]])="",0,
LEN(Table1[[#This Row],[PitStopLaps]])-LEN(SUBSTITUTE(Table1[[#This Row],[PitStopLaps]],",",""))+1)</f>
        <v>3</v>
      </c>
      <c r="U1137">
        <f>Table1[[#This Row],[StartPosition]]-Table1[[#This Row],[FinishPosition]]</f>
        <v>1</v>
      </c>
    </row>
    <row r="1138" spans="1:21" x14ac:dyDescent="0.3">
      <c r="A1138">
        <v>2020</v>
      </c>
      <c r="B1138">
        <v>16</v>
      </c>
      <c r="C1138" t="s">
        <v>577</v>
      </c>
      <c r="D1138" t="s">
        <v>590</v>
      </c>
      <c r="E1138" t="s">
        <v>591</v>
      </c>
      <c r="F1138" t="s">
        <v>69</v>
      </c>
      <c r="G1138">
        <v>20</v>
      </c>
      <c r="H1138">
        <v>17</v>
      </c>
      <c r="I1138">
        <v>0</v>
      </c>
      <c r="J1138" t="s">
        <v>34</v>
      </c>
      <c r="K1138" t="s">
        <v>24</v>
      </c>
      <c r="L1138">
        <v>87</v>
      </c>
      <c r="M1138">
        <v>57.741999999999997</v>
      </c>
      <c r="N1138">
        <v>59.416656000000003</v>
      </c>
      <c r="O1138">
        <v>20.126000000000001</v>
      </c>
      <c r="P1138">
        <v>20.401</v>
      </c>
      <c r="Q1138">
        <v>17.071000000000002</v>
      </c>
      <c r="R1138" t="s">
        <v>592</v>
      </c>
      <c r="S1138" t="s">
        <v>83</v>
      </c>
      <c r="T1138">
        <f>IF(TRIM(Table1[[#This Row],[PitStopLaps]])="",0,
LEN(Table1[[#This Row],[PitStopLaps]])-LEN(SUBSTITUTE(Table1[[#This Row],[PitStopLaps]],",",""))+1)</f>
        <v>3</v>
      </c>
      <c r="U1138">
        <f>Table1[[#This Row],[StartPosition]]-Table1[[#This Row],[FinishPosition]]</f>
        <v>3</v>
      </c>
    </row>
    <row r="1139" spans="1:21" x14ac:dyDescent="0.3">
      <c r="A1139">
        <v>2020</v>
      </c>
      <c r="B1139">
        <v>16</v>
      </c>
      <c r="C1139" t="s">
        <v>577</v>
      </c>
      <c r="D1139" t="s">
        <v>440</v>
      </c>
      <c r="E1139" t="s">
        <v>441</v>
      </c>
      <c r="F1139" t="s">
        <v>60</v>
      </c>
      <c r="G1139">
        <v>16</v>
      </c>
      <c r="H1139">
        <v>18</v>
      </c>
      <c r="I1139">
        <v>0</v>
      </c>
      <c r="J1139" t="s">
        <v>34</v>
      </c>
      <c r="K1139" t="s">
        <v>75</v>
      </c>
      <c r="L1139">
        <v>53</v>
      </c>
      <c r="M1139">
        <v>58.206000000000003</v>
      </c>
      <c r="N1139">
        <v>59.202500000000001</v>
      </c>
      <c r="O1139">
        <v>20.204000000000001</v>
      </c>
      <c r="P1139">
        <v>20.866</v>
      </c>
      <c r="Q1139">
        <v>16.931999999999999</v>
      </c>
      <c r="R1139">
        <v>27</v>
      </c>
      <c r="S1139" t="s">
        <v>83</v>
      </c>
      <c r="T1139">
        <f>IF(TRIM(Table1[[#This Row],[PitStopLaps]])="",0,
LEN(Table1[[#This Row],[PitStopLaps]])-LEN(SUBSTITUTE(Table1[[#This Row],[PitStopLaps]],",",""))+1)</f>
        <v>1</v>
      </c>
      <c r="U1139">
        <f>Table1[[#This Row],[StartPosition]]-Table1[[#This Row],[FinishPosition]]</f>
        <v>-2</v>
      </c>
    </row>
    <row r="1140" spans="1:21" x14ac:dyDescent="0.3">
      <c r="A1140">
        <v>2020</v>
      </c>
      <c r="B1140">
        <v>16</v>
      </c>
      <c r="C1140" t="s">
        <v>577</v>
      </c>
      <c r="D1140" t="s">
        <v>38</v>
      </c>
      <c r="E1140" t="s">
        <v>39</v>
      </c>
      <c r="F1140" t="s">
        <v>33</v>
      </c>
      <c r="G1140">
        <v>3</v>
      </c>
      <c r="H1140">
        <v>19</v>
      </c>
      <c r="I1140">
        <v>0</v>
      </c>
      <c r="J1140" t="s">
        <v>34</v>
      </c>
      <c r="K1140" t="s">
        <v>123</v>
      </c>
      <c r="L1140">
        <v>1</v>
      </c>
      <c r="S1140" t="s">
        <v>83</v>
      </c>
      <c r="T1140">
        <f>IF(TRIM(Table1[[#This Row],[PitStopLaps]])="",0,
LEN(Table1[[#This Row],[PitStopLaps]])-LEN(SUBSTITUTE(Table1[[#This Row],[PitStopLaps]],",",""))+1)</f>
        <v>0</v>
      </c>
      <c r="U1140">
        <f>Table1[[#This Row],[StartPosition]]-Table1[[#This Row],[FinishPosition]]</f>
        <v>-16</v>
      </c>
    </row>
    <row r="1141" spans="1:21" x14ac:dyDescent="0.3">
      <c r="A1141">
        <v>2020</v>
      </c>
      <c r="B1141">
        <v>16</v>
      </c>
      <c r="C1141" t="s">
        <v>577</v>
      </c>
      <c r="D1141" t="s">
        <v>54</v>
      </c>
      <c r="E1141" t="s">
        <v>55</v>
      </c>
      <c r="F1141" t="s">
        <v>22</v>
      </c>
      <c r="G1141">
        <v>4</v>
      </c>
      <c r="H1141">
        <v>20</v>
      </c>
      <c r="I1141">
        <v>0</v>
      </c>
      <c r="J1141" t="s">
        <v>34</v>
      </c>
      <c r="K1141" t="s">
        <v>124</v>
      </c>
      <c r="L1141">
        <v>1</v>
      </c>
      <c r="S1141" t="s">
        <v>83</v>
      </c>
      <c r="T1141">
        <f>IF(TRIM(Table1[[#This Row],[PitStopLaps]])="",0,
LEN(Table1[[#This Row],[PitStopLaps]])-LEN(SUBSTITUTE(Table1[[#This Row],[PitStopLaps]],",",""))+1)</f>
        <v>0</v>
      </c>
      <c r="U1141">
        <f>Table1[[#This Row],[StartPosition]]-Table1[[#This Row],[FinishPosition]]</f>
        <v>-16</v>
      </c>
    </row>
    <row r="1142" spans="1:21" x14ac:dyDescent="0.3">
      <c r="A1142">
        <v>2020</v>
      </c>
      <c r="B1142">
        <v>17</v>
      </c>
      <c r="C1142" t="s">
        <v>240</v>
      </c>
      <c r="D1142" t="s">
        <v>38</v>
      </c>
      <c r="E1142" t="s">
        <v>39</v>
      </c>
      <c r="F1142" t="s">
        <v>33</v>
      </c>
      <c r="G1142">
        <v>1</v>
      </c>
      <c r="H1142">
        <v>1</v>
      </c>
      <c r="I1142">
        <v>25</v>
      </c>
      <c r="J1142" t="s">
        <v>23</v>
      </c>
      <c r="K1142" t="s">
        <v>24</v>
      </c>
      <c r="L1142">
        <v>55</v>
      </c>
      <c r="M1142">
        <v>100.958</v>
      </c>
      <c r="N1142">
        <v>101.65186</v>
      </c>
      <c r="O1142">
        <v>17.564</v>
      </c>
      <c r="P1142">
        <v>43.314999999999998</v>
      </c>
      <c r="Q1142">
        <v>39.871000000000002</v>
      </c>
      <c r="R1142">
        <v>10</v>
      </c>
      <c r="S1142" t="s">
        <v>83</v>
      </c>
      <c r="T1142">
        <f>IF(TRIM(Table1[[#This Row],[PitStopLaps]])="",0,
LEN(Table1[[#This Row],[PitStopLaps]])-LEN(SUBSTITUTE(Table1[[#This Row],[PitStopLaps]],",",""))+1)</f>
        <v>1</v>
      </c>
      <c r="U1142">
        <f>Table1[[#This Row],[StartPosition]]-Table1[[#This Row],[FinishPosition]]</f>
        <v>0</v>
      </c>
    </row>
    <row r="1143" spans="1:21" x14ac:dyDescent="0.3">
      <c r="A1143">
        <v>2020</v>
      </c>
      <c r="B1143">
        <v>17</v>
      </c>
      <c r="C1143" t="s">
        <v>240</v>
      </c>
      <c r="D1143" t="s">
        <v>43</v>
      </c>
      <c r="E1143" t="s">
        <v>44</v>
      </c>
      <c r="F1143" t="s">
        <v>28</v>
      </c>
      <c r="G1143">
        <v>2</v>
      </c>
      <c r="H1143">
        <v>2</v>
      </c>
      <c r="I1143">
        <v>18</v>
      </c>
      <c r="J1143" t="s">
        <v>23</v>
      </c>
      <c r="K1143" t="s">
        <v>24</v>
      </c>
      <c r="L1143">
        <v>55</v>
      </c>
      <c r="M1143">
        <v>101.131</v>
      </c>
      <c r="N1143">
        <v>101.99039999999999</v>
      </c>
      <c r="O1143">
        <v>17.434000000000001</v>
      </c>
      <c r="P1143">
        <v>43.332999999999998</v>
      </c>
      <c r="Q1143">
        <v>40.000999999999998</v>
      </c>
      <c r="R1143">
        <v>10</v>
      </c>
      <c r="S1143" t="s">
        <v>83</v>
      </c>
      <c r="T1143">
        <f>IF(TRIM(Table1[[#This Row],[PitStopLaps]])="",0,
LEN(Table1[[#This Row],[PitStopLaps]])-LEN(SUBSTITUTE(Table1[[#This Row],[PitStopLaps]],",",""))+1)</f>
        <v>1</v>
      </c>
      <c r="U1143">
        <f>Table1[[#This Row],[StartPosition]]-Table1[[#This Row],[FinishPosition]]</f>
        <v>0</v>
      </c>
    </row>
    <row r="1144" spans="1:21" x14ac:dyDescent="0.3">
      <c r="A1144">
        <v>2020</v>
      </c>
      <c r="B1144">
        <v>17</v>
      </c>
      <c r="C1144" t="s">
        <v>240</v>
      </c>
      <c r="D1144" t="s">
        <v>26</v>
      </c>
      <c r="E1144" t="s">
        <v>27</v>
      </c>
      <c r="F1144" t="s">
        <v>28</v>
      </c>
      <c r="G1144">
        <v>3</v>
      </c>
      <c r="H1144">
        <v>3</v>
      </c>
      <c r="I1144">
        <v>15</v>
      </c>
      <c r="J1144" t="s">
        <v>23</v>
      </c>
      <c r="K1144" t="s">
        <v>24</v>
      </c>
      <c r="L1144">
        <v>55</v>
      </c>
      <c r="M1144">
        <v>101.42</v>
      </c>
      <c r="N1144">
        <v>102.09926</v>
      </c>
      <c r="O1144">
        <v>17.491</v>
      </c>
      <c r="P1144">
        <v>43.317</v>
      </c>
      <c r="Q1144">
        <v>40.128</v>
      </c>
      <c r="R1144">
        <v>10</v>
      </c>
      <c r="S1144" t="s">
        <v>83</v>
      </c>
      <c r="T1144">
        <f>IF(TRIM(Table1[[#This Row],[PitStopLaps]])="",0,
LEN(Table1[[#This Row],[PitStopLaps]])-LEN(SUBSTITUTE(Table1[[#This Row],[PitStopLaps]],",",""))+1)</f>
        <v>1</v>
      </c>
      <c r="U1144">
        <f>Table1[[#This Row],[StartPosition]]-Table1[[#This Row],[FinishPosition]]</f>
        <v>0</v>
      </c>
    </row>
    <row r="1145" spans="1:21" x14ac:dyDescent="0.3">
      <c r="A1145">
        <v>2020</v>
      </c>
      <c r="B1145">
        <v>17</v>
      </c>
      <c r="C1145" t="s">
        <v>240</v>
      </c>
      <c r="D1145" t="s">
        <v>248</v>
      </c>
      <c r="E1145" t="s">
        <v>249</v>
      </c>
      <c r="F1145" t="s">
        <v>33</v>
      </c>
      <c r="G1145">
        <v>5</v>
      </c>
      <c r="H1145">
        <v>4</v>
      </c>
      <c r="I1145">
        <v>12</v>
      </c>
      <c r="J1145" t="s">
        <v>34</v>
      </c>
      <c r="K1145" t="s">
        <v>24</v>
      </c>
      <c r="L1145">
        <v>55</v>
      </c>
      <c r="M1145">
        <v>101.227</v>
      </c>
      <c r="N1145">
        <v>102.18971999999999</v>
      </c>
      <c r="O1145">
        <v>17.512</v>
      </c>
      <c r="P1145">
        <v>43.276000000000003</v>
      </c>
      <c r="Q1145">
        <v>40.177</v>
      </c>
      <c r="R1145">
        <v>10</v>
      </c>
      <c r="S1145" t="s">
        <v>83</v>
      </c>
      <c r="T1145">
        <f>IF(TRIM(Table1[[#This Row],[PitStopLaps]])="",0,
LEN(Table1[[#This Row],[PitStopLaps]])-LEN(SUBSTITUTE(Table1[[#This Row],[PitStopLaps]],",",""))+1)</f>
        <v>1</v>
      </c>
      <c r="U1145">
        <f>Table1[[#This Row],[StartPosition]]-Table1[[#This Row],[FinishPosition]]</f>
        <v>1</v>
      </c>
    </row>
    <row r="1146" spans="1:21" x14ac:dyDescent="0.3">
      <c r="A1146">
        <v>2020</v>
      </c>
      <c r="B1146">
        <v>17</v>
      </c>
      <c r="C1146" t="s">
        <v>240</v>
      </c>
      <c r="D1146" t="s">
        <v>246</v>
      </c>
      <c r="E1146" t="s">
        <v>247</v>
      </c>
      <c r="F1146" t="s">
        <v>37</v>
      </c>
      <c r="G1146">
        <v>4</v>
      </c>
      <c r="H1146">
        <v>5</v>
      </c>
      <c r="I1146">
        <v>10</v>
      </c>
      <c r="J1146" t="s">
        <v>34</v>
      </c>
      <c r="K1146" t="s">
        <v>24</v>
      </c>
      <c r="L1146">
        <v>55</v>
      </c>
      <c r="M1146">
        <v>101.964</v>
      </c>
      <c r="N1146">
        <v>103.09926</v>
      </c>
      <c r="O1146">
        <v>17.608000000000001</v>
      </c>
      <c r="P1146">
        <v>43.186</v>
      </c>
      <c r="Q1146">
        <v>40.521999999999998</v>
      </c>
      <c r="R1146">
        <v>10</v>
      </c>
      <c r="S1146" t="s">
        <v>83</v>
      </c>
      <c r="T1146">
        <f>IF(TRIM(Table1[[#This Row],[PitStopLaps]])="",0,
LEN(Table1[[#This Row],[PitStopLaps]])-LEN(SUBSTITUTE(Table1[[#This Row],[PitStopLaps]],",",""))+1)</f>
        <v>1</v>
      </c>
      <c r="U1146">
        <f>Table1[[#This Row],[StartPosition]]-Table1[[#This Row],[FinishPosition]]</f>
        <v>-1</v>
      </c>
    </row>
    <row r="1147" spans="1:21" x14ac:dyDescent="0.3">
      <c r="A1147">
        <v>2020</v>
      </c>
      <c r="B1147">
        <v>17</v>
      </c>
      <c r="C1147" t="s">
        <v>240</v>
      </c>
      <c r="D1147" t="s">
        <v>47</v>
      </c>
      <c r="E1147" t="s">
        <v>48</v>
      </c>
      <c r="F1147" t="s">
        <v>37</v>
      </c>
      <c r="G1147">
        <v>6</v>
      </c>
      <c r="H1147">
        <v>6</v>
      </c>
      <c r="I1147">
        <v>8</v>
      </c>
      <c r="J1147" t="s">
        <v>34</v>
      </c>
      <c r="K1147" t="s">
        <v>24</v>
      </c>
      <c r="L1147">
        <v>55</v>
      </c>
      <c r="M1147">
        <v>101.947</v>
      </c>
      <c r="N1147">
        <v>103.19934000000001</v>
      </c>
      <c r="O1147">
        <v>17.670000000000002</v>
      </c>
      <c r="P1147">
        <v>43.526000000000003</v>
      </c>
      <c r="Q1147">
        <v>40.667999999999999</v>
      </c>
      <c r="R1147">
        <v>10</v>
      </c>
      <c r="S1147" t="s">
        <v>83</v>
      </c>
      <c r="T1147">
        <f>IF(TRIM(Table1[[#This Row],[PitStopLaps]])="",0,
LEN(Table1[[#This Row],[PitStopLaps]])-LEN(SUBSTITUTE(Table1[[#This Row],[PitStopLaps]],",",""))+1)</f>
        <v>1</v>
      </c>
      <c r="U1147">
        <f>Table1[[#This Row],[StartPosition]]-Table1[[#This Row],[FinishPosition]]</f>
        <v>0</v>
      </c>
    </row>
    <row r="1148" spans="1:21" x14ac:dyDescent="0.3">
      <c r="A1148">
        <v>2020</v>
      </c>
      <c r="B1148">
        <v>17</v>
      </c>
      <c r="C1148" t="s">
        <v>240</v>
      </c>
      <c r="D1148" t="s">
        <v>31</v>
      </c>
      <c r="E1148" t="s">
        <v>32</v>
      </c>
      <c r="F1148" t="s">
        <v>42</v>
      </c>
      <c r="G1148">
        <v>11</v>
      </c>
      <c r="H1148">
        <v>7</v>
      </c>
      <c r="I1148">
        <v>7</v>
      </c>
      <c r="J1148" t="s">
        <v>34</v>
      </c>
      <c r="K1148" t="s">
        <v>24</v>
      </c>
      <c r="L1148">
        <v>55</v>
      </c>
      <c r="M1148">
        <v>100.926</v>
      </c>
      <c r="N1148">
        <v>103.017937</v>
      </c>
      <c r="O1148">
        <v>17.48</v>
      </c>
      <c r="P1148">
        <v>43.164000000000001</v>
      </c>
      <c r="Q1148">
        <v>39.793999999999997</v>
      </c>
      <c r="R1148">
        <v>39</v>
      </c>
      <c r="S1148" t="s">
        <v>83</v>
      </c>
      <c r="T1148">
        <f>IF(TRIM(Table1[[#This Row],[PitStopLaps]])="",0,
LEN(Table1[[#This Row],[PitStopLaps]])-LEN(SUBSTITUTE(Table1[[#This Row],[PitStopLaps]],",",""))+1)</f>
        <v>1</v>
      </c>
      <c r="U1148">
        <f>Table1[[#This Row],[StartPosition]]-Table1[[#This Row],[FinishPosition]]</f>
        <v>4</v>
      </c>
    </row>
    <row r="1149" spans="1:21" x14ac:dyDescent="0.3">
      <c r="A1149">
        <v>2020</v>
      </c>
      <c r="B1149">
        <v>17</v>
      </c>
      <c r="C1149" t="s">
        <v>240</v>
      </c>
      <c r="D1149" t="s">
        <v>73</v>
      </c>
      <c r="E1149" t="s">
        <v>74</v>
      </c>
      <c r="F1149" t="s">
        <v>438</v>
      </c>
      <c r="G1149">
        <v>9</v>
      </c>
      <c r="H1149">
        <v>8</v>
      </c>
      <c r="I1149">
        <v>4</v>
      </c>
      <c r="J1149" t="s">
        <v>34</v>
      </c>
      <c r="K1149" t="s">
        <v>24</v>
      </c>
      <c r="L1149">
        <v>55</v>
      </c>
      <c r="M1149">
        <v>102.474</v>
      </c>
      <c r="N1149">
        <v>103.70304</v>
      </c>
      <c r="O1149">
        <v>17.745000000000001</v>
      </c>
      <c r="P1149">
        <v>43.298000000000002</v>
      </c>
      <c r="Q1149">
        <v>40.808</v>
      </c>
      <c r="R1149">
        <v>10</v>
      </c>
      <c r="S1149" t="s">
        <v>83</v>
      </c>
      <c r="T1149">
        <f>IF(TRIM(Table1[[#This Row],[PitStopLaps]])="",0,
LEN(Table1[[#This Row],[PitStopLaps]])-LEN(SUBSTITUTE(Table1[[#This Row],[PitStopLaps]],",",""))+1)</f>
        <v>1</v>
      </c>
      <c r="U1149">
        <f>Table1[[#This Row],[StartPosition]]-Table1[[#This Row],[FinishPosition]]</f>
        <v>1</v>
      </c>
    </row>
    <row r="1150" spans="1:21" x14ac:dyDescent="0.3">
      <c r="A1150">
        <v>2020</v>
      </c>
      <c r="B1150">
        <v>17</v>
      </c>
      <c r="C1150" t="s">
        <v>240</v>
      </c>
      <c r="D1150" t="s">
        <v>52</v>
      </c>
      <c r="E1150" t="s">
        <v>53</v>
      </c>
      <c r="F1150" t="s">
        <v>42</v>
      </c>
      <c r="G1150">
        <v>10</v>
      </c>
      <c r="H1150">
        <v>9</v>
      </c>
      <c r="I1150">
        <v>2</v>
      </c>
      <c r="J1150" t="s">
        <v>34</v>
      </c>
      <c r="K1150" t="s">
        <v>24</v>
      </c>
      <c r="L1150">
        <v>55</v>
      </c>
      <c r="M1150">
        <v>102.89400000000001</v>
      </c>
      <c r="N1150">
        <v>103.99088</v>
      </c>
      <c r="O1150">
        <v>17.683</v>
      </c>
      <c r="P1150">
        <v>43.594000000000001</v>
      </c>
      <c r="Q1150">
        <v>41.06</v>
      </c>
      <c r="R1150">
        <v>10</v>
      </c>
      <c r="S1150" t="s">
        <v>83</v>
      </c>
      <c r="T1150">
        <f>IF(TRIM(Table1[[#This Row],[PitStopLaps]])="",0,
LEN(Table1[[#This Row],[PitStopLaps]])-LEN(SUBSTITUTE(Table1[[#This Row],[PitStopLaps]],",",""))+1)</f>
        <v>1</v>
      </c>
      <c r="U1150">
        <f>Table1[[#This Row],[StartPosition]]-Table1[[#This Row],[FinishPosition]]</f>
        <v>1</v>
      </c>
    </row>
    <row r="1151" spans="1:21" x14ac:dyDescent="0.3">
      <c r="A1151">
        <v>2020</v>
      </c>
      <c r="B1151">
        <v>17</v>
      </c>
      <c r="C1151" t="s">
        <v>240</v>
      </c>
      <c r="D1151" t="s">
        <v>58</v>
      </c>
      <c r="E1151" t="s">
        <v>59</v>
      </c>
      <c r="F1151" t="s">
        <v>192</v>
      </c>
      <c r="G1151">
        <v>8</v>
      </c>
      <c r="H1151">
        <v>10</v>
      </c>
      <c r="I1151">
        <v>1</v>
      </c>
      <c r="J1151" t="s">
        <v>34</v>
      </c>
      <c r="K1151" t="s">
        <v>24</v>
      </c>
      <c r="L1151">
        <v>55</v>
      </c>
      <c r="M1151">
        <v>101.866</v>
      </c>
      <c r="N1151">
        <v>103.94904</v>
      </c>
      <c r="O1151">
        <v>17.675999999999998</v>
      </c>
      <c r="P1151">
        <v>42.362000000000002</v>
      </c>
      <c r="Q1151">
        <v>40.747999999999998</v>
      </c>
      <c r="R1151">
        <v>10</v>
      </c>
      <c r="S1151" t="s">
        <v>83</v>
      </c>
      <c r="T1151">
        <f>IF(TRIM(Table1[[#This Row],[PitStopLaps]])="",0,
LEN(Table1[[#This Row],[PitStopLaps]])-LEN(SUBSTITUTE(Table1[[#This Row],[PitStopLaps]],",",""))+1)</f>
        <v>1</v>
      </c>
      <c r="U1151">
        <f>Table1[[#This Row],[StartPosition]]-Table1[[#This Row],[FinishPosition]]</f>
        <v>-2</v>
      </c>
    </row>
    <row r="1152" spans="1:21" x14ac:dyDescent="0.3">
      <c r="A1152">
        <v>2020</v>
      </c>
      <c r="B1152">
        <v>17</v>
      </c>
      <c r="C1152" t="s">
        <v>240</v>
      </c>
      <c r="D1152" t="s">
        <v>244</v>
      </c>
      <c r="E1152" t="s">
        <v>245</v>
      </c>
      <c r="F1152" t="s">
        <v>438</v>
      </c>
      <c r="G1152">
        <v>7</v>
      </c>
      <c r="H1152">
        <v>11</v>
      </c>
      <c r="I1152">
        <v>0</v>
      </c>
      <c r="J1152" t="s">
        <v>34</v>
      </c>
      <c r="K1152" t="s">
        <v>65</v>
      </c>
      <c r="L1152">
        <v>54</v>
      </c>
      <c r="M1152">
        <v>102.70399999999999</v>
      </c>
      <c r="N1152">
        <v>104.091224</v>
      </c>
      <c r="O1152">
        <v>17.693000000000001</v>
      </c>
      <c r="P1152">
        <v>43.32</v>
      </c>
      <c r="Q1152">
        <v>41.261000000000003</v>
      </c>
      <c r="R1152">
        <v>10</v>
      </c>
      <c r="S1152" t="s">
        <v>83</v>
      </c>
      <c r="T1152">
        <f>IF(TRIM(Table1[[#This Row],[PitStopLaps]])="",0,
LEN(Table1[[#This Row],[PitStopLaps]])-LEN(SUBSTITUTE(Table1[[#This Row],[PitStopLaps]],",",""))+1)</f>
        <v>1</v>
      </c>
      <c r="U1152">
        <f>Table1[[#This Row],[StartPosition]]-Table1[[#This Row],[FinishPosition]]</f>
        <v>-4</v>
      </c>
    </row>
    <row r="1153" spans="1:21" x14ac:dyDescent="0.3">
      <c r="A1153">
        <v>2020</v>
      </c>
      <c r="B1153">
        <v>17</v>
      </c>
      <c r="C1153" t="s">
        <v>240</v>
      </c>
      <c r="D1153" t="s">
        <v>29</v>
      </c>
      <c r="E1153" t="s">
        <v>30</v>
      </c>
      <c r="F1153" t="s">
        <v>243</v>
      </c>
      <c r="G1153">
        <v>15</v>
      </c>
      <c r="H1153">
        <v>12</v>
      </c>
      <c r="I1153">
        <v>0</v>
      </c>
      <c r="J1153" t="s">
        <v>34</v>
      </c>
      <c r="K1153" t="s">
        <v>65</v>
      </c>
      <c r="L1153">
        <v>54</v>
      </c>
      <c r="M1153">
        <v>102.148</v>
      </c>
      <c r="N1153">
        <v>104.209857</v>
      </c>
      <c r="O1153">
        <v>17.718</v>
      </c>
      <c r="P1153">
        <v>43.59</v>
      </c>
      <c r="Q1153">
        <v>40.774999999999999</v>
      </c>
      <c r="R1153">
        <v>10</v>
      </c>
      <c r="S1153" t="s">
        <v>83</v>
      </c>
      <c r="T1153">
        <f>IF(TRIM(Table1[[#This Row],[PitStopLaps]])="",0,
LEN(Table1[[#This Row],[PitStopLaps]])-LEN(SUBSTITUTE(Table1[[#This Row],[PitStopLaps]],",",""))+1)</f>
        <v>1</v>
      </c>
      <c r="U1153">
        <f>Table1[[#This Row],[StartPosition]]-Table1[[#This Row],[FinishPosition]]</f>
        <v>3</v>
      </c>
    </row>
    <row r="1154" spans="1:21" x14ac:dyDescent="0.3">
      <c r="A1154">
        <v>2020</v>
      </c>
      <c r="B1154">
        <v>17</v>
      </c>
      <c r="C1154" t="s">
        <v>240</v>
      </c>
      <c r="D1154" t="s">
        <v>54</v>
      </c>
      <c r="E1154" t="s">
        <v>55</v>
      </c>
      <c r="F1154" t="s">
        <v>22</v>
      </c>
      <c r="G1154">
        <v>12</v>
      </c>
      <c r="H1154">
        <v>13</v>
      </c>
      <c r="I1154">
        <v>0</v>
      </c>
      <c r="J1154" t="s">
        <v>34</v>
      </c>
      <c r="K1154" t="s">
        <v>65</v>
      </c>
      <c r="L1154">
        <v>54</v>
      </c>
      <c r="M1154">
        <v>101.908</v>
      </c>
      <c r="N1154">
        <v>103.895404</v>
      </c>
      <c r="O1154">
        <v>17.776</v>
      </c>
      <c r="P1154">
        <v>43.146000000000001</v>
      </c>
      <c r="Q1154">
        <v>40.484000000000002</v>
      </c>
      <c r="R1154">
        <v>22</v>
      </c>
      <c r="S1154" t="s">
        <v>83</v>
      </c>
      <c r="T1154">
        <f>IF(TRIM(Table1[[#This Row],[PitStopLaps]])="",0,
LEN(Table1[[#This Row],[PitStopLaps]])-LEN(SUBSTITUTE(Table1[[#This Row],[PitStopLaps]],",",""))+1)</f>
        <v>1</v>
      </c>
      <c r="U1154">
        <f>Table1[[#This Row],[StartPosition]]-Table1[[#This Row],[FinishPosition]]</f>
        <v>-1</v>
      </c>
    </row>
    <row r="1155" spans="1:21" x14ac:dyDescent="0.3">
      <c r="A1155">
        <v>2020</v>
      </c>
      <c r="B1155">
        <v>17</v>
      </c>
      <c r="C1155" t="s">
        <v>240</v>
      </c>
      <c r="D1155" t="s">
        <v>20</v>
      </c>
      <c r="E1155" t="s">
        <v>21</v>
      </c>
      <c r="F1155" t="s">
        <v>22</v>
      </c>
      <c r="G1155">
        <v>13</v>
      </c>
      <c r="H1155">
        <v>14</v>
      </c>
      <c r="I1155">
        <v>0</v>
      </c>
      <c r="J1155" t="s">
        <v>34</v>
      </c>
      <c r="K1155" t="s">
        <v>65</v>
      </c>
      <c r="L1155">
        <v>54</v>
      </c>
      <c r="M1155">
        <v>101.47499999999999</v>
      </c>
      <c r="N1155">
        <v>104.14031900000001</v>
      </c>
      <c r="O1155">
        <v>17.853000000000002</v>
      </c>
      <c r="P1155">
        <v>43.148000000000003</v>
      </c>
      <c r="Q1155">
        <v>40.154000000000003</v>
      </c>
      <c r="R1155">
        <v>35</v>
      </c>
      <c r="S1155" t="s">
        <v>83</v>
      </c>
      <c r="T1155">
        <f>IF(TRIM(Table1[[#This Row],[PitStopLaps]])="",0,
LEN(Table1[[#This Row],[PitStopLaps]])-LEN(SUBSTITUTE(Table1[[#This Row],[PitStopLaps]],",",""))+1)</f>
        <v>1</v>
      </c>
      <c r="U1155">
        <f>Table1[[#This Row],[StartPosition]]-Table1[[#This Row],[FinishPosition]]</f>
        <v>-1</v>
      </c>
    </row>
    <row r="1156" spans="1:21" x14ac:dyDescent="0.3">
      <c r="A1156">
        <v>2020</v>
      </c>
      <c r="B1156">
        <v>17</v>
      </c>
      <c r="C1156" t="s">
        <v>240</v>
      </c>
      <c r="D1156" t="s">
        <v>252</v>
      </c>
      <c r="E1156" t="s">
        <v>253</v>
      </c>
      <c r="F1156" t="s">
        <v>60</v>
      </c>
      <c r="G1156">
        <v>16</v>
      </c>
      <c r="H1156">
        <v>15</v>
      </c>
      <c r="I1156">
        <v>0</v>
      </c>
      <c r="J1156" t="s">
        <v>34</v>
      </c>
      <c r="K1156" t="s">
        <v>65</v>
      </c>
      <c r="L1156">
        <v>54</v>
      </c>
      <c r="M1156">
        <v>103.328</v>
      </c>
      <c r="N1156">
        <v>104.801104</v>
      </c>
      <c r="O1156">
        <v>17.760999999999999</v>
      </c>
      <c r="P1156">
        <v>43.728000000000002</v>
      </c>
      <c r="Q1156">
        <v>41.457999999999998</v>
      </c>
      <c r="R1156">
        <v>10</v>
      </c>
      <c r="S1156" t="s">
        <v>83</v>
      </c>
      <c r="T1156">
        <f>IF(TRIM(Table1[[#This Row],[PitStopLaps]])="",0,
LEN(Table1[[#This Row],[PitStopLaps]])-LEN(SUBSTITUTE(Table1[[#This Row],[PitStopLaps]],",",""))+1)</f>
        <v>1</v>
      </c>
      <c r="U1156">
        <f>Table1[[#This Row],[StartPosition]]-Table1[[#This Row],[FinishPosition]]</f>
        <v>1</v>
      </c>
    </row>
    <row r="1157" spans="1:21" x14ac:dyDescent="0.3">
      <c r="A1157">
        <v>2020</v>
      </c>
      <c r="B1157">
        <v>17</v>
      </c>
      <c r="C1157" t="s">
        <v>240</v>
      </c>
      <c r="D1157" t="s">
        <v>250</v>
      </c>
      <c r="E1157" t="s">
        <v>251</v>
      </c>
      <c r="F1157" t="s">
        <v>243</v>
      </c>
      <c r="G1157">
        <v>14</v>
      </c>
      <c r="H1157">
        <v>16</v>
      </c>
      <c r="I1157">
        <v>0</v>
      </c>
      <c r="J1157" t="s">
        <v>34</v>
      </c>
      <c r="K1157" t="s">
        <v>65</v>
      </c>
      <c r="L1157">
        <v>54</v>
      </c>
      <c r="M1157">
        <v>101.675</v>
      </c>
      <c r="N1157">
        <v>104.42872300000001</v>
      </c>
      <c r="O1157">
        <v>17.649000000000001</v>
      </c>
      <c r="P1157">
        <v>43.347999999999999</v>
      </c>
      <c r="Q1157">
        <v>40.506999999999998</v>
      </c>
      <c r="R1157">
        <v>27</v>
      </c>
      <c r="S1157" t="s">
        <v>83</v>
      </c>
      <c r="T1157">
        <f>IF(TRIM(Table1[[#This Row],[PitStopLaps]])="",0,
LEN(Table1[[#This Row],[PitStopLaps]])-LEN(SUBSTITUTE(Table1[[#This Row],[PitStopLaps]],",",""))+1)</f>
        <v>1</v>
      </c>
      <c r="U1157">
        <f>Table1[[#This Row],[StartPosition]]-Table1[[#This Row],[FinishPosition]]</f>
        <v>-2</v>
      </c>
    </row>
    <row r="1158" spans="1:21" x14ac:dyDescent="0.3">
      <c r="A1158">
        <v>2020</v>
      </c>
      <c r="B1158">
        <v>17</v>
      </c>
      <c r="C1158" t="s">
        <v>240</v>
      </c>
      <c r="D1158" t="s">
        <v>440</v>
      </c>
      <c r="E1158" t="s">
        <v>441</v>
      </c>
      <c r="F1158" t="s">
        <v>60</v>
      </c>
      <c r="G1158">
        <v>18</v>
      </c>
      <c r="H1158">
        <v>17</v>
      </c>
      <c r="I1158">
        <v>0</v>
      </c>
      <c r="J1158" t="s">
        <v>34</v>
      </c>
      <c r="K1158" t="s">
        <v>65</v>
      </c>
      <c r="L1158">
        <v>54</v>
      </c>
      <c r="M1158">
        <v>102.497</v>
      </c>
      <c r="N1158">
        <v>104.692565</v>
      </c>
      <c r="O1158">
        <v>17.734000000000002</v>
      </c>
      <c r="P1158">
        <v>43.621000000000002</v>
      </c>
      <c r="Q1158">
        <v>40.735999999999997</v>
      </c>
      <c r="R1158" t="s">
        <v>593</v>
      </c>
      <c r="S1158" t="s">
        <v>83</v>
      </c>
      <c r="T1158">
        <f>IF(TRIM(Table1[[#This Row],[PitStopLaps]])="",0,
LEN(Table1[[#This Row],[PitStopLaps]])-LEN(SUBSTITUTE(Table1[[#This Row],[PitStopLaps]],",",""))+1)</f>
        <v>2</v>
      </c>
      <c r="U1158">
        <f>Table1[[#This Row],[StartPosition]]-Table1[[#This Row],[FinishPosition]]</f>
        <v>1</v>
      </c>
    </row>
    <row r="1159" spans="1:21" x14ac:dyDescent="0.3">
      <c r="A1159">
        <v>2020</v>
      </c>
      <c r="B1159">
        <v>17</v>
      </c>
      <c r="C1159" t="s">
        <v>240</v>
      </c>
      <c r="D1159" t="s">
        <v>71</v>
      </c>
      <c r="E1159" t="s">
        <v>72</v>
      </c>
      <c r="F1159" t="s">
        <v>69</v>
      </c>
      <c r="G1159">
        <v>20</v>
      </c>
      <c r="H1159">
        <v>18</v>
      </c>
      <c r="I1159">
        <v>0</v>
      </c>
      <c r="J1159" t="s">
        <v>34</v>
      </c>
      <c r="K1159" t="s">
        <v>65</v>
      </c>
      <c r="L1159">
        <v>54</v>
      </c>
      <c r="M1159">
        <v>101.999</v>
      </c>
      <c r="N1159">
        <v>105.166</v>
      </c>
      <c r="O1159">
        <v>17.602</v>
      </c>
      <c r="P1159">
        <v>43.567999999999998</v>
      </c>
      <c r="Q1159">
        <v>40.628999999999998</v>
      </c>
      <c r="R1159" t="s">
        <v>594</v>
      </c>
      <c r="S1159" t="s">
        <v>83</v>
      </c>
      <c r="T1159">
        <f>IF(TRIM(Table1[[#This Row],[PitStopLaps]])="",0,
LEN(Table1[[#This Row],[PitStopLaps]])-LEN(SUBSTITUTE(Table1[[#This Row],[PitStopLaps]],",",""))+1)</f>
        <v>2</v>
      </c>
      <c r="U1159">
        <f>Table1[[#This Row],[StartPosition]]-Table1[[#This Row],[FinishPosition]]</f>
        <v>2</v>
      </c>
    </row>
    <row r="1160" spans="1:21" x14ac:dyDescent="0.3">
      <c r="A1160">
        <v>2020</v>
      </c>
      <c r="B1160">
        <v>17</v>
      </c>
      <c r="C1160" t="s">
        <v>240</v>
      </c>
      <c r="D1160" t="s">
        <v>590</v>
      </c>
      <c r="E1160" t="s">
        <v>591</v>
      </c>
      <c r="F1160" t="s">
        <v>69</v>
      </c>
      <c r="G1160">
        <v>17</v>
      </c>
      <c r="H1160">
        <v>19</v>
      </c>
      <c r="I1160">
        <v>0</v>
      </c>
      <c r="J1160" t="s">
        <v>34</v>
      </c>
      <c r="K1160" t="s">
        <v>127</v>
      </c>
      <c r="L1160">
        <v>53</v>
      </c>
      <c r="M1160">
        <v>101.70699999999999</v>
      </c>
      <c r="N1160">
        <v>105.414</v>
      </c>
      <c r="O1160">
        <v>17.672000000000001</v>
      </c>
      <c r="P1160">
        <v>43.359000000000002</v>
      </c>
      <c r="Q1160">
        <v>40.676000000000002</v>
      </c>
      <c r="R1160" t="s">
        <v>595</v>
      </c>
      <c r="S1160" t="s">
        <v>83</v>
      </c>
      <c r="T1160">
        <f>IF(TRIM(Table1[[#This Row],[PitStopLaps]])="",0,
LEN(Table1[[#This Row],[PitStopLaps]])-LEN(SUBSTITUTE(Table1[[#This Row],[PitStopLaps]],",",""))+1)</f>
        <v>3</v>
      </c>
      <c r="U1160">
        <f>Table1[[#This Row],[StartPosition]]-Table1[[#This Row],[FinishPosition]]</f>
        <v>-2</v>
      </c>
    </row>
    <row r="1161" spans="1:21" x14ac:dyDescent="0.3">
      <c r="A1161">
        <v>2020</v>
      </c>
      <c r="B1161">
        <v>17</v>
      </c>
      <c r="C1161" t="s">
        <v>240</v>
      </c>
      <c r="D1161" t="s">
        <v>49</v>
      </c>
      <c r="E1161" t="s">
        <v>50</v>
      </c>
      <c r="F1161" t="s">
        <v>192</v>
      </c>
      <c r="G1161">
        <v>19</v>
      </c>
      <c r="H1161">
        <v>20</v>
      </c>
      <c r="I1161">
        <v>0</v>
      </c>
      <c r="J1161" t="s">
        <v>34</v>
      </c>
      <c r="K1161" t="s">
        <v>296</v>
      </c>
      <c r="L1161">
        <v>9</v>
      </c>
      <c r="M1161">
        <v>103.26300000000001</v>
      </c>
      <c r="N1161">
        <v>104.917142</v>
      </c>
      <c r="O1161">
        <v>18.064</v>
      </c>
      <c r="P1161">
        <v>43.496000000000002</v>
      </c>
      <c r="Q1161">
        <v>41.573999999999998</v>
      </c>
      <c r="S1161" t="s">
        <v>83</v>
      </c>
      <c r="T1161">
        <f>IF(TRIM(Table1[[#This Row],[PitStopLaps]])="",0,
LEN(Table1[[#This Row],[PitStopLaps]])-LEN(SUBSTITUTE(Table1[[#This Row],[PitStopLaps]],",",""))+1)</f>
        <v>0</v>
      </c>
      <c r="U1161">
        <f>Table1[[#This Row],[StartPosition]]-Table1[[#This Row],[FinishPosition]]</f>
        <v>-1</v>
      </c>
    </row>
    <row r="1162" spans="1:21" x14ac:dyDescent="0.3">
      <c r="A1162">
        <v>2021</v>
      </c>
      <c r="B1162">
        <v>1</v>
      </c>
      <c r="C1162" t="s">
        <v>82</v>
      </c>
      <c r="D1162" t="s">
        <v>26</v>
      </c>
      <c r="E1162" t="s">
        <v>27</v>
      </c>
      <c r="F1162" t="s">
        <v>28</v>
      </c>
      <c r="G1162">
        <v>2</v>
      </c>
      <c r="H1162">
        <v>1</v>
      </c>
      <c r="I1162">
        <v>25</v>
      </c>
      <c r="J1162" t="s">
        <v>23</v>
      </c>
      <c r="K1162" t="s">
        <v>24</v>
      </c>
      <c r="L1162">
        <v>56</v>
      </c>
      <c r="M1162">
        <v>94.015000000000001</v>
      </c>
      <c r="N1162">
        <v>95.063000000000002</v>
      </c>
      <c r="O1162">
        <v>29.943999999999999</v>
      </c>
      <c r="P1162">
        <v>40.567</v>
      </c>
      <c r="Q1162">
        <v>23.140999999999998</v>
      </c>
      <c r="R1162" t="s">
        <v>596</v>
      </c>
      <c r="S1162" t="s">
        <v>83</v>
      </c>
      <c r="T1162">
        <f>IF(TRIM(Table1[[#This Row],[PitStopLaps]])="",0,
LEN(Table1[[#This Row],[PitStopLaps]])-LEN(SUBSTITUTE(Table1[[#This Row],[PitStopLaps]],",",""))+1)</f>
        <v>2</v>
      </c>
      <c r="U1162">
        <f>Table1[[#This Row],[StartPosition]]-Table1[[#This Row],[FinishPosition]]</f>
        <v>1</v>
      </c>
    </row>
    <row r="1163" spans="1:21" x14ac:dyDescent="0.3">
      <c r="A1163">
        <v>2021</v>
      </c>
      <c r="B1163">
        <v>1</v>
      </c>
      <c r="C1163" t="s">
        <v>82</v>
      </c>
      <c r="D1163" t="s">
        <v>38</v>
      </c>
      <c r="E1163" t="s">
        <v>39</v>
      </c>
      <c r="F1163" t="s">
        <v>33</v>
      </c>
      <c r="G1163">
        <v>1</v>
      </c>
      <c r="H1163">
        <v>2</v>
      </c>
      <c r="I1163">
        <v>18</v>
      </c>
      <c r="J1163" t="s">
        <v>23</v>
      </c>
      <c r="K1163" t="s">
        <v>24</v>
      </c>
      <c r="L1163">
        <v>56</v>
      </c>
      <c r="M1163">
        <v>93.227999999999994</v>
      </c>
      <c r="N1163">
        <v>95.129105999999993</v>
      </c>
      <c r="O1163">
        <v>30.009</v>
      </c>
      <c r="P1163">
        <v>40.158999999999999</v>
      </c>
      <c r="Q1163">
        <v>22.995000000000001</v>
      </c>
      <c r="R1163" t="s">
        <v>411</v>
      </c>
      <c r="S1163" t="s">
        <v>83</v>
      </c>
      <c r="T1163">
        <f>IF(TRIM(Table1[[#This Row],[PitStopLaps]])="",0,
LEN(Table1[[#This Row],[PitStopLaps]])-LEN(SUBSTITUTE(Table1[[#This Row],[PitStopLaps]],",",""))+1)</f>
        <v>2</v>
      </c>
      <c r="U1163">
        <f>Table1[[#This Row],[StartPosition]]-Table1[[#This Row],[FinishPosition]]</f>
        <v>-1</v>
      </c>
    </row>
    <row r="1164" spans="1:21" x14ac:dyDescent="0.3">
      <c r="A1164">
        <v>2021</v>
      </c>
      <c r="B1164">
        <v>1</v>
      </c>
      <c r="C1164" t="s">
        <v>82</v>
      </c>
      <c r="D1164" t="s">
        <v>43</v>
      </c>
      <c r="E1164" t="s">
        <v>44</v>
      </c>
      <c r="F1164" t="s">
        <v>28</v>
      </c>
      <c r="G1164">
        <v>3</v>
      </c>
      <c r="H1164">
        <v>3</v>
      </c>
      <c r="I1164">
        <v>16</v>
      </c>
      <c r="J1164" t="s">
        <v>23</v>
      </c>
      <c r="K1164" t="s">
        <v>24</v>
      </c>
      <c r="L1164">
        <v>56</v>
      </c>
      <c r="M1164">
        <v>92.09</v>
      </c>
      <c r="N1164">
        <v>95.118532999999999</v>
      </c>
      <c r="O1164">
        <v>29.64</v>
      </c>
      <c r="P1164">
        <v>39.508000000000003</v>
      </c>
      <c r="Q1164">
        <v>22.942</v>
      </c>
      <c r="R1164" t="s">
        <v>597</v>
      </c>
      <c r="S1164" t="s">
        <v>83</v>
      </c>
      <c r="T1164">
        <f>IF(TRIM(Table1[[#This Row],[PitStopLaps]])="",0,
LEN(Table1[[#This Row],[PitStopLaps]])-LEN(SUBSTITUTE(Table1[[#This Row],[PitStopLaps]],",",""))+1)</f>
        <v>3</v>
      </c>
      <c r="U1164">
        <f>Table1[[#This Row],[StartPosition]]-Table1[[#This Row],[FinishPosition]]</f>
        <v>0</v>
      </c>
    </row>
    <row r="1165" spans="1:21" x14ac:dyDescent="0.3">
      <c r="A1165">
        <v>2021</v>
      </c>
      <c r="B1165">
        <v>1</v>
      </c>
      <c r="C1165" t="s">
        <v>82</v>
      </c>
      <c r="D1165" t="s">
        <v>246</v>
      </c>
      <c r="E1165" t="s">
        <v>247</v>
      </c>
      <c r="F1165" t="s">
        <v>37</v>
      </c>
      <c r="G1165">
        <v>7</v>
      </c>
      <c r="H1165">
        <v>4</v>
      </c>
      <c r="I1165">
        <v>12</v>
      </c>
      <c r="J1165" t="s">
        <v>34</v>
      </c>
      <c r="K1165" t="s">
        <v>24</v>
      </c>
      <c r="L1165">
        <v>56</v>
      </c>
      <c r="M1165">
        <v>94.396000000000001</v>
      </c>
      <c r="N1165">
        <v>95.838679999999997</v>
      </c>
      <c r="O1165">
        <v>30.206</v>
      </c>
      <c r="P1165">
        <v>40.524999999999999</v>
      </c>
      <c r="Q1165">
        <v>23.207000000000001</v>
      </c>
      <c r="R1165" t="s">
        <v>598</v>
      </c>
      <c r="S1165" t="s">
        <v>83</v>
      </c>
      <c r="T1165">
        <f>IF(TRIM(Table1[[#This Row],[PitStopLaps]])="",0,
LEN(Table1[[#This Row],[PitStopLaps]])-LEN(SUBSTITUTE(Table1[[#This Row],[PitStopLaps]],",",""))+1)</f>
        <v>2</v>
      </c>
      <c r="U1165">
        <f>Table1[[#This Row],[StartPosition]]-Table1[[#This Row],[FinishPosition]]</f>
        <v>3</v>
      </c>
    </row>
    <row r="1166" spans="1:21" x14ac:dyDescent="0.3">
      <c r="A1166">
        <v>2021</v>
      </c>
      <c r="B1166">
        <v>1</v>
      </c>
      <c r="C1166" t="s">
        <v>82</v>
      </c>
      <c r="D1166" t="s">
        <v>49</v>
      </c>
      <c r="E1166" t="s">
        <v>50</v>
      </c>
      <c r="F1166" t="s">
        <v>33</v>
      </c>
      <c r="G1166">
        <v>0</v>
      </c>
      <c r="H1166">
        <v>5</v>
      </c>
      <c r="I1166">
        <v>10</v>
      </c>
      <c r="J1166" t="s">
        <v>34</v>
      </c>
      <c r="K1166" t="s">
        <v>24</v>
      </c>
      <c r="L1166">
        <v>56</v>
      </c>
      <c r="M1166">
        <v>93.97</v>
      </c>
      <c r="N1166">
        <v>95.777935999999997</v>
      </c>
      <c r="O1166">
        <v>30.18</v>
      </c>
      <c r="P1166">
        <v>40.395000000000003</v>
      </c>
      <c r="Q1166">
        <v>23.231000000000002</v>
      </c>
      <c r="R1166" t="s">
        <v>599</v>
      </c>
      <c r="S1166" t="s">
        <v>83</v>
      </c>
      <c r="T1166">
        <f>IF(TRIM(Table1[[#This Row],[PitStopLaps]])="",0,
LEN(Table1[[#This Row],[PitStopLaps]])-LEN(SUBSTITUTE(Table1[[#This Row],[PitStopLaps]],",",""))+1)</f>
        <v>3</v>
      </c>
      <c r="U1166">
        <f>Table1[[#This Row],[StartPosition]]-Table1[[#This Row],[FinishPosition]]</f>
        <v>-5</v>
      </c>
    </row>
    <row r="1167" spans="1:21" x14ac:dyDescent="0.3">
      <c r="A1167">
        <v>2021</v>
      </c>
      <c r="B1167">
        <v>1</v>
      </c>
      <c r="C1167" t="s">
        <v>82</v>
      </c>
      <c r="D1167" t="s">
        <v>54</v>
      </c>
      <c r="E1167" t="s">
        <v>55</v>
      </c>
      <c r="F1167" t="s">
        <v>22</v>
      </c>
      <c r="G1167">
        <v>4</v>
      </c>
      <c r="H1167">
        <v>6</v>
      </c>
      <c r="I1167">
        <v>8</v>
      </c>
      <c r="J1167" t="s">
        <v>34</v>
      </c>
      <c r="K1167" t="s">
        <v>24</v>
      </c>
      <c r="L1167">
        <v>56</v>
      </c>
      <c r="M1167">
        <v>94.988</v>
      </c>
      <c r="N1167">
        <v>96.165807999999998</v>
      </c>
      <c r="O1167">
        <v>30.31</v>
      </c>
      <c r="P1167">
        <v>40.78</v>
      </c>
      <c r="Q1167">
        <v>23.460999999999999</v>
      </c>
      <c r="R1167" t="s">
        <v>105</v>
      </c>
      <c r="S1167" t="s">
        <v>83</v>
      </c>
      <c r="T1167">
        <f>IF(TRIM(Table1[[#This Row],[PitStopLaps]])="",0,
LEN(Table1[[#This Row],[PitStopLaps]])-LEN(SUBSTITUTE(Table1[[#This Row],[PitStopLaps]],",",""))+1)</f>
        <v>2</v>
      </c>
      <c r="U1167">
        <f>Table1[[#This Row],[StartPosition]]-Table1[[#This Row],[FinishPosition]]</f>
        <v>-2</v>
      </c>
    </row>
    <row r="1168" spans="1:21" x14ac:dyDescent="0.3">
      <c r="A1168">
        <v>2021</v>
      </c>
      <c r="B1168">
        <v>1</v>
      </c>
      <c r="C1168" t="s">
        <v>82</v>
      </c>
      <c r="D1168" t="s">
        <v>31</v>
      </c>
      <c r="E1168" t="s">
        <v>32</v>
      </c>
      <c r="F1168" t="s">
        <v>37</v>
      </c>
      <c r="G1168">
        <v>6</v>
      </c>
      <c r="H1168">
        <v>7</v>
      </c>
      <c r="I1168">
        <v>6</v>
      </c>
      <c r="J1168" t="s">
        <v>34</v>
      </c>
      <c r="K1168" t="s">
        <v>24</v>
      </c>
      <c r="L1168">
        <v>56</v>
      </c>
      <c r="M1168">
        <v>94.932000000000002</v>
      </c>
      <c r="N1168">
        <v>96.240360999999993</v>
      </c>
      <c r="O1168">
        <v>30.263999999999999</v>
      </c>
      <c r="P1168">
        <v>40.738999999999997</v>
      </c>
      <c r="Q1168">
        <v>23.44</v>
      </c>
      <c r="R1168" t="s">
        <v>161</v>
      </c>
      <c r="S1168" t="s">
        <v>83</v>
      </c>
      <c r="T1168">
        <f>IF(TRIM(Table1[[#This Row],[PitStopLaps]])="",0,
LEN(Table1[[#This Row],[PitStopLaps]])-LEN(SUBSTITUTE(Table1[[#This Row],[PitStopLaps]],",",""))+1)</f>
        <v>2</v>
      </c>
      <c r="U1168">
        <f>Table1[[#This Row],[StartPosition]]-Table1[[#This Row],[FinishPosition]]</f>
        <v>-1</v>
      </c>
    </row>
    <row r="1169" spans="1:21" x14ac:dyDescent="0.3">
      <c r="A1169">
        <v>2021</v>
      </c>
      <c r="B1169">
        <v>1</v>
      </c>
      <c r="C1169" t="s">
        <v>82</v>
      </c>
      <c r="D1169" t="s">
        <v>47</v>
      </c>
      <c r="E1169" t="s">
        <v>48</v>
      </c>
      <c r="F1169" t="s">
        <v>22</v>
      </c>
      <c r="G1169">
        <v>8</v>
      </c>
      <c r="H1169">
        <v>8</v>
      </c>
      <c r="I1169">
        <v>4</v>
      </c>
      <c r="J1169" t="s">
        <v>34</v>
      </c>
      <c r="K1169" t="s">
        <v>24</v>
      </c>
      <c r="L1169">
        <v>56</v>
      </c>
      <c r="M1169">
        <v>94.509</v>
      </c>
      <c r="N1169">
        <v>96.227339999999998</v>
      </c>
      <c r="O1169">
        <v>30.4</v>
      </c>
      <c r="P1169">
        <v>40.529000000000003</v>
      </c>
      <c r="Q1169">
        <v>23.378</v>
      </c>
      <c r="R1169" t="s">
        <v>600</v>
      </c>
      <c r="S1169" t="s">
        <v>83</v>
      </c>
      <c r="T1169">
        <f>IF(TRIM(Table1[[#This Row],[PitStopLaps]])="",0,
LEN(Table1[[#This Row],[PitStopLaps]])-LEN(SUBSTITUTE(Table1[[#This Row],[PitStopLaps]],",",""))+1)</f>
        <v>2</v>
      </c>
      <c r="U1169">
        <f>Table1[[#This Row],[StartPosition]]-Table1[[#This Row],[FinishPosition]]</f>
        <v>0</v>
      </c>
    </row>
    <row r="1170" spans="1:21" x14ac:dyDescent="0.3">
      <c r="A1170">
        <v>2021</v>
      </c>
      <c r="B1170">
        <v>1</v>
      </c>
      <c r="C1170" t="s">
        <v>82</v>
      </c>
      <c r="D1170" t="s">
        <v>601</v>
      </c>
      <c r="E1170" t="s">
        <v>602</v>
      </c>
      <c r="F1170" t="s">
        <v>438</v>
      </c>
      <c r="G1170">
        <v>13</v>
      </c>
      <c r="H1170">
        <v>9</v>
      </c>
      <c r="I1170">
        <v>2</v>
      </c>
      <c r="J1170" t="s">
        <v>34</v>
      </c>
      <c r="K1170" t="s">
        <v>24</v>
      </c>
      <c r="L1170">
        <v>56</v>
      </c>
      <c r="M1170">
        <v>94.760999999999996</v>
      </c>
      <c r="N1170">
        <v>96.439276000000007</v>
      </c>
      <c r="O1170">
        <v>30.233000000000001</v>
      </c>
      <c r="P1170">
        <v>40.811999999999998</v>
      </c>
      <c r="Q1170">
        <v>23.34</v>
      </c>
      <c r="R1170" t="s">
        <v>364</v>
      </c>
      <c r="S1170" t="s">
        <v>83</v>
      </c>
      <c r="T1170">
        <f>IF(TRIM(Table1[[#This Row],[PitStopLaps]])="",0,
LEN(Table1[[#This Row],[PitStopLaps]])-LEN(SUBSTITUTE(Table1[[#This Row],[PitStopLaps]],",",""))+1)</f>
        <v>2</v>
      </c>
      <c r="U1170">
        <f>Table1[[#This Row],[StartPosition]]-Table1[[#This Row],[FinishPosition]]</f>
        <v>4</v>
      </c>
    </row>
    <row r="1171" spans="1:21" x14ac:dyDescent="0.3">
      <c r="A1171">
        <v>2021</v>
      </c>
      <c r="B1171">
        <v>1</v>
      </c>
      <c r="C1171" t="s">
        <v>82</v>
      </c>
      <c r="D1171" t="s">
        <v>58</v>
      </c>
      <c r="E1171" t="s">
        <v>59</v>
      </c>
      <c r="F1171" t="s">
        <v>603</v>
      </c>
      <c r="G1171">
        <v>10</v>
      </c>
      <c r="H1171">
        <v>10</v>
      </c>
      <c r="I1171">
        <v>1</v>
      </c>
      <c r="J1171" t="s">
        <v>34</v>
      </c>
      <c r="K1171" t="s">
        <v>24</v>
      </c>
      <c r="L1171">
        <v>56</v>
      </c>
      <c r="M1171">
        <v>94.864999999999995</v>
      </c>
      <c r="N1171">
        <v>96.606425000000002</v>
      </c>
      <c r="O1171">
        <v>30.231999999999999</v>
      </c>
      <c r="P1171">
        <v>41.079000000000001</v>
      </c>
      <c r="Q1171">
        <v>23.454999999999998</v>
      </c>
      <c r="R1171" t="s">
        <v>604</v>
      </c>
      <c r="S1171" t="s">
        <v>83</v>
      </c>
      <c r="T1171">
        <f>IF(TRIM(Table1[[#This Row],[PitStopLaps]])="",0,
LEN(Table1[[#This Row],[PitStopLaps]])-LEN(SUBSTITUTE(Table1[[#This Row],[PitStopLaps]],",",""))+1)</f>
        <v>2</v>
      </c>
      <c r="U1171">
        <f>Table1[[#This Row],[StartPosition]]-Table1[[#This Row],[FinishPosition]]</f>
        <v>0</v>
      </c>
    </row>
    <row r="1172" spans="1:21" x14ac:dyDescent="0.3">
      <c r="A1172">
        <v>2021</v>
      </c>
      <c r="B1172">
        <v>1</v>
      </c>
      <c r="C1172" t="s">
        <v>82</v>
      </c>
      <c r="D1172" t="s">
        <v>29</v>
      </c>
      <c r="E1172" t="s">
        <v>30</v>
      </c>
      <c r="F1172" t="s">
        <v>243</v>
      </c>
      <c r="G1172">
        <v>14</v>
      </c>
      <c r="H1172">
        <v>11</v>
      </c>
      <c r="I1172">
        <v>0</v>
      </c>
      <c r="J1172" t="s">
        <v>34</v>
      </c>
      <c r="K1172" t="s">
        <v>24</v>
      </c>
      <c r="L1172">
        <v>56</v>
      </c>
      <c r="M1172">
        <v>95.191999999999993</v>
      </c>
      <c r="N1172">
        <v>96.621340000000004</v>
      </c>
      <c r="O1172">
        <v>30.616</v>
      </c>
      <c r="P1172">
        <v>40.981999999999999</v>
      </c>
      <c r="Q1172">
        <v>23.356999999999999</v>
      </c>
      <c r="R1172" t="s">
        <v>605</v>
      </c>
      <c r="S1172" t="s">
        <v>83</v>
      </c>
      <c r="T1172">
        <f>IF(TRIM(Table1[[#This Row],[PitStopLaps]])="",0,
LEN(Table1[[#This Row],[PitStopLaps]])-LEN(SUBSTITUTE(Table1[[#This Row],[PitStopLaps]],",",""))+1)</f>
        <v>2</v>
      </c>
      <c r="U1172">
        <f>Table1[[#This Row],[StartPosition]]-Table1[[#This Row],[FinishPosition]]</f>
        <v>3</v>
      </c>
    </row>
    <row r="1173" spans="1:21" x14ac:dyDescent="0.3">
      <c r="A1173">
        <v>2021</v>
      </c>
      <c r="B1173">
        <v>1</v>
      </c>
      <c r="C1173" t="s">
        <v>82</v>
      </c>
      <c r="D1173" t="s">
        <v>250</v>
      </c>
      <c r="E1173" t="s">
        <v>251</v>
      </c>
      <c r="F1173" t="s">
        <v>243</v>
      </c>
      <c r="G1173">
        <v>12</v>
      </c>
      <c r="H1173">
        <v>12</v>
      </c>
      <c r="I1173">
        <v>0</v>
      </c>
      <c r="J1173" t="s">
        <v>34</v>
      </c>
      <c r="K1173" t="s">
        <v>65</v>
      </c>
      <c r="L1173">
        <v>55</v>
      </c>
      <c r="M1173">
        <v>95.122</v>
      </c>
      <c r="N1173">
        <v>96.715456000000003</v>
      </c>
      <c r="O1173">
        <v>30.001999999999999</v>
      </c>
      <c r="P1173">
        <v>41.246000000000002</v>
      </c>
      <c r="Q1173">
        <v>23.32</v>
      </c>
      <c r="R1173" t="s">
        <v>606</v>
      </c>
      <c r="S1173" t="s">
        <v>83</v>
      </c>
      <c r="T1173">
        <f>IF(TRIM(Table1[[#This Row],[PitStopLaps]])="",0,
LEN(Table1[[#This Row],[PitStopLaps]])-LEN(SUBSTITUTE(Table1[[#This Row],[PitStopLaps]],",",""))+1)</f>
        <v>2</v>
      </c>
      <c r="U1173">
        <f>Table1[[#This Row],[StartPosition]]-Table1[[#This Row],[FinishPosition]]</f>
        <v>0</v>
      </c>
    </row>
    <row r="1174" spans="1:21" x14ac:dyDescent="0.3">
      <c r="A1174">
        <v>2021</v>
      </c>
      <c r="B1174">
        <v>1</v>
      </c>
      <c r="C1174" t="s">
        <v>82</v>
      </c>
      <c r="D1174" t="s">
        <v>52</v>
      </c>
      <c r="E1174" t="s">
        <v>53</v>
      </c>
      <c r="F1174" t="s">
        <v>607</v>
      </c>
      <c r="G1174">
        <v>16</v>
      </c>
      <c r="H1174">
        <v>13</v>
      </c>
      <c r="I1174">
        <v>0</v>
      </c>
      <c r="J1174" t="s">
        <v>34</v>
      </c>
      <c r="K1174" t="s">
        <v>65</v>
      </c>
      <c r="L1174">
        <v>55</v>
      </c>
      <c r="M1174">
        <v>95.25</v>
      </c>
      <c r="N1174">
        <v>97.099652000000006</v>
      </c>
      <c r="O1174">
        <v>30.044</v>
      </c>
      <c r="P1174">
        <v>41.256999999999998</v>
      </c>
      <c r="Q1174">
        <v>23.452000000000002</v>
      </c>
      <c r="R1174" t="s">
        <v>102</v>
      </c>
      <c r="S1174" t="s">
        <v>83</v>
      </c>
      <c r="T1174">
        <f>IF(TRIM(Table1[[#This Row],[PitStopLaps]])="",0,
LEN(Table1[[#This Row],[PitStopLaps]])-LEN(SUBSTITUTE(Table1[[#This Row],[PitStopLaps]],",",""))+1)</f>
        <v>2</v>
      </c>
      <c r="U1174">
        <f>Table1[[#This Row],[StartPosition]]-Table1[[#This Row],[FinishPosition]]</f>
        <v>3</v>
      </c>
    </row>
    <row r="1175" spans="1:21" x14ac:dyDescent="0.3">
      <c r="A1175">
        <v>2021</v>
      </c>
      <c r="B1175">
        <v>1</v>
      </c>
      <c r="C1175" t="s">
        <v>82</v>
      </c>
      <c r="D1175" t="s">
        <v>252</v>
      </c>
      <c r="E1175" t="s">
        <v>253</v>
      </c>
      <c r="F1175" t="s">
        <v>60</v>
      </c>
      <c r="G1175">
        <v>15</v>
      </c>
      <c r="H1175">
        <v>14</v>
      </c>
      <c r="I1175">
        <v>0</v>
      </c>
      <c r="J1175" t="s">
        <v>34</v>
      </c>
      <c r="K1175" t="s">
        <v>65</v>
      </c>
      <c r="L1175">
        <v>55</v>
      </c>
      <c r="M1175">
        <v>95.036000000000001</v>
      </c>
      <c r="N1175">
        <v>97.052891000000002</v>
      </c>
      <c r="O1175">
        <v>30.228000000000002</v>
      </c>
      <c r="P1175">
        <v>41.171999999999997</v>
      </c>
      <c r="Q1175">
        <v>23.292999999999999</v>
      </c>
      <c r="R1175" t="s">
        <v>262</v>
      </c>
      <c r="S1175" t="s">
        <v>83</v>
      </c>
      <c r="T1175">
        <f>IF(TRIM(Table1[[#This Row],[PitStopLaps]])="",0,
LEN(Table1[[#This Row],[PitStopLaps]])-LEN(SUBSTITUTE(Table1[[#This Row],[PitStopLaps]],",",""))+1)</f>
        <v>2</v>
      </c>
      <c r="U1175">
        <f>Table1[[#This Row],[StartPosition]]-Table1[[#This Row],[FinishPosition]]</f>
        <v>1</v>
      </c>
    </row>
    <row r="1176" spans="1:21" x14ac:dyDescent="0.3">
      <c r="A1176">
        <v>2021</v>
      </c>
      <c r="B1176">
        <v>1</v>
      </c>
      <c r="C1176" t="s">
        <v>82</v>
      </c>
      <c r="D1176" t="s">
        <v>20</v>
      </c>
      <c r="E1176" t="s">
        <v>21</v>
      </c>
      <c r="F1176" t="s">
        <v>603</v>
      </c>
      <c r="G1176">
        <v>20</v>
      </c>
      <c r="H1176">
        <v>15</v>
      </c>
      <c r="I1176">
        <v>0</v>
      </c>
      <c r="J1176" t="s">
        <v>34</v>
      </c>
      <c r="K1176" t="s">
        <v>65</v>
      </c>
      <c r="L1176">
        <v>55</v>
      </c>
      <c r="M1176">
        <v>95.566000000000003</v>
      </c>
      <c r="N1176">
        <v>97.754019999999997</v>
      </c>
      <c r="O1176">
        <v>30.692</v>
      </c>
      <c r="P1176">
        <v>41.168999999999997</v>
      </c>
      <c r="Q1176">
        <v>23.704999999999998</v>
      </c>
      <c r="R1176">
        <v>24</v>
      </c>
      <c r="S1176" t="s">
        <v>83</v>
      </c>
      <c r="T1176">
        <f>IF(TRIM(Table1[[#This Row],[PitStopLaps]])="",0,
LEN(Table1[[#This Row],[PitStopLaps]])-LEN(SUBSTITUTE(Table1[[#This Row],[PitStopLaps]],",",""))+1)</f>
        <v>1</v>
      </c>
      <c r="U1176">
        <f>Table1[[#This Row],[StartPosition]]-Table1[[#This Row],[FinishPosition]]</f>
        <v>5</v>
      </c>
    </row>
    <row r="1177" spans="1:21" x14ac:dyDescent="0.3">
      <c r="A1177">
        <v>2021</v>
      </c>
      <c r="B1177">
        <v>1</v>
      </c>
      <c r="C1177" t="s">
        <v>82</v>
      </c>
      <c r="D1177" t="s">
        <v>608</v>
      </c>
      <c r="E1177" t="s">
        <v>609</v>
      </c>
      <c r="F1177" t="s">
        <v>69</v>
      </c>
      <c r="G1177">
        <v>18</v>
      </c>
      <c r="H1177">
        <v>16</v>
      </c>
      <c r="I1177">
        <v>0</v>
      </c>
      <c r="J1177" t="s">
        <v>34</v>
      </c>
      <c r="K1177" t="s">
        <v>65</v>
      </c>
      <c r="L1177">
        <v>55</v>
      </c>
      <c r="M1177">
        <v>96.134</v>
      </c>
      <c r="N1177">
        <v>97.881890999999996</v>
      </c>
      <c r="O1177">
        <v>30.497</v>
      </c>
      <c r="P1177">
        <v>41.381</v>
      </c>
      <c r="Q1177">
        <v>23.888999999999999</v>
      </c>
      <c r="R1177" t="s">
        <v>526</v>
      </c>
      <c r="S1177" t="s">
        <v>83</v>
      </c>
      <c r="T1177">
        <f>IF(TRIM(Table1[[#This Row],[PitStopLaps]])="",0,
LEN(Table1[[#This Row],[PitStopLaps]])-LEN(SUBSTITUTE(Table1[[#This Row],[PitStopLaps]],",",""))+1)</f>
        <v>2</v>
      </c>
      <c r="U1177">
        <f>Table1[[#This Row],[StartPosition]]-Table1[[#This Row],[FinishPosition]]</f>
        <v>2</v>
      </c>
    </row>
    <row r="1178" spans="1:21" x14ac:dyDescent="0.3">
      <c r="A1178">
        <v>2021</v>
      </c>
      <c r="B1178">
        <v>1</v>
      </c>
      <c r="C1178" t="s">
        <v>82</v>
      </c>
      <c r="D1178" t="s">
        <v>73</v>
      </c>
      <c r="E1178" t="s">
        <v>74</v>
      </c>
      <c r="F1178" t="s">
        <v>438</v>
      </c>
      <c r="G1178">
        <v>5</v>
      </c>
      <c r="H1178">
        <v>17</v>
      </c>
      <c r="I1178">
        <v>0</v>
      </c>
      <c r="J1178" t="s">
        <v>34</v>
      </c>
      <c r="K1178" t="s">
        <v>179</v>
      </c>
      <c r="L1178">
        <v>52</v>
      </c>
      <c r="M1178">
        <v>94.09</v>
      </c>
      <c r="N1178">
        <v>96.412785</v>
      </c>
      <c r="O1178">
        <v>30.355</v>
      </c>
      <c r="P1178">
        <v>40.450000000000003</v>
      </c>
      <c r="Q1178">
        <v>23.169</v>
      </c>
      <c r="R1178" t="s">
        <v>610</v>
      </c>
      <c r="S1178" t="s">
        <v>83</v>
      </c>
      <c r="T1178">
        <f>IF(TRIM(Table1[[#This Row],[PitStopLaps]])="",0,
LEN(Table1[[#This Row],[PitStopLaps]])-LEN(SUBSTITUTE(Table1[[#This Row],[PitStopLaps]],",",""))+1)</f>
        <v>4</v>
      </c>
      <c r="U1178">
        <f>Table1[[#This Row],[StartPosition]]-Table1[[#This Row],[FinishPosition]]</f>
        <v>-12</v>
      </c>
    </row>
    <row r="1179" spans="1:21" x14ac:dyDescent="0.3">
      <c r="A1179">
        <v>2021</v>
      </c>
      <c r="B1179">
        <v>1</v>
      </c>
      <c r="C1179" t="s">
        <v>82</v>
      </c>
      <c r="D1179" t="s">
        <v>440</v>
      </c>
      <c r="E1179" t="s">
        <v>441</v>
      </c>
      <c r="F1179" t="s">
        <v>60</v>
      </c>
      <c r="G1179">
        <v>17</v>
      </c>
      <c r="H1179">
        <v>18</v>
      </c>
      <c r="I1179">
        <v>0</v>
      </c>
      <c r="J1179" t="s">
        <v>34</v>
      </c>
      <c r="K1179" t="s">
        <v>179</v>
      </c>
      <c r="L1179">
        <v>51</v>
      </c>
      <c r="M1179">
        <v>96.602000000000004</v>
      </c>
      <c r="N1179">
        <v>98.435096999999999</v>
      </c>
      <c r="O1179">
        <v>30.861000000000001</v>
      </c>
      <c r="P1179">
        <v>42.064999999999998</v>
      </c>
      <c r="Q1179">
        <v>23.675999999999998</v>
      </c>
      <c r="R1179" t="s">
        <v>611</v>
      </c>
      <c r="S1179" t="s">
        <v>83</v>
      </c>
      <c r="T1179">
        <f>IF(TRIM(Table1[[#This Row],[PitStopLaps]])="",0,
LEN(Table1[[#This Row],[PitStopLaps]])-LEN(SUBSTITUTE(Table1[[#This Row],[PitStopLaps]],",",""))+1)</f>
        <v>3</v>
      </c>
      <c r="U1179">
        <f>Table1[[#This Row],[StartPosition]]-Table1[[#This Row],[FinishPosition]]</f>
        <v>-1</v>
      </c>
    </row>
    <row r="1180" spans="1:21" x14ac:dyDescent="0.3">
      <c r="A1180">
        <v>2021</v>
      </c>
      <c r="B1180">
        <v>1</v>
      </c>
      <c r="C1180" t="s">
        <v>82</v>
      </c>
      <c r="D1180" t="s">
        <v>35</v>
      </c>
      <c r="E1180" t="s">
        <v>36</v>
      </c>
      <c r="F1180" t="s">
        <v>607</v>
      </c>
      <c r="G1180">
        <v>9</v>
      </c>
      <c r="H1180">
        <v>19</v>
      </c>
      <c r="I1180">
        <v>0</v>
      </c>
      <c r="J1180" t="s">
        <v>34</v>
      </c>
      <c r="K1180" t="s">
        <v>81</v>
      </c>
      <c r="L1180">
        <v>32</v>
      </c>
      <c r="M1180">
        <v>96.063000000000002</v>
      </c>
      <c r="N1180">
        <v>97.786862999999997</v>
      </c>
      <c r="O1180">
        <v>30.408000000000001</v>
      </c>
      <c r="P1180">
        <v>41.796999999999997</v>
      </c>
      <c r="Q1180">
        <v>23.84</v>
      </c>
      <c r="R1180" t="s">
        <v>612</v>
      </c>
      <c r="S1180" t="s">
        <v>83</v>
      </c>
      <c r="T1180">
        <f>IF(TRIM(Table1[[#This Row],[PitStopLaps]])="",0,
LEN(Table1[[#This Row],[PitStopLaps]])-LEN(SUBSTITUTE(Table1[[#This Row],[PitStopLaps]],",",""))+1)</f>
        <v>3</v>
      </c>
      <c r="U1180">
        <f>Table1[[#This Row],[StartPosition]]-Table1[[#This Row],[FinishPosition]]</f>
        <v>-10</v>
      </c>
    </row>
    <row r="1181" spans="1:21" x14ac:dyDescent="0.3">
      <c r="A1181">
        <v>2021</v>
      </c>
      <c r="B1181">
        <v>1</v>
      </c>
      <c r="C1181" t="s">
        <v>82</v>
      </c>
      <c r="D1181" t="s">
        <v>613</v>
      </c>
      <c r="E1181" t="s">
        <v>614</v>
      </c>
      <c r="F1181" t="s">
        <v>69</v>
      </c>
      <c r="G1181">
        <v>19</v>
      </c>
      <c r="H1181">
        <v>20</v>
      </c>
      <c r="I1181">
        <v>0</v>
      </c>
      <c r="J1181" t="s">
        <v>34</v>
      </c>
      <c r="K1181" t="s">
        <v>123</v>
      </c>
      <c r="L1181">
        <v>1</v>
      </c>
      <c r="S1181" t="s">
        <v>83</v>
      </c>
      <c r="T1181">
        <f>IF(TRIM(Table1[[#This Row],[PitStopLaps]])="",0,
LEN(Table1[[#This Row],[PitStopLaps]])-LEN(SUBSTITUTE(Table1[[#This Row],[PitStopLaps]],",",""))+1)</f>
        <v>0</v>
      </c>
      <c r="U1181">
        <f>Table1[[#This Row],[StartPosition]]-Table1[[#This Row],[FinishPosition]]</f>
        <v>-1</v>
      </c>
    </row>
    <row r="1182" spans="1:21" x14ac:dyDescent="0.3">
      <c r="A1182">
        <v>2021</v>
      </c>
      <c r="B1182">
        <v>2</v>
      </c>
      <c r="C1182" t="s">
        <v>535</v>
      </c>
      <c r="D1182" t="s">
        <v>38</v>
      </c>
      <c r="E1182" t="s">
        <v>39</v>
      </c>
      <c r="F1182" t="s">
        <v>33</v>
      </c>
      <c r="G1182">
        <v>3</v>
      </c>
      <c r="H1182">
        <v>1</v>
      </c>
      <c r="I1182">
        <v>25</v>
      </c>
      <c r="J1182" t="s">
        <v>23</v>
      </c>
      <c r="K1182" t="s">
        <v>24</v>
      </c>
      <c r="L1182">
        <v>63</v>
      </c>
      <c r="M1182">
        <v>77.524000000000001</v>
      </c>
      <c r="N1182">
        <v>82.937769000000003</v>
      </c>
      <c r="O1182">
        <v>24.870999999999999</v>
      </c>
      <c r="P1182">
        <v>26.640999999999998</v>
      </c>
      <c r="Q1182">
        <v>25.890999999999998</v>
      </c>
      <c r="R1182" t="s">
        <v>615</v>
      </c>
      <c r="S1182" t="s">
        <v>25</v>
      </c>
      <c r="T1182">
        <f>IF(TRIM(Table1[[#This Row],[PitStopLaps]])="",0,
LEN(Table1[[#This Row],[PitStopLaps]])-LEN(SUBSTITUTE(Table1[[#This Row],[PitStopLaps]],",",""))+1)</f>
        <v>2</v>
      </c>
      <c r="U1182">
        <f>Table1[[#This Row],[StartPosition]]-Table1[[#This Row],[FinishPosition]]</f>
        <v>2</v>
      </c>
    </row>
    <row r="1183" spans="1:21" x14ac:dyDescent="0.3">
      <c r="A1183">
        <v>2021</v>
      </c>
      <c r="B1183">
        <v>2</v>
      </c>
      <c r="C1183" t="s">
        <v>535</v>
      </c>
      <c r="D1183" t="s">
        <v>26</v>
      </c>
      <c r="E1183" t="s">
        <v>27</v>
      </c>
      <c r="F1183" t="s">
        <v>28</v>
      </c>
      <c r="G1183">
        <v>1</v>
      </c>
      <c r="H1183">
        <v>2</v>
      </c>
      <c r="I1183">
        <v>19</v>
      </c>
      <c r="J1183" t="s">
        <v>23</v>
      </c>
      <c r="K1183" t="s">
        <v>24</v>
      </c>
      <c r="L1183">
        <v>63</v>
      </c>
      <c r="M1183">
        <v>76.701999999999998</v>
      </c>
      <c r="N1183">
        <v>83.340783999999999</v>
      </c>
      <c r="O1183">
        <v>24.446000000000002</v>
      </c>
      <c r="P1183">
        <v>26.527000000000001</v>
      </c>
      <c r="Q1183">
        <v>25.728999999999999</v>
      </c>
      <c r="R1183" t="s">
        <v>616</v>
      </c>
      <c r="S1183" t="s">
        <v>25</v>
      </c>
      <c r="T1183">
        <f>IF(TRIM(Table1[[#This Row],[PitStopLaps]])="",0,
LEN(Table1[[#This Row],[PitStopLaps]])-LEN(SUBSTITUTE(Table1[[#This Row],[PitStopLaps]],",",""))+1)</f>
        <v>4</v>
      </c>
      <c r="U1183">
        <f>Table1[[#This Row],[StartPosition]]-Table1[[#This Row],[FinishPosition]]</f>
        <v>-1</v>
      </c>
    </row>
    <row r="1184" spans="1:21" x14ac:dyDescent="0.3">
      <c r="A1184">
        <v>2021</v>
      </c>
      <c r="B1184">
        <v>2</v>
      </c>
      <c r="C1184" t="s">
        <v>535</v>
      </c>
      <c r="D1184" t="s">
        <v>246</v>
      </c>
      <c r="E1184" t="s">
        <v>247</v>
      </c>
      <c r="F1184" t="s">
        <v>37</v>
      </c>
      <c r="G1184">
        <v>7</v>
      </c>
      <c r="H1184">
        <v>3</v>
      </c>
      <c r="I1184">
        <v>15</v>
      </c>
      <c r="J1184" t="s">
        <v>23</v>
      </c>
      <c r="K1184" t="s">
        <v>24</v>
      </c>
      <c r="L1184">
        <v>63</v>
      </c>
      <c r="M1184">
        <v>78.259</v>
      </c>
      <c r="N1184">
        <v>84.195254000000006</v>
      </c>
      <c r="O1184">
        <v>24.937999999999999</v>
      </c>
      <c r="P1184">
        <v>27.123999999999999</v>
      </c>
      <c r="Q1184">
        <v>26.138000000000002</v>
      </c>
      <c r="R1184" t="s">
        <v>106</v>
      </c>
      <c r="S1184" t="s">
        <v>25</v>
      </c>
      <c r="T1184">
        <f>IF(TRIM(Table1[[#This Row],[PitStopLaps]])="",0,
LEN(Table1[[#This Row],[PitStopLaps]])-LEN(SUBSTITUTE(Table1[[#This Row],[PitStopLaps]],",",""))+1)</f>
        <v>2</v>
      </c>
      <c r="U1184">
        <f>Table1[[#This Row],[StartPosition]]-Table1[[#This Row],[FinishPosition]]</f>
        <v>4</v>
      </c>
    </row>
    <row r="1185" spans="1:21" x14ac:dyDescent="0.3">
      <c r="A1185">
        <v>2021</v>
      </c>
      <c r="B1185">
        <v>2</v>
      </c>
      <c r="C1185" t="s">
        <v>535</v>
      </c>
      <c r="D1185" t="s">
        <v>54</v>
      </c>
      <c r="E1185" t="s">
        <v>55</v>
      </c>
      <c r="F1185" t="s">
        <v>22</v>
      </c>
      <c r="G1185">
        <v>4</v>
      </c>
      <c r="H1185">
        <v>4</v>
      </c>
      <c r="I1185">
        <v>12</v>
      </c>
      <c r="J1185" t="s">
        <v>34</v>
      </c>
      <c r="K1185" t="s">
        <v>24</v>
      </c>
      <c r="L1185">
        <v>63</v>
      </c>
      <c r="M1185">
        <v>78.379000000000005</v>
      </c>
      <c r="N1185">
        <v>83.755287999999993</v>
      </c>
      <c r="O1185">
        <v>25.178999999999998</v>
      </c>
      <c r="P1185">
        <v>26.984999999999999</v>
      </c>
      <c r="Q1185">
        <v>26.1</v>
      </c>
      <c r="R1185" t="s">
        <v>106</v>
      </c>
      <c r="S1185" t="s">
        <v>25</v>
      </c>
      <c r="T1185">
        <f>IF(TRIM(Table1[[#This Row],[PitStopLaps]])="",0,
LEN(Table1[[#This Row],[PitStopLaps]])-LEN(SUBSTITUTE(Table1[[#This Row],[PitStopLaps]],",",""))+1)</f>
        <v>2</v>
      </c>
      <c r="U1185">
        <f>Table1[[#This Row],[StartPosition]]-Table1[[#This Row],[FinishPosition]]</f>
        <v>0</v>
      </c>
    </row>
    <row r="1186" spans="1:21" x14ac:dyDescent="0.3">
      <c r="A1186">
        <v>2021</v>
      </c>
      <c r="B1186">
        <v>2</v>
      </c>
      <c r="C1186" t="s">
        <v>535</v>
      </c>
      <c r="D1186" t="s">
        <v>47</v>
      </c>
      <c r="E1186" t="s">
        <v>48</v>
      </c>
      <c r="F1186" t="s">
        <v>22</v>
      </c>
      <c r="G1186">
        <v>11</v>
      </c>
      <c r="H1186">
        <v>5</v>
      </c>
      <c r="I1186">
        <v>10</v>
      </c>
      <c r="J1186" t="s">
        <v>34</v>
      </c>
      <c r="K1186" t="s">
        <v>24</v>
      </c>
      <c r="L1186">
        <v>63</v>
      </c>
      <c r="M1186">
        <v>78.489999999999995</v>
      </c>
      <c r="N1186">
        <v>84.344862000000006</v>
      </c>
      <c r="O1186">
        <v>25.021999999999998</v>
      </c>
      <c r="P1186">
        <v>27.030999999999999</v>
      </c>
      <c r="Q1186">
        <v>26.262</v>
      </c>
      <c r="R1186" t="s">
        <v>615</v>
      </c>
      <c r="S1186" t="s">
        <v>25</v>
      </c>
      <c r="T1186">
        <f>IF(TRIM(Table1[[#This Row],[PitStopLaps]])="",0,
LEN(Table1[[#This Row],[PitStopLaps]])-LEN(SUBSTITUTE(Table1[[#This Row],[PitStopLaps]],",",""))+1)</f>
        <v>2</v>
      </c>
      <c r="U1186">
        <f>Table1[[#This Row],[StartPosition]]-Table1[[#This Row],[FinishPosition]]</f>
        <v>6</v>
      </c>
    </row>
    <row r="1187" spans="1:21" x14ac:dyDescent="0.3">
      <c r="A1187">
        <v>2021</v>
      </c>
      <c r="B1187">
        <v>2</v>
      </c>
      <c r="C1187" t="s">
        <v>535</v>
      </c>
      <c r="D1187" t="s">
        <v>31</v>
      </c>
      <c r="E1187" t="s">
        <v>32</v>
      </c>
      <c r="F1187" t="s">
        <v>37</v>
      </c>
      <c r="G1187">
        <v>6</v>
      </c>
      <c r="H1187">
        <v>6</v>
      </c>
      <c r="I1187">
        <v>8</v>
      </c>
      <c r="J1187" t="s">
        <v>34</v>
      </c>
      <c r="K1187" t="s">
        <v>24</v>
      </c>
      <c r="L1187">
        <v>63</v>
      </c>
      <c r="M1187">
        <v>79.340999999999994</v>
      </c>
      <c r="N1187">
        <v>84.932843000000005</v>
      </c>
      <c r="O1187">
        <v>25.611999999999998</v>
      </c>
      <c r="P1187">
        <v>27.349</v>
      </c>
      <c r="Q1187">
        <v>26.22</v>
      </c>
      <c r="R1187" t="s">
        <v>615</v>
      </c>
      <c r="S1187" t="s">
        <v>25</v>
      </c>
      <c r="T1187">
        <f>IF(TRIM(Table1[[#This Row],[PitStopLaps]])="",0,
LEN(Table1[[#This Row],[PitStopLaps]])-LEN(SUBSTITUTE(Table1[[#This Row],[PitStopLaps]],",",""))+1)</f>
        <v>2</v>
      </c>
      <c r="U1187">
        <f>Table1[[#This Row],[StartPosition]]-Table1[[#This Row],[FinishPosition]]</f>
        <v>0</v>
      </c>
    </row>
    <row r="1188" spans="1:21" x14ac:dyDescent="0.3">
      <c r="A1188">
        <v>2021</v>
      </c>
      <c r="B1188">
        <v>2</v>
      </c>
      <c r="C1188" t="s">
        <v>535</v>
      </c>
      <c r="D1188" t="s">
        <v>73</v>
      </c>
      <c r="E1188" t="s">
        <v>74</v>
      </c>
      <c r="F1188" t="s">
        <v>438</v>
      </c>
      <c r="G1188">
        <v>5</v>
      </c>
      <c r="H1188">
        <v>7</v>
      </c>
      <c r="I1188">
        <v>6</v>
      </c>
      <c r="J1188" t="s">
        <v>34</v>
      </c>
      <c r="K1188" t="s">
        <v>24</v>
      </c>
      <c r="L1188">
        <v>63</v>
      </c>
      <c r="M1188">
        <v>78.781999999999996</v>
      </c>
      <c r="N1188">
        <v>85.337625000000003</v>
      </c>
      <c r="O1188">
        <v>25.295999999999999</v>
      </c>
      <c r="P1188">
        <v>27.109000000000002</v>
      </c>
      <c r="Q1188">
        <v>26.327000000000002</v>
      </c>
      <c r="R1188" t="s">
        <v>617</v>
      </c>
      <c r="S1188" t="s">
        <v>25</v>
      </c>
      <c r="T1188">
        <f>IF(TRIM(Table1[[#This Row],[PitStopLaps]])="",0,
LEN(Table1[[#This Row],[PitStopLaps]])-LEN(SUBSTITUTE(Table1[[#This Row],[PitStopLaps]],",",""))+1)</f>
        <v>4</v>
      </c>
      <c r="U1188">
        <f>Table1[[#This Row],[StartPosition]]-Table1[[#This Row],[FinishPosition]]</f>
        <v>-2</v>
      </c>
    </row>
    <row r="1189" spans="1:21" x14ac:dyDescent="0.3">
      <c r="A1189">
        <v>2021</v>
      </c>
      <c r="B1189">
        <v>2</v>
      </c>
      <c r="C1189" t="s">
        <v>535</v>
      </c>
      <c r="D1189" t="s">
        <v>58</v>
      </c>
      <c r="E1189" t="s">
        <v>59</v>
      </c>
      <c r="F1189" t="s">
        <v>603</v>
      </c>
      <c r="G1189">
        <v>10</v>
      </c>
      <c r="H1189">
        <v>8</v>
      </c>
      <c r="I1189">
        <v>4</v>
      </c>
      <c r="J1189" t="s">
        <v>34</v>
      </c>
      <c r="K1189" t="s">
        <v>24</v>
      </c>
      <c r="L1189">
        <v>63</v>
      </c>
      <c r="M1189">
        <v>78.994</v>
      </c>
      <c r="N1189">
        <v>85.388999999999996</v>
      </c>
      <c r="O1189">
        <v>25.468</v>
      </c>
      <c r="P1189">
        <v>27.155999999999999</v>
      </c>
      <c r="Q1189">
        <v>26.259</v>
      </c>
      <c r="R1189" t="s">
        <v>618</v>
      </c>
      <c r="S1189" t="s">
        <v>25</v>
      </c>
      <c r="T1189">
        <f>IF(TRIM(Table1[[#This Row],[PitStopLaps]])="",0,
LEN(Table1[[#This Row],[PitStopLaps]])-LEN(SUBSTITUTE(Table1[[#This Row],[PitStopLaps]],",",""))+1)</f>
        <v>3</v>
      </c>
      <c r="U1189">
        <f>Table1[[#This Row],[StartPosition]]-Table1[[#This Row],[FinishPosition]]</f>
        <v>2</v>
      </c>
    </row>
    <row r="1190" spans="1:21" x14ac:dyDescent="0.3">
      <c r="A1190">
        <v>2021</v>
      </c>
      <c r="B1190">
        <v>2</v>
      </c>
      <c r="C1190" t="s">
        <v>535</v>
      </c>
      <c r="D1190" t="s">
        <v>52</v>
      </c>
      <c r="E1190" t="s">
        <v>53</v>
      </c>
      <c r="F1190" t="s">
        <v>607</v>
      </c>
      <c r="G1190">
        <v>9</v>
      </c>
      <c r="H1190">
        <v>9</v>
      </c>
      <c r="I1190">
        <v>2</v>
      </c>
      <c r="J1190" t="s">
        <v>34</v>
      </c>
      <c r="K1190" t="s">
        <v>24</v>
      </c>
      <c r="L1190">
        <v>63</v>
      </c>
      <c r="M1190">
        <v>79.417000000000002</v>
      </c>
      <c r="N1190">
        <v>85.943783999999994</v>
      </c>
      <c r="O1190">
        <v>25.329000000000001</v>
      </c>
      <c r="P1190">
        <v>27.414000000000001</v>
      </c>
      <c r="Q1190">
        <v>26.45</v>
      </c>
      <c r="R1190" t="s">
        <v>619</v>
      </c>
      <c r="S1190" t="s">
        <v>25</v>
      </c>
      <c r="T1190">
        <f>IF(TRIM(Table1[[#This Row],[PitStopLaps]])="",0,
LEN(Table1[[#This Row],[PitStopLaps]])-LEN(SUBSTITUTE(Table1[[#This Row],[PitStopLaps]],",",""))+1)</f>
        <v>5</v>
      </c>
      <c r="U1190">
        <f>Table1[[#This Row],[StartPosition]]-Table1[[#This Row],[FinishPosition]]</f>
        <v>0</v>
      </c>
    </row>
    <row r="1191" spans="1:21" x14ac:dyDescent="0.3">
      <c r="A1191">
        <v>2021</v>
      </c>
      <c r="B1191">
        <v>2</v>
      </c>
      <c r="C1191" t="s">
        <v>535</v>
      </c>
      <c r="D1191" t="s">
        <v>35</v>
      </c>
      <c r="E1191" t="s">
        <v>36</v>
      </c>
      <c r="F1191" t="s">
        <v>607</v>
      </c>
      <c r="G1191">
        <v>15</v>
      </c>
      <c r="H1191">
        <v>10</v>
      </c>
      <c r="I1191">
        <v>1</v>
      </c>
      <c r="J1191" t="s">
        <v>34</v>
      </c>
      <c r="K1191" t="s">
        <v>24</v>
      </c>
      <c r="L1191">
        <v>63</v>
      </c>
      <c r="M1191">
        <v>79.396000000000001</v>
      </c>
      <c r="N1191">
        <v>86.143180000000001</v>
      </c>
      <c r="O1191">
        <v>25.02</v>
      </c>
      <c r="P1191">
        <v>27.416</v>
      </c>
      <c r="Q1191">
        <v>26.53</v>
      </c>
      <c r="R1191" t="s">
        <v>620</v>
      </c>
      <c r="S1191" t="s">
        <v>25</v>
      </c>
      <c r="T1191">
        <f>IF(TRIM(Table1[[#This Row],[PitStopLaps]])="",0,
LEN(Table1[[#This Row],[PitStopLaps]])-LEN(SUBSTITUTE(Table1[[#This Row],[PitStopLaps]],",",""))+1)</f>
        <v>3</v>
      </c>
      <c r="U1191">
        <f>Table1[[#This Row],[StartPosition]]-Table1[[#This Row],[FinishPosition]]</f>
        <v>5</v>
      </c>
    </row>
    <row r="1192" spans="1:21" x14ac:dyDescent="0.3">
      <c r="A1192">
        <v>2021</v>
      </c>
      <c r="B1192">
        <v>2</v>
      </c>
      <c r="C1192" t="s">
        <v>535</v>
      </c>
      <c r="D1192" t="s">
        <v>49</v>
      </c>
      <c r="E1192" t="s">
        <v>50</v>
      </c>
      <c r="F1192" t="s">
        <v>33</v>
      </c>
      <c r="G1192">
        <v>2</v>
      </c>
      <c r="H1192">
        <v>11</v>
      </c>
      <c r="I1192">
        <v>0</v>
      </c>
      <c r="J1192" t="s">
        <v>34</v>
      </c>
      <c r="K1192" t="s">
        <v>24</v>
      </c>
      <c r="L1192">
        <v>63</v>
      </c>
      <c r="M1192">
        <v>78.334000000000003</v>
      </c>
      <c r="N1192">
        <v>84.817784000000003</v>
      </c>
      <c r="O1192">
        <v>24.946000000000002</v>
      </c>
      <c r="P1192">
        <v>26.96</v>
      </c>
      <c r="Q1192">
        <v>26.004999999999999</v>
      </c>
      <c r="R1192" t="s">
        <v>106</v>
      </c>
      <c r="S1192" t="s">
        <v>25</v>
      </c>
      <c r="T1192">
        <f>IF(TRIM(Table1[[#This Row],[PitStopLaps]])="",0,
LEN(Table1[[#This Row],[PitStopLaps]])-LEN(SUBSTITUTE(Table1[[#This Row],[PitStopLaps]],",",""))+1)</f>
        <v>2</v>
      </c>
      <c r="U1192">
        <f>Table1[[#This Row],[StartPosition]]-Table1[[#This Row],[FinishPosition]]</f>
        <v>-9</v>
      </c>
    </row>
    <row r="1193" spans="1:21" x14ac:dyDescent="0.3">
      <c r="A1193">
        <v>2021</v>
      </c>
      <c r="B1193">
        <v>2</v>
      </c>
      <c r="C1193" t="s">
        <v>535</v>
      </c>
      <c r="D1193" t="s">
        <v>601</v>
      </c>
      <c r="E1193" t="s">
        <v>602</v>
      </c>
      <c r="F1193" t="s">
        <v>438</v>
      </c>
      <c r="G1193">
        <v>20</v>
      </c>
      <c r="H1193">
        <v>12</v>
      </c>
      <c r="I1193">
        <v>0</v>
      </c>
      <c r="J1193" t="s">
        <v>34</v>
      </c>
      <c r="K1193" t="s">
        <v>24</v>
      </c>
      <c r="L1193">
        <v>63</v>
      </c>
      <c r="M1193">
        <v>78.352999999999994</v>
      </c>
      <c r="N1193">
        <v>85.78398</v>
      </c>
      <c r="O1193">
        <v>24.968</v>
      </c>
      <c r="P1193">
        <v>27.045999999999999</v>
      </c>
      <c r="Q1193">
        <v>26.245999999999999</v>
      </c>
      <c r="R1193" t="s">
        <v>621</v>
      </c>
      <c r="S1193" t="s">
        <v>25</v>
      </c>
      <c r="T1193">
        <f>IF(TRIM(Table1[[#This Row],[PitStopLaps]])="",0,
LEN(Table1[[#This Row],[PitStopLaps]])-LEN(SUBSTITUTE(Table1[[#This Row],[PitStopLaps]],",",""))+1)</f>
        <v>3</v>
      </c>
      <c r="U1193">
        <f>Table1[[#This Row],[StartPosition]]-Table1[[#This Row],[FinishPosition]]</f>
        <v>8</v>
      </c>
    </row>
    <row r="1194" spans="1:21" x14ac:dyDescent="0.3">
      <c r="A1194">
        <v>2021</v>
      </c>
      <c r="B1194">
        <v>2</v>
      </c>
      <c r="C1194" t="s">
        <v>535</v>
      </c>
      <c r="D1194" t="s">
        <v>29</v>
      </c>
      <c r="E1194" t="s">
        <v>30</v>
      </c>
      <c r="F1194" t="s">
        <v>243</v>
      </c>
      <c r="G1194">
        <v>16</v>
      </c>
      <c r="H1194">
        <v>13</v>
      </c>
      <c r="I1194">
        <v>0</v>
      </c>
      <c r="J1194" t="s">
        <v>34</v>
      </c>
      <c r="K1194" t="s">
        <v>24</v>
      </c>
      <c r="L1194">
        <v>63</v>
      </c>
      <c r="M1194">
        <v>79.421999999999997</v>
      </c>
      <c r="N1194">
        <v>85.685078000000004</v>
      </c>
      <c r="O1194">
        <v>25.667000000000002</v>
      </c>
      <c r="P1194">
        <v>27.244</v>
      </c>
      <c r="Q1194">
        <v>26.356000000000002</v>
      </c>
      <c r="R1194" t="s">
        <v>622</v>
      </c>
      <c r="S1194" t="s">
        <v>25</v>
      </c>
      <c r="T1194">
        <f>IF(TRIM(Table1[[#This Row],[PitStopLaps]])="",0,
LEN(Table1[[#This Row],[PitStopLaps]])-LEN(SUBSTITUTE(Table1[[#This Row],[PitStopLaps]],",",""))+1)</f>
        <v>3</v>
      </c>
      <c r="U1194">
        <f>Table1[[#This Row],[StartPosition]]-Table1[[#This Row],[FinishPosition]]</f>
        <v>3</v>
      </c>
    </row>
    <row r="1195" spans="1:21" x14ac:dyDescent="0.3">
      <c r="A1195">
        <v>2021</v>
      </c>
      <c r="B1195">
        <v>2</v>
      </c>
      <c r="C1195" t="s">
        <v>535</v>
      </c>
      <c r="D1195" t="s">
        <v>250</v>
      </c>
      <c r="E1195" t="s">
        <v>251</v>
      </c>
      <c r="F1195" t="s">
        <v>243</v>
      </c>
      <c r="G1195">
        <v>17</v>
      </c>
      <c r="H1195">
        <v>14</v>
      </c>
      <c r="I1195">
        <v>0</v>
      </c>
      <c r="J1195" t="s">
        <v>34</v>
      </c>
      <c r="K1195" t="s">
        <v>65</v>
      </c>
      <c r="L1195">
        <v>62</v>
      </c>
      <c r="M1195">
        <v>79.47</v>
      </c>
      <c r="N1195">
        <v>86.072040999999999</v>
      </c>
      <c r="O1195">
        <v>25.693000000000001</v>
      </c>
      <c r="P1195">
        <v>27.347000000000001</v>
      </c>
      <c r="Q1195">
        <v>26.327999999999999</v>
      </c>
      <c r="R1195" t="s">
        <v>623</v>
      </c>
      <c r="S1195" t="s">
        <v>25</v>
      </c>
      <c r="T1195">
        <f>IF(TRIM(Table1[[#This Row],[PitStopLaps]])="",0,
LEN(Table1[[#This Row],[PitStopLaps]])-LEN(SUBSTITUTE(Table1[[#This Row],[PitStopLaps]],",",""))+1)</f>
        <v>4</v>
      </c>
      <c r="U1195">
        <f>Table1[[#This Row],[StartPosition]]-Table1[[#This Row],[FinishPosition]]</f>
        <v>3</v>
      </c>
    </row>
    <row r="1196" spans="1:21" x14ac:dyDescent="0.3">
      <c r="A1196">
        <v>2021</v>
      </c>
      <c r="B1196">
        <v>2</v>
      </c>
      <c r="C1196" t="s">
        <v>535</v>
      </c>
      <c r="D1196" t="s">
        <v>20</v>
      </c>
      <c r="E1196" t="s">
        <v>21</v>
      </c>
      <c r="F1196" t="s">
        <v>603</v>
      </c>
      <c r="G1196">
        <v>0</v>
      </c>
      <c r="H1196">
        <v>15</v>
      </c>
      <c r="I1196">
        <v>0</v>
      </c>
      <c r="J1196" t="s">
        <v>34</v>
      </c>
      <c r="K1196" t="s">
        <v>132</v>
      </c>
      <c r="L1196">
        <v>61</v>
      </c>
      <c r="M1196">
        <v>79.073999999999998</v>
      </c>
      <c r="N1196">
        <v>85.806754999999995</v>
      </c>
      <c r="O1196">
        <v>25.428999999999998</v>
      </c>
      <c r="P1196">
        <v>27.170999999999999</v>
      </c>
      <c r="Q1196">
        <v>26.405000000000001</v>
      </c>
      <c r="R1196" t="s">
        <v>624</v>
      </c>
      <c r="S1196" t="s">
        <v>25</v>
      </c>
      <c r="T1196">
        <f>IF(TRIM(Table1[[#This Row],[PitStopLaps]])="",0,
LEN(Table1[[#This Row],[PitStopLaps]])-LEN(SUBSTITUTE(Table1[[#This Row],[PitStopLaps]],",",""))+1)</f>
        <v>6</v>
      </c>
      <c r="U1196">
        <f>Table1[[#This Row],[StartPosition]]-Table1[[#This Row],[FinishPosition]]</f>
        <v>-15</v>
      </c>
    </row>
    <row r="1197" spans="1:21" x14ac:dyDescent="0.3">
      <c r="A1197">
        <v>2021</v>
      </c>
      <c r="B1197">
        <v>2</v>
      </c>
      <c r="C1197" t="s">
        <v>535</v>
      </c>
      <c r="D1197" t="s">
        <v>608</v>
      </c>
      <c r="E1197" t="s">
        <v>609</v>
      </c>
      <c r="F1197" t="s">
        <v>69</v>
      </c>
      <c r="G1197">
        <v>18</v>
      </c>
      <c r="H1197">
        <v>16</v>
      </c>
      <c r="I1197">
        <v>0</v>
      </c>
      <c r="J1197" t="s">
        <v>34</v>
      </c>
      <c r="K1197" t="s">
        <v>127</v>
      </c>
      <c r="L1197">
        <v>61</v>
      </c>
      <c r="M1197">
        <v>79.192999999999998</v>
      </c>
      <c r="N1197">
        <v>86.497856999999996</v>
      </c>
      <c r="O1197">
        <v>25.280999999999999</v>
      </c>
      <c r="P1197">
        <v>27.266999999999999</v>
      </c>
      <c r="Q1197">
        <v>26.498999999999999</v>
      </c>
      <c r="R1197" t="s">
        <v>625</v>
      </c>
      <c r="S1197" t="s">
        <v>25</v>
      </c>
      <c r="T1197">
        <f>IF(TRIM(Table1[[#This Row],[PitStopLaps]])="",0,
LEN(Table1[[#This Row],[PitStopLaps]])-LEN(SUBSTITUTE(Table1[[#This Row],[PitStopLaps]],",",""))+1)</f>
        <v>4</v>
      </c>
      <c r="U1197">
        <f>Table1[[#This Row],[StartPosition]]-Table1[[#This Row],[FinishPosition]]</f>
        <v>2</v>
      </c>
    </row>
    <row r="1198" spans="1:21" x14ac:dyDescent="0.3">
      <c r="A1198">
        <v>2021</v>
      </c>
      <c r="B1198">
        <v>2</v>
      </c>
      <c r="C1198" t="s">
        <v>535</v>
      </c>
      <c r="D1198" t="s">
        <v>613</v>
      </c>
      <c r="E1198" t="s">
        <v>614</v>
      </c>
      <c r="F1198" t="s">
        <v>69</v>
      </c>
      <c r="G1198">
        <v>19</v>
      </c>
      <c r="H1198">
        <v>17</v>
      </c>
      <c r="I1198">
        <v>0</v>
      </c>
      <c r="J1198" t="s">
        <v>34</v>
      </c>
      <c r="K1198" t="s">
        <v>127</v>
      </c>
      <c r="L1198">
        <v>61</v>
      </c>
      <c r="M1198">
        <v>80.402000000000001</v>
      </c>
      <c r="N1198">
        <v>88.403782000000007</v>
      </c>
      <c r="O1198">
        <v>26.018000000000001</v>
      </c>
      <c r="P1198">
        <v>27.681999999999999</v>
      </c>
      <c r="Q1198">
        <v>26.640999999999998</v>
      </c>
      <c r="R1198" t="s">
        <v>626</v>
      </c>
      <c r="S1198" t="s">
        <v>25</v>
      </c>
      <c r="T1198">
        <f>IF(TRIM(Table1[[#This Row],[PitStopLaps]])="",0,
LEN(Table1[[#This Row],[PitStopLaps]])-LEN(SUBSTITUTE(Table1[[#This Row],[PitStopLaps]],",",""))+1)</f>
        <v>4</v>
      </c>
      <c r="U1198">
        <f>Table1[[#This Row],[StartPosition]]-Table1[[#This Row],[FinishPosition]]</f>
        <v>2</v>
      </c>
    </row>
    <row r="1199" spans="1:21" x14ac:dyDescent="0.3">
      <c r="A1199">
        <v>2021</v>
      </c>
      <c r="B1199">
        <v>2</v>
      </c>
      <c r="C1199" t="s">
        <v>535</v>
      </c>
      <c r="D1199" t="s">
        <v>43</v>
      </c>
      <c r="E1199" t="s">
        <v>44</v>
      </c>
      <c r="F1199" t="s">
        <v>28</v>
      </c>
      <c r="G1199">
        <v>8</v>
      </c>
      <c r="H1199">
        <v>18</v>
      </c>
      <c r="I1199">
        <v>0</v>
      </c>
      <c r="J1199" t="s">
        <v>34</v>
      </c>
      <c r="K1199" t="s">
        <v>124</v>
      </c>
      <c r="L1199">
        <v>31</v>
      </c>
      <c r="M1199">
        <v>88.484999999999999</v>
      </c>
      <c r="N1199">
        <v>92.166544999999999</v>
      </c>
      <c r="O1199">
        <v>28.221</v>
      </c>
      <c r="P1199">
        <v>30.943000000000001</v>
      </c>
      <c r="Q1199">
        <v>28.204999999999998</v>
      </c>
      <c r="R1199">
        <v>28</v>
      </c>
      <c r="S1199" t="s">
        <v>25</v>
      </c>
      <c r="T1199">
        <f>IF(TRIM(Table1[[#This Row],[PitStopLaps]])="",0,
LEN(Table1[[#This Row],[PitStopLaps]])-LEN(SUBSTITUTE(Table1[[#This Row],[PitStopLaps]],",",""))+1)</f>
        <v>1</v>
      </c>
      <c r="U1199">
        <f>Table1[[#This Row],[StartPosition]]-Table1[[#This Row],[FinishPosition]]</f>
        <v>-10</v>
      </c>
    </row>
    <row r="1200" spans="1:21" x14ac:dyDescent="0.3">
      <c r="A1200">
        <v>2021</v>
      </c>
      <c r="B1200">
        <v>2</v>
      </c>
      <c r="C1200" t="s">
        <v>535</v>
      </c>
      <c r="D1200" t="s">
        <v>252</v>
      </c>
      <c r="E1200" t="s">
        <v>253</v>
      </c>
      <c r="F1200" t="s">
        <v>60</v>
      </c>
      <c r="G1200">
        <v>12</v>
      </c>
      <c r="H1200">
        <v>19</v>
      </c>
      <c r="I1200">
        <v>0</v>
      </c>
      <c r="J1200" t="s">
        <v>34</v>
      </c>
      <c r="K1200" t="s">
        <v>124</v>
      </c>
      <c r="L1200">
        <v>31</v>
      </c>
      <c r="M1200">
        <v>86.543000000000006</v>
      </c>
      <c r="N1200">
        <v>92.182317999999995</v>
      </c>
      <c r="O1200">
        <v>28.106999999999999</v>
      </c>
      <c r="P1200">
        <v>30.042999999999999</v>
      </c>
      <c r="Q1200">
        <v>28.318000000000001</v>
      </c>
      <c r="R1200">
        <v>26</v>
      </c>
      <c r="S1200" t="s">
        <v>25</v>
      </c>
      <c r="T1200">
        <f>IF(TRIM(Table1[[#This Row],[PitStopLaps]])="",0,
LEN(Table1[[#This Row],[PitStopLaps]])-LEN(SUBSTITUTE(Table1[[#This Row],[PitStopLaps]],",",""))+1)</f>
        <v>1</v>
      </c>
      <c r="U1200">
        <f>Table1[[#This Row],[StartPosition]]-Table1[[#This Row],[FinishPosition]]</f>
        <v>-7</v>
      </c>
    </row>
    <row r="1201" spans="1:21" x14ac:dyDescent="0.3">
      <c r="A1201">
        <v>2021</v>
      </c>
      <c r="B1201">
        <v>2</v>
      </c>
      <c r="C1201" t="s">
        <v>535</v>
      </c>
      <c r="D1201" t="s">
        <v>440</v>
      </c>
      <c r="E1201" t="s">
        <v>441</v>
      </c>
      <c r="F1201" t="s">
        <v>60</v>
      </c>
      <c r="G1201">
        <v>14</v>
      </c>
      <c r="H1201">
        <v>20</v>
      </c>
      <c r="I1201">
        <v>0</v>
      </c>
      <c r="J1201" t="s">
        <v>34</v>
      </c>
      <c r="K1201" t="s">
        <v>124</v>
      </c>
      <c r="L1201">
        <v>1</v>
      </c>
      <c r="S1201" t="s">
        <v>25</v>
      </c>
      <c r="T1201">
        <f>IF(TRIM(Table1[[#This Row],[PitStopLaps]])="",0,
LEN(Table1[[#This Row],[PitStopLaps]])-LEN(SUBSTITUTE(Table1[[#This Row],[PitStopLaps]],",",""))+1)</f>
        <v>0</v>
      </c>
      <c r="U1201">
        <f>Table1[[#This Row],[StartPosition]]-Table1[[#This Row],[FinishPosition]]</f>
        <v>-6</v>
      </c>
    </row>
    <row r="1202" spans="1:21" x14ac:dyDescent="0.3">
      <c r="A1202">
        <v>2021</v>
      </c>
      <c r="B1202">
        <v>3</v>
      </c>
      <c r="C1202" t="s">
        <v>530</v>
      </c>
      <c r="D1202" t="s">
        <v>26</v>
      </c>
      <c r="E1202" t="s">
        <v>27</v>
      </c>
      <c r="F1202" t="s">
        <v>28</v>
      </c>
      <c r="G1202">
        <v>2</v>
      </c>
      <c r="H1202">
        <v>1</v>
      </c>
      <c r="I1202">
        <v>25</v>
      </c>
      <c r="J1202" t="s">
        <v>23</v>
      </c>
      <c r="K1202" t="s">
        <v>24</v>
      </c>
      <c r="L1202">
        <v>66</v>
      </c>
      <c r="M1202">
        <v>80.933000000000007</v>
      </c>
      <c r="N1202">
        <v>82.046154999999999</v>
      </c>
      <c r="O1202">
        <v>23.318999999999999</v>
      </c>
      <c r="P1202">
        <v>31.151</v>
      </c>
      <c r="Q1202">
        <v>26.06</v>
      </c>
      <c r="R1202" t="s">
        <v>627</v>
      </c>
      <c r="S1202" t="s">
        <v>83</v>
      </c>
      <c r="T1202">
        <f>IF(TRIM(Table1[[#This Row],[PitStopLaps]])="",0,
LEN(Table1[[#This Row],[PitStopLaps]])-LEN(SUBSTITUTE(Table1[[#This Row],[PitStopLaps]],",",""))+1)</f>
        <v>3</v>
      </c>
      <c r="U1202">
        <f>Table1[[#This Row],[StartPosition]]-Table1[[#This Row],[FinishPosition]]</f>
        <v>1</v>
      </c>
    </row>
    <row r="1203" spans="1:21" x14ac:dyDescent="0.3">
      <c r="A1203">
        <v>2021</v>
      </c>
      <c r="B1203">
        <v>3</v>
      </c>
      <c r="C1203" t="s">
        <v>530</v>
      </c>
      <c r="D1203" t="s">
        <v>38</v>
      </c>
      <c r="E1203" t="s">
        <v>39</v>
      </c>
      <c r="F1203" t="s">
        <v>33</v>
      </c>
      <c r="G1203">
        <v>3</v>
      </c>
      <c r="H1203">
        <v>2</v>
      </c>
      <c r="I1203">
        <v>18</v>
      </c>
      <c r="J1203" t="s">
        <v>23</v>
      </c>
      <c r="K1203" t="s">
        <v>24</v>
      </c>
      <c r="L1203">
        <v>66</v>
      </c>
      <c r="M1203">
        <v>79.849000000000004</v>
      </c>
      <c r="N1203">
        <v>82.123125000000002</v>
      </c>
      <c r="O1203">
        <v>23.186</v>
      </c>
      <c r="P1203">
        <v>30.658000000000001</v>
      </c>
      <c r="Q1203">
        <v>26.004999999999999</v>
      </c>
      <c r="R1203" t="s">
        <v>628</v>
      </c>
      <c r="S1203" t="s">
        <v>83</v>
      </c>
      <c r="T1203">
        <f>IF(TRIM(Table1[[#This Row],[PitStopLaps]])="",0,
LEN(Table1[[#This Row],[PitStopLaps]])-LEN(SUBSTITUTE(Table1[[#This Row],[PitStopLaps]],",",""))+1)</f>
        <v>4</v>
      </c>
      <c r="U1203">
        <f>Table1[[#This Row],[StartPosition]]-Table1[[#This Row],[FinishPosition]]</f>
        <v>1</v>
      </c>
    </row>
    <row r="1204" spans="1:21" x14ac:dyDescent="0.3">
      <c r="A1204">
        <v>2021</v>
      </c>
      <c r="B1204">
        <v>3</v>
      </c>
      <c r="C1204" t="s">
        <v>530</v>
      </c>
      <c r="D1204" t="s">
        <v>43</v>
      </c>
      <c r="E1204" t="s">
        <v>44</v>
      </c>
      <c r="F1204" t="s">
        <v>28</v>
      </c>
      <c r="G1204">
        <v>1</v>
      </c>
      <c r="H1204">
        <v>3</v>
      </c>
      <c r="I1204">
        <v>16</v>
      </c>
      <c r="J1204" t="s">
        <v>23</v>
      </c>
      <c r="K1204" t="s">
        <v>24</v>
      </c>
      <c r="L1204">
        <v>66</v>
      </c>
      <c r="M1204">
        <v>79.864999999999995</v>
      </c>
      <c r="N1204">
        <v>82.170303000000004</v>
      </c>
      <c r="O1204">
        <v>23.356000000000002</v>
      </c>
      <c r="P1204">
        <v>30.617000000000001</v>
      </c>
      <c r="Q1204">
        <v>25.891999999999999</v>
      </c>
      <c r="R1204" t="s">
        <v>629</v>
      </c>
      <c r="S1204" t="s">
        <v>83</v>
      </c>
      <c r="T1204">
        <f>IF(TRIM(Table1[[#This Row],[PitStopLaps]])="",0,
LEN(Table1[[#This Row],[PitStopLaps]])-LEN(SUBSTITUTE(Table1[[#This Row],[PitStopLaps]],",",""))+1)</f>
        <v>4</v>
      </c>
      <c r="U1204">
        <f>Table1[[#This Row],[StartPosition]]-Table1[[#This Row],[FinishPosition]]</f>
        <v>-2</v>
      </c>
    </row>
    <row r="1205" spans="1:21" x14ac:dyDescent="0.3">
      <c r="A1205">
        <v>2021</v>
      </c>
      <c r="B1205">
        <v>3</v>
      </c>
      <c r="C1205" t="s">
        <v>530</v>
      </c>
      <c r="D1205" t="s">
        <v>49</v>
      </c>
      <c r="E1205" t="s">
        <v>50</v>
      </c>
      <c r="F1205" t="s">
        <v>33</v>
      </c>
      <c r="G1205">
        <v>4</v>
      </c>
      <c r="H1205">
        <v>4</v>
      </c>
      <c r="I1205">
        <v>12</v>
      </c>
      <c r="J1205" t="s">
        <v>34</v>
      </c>
      <c r="K1205" t="s">
        <v>24</v>
      </c>
      <c r="L1205">
        <v>66</v>
      </c>
      <c r="M1205">
        <v>80.643000000000001</v>
      </c>
      <c r="N1205">
        <v>82.642758000000001</v>
      </c>
      <c r="O1205">
        <v>23.568000000000001</v>
      </c>
      <c r="P1205">
        <v>30.895</v>
      </c>
      <c r="Q1205">
        <v>26.169</v>
      </c>
      <c r="R1205" t="s">
        <v>630</v>
      </c>
      <c r="S1205" t="s">
        <v>83</v>
      </c>
      <c r="T1205">
        <f>IF(TRIM(Table1[[#This Row],[PitStopLaps]])="",0,
LEN(Table1[[#This Row],[PitStopLaps]])-LEN(SUBSTITUTE(Table1[[#This Row],[PitStopLaps]],",",""))+1)</f>
        <v>3</v>
      </c>
      <c r="U1205">
        <f>Table1[[#This Row],[StartPosition]]-Table1[[#This Row],[FinishPosition]]</f>
        <v>0</v>
      </c>
    </row>
    <row r="1206" spans="1:21" x14ac:dyDescent="0.3">
      <c r="A1206">
        <v>2021</v>
      </c>
      <c r="B1206">
        <v>3</v>
      </c>
      <c r="C1206" t="s">
        <v>530</v>
      </c>
      <c r="D1206" t="s">
        <v>246</v>
      </c>
      <c r="E1206" t="s">
        <v>247</v>
      </c>
      <c r="F1206" t="s">
        <v>37</v>
      </c>
      <c r="G1206">
        <v>7</v>
      </c>
      <c r="H1206">
        <v>5</v>
      </c>
      <c r="I1206">
        <v>10</v>
      </c>
      <c r="J1206" t="s">
        <v>34</v>
      </c>
      <c r="K1206" t="s">
        <v>24</v>
      </c>
      <c r="L1206">
        <v>66</v>
      </c>
      <c r="M1206">
        <v>81.695999999999998</v>
      </c>
      <c r="N1206">
        <v>82.883826999999997</v>
      </c>
      <c r="O1206">
        <v>23.585000000000001</v>
      </c>
      <c r="P1206">
        <v>31.234999999999999</v>
      </c>
      <c r="Q1206">
        <v>26.436</v>
      </c>
      <c r="R1206" t="s">
        <v>631</v>
      </c>
      <c r="S1206" t="s">
        <v>83</v>
      </c>
      <c r="T1206">
        <f>IF(TRIM(Table1[[#This Row],[PitStopLaps]])="",0,
LEN(Table1[[#This Row],[PitStopLaps]])-LEN(SUBSTITUTE(Table1[[#This Row],[PitStopLaps]],",",""))+1)</f>
        <v>3</v>
      </c>
      <c r="U1206">
        <f>Table1[[#This Row],[StartPosition]]-Table1[[#This Row],[FinishPosition]]</f>
        <v>2</v>
      </c>
    </row>
    <row r="1207" spans="1:21" x14ac:dyDescent="0.3">
      <c r="A1207">
        <v>2021</v>
      </c>
      <c r="B1207">
        <v>3</v>
      </c>
      <c r="C1207" t="s">
        <v>530</v>
      </c>
      <c r="D1207" t="s">
        <v>54</v>
      </c>
      <c r="E1207" t="s">
        <v>55</v>
      </c>
      <c r="F1207" t="s">
        <v>22</v>
      </c>
      <c r="G1207">
        <v>8</v>
      </c>
      <c r="H1207">
        <v>6</v>
      </c>
      <c r="I1207">
        <v>8</v>
      </c>
      <c r="J1207" t="s">
        <v>34</v>
      </c>
      <c r="K1207" t="s">
        <v>24</v>
      </c>
      <c r="L1207">
        <v>66</v>
      </c>
      <c r="M1207">
        <v>81.495999999999995</v>
      </c>
      <c r="N1207">
        <v>82.941723999999994</v>
      </c>
      <c r="O1207">
        <v>23.920999999999999</v>
      </c>
      <c r="P1207">
        <v>31.199000000000002</v>
      </c>
      <c r="Q1207">
        <v>26.285</v>
      </c>
      <c r="R1207" t="s">
        <v>632</v>
      </c>
      <c r="S1207" t="s">
        <v>83</v>
      </c>
      <c r="T1207">
        <f>IF(TRIM(Table1[[#This Row],[PitStopLaps]])="",0,
LEN(Table1[[#This Row],[PitStopLaps]])-LEN(SUBSTITUTE(Table1[[#This Row],[PitStopLaps]],",",""))+1)</f>
        <v>3</v>
      </c>
      <c r="U1207">
        <f>Table1[[#This Row],[StartPosition]]-Table1[[#This Row],[FinishPosition]]</f>
        <v>2</v>
      </c>
    </row>
    <row r="1208" spans="1:21" x14ac:dyDescent="0.3">
      <c r="A1208">
        <v>2021</v>
      </c>
      <c r="B1208">
        <v>3</v>
      </c>
      <c r="C1208" t="s">
        <v>530</v>
      </c>
      <c r="D1208" t="s">
        <v>52</v>
      </c>
      <c r="E1208" t="s">
        <v>53</v>
      </c>
      <c r="F1208" t="s">
        <v>607</v>
      </c>
      <c r="G1208">
        <v>6</v>
      </c>
      <c r="H1208">
        <v>7</v>
      </c>
      <c r="I1208">
        <v>6</v>
      </c>
      <c r="J1208" t="s">
        <v>34</v>
      </c>
      <c r="K1208" t="s">
        <v>24</v>
      </c>
      <c r="L1208">
        <v>66</v>
      </c>
      <c r="M1208">
        <v>81.885999999999996</v>
      </c>
      <c r="N1208">
        <v>83.057637</v>
      </c>
      <c r="O1208">
        <v>23.553999999999998</v>
      </c>
      <c r="P1208">
        <v>31.515000000000001</v>
      </c>
      <c r="Q1208">
        <v>26.305</v>
      </c>
      <c r="R1208" t="s">
        <v>631</v>
      </c>
      <c r="S1208" t="s">
        <v>83</v>
      </c>
      <c r="T1208">
        <f>IF(TRIM(Table1[[#This Row],[PitStopLaps]])="",0,
LEN(Table1[[#This Row],[PitStopLaps]])-LEN(SUBSTITUTE(Table1[[#This Row],[PitStopLaps]],",",""))+1)</f>
        <v>3</v>
      </c>
      <c r="U1208">
        <f>Table1[[#This Row],[StartPosition]]-Table1[[#This Row],[FinishPosition]]</f>
        <v>-1</v>
      </c>
    </row>
    <row r="1209" spans="1:21" x14ac:dyDescent="0.3">
      <c r="A1209">
        <v>2021</v>
      </c>
      <c r="B1209">
        <v>3</v>
      </c>
      <c r="C1209" t="s">
        <v>530</v>
      </c>
      <c r="D1209" t="s">
        <v>35</v>
      </c>
      <c r="E1209" t="s">
        <v>36</v>
      </c>
      <c r="F1209" t="s">
        <v>607</v>
      </c>
      <c r="G1209">
        <v>13</v>
      </c>
      <c r="H1209">
        <v>8</v>
      </c>
      <c r="I1209">
        <v>4</v>
      </c>
      <c r="J1209" t="s">
        <v>34</v>
      </c>
      <c r="K1209" t="s">
        <v>24</v>
      </c>
      <c r="L1209">
        <v>66</v>
      </c>
      <c r="M1209">
        <v>81.031999999999996</v>
      </c>
      <c r="N1209">
        <v>83.066068000000001</v>
      </c>
      <c r="O1209">
        <v>23.347000000000001</v>
      </c>
      <c r="P1209">
        <v>31.152000000000001</v>
      </c>
      <c r="Q1209">
        <v>26.184999999999999</v>
      </c>
      <c r="R1209" t="s">
        <v>633</v>
      </c>
      <c r="S1209" t="s">
        <v>83</v>
      </c>
      <c r="T1209">
        <f>IF(TRIM(Table1[[#This Row],[PitStopLaps]])="",0,
LEN(Table1[[#This Row],[PitStopLaps]])-LEN(SUBSTITUTE(Table1[[#This Row],[PitStopLaps]],",",""))+1)</f>
        <v>3</v>
      </c>
      <c r="U1209">
        <f>Table1[[#This Row],[StartPosition]]-Table1[[#This Row],[FinishPosition]]</f>
        <v>5</v>
      </c>
    </row>
    <row r="1210" spans="1:21" x14ac:dyDescent="0.3">
      <c r="A1210">
        <v>2021</v>
      </c>
      <c r="B1210">
        <v>3</v>
      </c>
      <c r="C1210" t="s">
        <v>530</v>
      </c>
      <c r="D1210" t="s">
        <v>31</v>
      </c>
      <c r="E1210" t="s">
        <v>32</v>
      </c>
      <c r="F1210" t="s">
        <v>37</v>
      </c>
      <c r="G1210">
        <v>16</v>
      </c>
      <c r="H1210">
        <v>9</v>
      </c>
      <c r="I1210">
        <v>2</v>
      </c>
      <c r="J1210" t="s">
        <v>34</v>
      </c>
      <c r="K1210" t="s">
        <v>24</v>
      </c>
      <c r="L1210">
        <v>66</v>
      </c>
      <c r="M1210">
        <v>81.986999999999995</v>
      </c>
      <c r="N1210">
        <v>83.246137000000004</v>
      </c>
      <c r="O1210">
        <v>23.492999999999999</v>
      </c>
      <c r="P1210">
        <v>31.55</v>
      </c>
      <c r="Q1210">
        <v>26.471</v>
      </c>
      <c r="R1210" t="s">
        <v>634</v>
      </c>
      <c r="S1210" t="s">
        <v>83</v>
      </c>
      <c r="T1210">
        <f>IF(TRIM(Table1[[#This Row],[PitStopLaps]])="",0,
LEN(Table1[[#This Row],[PitStopLaps]])-LEN(SUBSTITUTE(Table1[[#This Row],[PitStopLaps]],",",""))+1)</f>
        <v>3</v>
      </c>
      <c r="U1210">
        <f>Table1[[#This Row],[StartPosition]]-Table1[[#This Row],[FinishPosition]]</f>
        <v>7</v>
      </c>
    </row>
    <row r="1211" spans="1:21" x14ac:dyDescent="0.3">
      <c r="A1211">
        <v>2021</v>
      </c>
      <c r="B1211">
        <v>3</v>
      </c>
      <c r="C1211" t="s">
        <v>530</v>
      </c>
      <c r="D1211" t="s">
        <v>73</v>
      </c>
      <c r="E1211" t="s">
        <v>74</v>
      </c>
      <c r="F1211" t="s">
        <v>438</v>
      </c>
      <c r="G1211">
        <v>9</v>
      </c>
      <c r="H1211">
        <v>10</v>
      </c>
      <c r="I1211">
        <v>1</v>
      </c>
      <c r="J1211" t="s">
        <v>34</v>
      </c>
      <c r="K1211" t="s">
        <v>24</v>
      </c>
      <c r="L1211">
        <v>66</v>
      </c>
      <c r="M1211">
        <v>82.013999999999996</v>
      </c>
      <c r="N1211">
        <v>83.295636999999999</v>
      </c>
      <c r="O1211">
        <v>23.72</v>
      </c>
      <c r="P1211">
        <v>31.635999999999999</v>
      </c>
      <c r="Q1211">
        <v>26.411999999999999</v>
      </c>
      <c r="R1211" t="s">
        <v>635</v>
      </c>
      <c r="S1211" t="s">
        <v>83</v>
      </c>
      <c r="T1211">
        <f>IF(TRIM(Table1[[#This Row],[PitStopLaps]])="",0,
LEN(Table1[[#This Row],[PitStopLaps]])-LEN(SUBSTITUTE(Table1[[#This Row],[PitStopLaps]],",",""))+1)</f>
        <v>3</v>
      </c>
      <c r="U1211">
        <f>Table1[[#This Row],[StartPosition]]-Table1[[#This Row],[FinishPosition]]</f>
        <v>-1</v>
      </c>
    </row>
    <row r="1212" spans="1:21" x14ac:dyDescent="0.3">
      <c r="A1212">
        <v>2021</v>
      </c>
      <c r="B1212">
        <v>3</v>
      </c>
      <c r="C1212" t="s">
        <v>530</v>
      </c>
      <c r="D1212" t="s">
        <v>47</v>
      </c>
      <c r="E1212" t="s">
        <v>48</v>
      </c>
      <c r="F1212" t="s">
        <v>22</v>
      </c>
      <c r="G1212">
        <v>5</v>
      </c>
      <c r="H1212">
        <v>11</v>
      </c>
      <c r="I1212">
        <v>0</v>
      </c>
      <c r="J1212" t="s">
        <v>34</v>
      </c>
      <c r="K1212" t="s">
        <v>24</v>
      </c>
      <c r="L1212">
        <v>66</v>
      </c>
      <c r="M1212">
        <v>82.325000000000003</v>
      </c>
      <c r="N1212">
        <v>83.382603000000003</v>
      </c>
      <c r="O1212">
        <v>23.965</v>
      </c>
      <c r="P1212">
        <v>31.626999999999999</v>
      </c>
      <c r="Q1212">
        <v>26.489000000000001</v>
      </c>
      <c r="R1212" t="s">
        <v>636</v>
      </c>
      <c r="S1212" t="s">
        <v>83</v>
      </c>
      <c r="T1212">
        <f>IF(TRIM(Table1[[#This Row],[PitStopLaps]])="",0,
LEN(Table1[[#This Row],[PitStopLaps]])-LEN(SUBSTITUTE(Table1[[#This Row],[PitStopLaps]],",",""))+1)</f>
        <v>3</v>
      </c>
      <c r="U1212">
        <f>Table1[[#This Row],[StartPosition]]-Table1[[#This Row],[FinishPosition]]</f>
        <v>-6</v>
      </c>
    </row>
    <row r="1213" spans="1:21" x14ac:dyDescent="0.3">
      <c r="A1213">
        <v>2021</v>
      </c>
      <c r="B1213">
        <v>3</v>
      </c>
      <c r="C1213" t="s">
        <v>530</v>
      </c>
      <c r="D1213" t="s">
        <v>250</v>
      </c>
      <c r="E1213" t="s">
        <v>251</v>
      </c>
      <c r="F1213" t="s">
        <v>243</v>
      </c>
      <c r="G1213">
        <v>12</v>
      </c>
      <c r="H1213">
        <v>12</v>
      </c>
      <c r="I1213">
        <v>0</v>
      </c>
      <c r="J1213" t="s">
        <v>34</v>
      </c>
      <c r="K1213" t="s">
        <v>65</v>
      </c>
      <c r="L1213">
        <v>65</v>
      </c>
      <c r="M1213">
        <v>82.167000000000002</v>
      </c>
      <c r="N1213">
        <v>83.418700999999999</v>
      </c>
      <c r="O1213">
        <v>23.817</v>
      </c>
      <c r="P1213">
        <v>31.541</v>
      </c>
      <c r="Q1213">
        <v>26.390999999999998</v>
      </c>
      <c r="R1213" t="s">
        <v>631</v>
      </c>
      <c r="S1213" t="s">
        <v>83</v>
      </c>
      <c r="T1213">
        <f>IF(TRIM(Table1[[#This Row],[PitStopLaps]])="",0,
LEN(Table1[[#This Row],[PitStopLaps]])-LEN(SUBSTITUTE(Table1[[#This Row],[PitStopLaps]],",",""))+1)</f>
        <v>3</v>
      </c>
      <c r="U1213">
        <f>Table1[[#This Row],[StartPosition]]-Table1[[#This Row],[FinishPosition]]</f>
        <v>0</v>
      </c>
    </row>
    <row r="1214" spans="1:21" x14ac:dyDescent="0.3">
      <c r="A1214">
        <v>2021</v>
      </c>
      <c r="B1214">
        <v>3</v>
      </c>
      <c r="C1214" t="s">
        <v>530</v>
      </c>
      <c r="D1214" t="s">
        <v>20</v>
      </c>
      <c r="E1214" t="s">
        <v>21</v>
      </c>
      <c r="F1214" t="s">
        <v>603</v>
      </c>
      <c r="G1214">
        <v>10</v>
      </c>
      <c r="H1214">
        <v>13</v>
      </c>
      <c r="I1214">
        <v>0</v>
      </c>
      <c r="J1214" t="s">
        <v>34</v>
      </c>
      <c r="K1214" t="s">
        <v>65</v>
      </c>
      <c r="L1214">
        <v>65</v>
      </c>
      <c r="M1214">
        <v>82.415999999999997</v>
      </c>
      <c r="N1214">
        <v>83.563315000000003</v>
      </c>
      <c r="O1214">
        <v>23.806999999999999</v>
      </c>
      <c r="P1214">
        <v>31.56</v>
      </c>
      <c r="Q1214">
        <v>26.535</v>
      </c>
      <c r="R1214" t="s">
        <v>631</v>
      </c>
      <c r="S1214" t="s">
        <v>83</v>
      </c>
      <c r="T1214">
        <f>IF(TRIM(Table1[[#This Row],[PitStopLaps]])="",0,
LEN(Table1[[#This Row],[PitStopLaps]])-LEN(SUBSTITUTE(Table1[[#This Row],[PitStopLaps]],",",""))+1)</f>
        <v>3</v>
      </c>
      <c r="U1214">
        <f>Table1[[#This Row],[StartPosition]]-Table1[[#This Row],[FinishPosition]]</f>
        <v>-3</v>
      </c>
    </row>
    <row r="1215" spans="1:21" x14ac:dyDescent="0.3">
      <c r="A1215">
        <v>2021</v>
      </c>
      <c r="B1215">
        <v>3</v>
      </c>
      <c r="C1215" t="s">
        <v>530</v>
      </c>
      <c r="D1215" t="s">
        <v>58</v>
      </c>
      <c r="E1215" t="s">
        <v>59</v>
      </c>
      <c r="F1215" t="s">
        <v>603</v>
      </c>
      <c r="G1215">
        <v>17</v>
      </c>
      <c r="H1215">
        <v>14</v>
      </c>
      <c r="I1215">
        <v>0</v>
      </c>
      <c r="J1215" t="s">
        <v>34</v>
      </c>
      <c r="K1215" t="s">
        <v>65</v>
      </c>
      <c r="L1215">
        <v>65</v>
      </c>
      <c r="M1215">
        <v>81.97</v>
      </c>
      <c r="N1215">
        <v>83.555824000000001</v>
      </c>
      <c r="O1215">
        <v>23.655999999999999</v>
      </c>
      <c r="P1215">
        <v>31.606000000000002</v>
      </c>
      <c r="Q1215">
        <v>26.449000000000002</v>
      </c>
      <c r="R1215" t="s">
        <v>637</v>
      </c>
      <c r="S1215" t="s">
        <v>83</v>
      </c>
      <c r="T1215">
        <f>IF(TRIM(Table1[[#This Row],[PitStopLaps]])="",0,
LEN(Table1[[#This Row],[PitStopLaps]])-LEN(SUBSTITUTE(Table1[[#This Row],[PitStopLaps]],",",""))+1)</f>
        <v>3</v>
      </c>
      <c r="U1215">
        <f>Table1[[#This Row],[StartPosition]]-Table1[[#This Row],[FinishPosition]]</f>
        <v>3</v>
      </c>
    </row>
    <row r="1216" spans="1:21" x14ac:dyDescent="0.3">
      <c r="A1216">
        <v>2021</v>
      </c>
      <c r="B1216">
        <v>3</v>
      </c>
      <c r="C1216" t="s">
        <v>530</v>
      </c>
      <c r="D1216" t="s">
        <v>601</v>
      </c>
      <c r="E1216" t="s">
        <v>602</v>
      </c>
      <c r="F1216" t="s">
        <v>438</v>
      </c>
      <c r="G1216">
        <v>14</v>
      </c>
      <c r="H1216">
        <v>15</v>
      </c>
      <c r="I1216">
        <v>0</v>
      </c>
      <c r="J1216" t="s">
        <v>34</v>
      </c>
      <c r="K1216" t="s">
        <v>65</v>
      </c>
      <c r="L1216">
        <v>65</v>
      </c>
      <c r="M1216">
        <v>82.058000000000007</v>
      </c>
      <c r="N1216">
        <v>83.798421000000005</v>
      </c>
      <c r="O1216">
        <v>23.977</v>
      </c>
      <c r="P1216">
        <v>31.361999999999998</v>
      </c>
      <c r="Q1216">
        <v>26.474</v>
      </c>
      <c r="R1216" t="s">
        <v>636</v>
      </c>
      <c r="S1216" t="s">
        <v>83</v>
      </c>
      <c r="T1216">
        <f>IF(TRIM(Table1[[#This Row],[PitStopLaps]])="",0,
LEN(Table1[[#This Row],[PitStopLaps]])-LEN(SUBSTITUTE(Table1[[#This Row],[PitStopLaps]],",",""))+1)</f>
        <v>3</v>
      </c>
      <c r="U1216">
        <f>Table1[[#This Row],[StartPosition]]-Table1[[#This Row],[FinishPosition]]</f>
        <v>-1</v>
      </c>
    </row>
    <row r="1217" spans="1:21" x14ac:dyDescent="0.3">
      <c r="A1217">
        <v>2021</v>
      </c>
      <c r="B1217">
        <v>3</v>
      </c>
      <c r="C1217" t="s">
        <v>530</v>
      </c>
      <c r="D1217" t="s">
        <v>252</v>
      </c>
      <c r="E1217" t="s">
        <v>253</v>
      </c>
      <c r="F1217" t="s">
        <v>60</v>
      </c>
      <c r="G1217">
        <v>11</v>
      </c>
      <c r="H1217">
        <v>16</v>
      </c>
      <c r="I1217">
        <v>0</v>
      </c>
      <c r="J1217" t="s">
        <v>34</v>
      </c>
      <c r="K1217" t="s">
        <v>65</v>
      </c>
      <c r="L1217">
        <v>65</v>
      </c>
      <c r="M1217">
        <v>82.653999999999996</v>
      </c>
      <c r="N1217">
        <v>84.554122000000007</v>
      </c>
      <c r="O1217">
        <v>23.91</v>
      </c>
      <c r="P1217">
        <v>31.884</v>
      </c>
      <c r="Q1217">
        <v>26.561</v>
      </c>
      <c r="R1217" t="s">
        <v>638</v>
      </c>
      <c r="S1217" t="s">
        <v>83</v>
      </c>
      <c r="T1217">
        <f>IF(TRIM(Table1[[#This Row],[PitStopLaps]])="",0,
LEN(Table1[[#This Row],[PitStopLaps]])-LEN(SUBSTITUTE(Table1[[#This Row],[PitStopLaps]],",",""))+1)</f>
        <v>3</v>
      </c>
      <c r="U1217">
        <f>Table1[[#This Row],[StartPosition]]-Table1[[#This Row],[FinishPosition]]</f>
        <v>-5</v>
      </c>
    </row>
    <row r="1218" spans="1:21" x14ac:dyDescent="0.3">
      <c r="A1218">
        <v>2021</v>
      </c>
      <c r="B1218">
        <v>3</v>
      </c>
      <c r="C1218" t="s">
        <v>530</v>
      </c>
      <c r="D1218" t="s">
        <v>608</v>
      </c>
      <c r="E1218" t="s">
        <v>609</v>
      </c>
      <c r="F1218" t="s">
        <v>69</v>
      </c>
      <c r="G1218">
        <v>19</v>
      </c>
      <c r="H1218">
        <v>17</v>
      </c>
      <c r="I1218">
        <v>0</v>
      </c>
      <c r="J1218" t="s">
        <v>34</v>
      </c>
      <c r="K1218" t="s">
        <v>127</v>
      </c>
      <c r="L1218">
        <v>64</v>
      </c>
      <c r="M1218">
        <v>82.754999999999995</v>
      </c>
      <c r="N1218">
        <v>84.917445999999998</v>
      </c>
      <c r="O1218">
        <v>23.984999999999999</v>
      </c>
      <c r="P1218">
        <v>32.079000000000001</v>
      </c>
      <c r="Q1218">
        <v>26.690999999999999</v>
      </c>
      <c r="R1218" t="s">
        <v>639</v>
      </c>
      <c r="S1218" t="s">
        <v>83</v>
      </c>
      <c r="T1218">
        <f>IF(TRIM(Table1[[#This Row],[PitStopLaps]])="",0,
LEN(Table1[[#This Row],[PitStopLaps]])-LEN(SUBSTITUTE(Table1[[#This Row],[PitStopLaps]],",",""))+1)</f>
        <v>3</v>
      </c>
      <c r="U1218">
        <f>Table1[[#This Row],[StartPosition]]-Table1[[#This Row],[FinishPosition]]</f>
        <v>2</v>
      </c>
    </row>
    <row r="1219" spans="1:21" x14ac:dyDescent="0.3">
      <c r="A1219">
        <v>2021</v>
      </c>
      <c r="B1219">
        <v>3</v>
      </c>
      <c r="C1219" t="s">
        <v>530</v>
      </c>
      <c r="D1219" t="s">
        <v>440</v>
      </c>
      <c r="E1219" t="s">
        <v>441</v>
      </c>
      <c r="F1219" t="s">
        <v>60</v>
      </c>
      <c r="G1219">
        <v>18</v>
      </c>
      <c r="H1219">
        <v>18</v>
      </c>
      <c r="I1219">
        <v>0</v>
      </c>
      <c r="J1219" t="s">
        <v>34</v>
      </c>
      <c r="K1219" t="s">
        <v>127</v>
      </c>
      <c r="L1219">
        <v>64</v>
      </c>
      <c r="M1219">
        <v>83.155000000000001</v>
      </c>
      <c r="N1219">
        <v>85.001891999999998</v>
      </c>
      <c r="O1219">
        <v>24.225000000000001</v>
      </c>
      <c r="P1219">
        <v>32.154000000000003</v>
      </c>
      <c r="Q1219">
        <v>26.667999999999999</v>
      </c>
      <c r="R1219" t="s">
        <v>635</v>
      </c>
      <c r="S1219" t="s">
        <v>83</v>
      </c>
      <c r="T1219">
        <f>IF(TRIM(Table1[[#This Row],[PitStopLaps]])="",0,
LEN(Table1[[#This Row],[PitStopLaps]])-LEN(SUBSTITUTE(Table1[[#This Row],[PitStopLaps]],",",""))+1)</f>
        <v>3</v>
      </c>
      <c r="U1219">
        <f>Table1[[#This Row],[StartPosition]]-Table1[[#This Row],[FinishPosition]]</f>
        <v>0</v>
      </c>
    </row>
    <row r="1220" spans="1:21" x14ac:dyDescent="0.3">
      <c r="A1220">
        <v>2021</v>
      </c>
      <c r="B1220">
        <v>3</v>
      </c>
      <c r="C1220" t="s">
        <v>530</v>
      </c>
      <c r="D1220" t="s">
        <v>613</v>
      </c>
      <c r="E1220" t="s">
        <v>614</v>
      </c>
      <c r="F1220" t="s">
        <v>69</v>
      </c>
      <c r="G1220">
        <v>20</v>
      </c>
      <c r="H1220">
        <v>19</v>
      </c>
      <c r="I1220">
        <v>0</v>
      </c>
      <c r="J1220" t="s">
        <v>34</v>
      </c>
      <c r="K1220" t="s">
        <v>127</v>
      </c>
      <c r="L1220">
        <v>64</v>
      </c>
      <c r="M1220">
        <v>83.641000000000005</v>
      </c>
      <c r="N1220">
        <v>85.406813999999997</v>
      </c>
      <c r="O1220">
        <v>24.59</v>
      </c>
      <c r="P1220">
        <v>32.042999999999999</v>
      </c>
      <c r="Q1220">
        <v>26.88</v>
      </c>
      <c r="R1220" t="s">
        <v>640</v>
      </c>
      <c r="S1220" t="s">
        <v>83</v>
      </c>
      <c r="T1220">
        <f>IF(TRIM(Table1[[#This Row],[PitStopLaps]])="",0,
LEN(Table1[[#This Row],[PitStopLaps]])-LEN(SUBSTITUTE(Table1[[#This Row],[PitStopLaps]],",",""))+1)</f>
        <v>4</v>
      </c>
      <c r="U1220">
        <f>Table1[[#This Row],[StartPosition]]-Table1[[#This Row],[FinishPosition]]</f>
        <v>1</v>
      </c>
    </row>
    <row r="1221" spans="1:21" x14ac:dyDescent="0.3">
      <c r="A1221">
        <v>2021</v>
      </c>
      <c r="B1221">
        <v>3</v>
      </c>
      <c r="C1221" t="s">
        <v>530</v>
      </c>
      <c r="D1221" t="s">
        <v>29</v>
      </c>
      <c r="E1221" t="s">
        <v>30</v>
      </c>
      <c r="F1221" t="s">
        <v>243</v>
      </c>
      <c r="G1221">
        <v>15</v>
      </c>
      <c r="H1221">
        <v>20</v>
      </c>
      <c r="I1221">
        <v>0</v>
      </c>
      <c r="J1221" t="s">
        <v>34</v>
      </c>
      <c r="K1221" t="s">
        <v>109</v>
      </c>
      <c r="L1221">
        <v>2</v>
      </c>
      <c r="S1221" t="s">
        <v>83</v>
      </c>
      <c r="T1221">
        <f>IF(TRIM(Table1[[#This Row],[PitStopLaps]])="",0,
LEN(Table1[[#This Row],[PitStopLaps]])-LEN(SUBSTITUTE(Table1[[#This Row],[PitStopLaps]],",",""))+1)</f>
        <v>0</v>
      </c>
      <c r="U1221">
        <f>Table1[[#This Row],[StartPosition]]-Table1[[#This Row],[FinishPosition]]</f>
        <v>-5</v>
      </c>
    </row>
    <row r="1222" spans="1:21" x14ac:dyDescent="0.3">
      <c r="A1222">
        <v>2021</v>
      </c>
      <c r="B1222">
        <v>4</v>
      </c>
      <c r="C1222" t="s">
        <v>125</v>
      </c>
      <c r="D1222" t="s">
        <v>26</v>
      </c>
      <c r="E1222" t="s">
        <v>27</v>
      </c>
      <c r="F1222" t="s">
        <v>28</v>
      </c>
      <c r="G1222">
        <v>1</v>
      </c>
      <c r="H1222">
        <v>1</v>
      </c>
      <c r="I1222">
        <v>25</v>
      </c>
      <c r="J1222" t="s">
        <v>23</v>
      </c>
      <c r="K1222" t="s">
        <v>24</v>
      </c>
      <c r="L1222">
        <v>66</v>
      </c>
      <c r="M1222">
        <v>80.665000000000006</v>
      </c>
      <c r="N1222">
        <v>82.197000000000003</v>
      </c>
      <c r="O1222">
        <v>22.385999999999999</v>
      </c>
      <c r="P1222">
        <v>30.376999999999999</v>
      </c>
      <c r="Q1222">
        <v>27.265999999999998</v>
      </c>
      <c r="R1222" t="s">
        <v>641</v>
      </c>
      <c r="S1222" t="s">
        <v>83</v>
      </c>
      <c r="T1222">
        <f>IF(TRIM(Table1[[#This Row],[PitStopLaps]])="",0,
LEN(Table1[[#This Row],[PitStopLaps]])-LEN(SUBSTITUTE(Table1[[#This Row],[PitStopLaps]],",",""))+1)</f>
        <v>2</v>
      </c>
      <c r="U1222">
        <f>Table1[[#This Row],[StartPosition]]-Table1[[#This Row],[FinishPosition]]</f>
        <v>0</v>
      </c>
    </row>
    <row r="1223" spans="1:21" x14ac:dyDescent="0.3">
      <c r="A1223">
        <v>2021</v>
      </c>
      <c r="B1223">
        <v>4</v>
      </c>
      <c r="C1223" t="s">
        <v>125</v>
      </c>
      <c r="D1223" t="s">
        <v>38</v>
      </c>
      <c r="E1223" t="s">
        <v>39</v>
      </c>
      <c r="F1223" t="s">
        <v>33</v>
      </c>
      <c r="G1223">
        <v>2</v>
      </c>
      <c r="H1223">
        <v>2</v>
      </c>
      <c r="I1223">
        <v>19</v>
      </c>
      <c r="J1223" t="s">
        <v>23</v>
      </c>
      <c r="K1223" t="s">
        <v>24</v>
      </c>
      <c r="L1223">
        <v>66</v>
      </c>
      <c r="M1223">
        <v>78.149000000000001</v>
      </c>
      <c r="N1223">
        <v>82.374189000000001</v>
      </c>
      <c r="O1223">
        <v>22.271999999999998</v>
      </c>
      <c r="P1223">
        <v>29.204999999999998</v>
      </c>
      <c r="Q1223">
        <v>26.672000000000001</v>
      </c>
      <c r="R1223" t="s">
        <v>150</v>
      </c>
      <c r="S1223" t="s">
        <v>83</v>
      </c>
      <c r="T1223">
        <f>IF(TRIM(Table1[[#This Row],[PitStopLaps]])="",0,
LEN(Table1[[#This Row],[PitStopLaps]])-LEN(SUBSTITUTE(Table1[[#This Row],[PitStopLaps]],",",""))+1)</f>
        <v>2</v>
      </c>
      <c r="U1223">
        <f>Table1[[#This Row],[StartPosition]]-Table1[[#This Row],[FinishPosition]]</f>
        <v>0</v>
      </c>
    </row>
    <row r="1224" spans="1:21" x14ac:dyDescent="0.3">
      <c r="A1224">
        <v>2021</v>
      </c>
      <c r="B1224">
        <v>4</v>
      </c>
      <c r="C1224" t="s">
        <v>125</v>
      </c>
      <c r="D1224" t="s">
        <v>43</v>
      </c>
      <c r="E1224" t="s">
        <v>44</v>
      </c>
      <c r="F1224" t="s">
        <v>28</v>
      </c>
      <c r="G1224">
        <v>3</v>
      </c>
      <c r="H1224">
        <v>3</v>
      </c>
      <c r="I1224">
        <v>15</v>
      </c>
      <c r="J1224" t="s">
        <v>23</v>
      </c>
      <c r="K1224" t="s">
        <v>24</v>
      </c>
      <c r="L1224">
        <v>66</v>
      </c>
      <c r="M1224">
        <v>79.430000000000007</v>
      </c>
      <c r="N1224">
        <v>82.710948000000002</v>
      </c>
      <c r="O1224">
        <v>22.067</v>
      </c>
      <c r="P1224">
        <v>30.132000000000001</v>
      </c>
      <c r="Q1224">
        <v>27.155000000000001</v>
      </c>
      <c r="R1224" t="s">
        <v>642</v>
      </c>
      <c r="S1224" t="s">
        <v>83</v>
      </c>
      <c r="T1224">
        <f>IF(TRIM(Table1[[#This Row],[PitStopLaps]])="",0,
LEN(Table1[[#This Row],[PitStopLaps]])-LEN(SUBSTITUTE(Table1[[#This Row],[PitStopLaps]],",",""))+1)</f>
        <v>2</v>
      </c>
      <c r="U1224">
        <f>Table1[[#This Row],[StartPosition]]-Table1[[#This Row],[FinishPosition]]</f>
        <v>0</v>
      </c>
    </row>
    <row r="1225" spans="1:21" x14ac:dyDescent="0.3">
      <c r="A1225">
        <v>2021</v>
      </c>
      <c r="B1225">
        <v>4</v>
      </c>
      <c r="C1225" t="s">
        <v>125</v>
      </c>
      <c r="D1225" t="s">
        <v>54</v>
      </c>
      <c r="E1225" t="s">
        <v>55</v>
      </c>
      <c r="F1225" t="s">
        <v>22</v>
      </c>
      <c r="G1225">
        <v>4</v>
      </c>
      <c r="H1225">
        <v>4</v>
      </c>
      <c r="I1225">
        <v>12</v>
      </c>
      <c r="J1225" t="s">
        <v>34</v>
      </c>
      <c r="K1225" t="s">
        <v>24</v>
      </c>
      <c r="L1225">
        <v>66</v>
      </c>
      <c r="M1225">
        <v>80.459000000000003</v>
      </c>
      <c r="N1225">
        <v>83.163326999999995</v>
      </c>
      <c r="O1225">
        <v>22.890999999999998</v>
      </c>
      <c r="P1225">
        <v>30.190999999999999</v>
      </c>
      <c r="Q1225">
        <v>27.266999999999999</v>
      </c>
      <c r="R1225" t="s">
        <v>643</v>
      </c>
      <c r="S1225" t="s">
        <v>83</v>
      </c>
      <c r="T1225">
        <f>IF(TRIM(Table1[[#This Row],[PitStopLaps]])="",0,
LEN(Table1[[#This Row],[PitStopLaps]])-LEN(SUBSTITUTE(Table1[[#This Row],[PitStopLaps]],",",""))+1)</f>
        <v>2</v>
      </c>
      <c r="U1225">
        <f>Table1[[#This Row],[StartPosition]]-Table1[[#This Row],[FinishPosition]]</f>
        <v>0</v>
      </c>
    </row>
    <row r="1226" spans="1:21" x14ac:dyDescent="0.3">
      <c r="A1226">
        <v>2021</v>
      </c>
      <c r="B1226">
        <v>4</v>
      </c>
      <c r="C1226" t="s">
        <v>125</v>
      </c>
      <c r="D1226" t="s">
        <v>49</v>
      </c>
      <c r="E1226" t="s">
        <v>50</v>
      </c>
      <c r="F1226" t="s">
        <v>33</v>
      </c>
      <c r="G1226">
        <v>8</v>
      </c>
      <c r="H1226">
        <v>5</v>
      </c>
      <c r="I1226">
        <v>10</v>
      </c>
      <c r="J1226" t="s">
        <v>34</v>
      </c>
      <c r="K1226" t="s">
        <v>24</v>
      </c>
      <c r="L1226">
        <v>66</v>
      </c>
      <c r="M1226">
        <v>79.483000000000004</v>
      </c>
      <c r="N1226">
        <v>83.313361999999998</v>
      </c>
      <c r="O1226">
        <v>22.800999999999998</v>
      </c>
      <c r="P1226">
        <v>29.792999999999999</v>
      </c>
      <c r="Q1226">
        <v>26.888999999999999</v>
      </c>
      <c r="R1226" t="s">
        <v>644</v>
      </c>
      <c r="S1226" t="s">
        <v>83</v>
      </c>
      <c r="T1226">
        <f>IF(TRIM(Table1[[#This Row],[PitStopLaps]])="",0,
LEN(Table1[[#This Row],[PitStopLaps]])-LEN(SUBSTITUTE(Table1[[#This Row],[PitStopLaps]],",",""))+1)</f>
        <v>2</v>
      </c>
      <c r="U1226">
        <f>Table1[[#This Row],[StartPosition]]-Table1[[#This Row],[FinishPosition]]</f>
        <v>3</v>
      </c>
    </row>
    <row r="1227" spans="1:21" x14ac:dyDescent="0.3">
      <c r="A1227">
        <v>2021</v>
      </c>
      <c r="B1227">
        <v>4</v>
      </c>
      <c r="C1227" t="s">
        <v>125</v>
      </c>
      <c r="D1227" t="s">
        <v>31</v>
      </c>
      <c r="E1227" t="s">
        <v>32</v>
      </c>
      <c r="F1227" t="s">
        <v>37</v>
      </c>
      <c r="G1227">
        <v>7</v>
      </c>
      <c r="H1227">
        <v>6</v>
      </c>
      <c r="I1227">
        <v>8</v>
      </c>
      <c r="J1227" t="s">
        <v>34</v>
      </c>
      <c r="K1227" t="s">
        <v>24</v>
      </c>
      <c r="L1227">
        <v>66</v>
      </c>
      <c r="M1227">
        <v>81.852999999999994</v>
      </c>
      <c r="N1227">
        <v>83.469050999999993</v>
      </c>
      <c r="O1227">
        <v>22.870999999999999</v>
      </c>
      <c r="P1227">
        <v>30.664999999999999</v>
      </c>
      <c r="Q1227">
        <v>27.902999999999999</v>
      </c>
      <c r="R1227" t="s">
        <v>304</v>
      </c>
      <c r="S1227" t="s">
        <v>83</v>
      </c>
      <c r="T1227">
        <f>IF(TRIM(Table1[[#This Row],[PitStopLaps]])="",0,
LEN(Table1[[#This Row],[PitStopLaps]])-LEN(SUBSTITUTE(Table1[[#This Row],[PitStopLaps]],",",""))+1)</f>
        <v>2</v>
      </c>
      <c r="U1227">
        <f>Table1[[#This Row],[StartPosition]]-Table1[[#This Row],[FinishPosition]]</f>
        <v>1</v>
      </c>
    </row>
    <row r="1228" spans="1:21" x14ac:dyDescent="0.3">
      <c r="A1228">
        <v>2021</v>
      </c>
      <c r="B1228">
        <v>4</v>
      </c>
      <c r="C1228" t="s">
        <v>125</v>
      </c>
      <c r="D1228" t="s">
        <v>47</v>
      </c>
      <c r="E1228" t="s">
        <v>48</v>
      </c>
      <c r="F1228" t="s">
        <v>22</v>
      </c>
      <c r="G1228">
        <v>6</v>
      </c>
      <c r="H1228">
        <v>7</v>
      </c>
      <c r="I1228">
        <v>6</v>
      </c>
      <c r="J1228" t="s">
        <v>34</v>
      </c>
      <c r="K1228" t="s">
        <v>24</v>
      </c>
      <c r="L1228">
        <v>66</v>
      </c>
      <c r="M1228">
        <v>81.567999999999998</v>
      </c>
      <c r="N1228">
        <v>83.540689</v>
      </c>
      <c r="O1228">
        <v>22.725999999999999</v>
      </c>
      <c r="P1228">
        <v>30.823</v>
      </c>
      <c r="Q1228">
        <v>27.757000000000001</v>
      </c>
      <c r="R1228" t="s">
        <v>305</v>
      </c>
      <c r="S1228" t="s">
        <v>83</v>
      </c>
      <c r="T1228">
        <f>IF(TRIM(Table1[[#This Row],[PitStopLaps]])="",0,
LEN(Table1[[#This Row],[PitStopLaps]])-LEN(SUBSTITUTE(Table1[[#This Row],[PitStopLaps]],",",""))+1)</f>
        <v>2</v>
      </c>
      <c r="U1228">
        <f>Table1[[#This Row],[StartPosition]]-Table1[[#This Row],[FinishPosition]]</f>
        <v>-1</v>
      </c>
    </row>
    <row r="1229" spans="1:21" x14ac:dyDescent="0.3">
      <c r="A1229">
        <v>2021</v>
      </c>
      <c r="B1229">
        <v>4</v>
      </c>
      <c r="C1229" t="s">
        <v>125</v>
      </c>
      <c r="D1229" t="s">
        <v>246</v>
      </c>
      <c r="E1229" t="s">
        <v>247</v>
      </c>
      <c r="F1229" t="s">
        <v>37</v>
      </c>
      <c r="G1229">
        <v>9</v>
      </c>
      <c r="H1229">
        <v>8</v>
      </c>
      <c r="I1229">
        <v>4</v>
      </c>
      <c r="J1229" t="s">
        <v>34</v>
      </c>
      <c r="K1229" t="s">
        <v>65</v>
      </c>
      <c r="L1229">
        <v>65</v>
      </c>
      <c r="M1229">
        <v>81.278999999999996</v>
      </c>
      <c r="N1229">
        <v>84.117157000000006</v>
      </c>
      <c r="O1229">
        <v>22.433</v>
      </c>
      <c r="P1229">
        <v>30.646000000000001</v>
      </c>
      <c r="Q1229">
        <v>27.856000000000002</v>
      </c>
      <c r="R1229" t="s">
        <v>645</v>
      </c>
      <c r="S1229" t="s">
        <v>83</v>
      </c>
      <c r="T1229">
        <f>IF(TRIM(Table1[[#This Row],[PitStopLaps]])="",0,
LEN(Table1[[#This Row],[PitStopLaps]])-LEN(SUBSTITUTE(Table1[[#This Row],[PitStopLaps]],",",""))+1)</f>
        <v>2</v>
      </c>
      <c r="U1229">
        <f>Table1[[#This Row],[StartPosition]]-Table1[[#This Row],[FinishPosition]]</f>
        <v>1</v>
      </c>
    </row>
    <row r="1230" spans="1:21" x14ac:dyDescent="0.3">
      <c r="A1230">
        <v>2021</v>
      </c>
      <c r="B1230">
        <v>4</v>
      </c>
      <c r="C1230" t="s">
        <v>125</v>
      </c>
      <c r="D1230" t="s">
        <v>52</v>
      </c>
      <c r="E1230" t="s">
        <v>53</v>
      </c>
      <c r="F1230" t="s">
        <v>607</v>
      </c>
      <c r="G1230">
        <v>5</v>
      </c>
      <c r="H1230">
        <v>9</v>
      </c>
      <c r="I1230">
        <v>2</v>
      </c>
      <c r="J1230" t="s">
        <v>34</v>
      </c>
      <c r="K1230" t="s">
        <v>65</v>
      </c>
      <c r="L1230">
        <v>65</v>
      </c>
      <c r="M1230">
        <v>83.311000000000007</v>
      </c>
      <c r="N1230">
        <v>84.666932000000003</v>
      </c>
      <c r="O1230">
        <v>23.361999999999998</v>
      </c>
      <c r="P1230">
        <v>31.399000000000001</v>
      </c>
      <c r="Q1230">
        <v>28.274999999999999</v>
      </c>
      <c r="R1230">
        <v>23</v>
      </c>
      <c r="S1230" t="s">
        <v>83</v>
      </c>
      <c r="T1230">
        <f>IF(TRIM(Table1[[#This Row],[PitStopLaps]])="",0,
LEN(Table1[[#This Row],[PitStopLaps]])-LEN(SUBSTITUTE(Table1[[#This Row],[PitStopLaps]],",",""))+1)</f>
        <v>1</v>
      </c>
      <c r="U1230">
        <f>Table1[[#This Row],[StartPosition]]-Table1[[#This Row],[FinishPosition]]</f>
        <v>-4</v>
      </c>
    </row>
    <row r="1231" spans="1:21" x14ac:dyDescent="0.3">
      <c r="A1231">
        <v>2021</v>
      </c>
      <c r="B1231">
        <v>4</v>
      </c>
      <c r="C1231" t="s">
        <v>125</v>
      </c>
      <c r="D1231" t="s">
        <v>73</v>
      </c>
      <c r="E1231" t="s">
        <v>74</v>
      </c>
      <c r="F1231" t="s">
        <v>438</v>
      </c>
      <c r="G1231">
        <v>12</v>
      </c>
      <c r="H1231">
        <v>10</v>
      </c>
      <c r="I1231">
        <v>1</v>
      </c>
      <c r="J1231" t="s">
        <v>34</v>
      </c>
      <c r="K1231" t="s">
        <v>65</v>
      </c>
      <c r="L1231">
        <v>65</v>
      </c>
      <c r="M1231">
        <v>81.375</v>
      </c>
      <c r="N1231">
        <v>84.184701000000004</v>
      </c>
      <c r="O1231">
        <v>22.669</v>
      </c>
      <c r="P1231">
        <v>30.523</v>
      </c>
      <c r="Q1231">
        <v>27.678000000000001</v>
      </c>
      <c r="R1231" t="s">
        <v>646</v>
      </c>
      <c r="S1231" t="s">
        <v>83</v>
      </c>
      <c r="T1231">
        <f>IF(TRIM(Table1[[#This Row],[PitStopLaps]])="",0,
LEN(Table1[[#This Row],[PitStopLaps]])-LEN(SUBSTITUTE(Table1[[#This Row],[PitStopLaps]],",",""))+1)</f>
        <v>2</v>
      </c>
      <c r="U1231">
        <f>Table1[[#This Row],[StartPosition]]-Table1[[#This Row],[FinishPosition]]</f>
        <v>2</v>
      </c>
    </row>
    <row r="1232" spans="1:21" x14ac:dyDescent="0.3">
      <c r="A1232">
        <v>2021</v>
      </c>
      <c r="B1232">
        <v>4</v>
      </c>
      <c r="C1232" t="s">
        <v>125</v>
      </c>
      <c r="D1232" t="s">
        <v>58</v>
      </c>
      <c r="E1232" t="s">
        <v>59</v>
      </c>
      <c r="F1232" t="s">
        <v>603</v>
      </c>
      <c r="G1232">
        <v>11</v>
      </c>
      <c r="H1232">
        <v>11</v>
      </c>
      <c r="I1232">
        <v>0</v>
      </c>
      <c r="J1232" t="s">
        <v>34</v>
      </c>
      <c r="K1232" t="s">
        <v>65</v>
      </c>
      <c r="L1232">
        <v>65</v>
      </c>
      <c r="M1232">
        <v>82.606999999999999</v>
      </c>
      <c r="N1232">
        <v>84.475420999999997</v>
      </c>
      <c r="O1232">
        <v>22.83</v>
      </c>
      <c r="P1232">
        <v>31.143000000000001</v>
      </c>
      <c r="Q1232">
        <v>28.148</v>
      </c>
      <c r="R1232" t="s">
        <v>647</v>
      </c>
      <c r="S1232" t="s">
        <v>83</v>
      </c>
      <c r="T1232">
        <f>IF(TRIM(Table1[[#This Row],[PitStopLaps]])="",0,
LEN(Table1[[#This Row],[PitStopLaps]])-LEN(SUBSTITUTE(Table1[[#This Row],[PitStopLaps]],",",""))+1)</f>
        <v>2</v>
      </c>
      <c r="U1232">
        <f>Table1[[#This Row],[StartPosition]]-Table1[[#This Row],[FinishPosition]]</f>
        <v>0</v>
      </c>
    </row>
    <row r="1233" spans="1:21" x14ac:dyDescent="0.3">
      <c r="A1233">
        <v>2021</v>
      </c>
      <c r="B1233">
        <v>4</v>
      </c>
      <c r="C1233" t="s">
        <v>125</v>
      </c>
      <c r="D1233" t="s">
        <v>29</v>
      </c>
      <c r="E1233" t="s">
        <v>30</v>
      </c>
      <c r="F1233" t="s">
        <v>243</v>
      </c>
      <c r="G1233">
        <v>17</v>
      </c>
      <c r="H1233">
        <v>12</v>
      </c>
      <c r="I1233">
        <v>0</v>
      </c>
      <c r="J1233" t="s">
        <v>34</v>
      </c>
      <c r="K1233" t="s">
        <v>65</v>
      </c>
      <c r="L1233">
        <v>65</v>
      </c>
      <c r="M1233">
        <v>82.867999999999995</v>
      </c>
      <c r="N1233">
        <v>84.762490999999997</v>
      </c>
      <c r="O1233">
        <v>22.96</v>
      </c>
      <c r="P1233">
        <v>31.248999999999999</v>
      </c>
      <c r="Q1233">
        <v>27.975999999999999</v>
      </c>
      <c r="R1233">
        <v>37</v>
      </c>
      <c r="S1233" t="s">
        <v>83</v>
      </c>
      <c r="T1233">
        <f>IF(TRIM(Table1[[#This Row],[PitStopLaps]])="",0,
LEN(Table1[[#This Row],[PitStopLaps]])-LEN(SUBSTITUTE(Table1[[#This Row],[PitStopLaps]],",",""))+1)</f>
        <v>1</v>
      </c>
      <c r="U1233">
        <f>Table1[[#This Row],[StartPosition]]-Table1[[#This Row],[FinishPosition]]</f>
        <v>5</v>
      </c>
    </row>
    <row r="1234" spans="1:21" x14ac:dyDescent="0.3">
      <c r="A1234">
        <v>2021</v>
      </c>
      <c r="B1234">
        <v>4</v>
      </c>
      <c r="C1234" t="s">
        <v>125</v>
      </c>
      <c r="D1234" t="s">
        <v>20</v>
      </c>
      <c r="E1234" t="s">
        <v>21</v>
      </c>
      <c r="F1234" t="s">
        <v>603</v>
      </c>
      <c r="G1234">
        <v>13</v>
      </c>
      <c r="H1234">
        <v>13</v>
      </c>
      <c r="I1234">
        <v>0</v>
      </c>
      <c r="J1234" t="s">
        <v>34</v>
      </c>
      <c r="K1234" t="s">
        <v>65</v>
      </c>
      <c r="L1234">
        <v>65</v>
      </c>
      <c r="M1234">
        <v>82.82</v>
      </c>
      <c r="N1234">
        <v>84.503438000000003</v>
      </c>
      <c r="O1234">
        <v>23.003</v>
      </c>
      <c r="P1234">
        <v>31.061</v>
      </c>
      <c r="Q1234">
        <v>28.28</v>
      </c>
      <c r="R1234" t="s">
        <v>648</v>
      </c>
      <c r="S1234" t="s">
        <v>83</v>
      </c>
      <c r="T1234">
        <f>IF(TRIM(Table1[[#This Row],[PitStopLaps]])="",0,
LEN(Table1[[#This Row],[PitStopLaps]])-LEN(SUBSTITUTE(Table1[[#This Row],[PitStopLaps]],",",""))+1)</f>
        <v>2</v>
      </c>
      <c r="U1234">
        <f>Table1[[#This Row],[StartPosition]]-Table1[[#This Row],[FinishPosition]]</f>
        <v>0</v>
      </c>
    </row>
    <row r="1235" spans="1:21" x14ac:dyDescent="0.3">
      <c r="A1235">
        <v>2021</v>
      </c>
      <c r="B1235">
        <v>4</v>
      </c>
      <c r="C1235" t="s">
        <v>125</v>
      </c>
      <c r="D1235" t="s">
        <v>252</v>
      </c>
      <c r="E1235" t="s">
        <v>253</v>
      </c>
      <c r="F1235" t="s">
        <v>60</v>
      </c>
      <c r="G1235">
        <v>15</v>
      </c>
      <c r="H1235">
        <v>14</v>
      </c>
      <c r="I1235">
        <v>0</v>
      </c>
      <c r="J1235" t="s">
        <v>34</v>
      </c>
      <c r="K1235" t="s">
        <v>65</v>
      </c>
      <c r="L1235">
        <v>65</v>
      </c>
      <c r="M1235">
        <v>83.207999999999998</v>
      </c>
      <c r="N1235">
        <v>85.158118000000002</v>
      </c>
      <c r="O1235">
        <v>23.318999999999999</v>
      </c>
      <c r="P1235">
        <v>31.271000000000001</v>
      </c>
      <c r="Q1235">
        <v>28.617999999999999</v>
      </c>
      <c r="R1235" t="s">
        <v>649</v>
      </c>
      <c r="S1235" t="s">
        <v>83</v>
      </c>
      <c r="T1235">
        <f>IF(TRIM(Table1[[#This Row],[PitStopLaps]])="",0,
LEN(Table1[[#This Row],[PitStopLaps]])-LEN(SUBSTITUTE(Table1[[#This Row],[PitStopLaps]],",",""))+1)</f>
        <v>2</v>
      </c>
      <c r="U1235">
        <f>Table1[[#This Row],[StartPosition]]-Table1[[#This Row],[FinishPosition]]</f>
        <v>1</v>
      </c>
    </row>
    <row r="1236" spans="1:21" x14ac:dyDescent="0.3">
      <c r="A1236">
        <v>2021</v>
      </c>
      <c r="B1236">
        <v>4</v>
      </c>
      <c r="C1236" t="s">
        <v>125</v>
      </c>
      <c r="D1236" t="s">
        <v>250</v>
      </c>
      <c r="E1236" t="s">
        <v>251</v>
      </c>
      <c r="F1236" t="s">
        <v>243</v>
      </c>
      <c r="G1236">
        <v>14</v>
      </c>
      <c r="H1236">
        <v>15</v>
      </c>
      <c r="I1236">
        <v>0</v>
      </c>
      <c r="J1236" t="s">
        <v>34</v>
      </c>
      <c r="K1236" t="s">
        <v>65</v>
      </c>
      <c r="L1236">
        <v>65</v>
      </c>
      <c r="M1236">
        <v>82.802000000000007</v>
      </c>
      <c r="N1236">
        <v>84.753744999999995</v>
      </c>
      <c r="O1236">
        <v>23.225999999999999</v>
      </c>
      <c r="P1236">
        <v>31.138999999999999</v>
      </c>
      <c r="Q1236">
        <v>28.181999999999999</v>
      </c>
      <c r="R1236" t="s">
        <v>650</v>
      </c>
      <c r="S1236" t="s">
        <v>83</v>
      </c>
      <c r="T1236">
        <f>IF(TRIM(Table1[[#This Row],[PitStopLaps]])="",0,
LEN(Table1[[#This Row],[PitStopLaps]])-LEN(SUBSTITUTE(Table1[[#This Row],[PitStopLaps]],",",""))+1)</f>
        <v>2</v>
      </c>
      <c r="U1236">
        <f>Table1[[#This Row],[StartPosition]]-Table1[[#This Row],[FinishPosition]]</f>
        <v>-1</v>
      </c>
    </row>
    <row r="1237" spans="1:21" x14ac:dyDescent="0.3">
      <c r="A1237">
        <v>2021</v>
      </c>
      <c r="B1237">
        <v>4</v>
      </c>
      <c r="C1237" t="s">
        <v>125</v>
      </c>
      <c r="D1237" t="s">
        <v>440</v>
      </c>
      <c r="E1237" t="s">
        <v>441</v>
      </c>
      <c r="F1237" t="s">
        <v>60</v>
      </c>
      <c r="G1237">
        <v>19</v>
      </c>
      <c r="H1237">
        <v>16</v>
      </c>
      <c r="I1237">
        <v>0</v>
      </c>
      <c r="J1237" t="s">
        <v>34</v>
      </c>
      <c r="K1237" t="s">
        <v>65</v>
      </c>
      <c r="L1237">
        <v>65</v>
      </c>
      <c r="M1237">
        <v>82.905000000000001</v>
      </c>
      <c r="N1237">
        <v>84.918210000000002</v>
      </c>
      <c r="O1237">
        <v>23.22</v>
      </c>
      <c r="P1237">
        <v>31.065999999999999</v>
      </c>
      <c r="Q1237">
        <v>28.192</v>
      </c>
      <c r="R1237" t="s">
        <v>651</v>
      </c>
      <c r="S1237" t="s">
        <v>83</v>
      </c>
      <c r="T1237">
        <f>IF(TRIM(Table1[[#This Row],[PitStopLaps]])="",0,
LEN(Table1[[#This Row],[PitStopLaps]])-LEN(SUBSTITUTE(Table1[[#This Row],[PitStopLaps]],",",""))+1)</f>
        <v>3</v>
      </c>
      <c r="U1237">
        <f>Table1[[#This Row],[StartPosition]]-Table1[[#This Row],[FinishPosition]]</f>
        <v>3</v>
      </c>
    </row>
    <row r="1238" spans="1:21" x14ac:dyDescent="0.3">
      <c r="A1238">
        <v>2021</v>
      </c>
      <c r="B1238">
        <v>4</v>
      </c>
      <c r="C1238" t="s">
        <v>125</v>
      </c>
      <c r="D1238" t="s">
        <v>35</v>
      </c>
      <c r="E1238" t="s">
        <v>36</v>
      </c>
      <c r="F1238" t="s">
        <v>607</v>
      </c>
      <c r="G1238">
        <v>10</v>
      </c>
      <c r="H1238">
        <v>17</v>
      </c>
      <c r="I1238">
        <v>0</v>
      </c>
      <c r="J1238" t="s">
        <v>34</v>
      </c>
      <c r="K1238" t="s">
        <v>65</v>
      </c>
      <c r="L1238">
        <v>65</v>
      </c>
      <c r="M1238">
        <v>81.182000000000002</v>
      </c>
      <c r="N1238">
        <v>84.765473</v>
      </c>
      <c r="O1238">
        <v>22.821000000000002</v>
      </c>
      <c r="P1238">
        <v>30.3</v>
      </c>
      <c r="Q1238">
        <v>27.677</v>
      </c>
      <c r="R1238" t="s">
        <v>652</v>
      </c>
      <c r="S1238" t="s">
        <v>83</v>
      </c>
      <c r="T1238">
        <f>IF(TRIM(Table1[[#This Row],[PitStopLaps]])="",0,
LEN(Table1[[#This Row],[PitStopLaps]])-LEN(SUBSTITUTE(Table1[[#This Row],[PitStopLaps]],",",""))+1)</f>
        <v>2</v>
      </c>
      <c r="U1238">
        <f>Table1[[#This Row],[StartPosition]]-Table1[[#This Row],[FinishPosition]]</f>
        <v>-7</v>
      </c>
    </row>
    <row r="1239" spans="1:21" x14ac:dyDescent="0.3">
      <c r="A1239">
        <v>2021</v>
      </c>
      <c r="B1239">
        <v>4</v>
      </c>
      <c r="C1239" t="s">
        <v>125</v>
      </c>
      <c r="D1239" t="s">
        <v>608</v>
      </c>
      <c r="E1239" t="s">
        <v>609</v>
      </c>
      <c r="F1239" t="s">
        <v>69</v>
      </c>
      <c r="G1239">
        <v>18</v>
      </c>
      <c r="H1239">
        <v>18</v>
      </c>
      <c r="I1239">
        <v>0</v>
      </c>
      <c r="J1239" t="s">
        <v>34</v>
      </c>
      <c r="K1239" t="s">
        <v>127</v>
      </c>
      <c r="L1239">
        <v>64</v>
      </c>
      <c r="M1239">
        <v>82.637</v>
      </c>
      <c r="N1239">
        <v>85.197714000000005</v>
      </c>
      <c r="O1239">
        <v>23.190999999999999</v>
      </c>
      <c r="P1239">
        <v>30.975999999999999</v>
      </c>
      <c r="Q1239">
        <v>27.992999999999999</v>
      </c>
      <c r="R1239" t="s">
        <v>185</v>
      </c>
      <c r="S1239" t="s">
        <v>83</v>
      </c>
      <c r="T1239">
        <f>IF(TRIM(Table1[[#This Row],[PitStopLaps]])="",0,
LEN(Table1[[#This Row],[PitStopLaps]])-LEN(SUBSTITUTE(Table1[[#This Row],[PitStopLaps]],",",""))+1)</f>
        <v>2</v>
      </c>
      <c r="U1239">
        <f>Table1[[#This Row],[StartPosition]]-Table1[[#This Row],[FinishPosition]]</f>
        <v>0</v>
      </c>
    </row>
    <row r="1240" spans="1:21" x14ac:dyDescent="0.3">
      <c r="A1240">
        <v>2021</v>
      </c>
      <c r="B1240">
        <v>4</v>
      </c>
      <c r="C1240" t="s">
        <v>125</v>
      </c>
      <c r="D1240" t="s">
        <v>613</v>
      </c>
      <c r="E1240" t="s">
        <v>614</v>
      </c>
      <c r="F1240" t="s">
        <v>69</v>
      </c>
      <c r="G1240">
        <v>20</v>
      </c>
      <c r="H1240">
        <v>19</v>
      </c>
      <c r="I1240">
        <v>0</v>
      </c>
      <c r="J1240" t="s">
        <v>34</v>
      </c>
      <c r="K1240" t="s">
        <v>127</v>
      </c>
      <c r="L1240">
        <v>64</v>
      </c>
      <c r="M1240">
        <v>84.04</v>
      </c>
      <c r="N1240">
        <v>85.995410000000007</v>
      </c>
      <c r="O1240">
        <v>23.495999999999999</v>
      </c>
      <c r="P1240">
        <v>31.891999999999999</v>
      </c>
      <c r="Q1240">
        <v>28.547999999999998</v>
      </c>
      <c r="R1240" t="s">
        <v>281</v>
      </c>
      <c r="S1240" t="s">
        <v>83</v>
      </c>
      <c r="T1240">
        <f>IF(TRIM(Table1[[#This Row],[PitStopLaps]])="",0,
LEN(Table1[[#This Row],[PitStopLaps]])-LEN(SUBSTITUTE(Table1[[#This Row],[PitStopLaps]],",",""))+1)</f>
        <v>2</v>
      </c>
      <c r="U1240">
        <f>Table1[[#This Row],[StartPosition]]-Table1[[#This Row],[FinishPosition]]</f>
        <v>1</v>
      </c>
    </row>
    <row r="1241" spans="1:21" x14ac:dyDescent="0.3">
      <c r="A1241">
        <v>2021</v>
      </c>
      <c r="B1241">
        <v>4</v>
      </c>
      <c r="C1241" t="s">
        <v>125</v>
      </c>
      <c r="D1241" t="s">
        <v>601</v>
      </c>
      <c r="E1241" t="s">
        <v>602</v>
      </c>
      <c r="F1241" t="s">
        <v>438</v>
      </c>
      <c r="G1241">
        <v>16</v>
      </c>
      <c r="H1241">
        <v>20</v>
      </c>
      <c r="I1241">
        <v>0</v>
      </c>
      <c r="J1241" t="s">
        <v>34</v>
      </c>
      <c r="K1241" t="s">
        <v>99</v>
      </c>
      <c r="L1241">
        <v>7</v>
      </c>
      <c r="M1241">
        <v>84.825000000000003</v>
      </c>
      <c r="N1241">
        <v>86.127200000000002</v>
      </c>
      <c r="O1241">
        <v>23.859000000000002</v>
      </c>
      <c r="P1241">
        <v>31.994</v>
      </c>
      <c r="Q1241">
        <v>28.937000000000001</v>
      </c>
      <c r="S1241" t="s">
        <v>83</v>
      </c>
      <c r="T1241">
        <f>IF(TRIM(Table1[[#This Row],[PitStopLaps]])="",0,
LEN(Table1[[#This Row],[PitStopLaps]])-LEN(SUBSTITUTE(Table1[[#This Row],[PitStopLaps]],",",""))+1)</f>
        <v>0</v>
      </c>
      <c r="U1241">
        <f>Table1[[#This Row],[StartPosition]]-Table1[[#This Row],[FinishPosition]]</f>
        <v>-4</v>
      </c>
    </row>
    <row r="1242" spans="1:21" x14ac:dyDescent="0.3">
      <c r="A1242">
        <v>2021</v>
      </c>
      <c r="B1242">
        <v>5</v>
      </c>
      <c r="C1242" t="s">
        <v>136</v>
      </c>
      <c r="D1242" t="s">
        <v>38</v>
      </c>
      <c r="E1242" t="s">
        <v>39</v>
      </c>
      <c r="F1242" t="s">
        <v>33</v>
      </c>
      <c r="G1242">
        <v>2</v>
      </c>
      <c r="H1242">
        <v>1</v>
      </c>
      <c r="I1242">
        <v>25</v>
      </c>
      <c r="J1242" t="s">
        <v>23</v>
      </c>
      <c r="K1242" t="s">
        <v>24</v>
      </c>
      <c r="L1242">
        <v>78</v>
      </c>
      <c r="M1242">
        <v>74.649000000000001</v>
      </c>
      <c r="N1242">
        <v>75.758080000000007</v>
      </c>
      <c r="O1242">
        <v>19.606000000000002</v>
      </c>
      <c r="P1242">
        <v>34.975000000000001</v>
      </c>
      <c r="Q1242">
        <v>19.891999999999999</v>
      </c>
      <c r="R1242">
        <v>34</v>
      </c>
      <c r="S1242" t="s">
        <v>83</v>
      </c>
      <c r="T1242">
        <f>IF(TRIM(Table1[[#This Row],[PitStopLaps]])="",0,
LEN(Table1[[#This Row],[PitStopLaps]])-LEN(SUBSTITUTE(Table1[[#This Row],[PitStopLaps]],",",""))+1)</f>
        <v>1</v>
      </c>
      <c r="U1242">
        <f>Table1[[#This Row],[StartPosition]]-Table1[[#This Row],[FinishPosition]]</f>
        <v>1</v>
      </c>
    </row>
    <row r="1243" spans="1:21" x14ac:dyDescent="0.3">
      <c r="A1243">
        <v>2021</v>
      </c>
      <c r="B1243">
        <v>5</v>
      </c>
      <c r="C1243" t="s">
        <v>136</v>
      </c>
      <c r="D1243" t="s">
        <v>47</v>
      </c>
      <c r="E1243" t="s">
        <v>48</v>
      </c>
      <c r="F1243" t="s">
        <v>22</v>
      </c>
      <c r="G1243">
        <v>4</v>
      </c>
      <c r="H1243">
        <v>2</v>
      </c>
      <c r="I1243">
        <v>18</v>
      </c>
      <c r="J1243" t="s">
        <v>23</v>
      </c>
      <c r="K1243" t="s">
        <v>24</v>
      </c>
      <c r="L1243">
        <v>78</v>
      </c>
      <c r="M1243">
        <v>74.620999999999995</v>
      </c>
      <c r="N1243">
        <v>75.828532999999993</v>
      </c>
      <c r="O1243">
        <v>19.521999999999998</v>
      </c>
      <c r="P1243">
        <v>34.890999999999998</v>
      </c>
      <c r="Q1243">
        <v>19.951000000000001</v>
      </c>
      <c r="R1243">
        <v>32</v>
      </c>
      <c r="S1243" t="s">
        <v>83</v>
      </c>
      <c r="T1243">
        <f>IF(TRIM(Table1[[#This Row],[PitStopLaps]])="",0,
LEN(Table1[[#This Row],[PitStopLaps]])-LEN(SUBSTITUTE(Table1[[#This Row],[PitStopLaps]],",",""))+1)</f>
        <v>1</v>
      </c>
      <c r="U1243">
        <f>Table1[[#This Row],[StartPosition]]-Table1[[#This Row],[FinishPosition]]</f>
        <v>2</v>
      </c>
    </row>
    <row r="1244" spans="1:21" x14ac:dyDescent="0.3">
      <c r="A1244">
        <v>2021</v>
      </c>
      <c r="B1244">
        <v>5</v>
      </c>
      <c r="C1244" t="s">
        <v>136</v>
      </c>
      <c r="D1244" t="s">
        <v>246</v>
      </c>
      <c r="E1244" t="s">
        <v>247</v>
      </c>
      <c r="F1244" t="s">
        <v>37</v>
      </c>
      <c r="G1244">
        <v>5</v>
      </c>
      <c r="H1244">
        <v>3</v>
      </c>
      <c r="I1244">
        <v>15</v>
      </c>
      <c r="J1244" t="s">
        <v>23</v>
      </c>
      <c r="K1244" t="s">
        <v>24</v>
      </c>
      <c r="L1244">
        <v>78</v>
      </c>
      <c r="M1244">
        <v>74.67</v>
      </c>
      <c r="N1244">
        <v>75.968199999999996</v>
      </c>
      <c r="O1244">
        <v>19.491</v>
      </c>
      <c r="P1244">
        <v>34.938000000000002</v>
      </c>
      <c r="Q1244">
        <v>20.032</v>
      </c>
      <c r="R1244">
        <v>30</v>
      </c>
      <c r="S1244" t="s">
        <v>83</v>
      </c>
      <c r="T1244">
        <f>IF(TRIM(Table1[[#This Row],[PitStopLaps]])="",0,
LEN(Table1[[#This Row],[PitStopLaps]])-LEN(SUBSTITUTE(Table1[[#This Row],[PitStopLaps]],",",""))+1)</f>
        <v>1</v>
      </c>
      <c r="U1244">
        <f>Table1[[#This Row],[StartPosition]]-Table1[[#This Row],[FinishPosition]]</f>
        <v>2</v>
      </c>
    </row>
    <row r="1245" spans="1:21" x14ac:dyDescent="0.3">
      <c r="A1245">
        <v>2021</v>
      </c>
      <c r="B1245">
        <v>5</v>
      </c>
      <c r="C1245" t="s">
        <v>136</v>
      </c>
      <c r="D1245" t="s">
        <v>49</v>
      </c>
      <c r="E1245" t="s">
        <v>50</v>
      </c>
      <c r="F1245" t="s">
        <v>33</v>
      </c>
      <c r="G1245">
        <v>9</v>
      </c>
      <c r="H1245">
        <v>4</v>
      </c>
      <c r="I1245">
        <v>12</v>
      </c>
      <c r="J1245" t="s">
        <v>34</v>
      </c>
      <c r="K1245" t="s">
        <v>24</v>
      </c>
      <c r="L1245">
        <v>78</v>
      </c>
      <c r="M1245">
        <v>74.552000000000007</v>
      </c>
      <c r="N1245">
        <v>75.939385999999999</v>
      </c>
      <c r="O1245">
        <v>19.626999999999999</v>
      </c>
      <c r="P1245">
        <v>34.76</v>
      </c>
      <c r="Q1245">
        <v>19.891999999999999</v>
      </c>
      <c r="R1245">
        <v>35</v>
      </c>
      <c r="S1245" t="s">
        <v>83</v>
      </c>
      <c r="T1245">
        <f>IF(TRIM(Table1[[#This Row],[PitStopLaps]])="",0,
LEN(Table1[[#This Row],[PitStopLaps]])-LEN(SUBSTITUTE(Table1[[#This Row],[PitStopLaps]],",",""))+1)</f>
        <v>1</v>
      </c>
      <c r="U1245">
        <f>Table1[[#This Row],[StartPosition]]-Table1[[#This Row],[FinishPosition]]</f>
        <v>5</v>
      </c>
    </row>
    <row r="1246" spans="1:21" x14ac:dyDescent="0.3">
      <c r="A1246">
        <v>2021</v>
      </c>
      <c r="B1246">
        <v>5</v>
      </c>
      <c r="C1246" t="s">
        <v>136</v>
      </c>
      <c r="D1246" t="s">
        <v>20</v>
      </c>
      <c r="E1246" t="s">
        <v>21</v>
      </c>
      <c r="F1246" t="s">
        <v>603</v>
      </c>
      <c r="G1246">
        <v>8</v>
      </c>
      <c r="H1246">
        <v>5</v>
      </c>
      <c r="I1246">
        <v>10</v>
      </c>
      <c r="J1246" t="s">
        <v>34</v>
      </c>
      <c r="K1246" t="s">
        <v>24</v>
      </c>
      <c r="L1246">
        <v>78</v>
      </c>
      <c r="M1246">
        <v>75.316000000000003</v>
      </c>
      <c r="N1246">
        <v>76.373720000000006</v>
      </c>
      <c r="O1246">
        <v>19.885000000000002</v>
      </c>
      <c r="P1246">
        <v>35.008000000000003</v>
      </c>
      <c r="Q1246">
        <v>20.151</v>
      </c>
      <c r="R1246">
        <v>31</v>
      </c>
      <c r="S1246" t="s">
        <v>83</v>
      </c>
      <c r="T1246">
        <f>IF(TRIM(Table1[[#This Row],[PitStopLaps]])="",0,
LEN(Table1[[#This Row],[PitStopLaps]])-LEN(SUBSTITUTE(Table1[[#This Row],[PitStopLaps]],",",""))+1)</f>
        <v>1</v>
      </c>
      <c r="U1246">
        <f>Table1[[#This Row],[StartPosition]]-Table1[[#This Row],[FinishPosition]]</f>
        <v>3</v>
      </c>
    </row>
    <row r="1247" spans="1:21" x14ac:dyDescent="0.3">
      <c r="A1247">
        <v>2021</v>
      </c>
      <c r="B1247">
        <v>5</v>
      </c>
      <c r="C1247" t="s">
        <v>136</v>
      </c>
      <c r="D1247" t="s">
        <v>73</v>
      </c>
      <c r="E1247" t="s">
        <v>74</v>
      </c>
      <c r="F1247" t="s">
        <v>438</v>
      </c>
      <c r="G1247">
        <v>6</v>
      </c>
      <c r="H1247">
        <v>6</v>
      </c>
      <c r="I1247">
        <v>8</v>
      </c>
      <c r="J1247" t="s">
        <v>34</v>
      </c>
      <c r="K1247" t="s">
        <v>24</v>
      </c>
      <c r="L1247">
        <v>78</v>
      </c>
      <c r="M1247">
        <v>75.412000000000006</v>
      </c>
      <c r="N1247">
        <v>76.379973000000007</v>
      </c>
      <c r="O1247">
        <v>19.902000000000001</v>
      </c>
      <c r="P1247">
        <v>35.122999999999998</v>
      </c>
      <c r="Q1247">
        <v>20.239000000000001</v>
      </c>
      <c r="R1247">
        <v>30</v>
      </c>
      <c r="S1247" t="s">
        <v>83</v>
      </c>
      <c r="T1247">
        <f>IF(TRIM(Table1[[#This Row],[PitStopLaps]])="",0,
LEN(Table1[[#This Row],[PitStopLaps]])-LEN(SUBSTITUTE(Table1[[#This Row],[PitStopLaps]],",",""))+1)</f>
        <v>1</v>
      </c>
      <c r="U1247">
        <f>Table1[[#This Row],[StartPosition]]-Table1[[#This Row],[FinishPosition]]</f>
        <v>0</v>
      </c>
    </row>
    <row r="1248" spans="1:21" x14ac:dyDescent="0.3">
      <c r="A1248">
        <v>2021</v>
      </c>
      <c r="B1248">
        <v>5</v>
      </c>
      <c r="C1248" t="s">
        <v>136</v>
      </c>
      <c r="D1248" t="s">
        <v>26</v>
      </c>
      <c r="E1248" t="s">
        <v>27</v>
      </c>
      <c r="F1248" t="s">
        <v>28</v>
      </c>
      <c r="G1248">
        <v>7</v>
      </c>
      <c r="H1248">
        <v>7</v>
      </c>
      <c r="I1248">
        <v>7</v>
      </c>
      <c r="J1248" t="s">
        <v>34</v>
      </c>
      <c r="K1248" t="s">
        <v>24</v>
      </c>
      <c r="L1248">
        <v>78</v>
      </c>
      <c r="M1248">
        <v>72.909000000000006</v>
      </c>
      <c r="N1248">
        <v>76.388109</v>
      </c>
      <c r="O1248">
        <v>19.178999999999998</v>
      </c>
      <c r="P1248">
        <v>34.040999999999997</v>
      </c>
      <c r="Q1248">
        <v>19.689</v>
      </c>
      <c r="R1248" t="s">
        <v>653</v>
      </c>
      <c r="S1248" t="s">
        <v>83</v>
      </c>
      <c r="T1248">
        <f>IF(TRIM(Table1[[#This Row],[PitStopLaps]])="",0,
LEN(Table1[[#This Row],[PitStopLaps]])-LEN(SUBSTITUTE(Table1[[#This Row],[PitStopLaps]],",",""))+1)</f>
        <v>2</v>
      </c>
      <c r="U1248">
        <f>Table1[[#This Row],[StartPosition]]-Table1[[#This Row],[FinishPosition]]</f>
        <v>0</v>
      </c>
    </row>
    <row r="1249" spans="1:21" x14ac:dyDescent="0.3">
      <c r="A1249">
        <v>2021</v>
      </c>
      <c r="B1249">
        <v>5</v>
      </c>
      <c r="C1249" t="s">
        <v>136</v>
      </c>
      <c r="D1249" t="s">
        <v>58</v>
      </c>
      <c r="E1249" t="s">
        <v>59</v>
      </c>
      <c r="F1249" t="s">
        <v>603</v>
      </c>
      <c r="G1249">
        <v>13</v>
      </c>
      <c r="H1249">
        <v>8</v>
      </c>
      <c r="I1249">
        <v>4</v>
      </c>
      <c r="J1249" t="s">
        <v>34</v>
      </c>
      <c r="K1249" t="s">
        <v>65</v>
      </c>
      <c r="L1249">
        <v>77</v>
      </c>
      <c r="M1249">
        <v>74.674000000000007</v>
      </c>
      <c r="N1249">
        <v>76.749851000000007</v>
      </c>
      <c r="O1249">
        <v>19.734000000000002</v>
      </c>
      <c r="P1249">
        <v>34.908000000000001</v>
      </c>
      <c r="Q1249">
        <v>20.032</v>
      </c>
      <c r="R1249">
        <v>58</v>
      </c>
      <c r="S1249" t="s">
        <v>83</v>
      </c>
      <c r="T1249">
        <f>IF(TRIM(Table1[[#This Row],[PitStopLaps]])="",0,
LEN(Table1[[#This Row],[PitStopLaps]])-LEN(SUBSTITUTE(Table1[[#This Row],[PitStopLaps]],",",""))+1)</f>
        <v>1</v>
      </c>
      <c r="U1249">
        <f>Table1[[#This Row],[StartPosition]]-Table1[[#This Row],[FinishPosition]]</f>
        <v>5</v>
      </c>
    </row>
    <row r="1250" spans="1:21" x14ac:dyDescent="0.3">
      <c r="A1250">
        <v>2021</v>
      </c>
      <c r="B1250">
        <v>5</v>
      </c>
      <c r="C1250" t="s">
        <v>136</v>
      </c>
      <c r="D1250" t="s">
        <v>52</v>
      </c>
      <c r="E1250" t="s">
        <v>53</v>
      </c>
      <c r="F1250" t="s">
        <v>607</v>
      </c>
      <c r="G1250">
        <v>11</v>
      </c>
      <c r="H1250">
        <v>9</v>
      </c>
      <c r="I1250">
        <v>2</v>
      </c>
      <c r="J1250" t="s">
        <v>34</v>
      </c>
      <c r="K1250" t="s">
        <v>65</v>
      </c>
      <c r="L1250">
        <v>77</v>
      </c>
      <c r="M1250">
        <v>75.316000000000003</v>
      </c>
      <c r="N1250">
        <v>77.230472000000006</v>
      </c>
      <c r="O1250">
        <v>19.905999999999999</v>
      </c>
      <c r="P1250">
        <v>35.091000000000001</v>
      </c>
      <c r="Q1250">
        <v>20.318999999999999</v>
      </c>
      <c r="R1250">
        <v>37</v>
      </c>
      <c r="S1250" t="s">
        <v>83</v>
      </c>
      <c r="T1250">
        <f>IF(TRIM(Table1[[#This Row],[PitStopLaps]])="",0,
LEN(Table1[[#This Row],[PitStopLaps]])-LEN(SUBSTITUTE(Table1[[#This Row],[PitStopLaps]],",",""))+1)</f>
        <v>1</v>
      </c>
      <c r="U1250">
        <f>Table1[[#This Row],[StartPosition]]-Table1[[#This Row],[FinishPosition]]</f>
        <v>2</v>
      </c>
    </row>
    <row r="1251" spans="1:21" x14ac:dyDescent="0.3">
      <c r="A1251">
        <v>2021</v>
      </c>
      <c r="B1251">
        <v>5</v>
      </c>
      <c r="C1251" t="s">
        <v>136</v>
      </c>
      <c r="D1251" t="s">
        <v>250</v>
      </c>
      <c r="E1251" t="s">
        <v>251</v>
      </c>
      <c r="F1251" t="s">
        <v>243</v>
      </c>
      <c r="G1251">
        <v>10</v>
      </c>
      <c r="H1251">
        <v>10</v>
      </c>
      <c r="I1251">
        <v>1</v>
      </c>
      <c r="J1251" t="s">
        <v>34</v>
      </c>
      <c r="K1251" t="s">
        <v>65</v>
      </c>
      <c r="L1251">
        <v>77</v>
      </c>
      <c r="M1251">
        <v>75.331000000000003</v>
      </c>
      <c r="N1251">
        <v>77.202269999999999</v>
      </c>
      <c r="O1251">
        <v>19.923999999999999</v>
      </c>
      <c r="P1251">
        <v>35.142000000000003</v>
      </c>
      <c r="Q1251">
        <v>20.192</v>
      </c>
      <c r="R1251">
        <v>33</v>
      </c>
      <c r="S1251" t="s">
        <v>83</v>
      </c>
      <c r="T1251">
        <f>IF(TRIM(Table1[[#This Row],[PitStopLaps]])="",0,
LEN(Table1[[#This Row],[PitStopLaps]])-LEN(SUBSTITUTE(Table1[[#This Row],[PitStopLaps]],",",""))+1)</f>
        <v>1</v>
      </c>
      <c r="U1251">
        <f>Table1[[#This Row],[StartPosition]]-Table1[[#This Row],[FinishPosition]]</f>
        <v>0</v>
      </c>
    </row>
    <row r="1252" spans="1:21" x14ac:dyDescent="0.3">
      <c r="A1252">
        <v>2021</v>
      </c>
      <c r="B1252">
        <v>5</v>
      </c>
      <c r="C1252" t="s">
        <v>136</v>
      </c>
      <c r="D1252" t="s">
        <v>29</v>
      </c>
      <c r="E1252" t="s">
        <v>30</v>
      </c>
      <c r="F1252" t="s">
        <v>243</v>
      </c>
      <c r="G1252">
        <v>14</v>
      </c>
      <c r="H1252">
        <v>11</v>
      </c>
      <c r="I1252">
        <v>0</v>
      </c>
      <c r="J1252" t="s">
        <v>34</v>
      </c>
      <c r="K1252" t="s">
        <v>65</v>
      </c>
      <c r="L1252">
        <v>77</v>
      </c>
      <c r="M1252">
        <v>74.971000000000004</v>
      </c>
      <c r="N1252">
        <v>77.197958999999997</v>
      </c>
      <c r="O1252">
        <v>19.741</v>
      </c>
      <c r="P1252">
        <v>35.128999999999998</v>
      </c>
      <c r="Q1252">
        <v>19.97</v>
      </c>
      <c r="R1252">
        <v>43</v>
      </c>
      <c r="S1252" t="s">
        <v>83</v>
      </c>
      <c r="T1252">
        <f>IF(TRIM(Table1[[#This Row],[PitStopLaps]])="",0,
LEN(Table1[[#This Row],[PitStopLaps]])-LEN(SUBSTITUTE(Table1[[#This Row],[PitStopLaps]],",",""))+1)</f>
        <v>1</v>
      </c>
      <c r="U1252">
        <f>Table1[[#This Row],[StartPosition]]-Table1[[#This Row],[FinishPosition]]</f>
        <v>3</v>
      </c>
    </row>
    <row r="1253" spans="1:21" x14ac:dyDescent="0.3">
      <c r="A1253">
        <v>2021</v>
      </c>
      <c r="B1253">
        <v>5</v>
      </c>
      <c r="C1253" t="s">
        <v>136</v>
      </c>
      <c r="D1253" t="s">
        <v>31</v>
      </c>
      <c r="E1253" t="s">
        <v>32</v>
      </c>
      <c r="F1253" t="s">
        <v>37</v>
      </c>
      <c r="G1253">
        <v>12</v>
      </c>
      <c r="H1253">
        <v>12</v>
      </c>
      <c r="I1253">
        <v>0</v>
      </c>
      <c r="J1253" t="s">
        <v>34</v>
      </c>
      <c r="K1253" t="s">
        <v>65</v>
      </c>
      <c r="L1253">
        <v>77</v>
      </c>
      <c r="M1253">
        <v>74.578000000000003</v>
      </c>
      <c r="N1253">
        <v>77.193282999999994</v>
      </c>
      <c r="O1253">
        <v>19.661000000000001</v>
      </c>
      <c r="P1253">
        <v>34.914000000000001</v>
      </c>
      <c r="Q1253">
        <v>19.916</v>
      </c>
      <c r="R1253">
        <v>36</v>
      </c>
      <c r="S1253" t="s">
        <v>83</v>
      </c>
      <c r="T1253">
        <f>IF(TRIM(Table1[[#This Row],[PitStopLaps]])="",0,
LEN(Table1[[#This Row],[PitStopLaps]])-LEN(SUBSTITUTE(Table1[[#This Row],[PitStopLaps]],",",""))+1)</f>
        <v>1</v>
      </c>
      <c r="U1253">
        <f>Table1[[#This Row],[StartPosition]]-Table1[[#This Row],[FinishPosition]]</f>
        <v>0</v>
      </c>
    </row>
    <row r="1254" spans="1:21" x14ac:dyDescent="0.3">
      <c r="A1254">
        <v>2021</v>
      </c>
      <c r="B1254">
        <v>5</v>
      </c>
      <c r="C1254" t="s">
        <v>136</v>
      </c>
      <c r="D1254" t="s">
        <v>35</v>
      </c>
      <c r="E1254" t="s">
        <v>36</v>
      </c>
      <c r="F1254" t="s">
        <v>607</v>
      </c>
      <c r="G1254">
        <v>17</v>
      </c>
      <c r="H1254">
        <v>13</v>
      </c>
      <c r="I1254">
        <v>0</v>
      </c>
      <c r="J1254" t="s">
        <v>34</v>
      </c>
      <c r="K1254" t="s">
        <v>65</v>
      </c>
      <c r="L1254">
        <v>77</v>
      </c>
      <c r="M1254">
        <v>75.025999999999996</v>
      </c>
      <c r="N1254">
        <v>77.218863999999996</v>
      </c>
      <c r="O1254">
        <v>19.742000000000001</v>
      </c>
      <c r="P1254">
        <v>35.087000000000003</v>
      </c>
      <c r="Q1254">
        <v>20.120999999999999</v>
      </c>
      <c r="R1254">
        <v>45</v>
      </c>
      <c r="S1254" t="s">
        <v>83</v>
      </c>
      <c r="T1254">
        <f>IF(TRIM(Table1[[#This Row],[PitStopLaps]])="",0,
LEN(Table1[[#This Row],[PitStopLaps]])-LEN(SUBSTITUTE(Table1[[#This Row],[PitStopLaps]],",",""))+1)</f>
        <v>1</v>
      </c>
      <c r="U1254">
        <f>Table1[[#This Row],[StartPosition]]-Table1[[#This Row],[FinishPosition]]</f>
        <v>4</v>
      </c>
    </row>
    <row r="1255" spans="1:21" x14ac:dyDescent="0.3">
      <c r="A1255">
        <v>2021</v>
      </c>
      <c r="B1255">
        <v>5</v>
      </c>
      <c r="C1255" t="s">
        <v>136</v>
      </c>
      <c r="D1255" t="s">
        <v>252</v>
      </c>
      <c r="E1255" t="s">
        <v>253</v>
      </c>
      <c r="F1255" t="s">
        <v>60</v>
      </c>
      <c r="G1255">
        <v>15</v>
      </c>
      <c r="H1255">
        <v>14</v>
      </c>
      <c r="I1255">
        <v>0</v>
      </c>
      <c r="J1255" t="s">
        <v>34</v>
      </c>
      <c r="K1255" t="s">
        <v>65</v>
      </c>
      <c r="L1255">
        <v>77</v>
      </c>
      <c r="M1255">
        <v>75.539000000000001</v>
      </c>
      <c r="N1255">
        <v>77.513405000000006</v>
      </c>
      <c r="O1255">
        <v>19.713000000000001</v>
      </c>
      <c r="P1255">
        <v>35.369</v>
      </c>
      <c r="Q1255">
        <v>20.318000000000001</v>
      </c>
      <c r="R1255">
        <v>31</v>
      </c>
      <c r="S1255" t="s">
        <v>83</v>
      </c>
      <c r="T1255">
        <f>IF(TRIM(Table1[[#This Row],[PitStopLaps]])="",0,
LEN(Table1[[#This Row],[PitStopLaps]])-LEN(SUBSTITUTE(Table1[[#This Row],[PitStopLaps]],",",""))+1)</f>
        <v>1</v>
      </c>
      <c r="U1255">
        <f>Table1[[#This Row],[StartPosition]]-Table1[[#This Row],[FinishPosition]]</f>
        <v>1</v>
      </c>
    </row>
    <row r="1256" spans="1:21" x14ac:dyDescent="0.3">
      <c r="A1256">
        <v>2021</v>
      </c>
      <c r="B1256">
        <v>5</v>
      </c>
      <c r="C1256" t="s">
        <v>136</v>
      </c>
      <c r="D1256" t="s">
        <v>440</v>
      </c>
      <c r="E1256" t="s">
        <v>441</v>
      </c>
      <c r="F1256" t="s">
        <v>60</v>
      </c>
      <c r="G1256">
        <v>18</v>
      </c>
      <c r="H1256">
        <v>15</v>
      </c>
      <c r="I1256">
        <v>0</v>
      </c>
      <c r="J1256" t="s">
        <v>34</v>
      </c>
      <c r="K1256" t="s">
        <v>65</v>
      </c>
      <c r="L1256">
        <v>77</v>
      </c>
      <c r="M1256">
        <v>75.572999999999993</v>
      </c>
      <c r="N1256">
        <v>77.534634999999994</v>
      </c>
      <c r="O1256">
        <v>19.82</v>
      </c>
      <c r="P1256">
        <v>35.374000000000002</v>
      </c>
      <c r="Q1256">
        <v>20.238</v>
      </c>
      <c r="R1256">
        <v>43</v>
      </c>
      <c r="S1256" t="s">
        <v>83</v>
      </c>
      <c r="T1256">
        <f>IF(TRIM(Table1[[#This Row],[PitStopLaps]])="",0,
LEN(Table1[[#This Row],[PitStopLaps]])-LEN(SUBSTITUTE(Table1[[#This Row],[PitStopLaps]],",",""))+1)</f>
        <v>1</v>
      </c>
      <c r="U1256">
        <f>Table1[[#This Row],[StartPosition]]-Table1[[#This Row],[FinishPosition]]</f>
        <v>3</v>
      </c>
    </row>
    <row r="1257" spans="1:21" x14ac:dyDescent="0.3">
      <c r="A1257">
        <v>2021</v>
      </c>
      <c r="B1257">
        <v>5</v>
      </c>
      <c r="C1257" t="s">
        <v>136</v>
      </c>
      <c r="D1257" t="s">
        <v>601</v>
      </c>
      <c r="E1257" t="s">
        <v>602</v>
      </c>
      <c r="F1257" t="s">
        <v>438</v>
      </c>
      <c r="G1257">
        <v>16</v>
      </c>
      <c r="H1257">
        <v>16</v>
      </c>
      <c r="I1257">
        <v>0</v>
      </c>
      <c r="J1257" t="s">
        <v>34</v>
      </c>
      <c r="K1257" t="s">
        <v>65</v>
      </c>
      <c r="L1257">
        <v>77</v>
      </c>
      <c r="M1257">
        <v>74.037000000000006</v>
      </c>
      <c r="N1257">
        <v>77.574324000000004</v>
      </c>
      <c r="O1257">
        <v>19.437000000000001</v>
      </c>
      <c r="P1257">
        <v>34.512</v>
      </c>
      <c r="Q1257">
        <v>19.93</v>
      </c>
      <c r="R1257">
        <v>64</v>
      </c>
      <c r="S1257" t="s">
        <v>83</v>
      </c>
      <c r="T1257">
        <f>IF(TRIM(Table1[[#This Row],[PitStopLaps]])="",0,
LEN(Table1[[#This Row],[PitStopLaps]])-LEN(SUBSTITUTE(Table1[[#This Row],[PitStopLaps]],",",""))+1)</f>
        <v>1</v>
      </c>
      <c r="U1257">
        <f>Table1[[#This Row],[StartPosition]]-Table1[[#This Row],[FinishPosition]]</f>
        <v>0</v>
      </c>
    </row>
    <row r="1258" spans="1:21" x14ac:dyDescent="0.3">
      <c r="A1258">
        <v>2021</v>
      </c>
      <c r="B1258">
        <v>5</v>
      </c>
      <c r="C1258" t="s">
        <v>136</v>
      </c>
      <c r="D1258" t="s">
        <v>613</v>
      </c>
      <c r="E1258" t="s">
        <v>614</v>
      </c>
      <c r="F1258" t="s">
        <v>69</v>
      </c>
      <c r="G1258">
        <v>19</v>
      </c>
      <c r="H1258">
        <v>17</v>
      </c>
      <c r="I1258">
        <v>0</v>
      </c>
      <c r="J1258" t="s">
        <v>34</v>
      </c>
      <c r="K1258" t="s">
        <v>130</v>
      </c>
      <c r="L1258">
        <v>75</v>
      </c>
      <c r="M1258">
        <v>76.866</v>
      </c>
      <c r="N1258">
        <v>79.133832999999996</v>
      </c>
      <c r="O1258">
        <v>20.311</v>
      </c>
      <c r="P1258">
        <v>35.777000000000001</v>
      </c>
      <c r="Q1258">
        <v>20.556999999999999</v>
      </c>
      <c r="R1258">
        <v>34</v>
      </c>
      <c r="S1258" t="s">
        <v>83</v>
      </c>
      <c r="T1258">
        <f>IF(TRIM(Table1[[#This Row],[PitStopLaps]])="",0,
LEN(Table1[[#This Row],[PitStopLaps]])-LEN(SUBSTITUTE(Table1[[#This Row],[PitStopLaps]],",",""))+1)</f>
        <v>1</v>
      </c>
      <c r="U1258">
        <f>Table1[[#This Row],[StartPosition]]-Table1[[#This Row],[FinishPosition]]</f>
        <v>2</v>
      </c>
    </row>
    <row r="1259" spans="1:21" x14ac:dyDescent="0.3">
      <c r="A1259">
        <v>2021</v>
      </c>
      <c r="B1259">
        <v>5</v>
      </c>
      <c r="C1259" t="s">
        <v>136</v>
      </c>
      <c r="D1259" t="s">
        <v>608</v>
      </c>
      <c r="E1259" t="s">
        <v>609</v>
      </c>
      <c r="F1259" t="s">
        <v>69</v>
      </c>
      <c r="G1259">
        <v>20</v>
      </c>
      <c r="H1259">
        <v>18</v>
      </c>
      <c r="I1259">
        <v>0</v>
      </c>
      <c r="J1259" t="s">
        <v>34</v>
      </c>
      <c r="K1259" t="s">
        <v>130</v>
      </c>
      <c r="L1259">
        <v>75</v>
      </c>
      <c r="M1259">
        <v>76.424999999999997</v>
      </c>
      <c r="N1259">
        <v>79.118360999999993</v>
      </c>
      <c r="O1259">
        <v>20.225999999999999</v>
      </c>
      <c r="P1259">
        <v>35.630000000000003</v>
      </c>
      <c r="Q1259">
        <v>20.376999999999999</v>
      </c>
      <c r="R1259">
        <v>37</v>
      </c>
      <c r="S1259" t="s">
        <v>83</v>
      </c>
      <c r="T1259">
        <f>IF(TRIM(Table1[[#This Row],[PitStopLaps]])="",0,
LEN(Table1[[#This Row],[PitStopLaps]])-LEN(SUBSTITUTE(Table1[[#This Row],[PitStopLaps]],",",""))+1)</f>
        <v>1</v>
      </c>
      <c r="U1259">
        <f>Table1[[#This Row],[StartPosition]]-Table1[[#This Row],[FinishPosition]]</f>
        <v>2</v>
      </c>
    </row>
    <row r="1260" spans="1:21" x14ac:dyDescent="0.3">
      <c r="A1260">
        <v>2021</v>
      </c>
      <c r="B1260">
        <v>5</v>
      </c>
      <c r="C1260" t="s">
        <v>136</v>
      </c>
      <c r="D1260" t="s">
        <v>43</v>
      </c>
      <c r="E1260" t="s">
        <v>44</v>
      </c>
      <c r="F1260" t="s">
        <v>28</v>
      </c>
      <c r="G1260">
        <v>3</v>
      </c>
      <c r="H1260">
        <v>19</v>
      </c>
      <c r="I1260">
        <v>0</v>
      </c>
      <c r="J1260" t="s">
        <v>34</v>
      </c>
      <c r="K1260" t="s">
        <v>654</v>
      </c>
      <c r="L1260">
        <v>30</v>
      </c>
      <c r="M1260">
        <v>75.706000000000003</v>
      </c>
      <c r="N1260">
        <v>76.570785000000001</v>
      </c>
      <c r="O1260">
        <v>19.917000000000002</v>
      </c>
      <c r="P1260">
        <v>35.457999999999998</v>
      </c>
      <c r="Q1260">
        <v>20.312999999999999</v>
      </c>
      <c r="R1260">
        <v>30</v>
      </c>
      <c r="S1260" t="s">
        <v>83</v>
      </c>
      <c r="T1260">
        <f>IF(TRIM(Table1[[#This Row],[PitStopLaps]])="",0,
LEN(Table1[[#This Row],[PitStopLaps]])-LEN(SUBSTITUTE(Table1[[#This Row],[PitStopLaps]],",",""))+1)</f>
        <v>1</v>
      </c>
      <c r="U1260">
        <f>Table1[[#This Row],[StartPosition]]-Table1[[#This Row],[FinishPosition]]</f>
        <v>-16</v>
      </c>
    </row>
    <row r="1261" spans="1:21" x14ac:dyDescent="0.3">
      <c r="A1261">
        <v>2021</v>
      </c>
      <c r="B1261">
        <v>5</v>
      </c>
      <c r="C1261" t="s">
        <v>136</v>
      </c>
      <c r="D1261" t="s">
        <v>54</v>
      </c>
      <c r="E1261" t="s">
        <v>55</v>
      </c>
      <c r="F1261" t="s">
        <v>22</v>
      </c>
      <c r="G1261">
        <v>1</v>
      </c>
      <c r="H1261">
        <v>20</v>
      </c>
      <c r="I1261">
        <v>0</v>
      </c>
      <c r="J1261" t="s">
        <v>34</v>
      </c>
      <c r="K1261" t="s">
        <v>655</v>
      </c>
      <c r="S1261" t="s">
        <v>83</v>
      </c>
      <c r="T1261">
        <f>IF(TRIM(Table1[[#This Row],[PitStopLaps]])="",0,
LEN(Table1[[#This Row],[PitStopLaps]])-LEN(SUBSTITUTE(Table1[[#This Row],[PitStopLaps]],",",""))+1)</f>
        <v>0</v>
      </c>
      <c r="U1261">
        <f>Table1[[#This Row],[StartPosition]]-Table1[[#This Row],[FinishPosition]]</f>
        <v>-19</v>
      </c>
    </row>
    <row r="1262" spans="1:21" x14ac:dyDescent="0.3">
      <c r="A1262">
        <v>2021</v>
      </c>
      <c r="B1262">
        <v>6</v>
      </c>
      <c r="C1262" t="s">
        <v>111</v>
      </c>
      <c r="D1262" t="s">
        <v>49</v>
      </c>
      <c r="E1262" t="s">
        <v>50</v>
      </c>
      <c r="F1262" t="s">
        <v>33</v>
      </c>
      <c r="G1262">
        <v>6</v>
      </c>
      <c r="H1262">
        <v>1</v>
      </c>
      <c r="I1262">
        <v>25</v>
      </c>
      <c r="J1262" t="s">
        <v>23</v>
      </c>
      <c r="K1262" t="s">
        <v>24</v>
      </c>
      <c r="L1262">
        <v>51</v>
      </c>
      <c r="M1262">
        <v>104.687</v>
      </c>
      <c r="N1262">
        <v>106.266846</v>
      </c>
      <c r="O1262">
        <v>36.987000000000002</v>
      </c>
      <c r="P1262">
        <v>41.95</v>
      </c>
      <c r="Q1262">
        <v>25.131</v>
      </c>
      <c r="R1262" t="s">
        <v>656</v>
      </c>
      <c r="S1262" t="s">
        <v>83</v>
      </c>
      <c r="T1262">
        <f>IF(TRIM(Table1[[#This Row],[PitStopLaps]])="",0,
LEN(Table1[[#This Row],[PitStopLaps]])-LEN(SUBSTITUTE(Table1[[#This Row],[PitStopLaps]],",",""))+1)</f>
        <v>3</v>
      </c>
      <c r="U1262">
        <f>Table1[[#This Row],[StartPosition]]-Table1[[#This Row],[FinishPosition]]</f>
        <v>5</v>
      </c>
    </row>
    <row r="1263" spans="1:21" x14ac:dyDescent="0.3">
      <c r="A1263">
        <v>2021</v>
      </c>
      <c r="B1263">
        <v>6</v>
      </c>
      <c r="C1263" t="s">
        <v>111</v>
      </c>
      <c r="D1263" t="s">
        <v>20</v>
      </c>
      <c r="E1263" t="s">
        <v>21</v>
      </c>
      <c r="F1263" t="s">
        <v>603</v>
      </c>
      <c r="G1263">
        <v>11</v>
      </c>
      <c r="H1263">
        <v>2</v>
      </c>
      <c r="I1263">
        <v>18</v>
      </c>
      <c r="J1263" t="s">
        <v>23</v>
      </c>
      <c r="K1263" t="s">
        <v>24</v>
      </c>
      <c r="L1263">
        <v>51</v>
      </c>
      <c r="M1263">
        <v>104.89</v>
      </c>
      <c r="N1263">
        <v>106.93194800000001</v>
      </c>
      <c r="O1263">
        <v>37.228000000000002</v>
      </c>
      <c r="P1263">
        <v>42.354999999999997</v>
      </c>
      <c r="Q1263">
        <v>24.97</v>
      </c>
      <c r="R1263" t="s">
        <v>657</v>
      </c>
      <c r="S1263" t="s">
        <v>83</v>
      </c>
      <c r="T1263">
        <f>IF(TRIM(Table1[[#This Row],[PitStopLaps]])="",0,
LEN(Table1[[#This Row],[PitStopLaps]])-LEN(SUBSTITUTE(Table1[[#This Row],[PitStopLaps]],",",""))+1)</f>
        <v>3</v>
      </c>
      <c r="U1263">
        <f>Table1[[#This Row],[StartPosition]]-Table1[[#This Row],[FinishPosition]]</f>
        <v>9</v>
      </c>
    </row>
    <row r="1264" spans="1:21" x14ac:dyDescent="0.3">
      <c r="A1264">
        <v>2021</v>
      </c>
      <c r="B1264">
        <v>6</v>
      </c>
      <c r="C1264" t="s">
        <v>111</v>
      </c>
      <c r="D1264" t="s">
        <v>73</v>
      </c>
      <c r="E1264" t="s">
        <v>74</v>
      </c>
      <c r="F1264" t="s">
        <v>438</v>
      </c>
      <c r="G1264">
        <v>4</v>
      </c>
      <c r="H1264">
        <v>3</v>
      </c>
      <c r="I1264">
        <v>15</v>
      </c>
      <c r="J1264" t="s">
        <v>23</v>
      </c>
      <c r="K1264" t="s">
        <v>24</v>
      </c>
      <c r="L1264">
        <v>51</v>
      </c>
      <c r="M1264">
        <v>105.22</v>
      </c>
      <c r="N1264">
        <v>106.991923</v>
      </c>
      <c r="O1264">
        <v>37.201999999999998</v>
      </c>
      <c r="P1264">
        <v>42.033999999999999</v>
      </c>
      <c r="Q1264">
        <v>25.405999999999999</v>
      </c>
      <c r="R1264" t="s">
        <v>658</v>
      </c>
      <c r="S1264" t="s">
        <v>83</v>
      </c>
      <c r="T1264">
        <f>IF(TRIM(Table1[[#This Row],[PitStopLaps]])="",0,
LEN(Table1[[#This Row],[PitStopLaps]])-LEN(SUBSTITUTE(Table1[[#This Row],[PitStopLaps]],",",""))+1)</f>
        <v>3</v>
      </c>
      <c r="U1264">
        <f>Table1[[#This Row],[StartPosition]]-Table1[[#This Row],[FinishPosition]]</f>
        <v>1</v>
      </c>
    </row>
    <row r="1265" spans="1:21" x14ac:dyDescent="0.3">
      <c r="A1265">
        <v>2021</v>
      </c>
      <c r="B1265">
        <v>6</v>
      </c>
      <c r="C1265" t="s">
        <v>111</v>
      </c>
      <c r="D1265" t="s">
        <v>54</v>
      </c>
      <c r="E1265" t="s">
        <v>55</v>
      </c>
      <c r="F1265" t="s">
        <v>22</v>
      </c>
      <c r="G1265">
        <v>1</v>
      </c>
      <c r="H1265">
        <v>4</v>
      </c>
      <c r="I1265">
        <v>12</v>
      </c>
      <c r="J1265" t="s">
        <v>34</v>
      </c>
      <c r="K1265" t="s">
        <v>24</v>
      </c>
      <c r="L1265">
        <v>51</v>
      </c>
      <c r="M1265">
        <v>105.38200000000001</v>
      </c>
      <c r="N1265">
        <v>107.184743</v>
      </c>
      <c r="O1265">
        <v>37.246000000000002</v>
      </c>
      <c r="P1265">
        <v>42.348999999999997</v>
      </c>
      <c r="Q1265">
        <v>25.236999999999998</v>
      </c>
      <c r="R1265" t="s">
        <v>659</v>
      </c>
      <c r="S1265" t="s">
        <v>83</v>
      </c>
      <c r="T1265">
        <f>IF(TRIM(Table1[[#This Row],[PitStopLaps]])="",0,
LEN(Table1[[#This Row],[PitStopLaps]])-LEN(SUBSTITUTE(Table1[[#This Row],[PitStopLaps]],",",""))+1)</f>
        <v>3</v>
      </c>
      <c r="U1265">
        <f>Table1[[#This Row],[StartPosition]]-Table1[[#This Row],[FinishPosition]]</f>
        <v>-3</v>
      </c>
    </row>
    <row r="1266" spans="1:21" x14ac:dyDescent="0.3">
      <c r="A1266">
        <v>2021</v>
      </c>
      <c r="B1266">
        <v>6</v>
      </c>
      <c r="C1266" t="s">
        <v>111</v>
      </c>
      <c r="D1266" t="s">
        <v>246</v>
      </c>
      <c r="E1266" t="s">
        <v>247</v>
      </c>
      <c r="F1266" t="s">
        <v>37</v>
      </c>
      <c r="G1266">
        <v>9</v>
      </c>
      <c r="H1266">
        <v>5</v>
      </c>
      <c r="I1266">
        <v>10</v>
      </c>
      <c r="J1266" t="s">
        <v>34</v>
      </c>
      <c r="K1266" t="s">
        <v>24</v>
      </c>
      <c r="L1266">
        <v>51</v>
      </c>
      <c r="M1266">
        <v>105.32599999999999</v>
      </c>
      <c r="N1266">
        <v>108.2895</v>
      </c>
      <c r="O1266">
        <v>37.542000000000002</v>
      </c>
      <c r="P1266">
        <v>42.518000000000001</v>
      </c>
      <c r="Q1266">
        <v>24.981000000000002</v>
      </c>
      <c r="R1266" t="s">
        <v>660</v>
      </c>
      <c r="S1266" t="s">
        <v>83</v>
      </c>
      <c r="T1266">
        <f>IF(TRIM(Table1[[#This Row],[PitStopLaps]])="",0,
LEN(Table1[[#This Row],[PitStopLaps]])-LEN(SUBSTITUTE(Table1[[#This Row],[PitStopLaps]],",",""))+1)</f>
        <v>3</v>
      </c>
      <c r="U1266">
        <f>Table1[[#This Row],[StartPosition]]-Table1[[#This Row],[FinishPosition]]</f>
        <v>4</v>
      </c>
    </row>
    <row r="1267" spans="1:21" x14ac:dyDescent="0.3">
      <c r="A1267">
        <v>2021</v>
      </c>
      <c r="B1267">
        <v>6</v>
      </c>
      <c r="C1267" t="s">
        <v>111</v>
      </c>
      <c r="D1267" t="s">
        <v>35</v>
      </c>
      <c r="E1267" t="s">
        <v>36</v>
      </c>
      <c r="F1267" t="s">
        <v>607</v>
      </c>
      <c r="G1267">
        <v>8</v>
      </c>
      <c r="H1267">
        <v>6</v>
      </c>
      <c r="I1267">
        <v>8</v>
      </c>
      <c r="J1267" t="s">
        <v>34</v>
      </c>
      <c r="K1267" t="s">
        <v>24</v>
      </c>
      <c r="L1267">
        <v>51</v>
      </c>
      <c r="M1267">
        <v>105.624</v>
      </c>
      <c r="N1267">
        <v>108.895307</v>
      </c>
      <c r="O1267">
        <v>37.664000000000001</v>
      </c>
      <c r="P1267">
        <v>42.505000000000003</v>
      </c>
      <c r="Q1267">
        <v>25.065000000000001</v>
      </c>
      <c r="R1267" t="s">
        <v>661</v>
      </c>
      <c r="S1267" t="s">
        <v>83</v>
      </c>
      <c r="T1267">
        <f>IF(TRIM(Table1[[#This Row],[PitStopLaps]])="",0,
LEN(Table1[[#This Row],[PitStopLaps]])-LEN(SUBSTITUTE(Table1[[#This Row],[PitStopLaps]],",",""))+1)</f>
        <v>4</v>
      </c>
      <c r="U1267">
        <f>Table1[[#This Row],[StartPosition]]-Table1[[#This Row],[FinishPosition]]</f>
        <v>2</v>
      </c>
    </row>
    <row r="1268" spans="1:21" x14ac:dyDescent="0.3">
      <c r="A1268">
        <v>2021</v>
      </c>
      <c r="B1268">
        <v>6</v>
      </c>
      <c r="C1268" t="s">
        <v>111</v>
      </c>
      <c r="D1268" t="s">
        <v>601</v>
      </c>
      <c r="E1268" t="s">
        <v>602</v>
      </c>
      <c r="F1268" t="s">
        <v>438</v>
      </c>
      <c r="G1268">
        <v>7</v>
      </c>
      <c r="H1268">
        <v>7</v>
      </c>
      <c r="I1268">
        <v>6</v>
      </c>
      <c r="J1268" t="s">
        <v>34</v>
      </c>
      <c r="K1268" t="s">
        <v>24</v>
      </c>
      <c r="L1268">
        <v>51</v>
      </c>
      <c r="M1268">
        <v>104.93899999999999</v>
      </c>
      <c r="N1268">
        <v>107.14112799999999</v>
      </c>
      <c r="O1268">
        <v>37.290999999999997</v>
      </c>
      <c r="P1268">
        <v>42.322000000000003</v>
      </c>
      <c r="Q1268">
        <v>24.937000000000001</v>
      </c>
      <c r="R1268" t="s">
        <v>659</v>
      </c>
      <c r="S1268" t="s">
        <v>83</v>
      </c>
      <c r="T1268">
        <f>IF(TRIM(Table1[[#This Row],[PitStopLaps]])="",0,
LEN(Table1[[#This Row],[PitStopLaps]])-LEN(SUBSTITUTE(Table1[[#This Row],[PitStopLaps]],",",""))+1)</f>
        <v>3</v>
      </c>
      <c r="U1268">
        <f>Table1[[#This Row],[StartPosition]]-Table1[[#This Row],[FinishPosition]]</f>
        <v>0</v>
      </c>
    </row>
    <row r="1269" spans="1:21" x14ac:dyDescent="0.3">
      <c r="A1269">
        <v>2021</v>
      </c>
      <c r="B1269">
        <v>6</v>
      </c>
      <c r="C1269" t="s">
        <v>111</v>
      </c>
      <c r="D1269" t="s">
        <v>47</v>
      </c>
      <c r="E1269" t="s">
        <v>48</v>
      </c>
      <c r="F1269" t="s">
        <v>22</v>
      </c>
      <c r="G1269">
        <v>5</v>
      </c>
      <c r="H1269">
        <v>8</v>
      </c>
      <c r="I1269">
        <v>4</v>
      </c>
      <c r="J1269" t="s">
        <v>34</v>
      </c>
      <c r="K1269" t="s">
        <v>24</v>
      </c>
      <c r="L1269">
        <v>51</v>
      </c>
      <c r="M1269">
        <v>105.7</v>
      </c>
      <c r="N1269">
        <v>107.37681499999999</v>
      </c>
      <c r="O1269">
        <v>37.417999999999999</v>
      </c>
      <c r="P1269">
        <v>42.567</v>
      </c>
      <c r="Q1269">
        <v>25.148</v>
      </c>
      <c r="R1269" t="s">
        <v>662</v>
      </c>
      <c r="S1269" t="s">
        <v>83</v>
      </c>
      <c r="T1269">
        <f>IF(TRIM(Table1[[#This Row],[PitStopLaps]])="",0,
LEN(Table1[[#This Row],[PitStopLaps]])-LEN(SUBSTITUTE(Table1[[#This Row],[PitStopLaps]],",",""))+1)</f>
        <v>3</v>
      </c>
      <c r="U1269">
        <f>Table1[[#This Row],[StartPosition]]-Table1[[#This Row],[FinishPosition]]</f>
        <v>-3</v>
      </c>
    </row>
    <row r="1270" spans="1:21" x14ac:dyDescent="0.3">
      <c r="A1270">
        <v>2021</v>
      </c>
      <c r="B1270">
        <v>6</v>
      </c>
      <c r="C1270" t="s">
        <v>111</v>
      </c>
      <c r="D1270" t="s">
        <v>31</v>
      </c>
      <c r="E1270" t="s">
        <v>32</v>
      </c>
      <c r="F1270" t="s">
        <v>37</v>
      </c>
      <c r="G1270">
        <v>13</v>
      </c>
      <c r="H1270">
        <v>9</v>
      </c>
      <c r="I1270">
        <v>2</v>
      </c>
      <c r="J1270" t="s">
        <v>34</v>
      </c>
      <c r="K1270" t="s">
        <v>24</v>
      </c>
      <c r="L1270">
        <v>51</v>
      </c>
      <c r="M1270">
        <v>105.71299999999999</v>
      </c>
      <c r="N1270">
        <v>108.573825</v>
      </c>
      <c r="O1270">
        <v>37.61</v>
      </c>
      <c r="P1270">
        <v>42.725000000000001</v>
      </c>
      <c r="Q1270">
        <v>25.033000000000001</v>
      </c>
      <c r="R1270" t="s">
        <v>658</v>
      </c>
      <c r="S1270" t="s">
        <v>83</v>
      </c>
      <c r="T1270">
        <f>IF(TRIM(Table1[[#This Row],[PitStopLaps]])="",0,
LEN(Table1[[#This Row],[PitStopLaps]])-LEN(SUBSTITUTE(Table1[[#This Row],[PitStopLaps]],",",""))+1)</f>
        <v>3</v>
      </c>
      <c r="U1270">
        <f>Table1[[#This Row],[StartPosition]]-Table1[[#This Row],[FinishPosition]]</f>
        <v>4</v>
      </c>
    </row>
    <row r="1271" spans="1:21" x14ac:dyDescent="0.3">
      <c r="A1271">
        <v>2021</v>
      </c>
      <c r="B1271">
        <v>6</v>
      </c>
      <c r="C1271" t="s">
        <v>111</v>
      </c>
      <c r="D1271" t="s">
        <v>29</v>
      </c>
      <c r="E1271" t="s">
        <v>30</v>
      </c>
      <c r="F1271" t="s">
        <v>243</v>
      </c>
      <c r="G1271">
        <v>14</v>
      </c>
      <c r="H1271">
        <v>10</v>
      </c>
      <c r="I1271">
        <v>1</v>
      </c>
      <c r="J1271" t="s">
        <v>34</v>
      </c>
      <c r="K1271" t="s">
        <v>24</v>
      </c>
      <c r="L1271">
        <v>51</v>
      </c>
      <c r="M1271">
        <v>105.601</v>
      </c>
      <c r="N1271">
        <v>108.951025</v>
      </c>
      <c r="O1271">
        <v>37.581000000000003</v>
      </c>
      <c r="P1271">
        <v>42.588999999999999</v>
      </c>
      <c r="Q1271">
        <v>24.984999999999999</v>
      </c>
      <c r="R1271" t="s">
        <v>656</v>
      </c>
      <c r="S1271" t="s">
        <v>83</v>
      </c>
      <c r="T1271">
        <f>IF(TRIM(Table1[[#This Row],[PitStopLaps]])="",0,
LEN(Table1[[#This Row],[PitStopLaps]])-LEN(SUBSTITUTE(Table1[[#This Row],[PitStopLaps]],",",""))+1)</f>
        <v>3</v>
      </c>
      <c r="U1271">
        <f>Table1[[#This Row],[StartPosition]]-Table1[[#This Row],[FinishPosition]]</f>
        <v>4</v>
      </c>
    </row>
    <row r="1272" spans="1:21" x14ac:dyDescent="0.3">
      <c r="A1272">
        <v>2021</v>
      </c>
      <c r="B1272">
        <v>6</v>
      </c>
      <c r="C1272" t="s">
        <v>111</v>
      </c>
      <c r="D1272" t="s">
        <v>250</v>
      </c>
      <c r="E1272" t="s">
        <v>251</v>
      </c>
      <c r="F1272" t="s">
        <v>243</v>
      </c>
      <c r="G1272">
        <v>20</v>
      </c>
      <c r="H1272">
        <v>11</v>
      </c>
      <c r="I1272">
        <v>0</v>
      </c>
      <c r="J1272" t="s">
        <v>34</v>
      </c>
      <c r="K1272" t="s">
        <v>24</v>
      </c>
      <c r="L1272">
        <v>51</v>
      </c>
      <c r="M1272">
        <v>105.575</v>
      </c>
      <c r="N1272">
        <v>108.76161500000001</v>
      </c>
      <c r="O1272">
        <v>37.688000000000002</v>
      </c>
      <c r="P1272">
        <v>42.731000000000002</v>
      </c>
      <c r="Q1272">
        <v>24.905000000000001</v>
      </c>
      <c r="R1272" t="s">
        <v>663</v>
      </c>
      <c r="S1272" t="s">
        <v>83</v>
      </c>
      <c r="T1272">
        <f>IF(TRIM(Table1[[#This Row],[PitStopLaps]])="",0,
LEN(Table1[[#This Row],[PitStopLaps]])-LEN(SUBSTITUTE(Table1[[#This Row],[PitStopLaps]],",",""))+1)</f>
        <v>4</v>
      </c>
      <c r="U1272">
        <f>Table1[[#This Row],[StartPosition]]-Table1[[#This Row],[FinishPosition]]</f>
        <v>9</v>
      </c>
    </row>
    <row r="1273" spans="1:21" x14ac:dyDescent="0.3">
      <c r="A1273">
        <v>2021</v>
      </c>
      <c r="B1273">
        <v>6</v>
      </c>
      <c r="C1273" t="s">
        <v>111</v>
      </c>
      <c r="D1273" t="s">
        <v>43</v>
      </c>
      <c r="E1273" t="s">
        <v>44</v>
      </c>
      <c r="F1273" t="s">
        <v>28</v>
      </c>
      <c r="G1273">
        <v>10</v>
      </c>
      <c r="H1273">
        <v>12</v>
      </c>
      <c r="I1273">
        <v>0</v>
      </c>
      <c r="J1273" t="s">
        <v>34</v>
      </c>
      <c r="K1273" t="s">
        <v>24</v>
      </c>
      <c r="L1273">
        <v>51</v>
      </c>
      <c r="M1273">
        <v>105.66500000000001</v>
      </c>
      <c r="N1273">
        <v>108.23455</v>
      </c>
      <c r="O1273">
        <v>37.640999999999998</v>
      </c>
      <c r="P1273">
        <v>42.674999999999997</v>
      </c>
      <c r="Q1273">
        <v>25.094999999999999</v>
      </c>
      <c r="R1273" t="s">
        <v>658</v>
      </c>
      <c r="S1273" t="s">
        <v>83</v>
      </c>
      <c r="T1273">
        <f>IF(TRIM(Table1[[#This Row],[PitStopLaps]])="",0,
LEN(Table1[[#This Row],[PitStopLaps]])-LEN(SUBSTITUTE(Table1[[#This Row],[PitStopLaps]],",",""))+1)</f>
        <v>3</v>
      </c>
      <c r="U1273">
        <f>Table1[[#This Row],[StartPosition]]-Table1[[#This Row],[FinishPosition]]</f>
        <v>-2</v>
      </c>
    </row>
    <row r="1274" spans="1:21" x14ac:dyDescent="0.3">
      <c r="A1274">
        <v>2021</v>
      </c>
      <c r="B1274">
        <v>6</v>
      </c>
      <c r="C1274" t="s">
        <v>111</v>
      </c>
      <c r="D1274" t="s">
        <v>608</v>
      </c>
      <c r="E1274" t="s">
        <v>609</v>
      </c>
      <c r="F1274" t="s">
        <v>69</v>
      </c>
      <c r="G1274">
        <v>17</v>
      </c>
      <c r="H1274">
        <v>13</v>
      </c>
      <c r="I1274">
        <v>0</v>
      </c>
      <c r="J1274" t="s">
        <v>34</v>
      </c>
      <c r="K1274" t="s">
        <v>24</v>
      </c>
      <c r="L1274">
        <v>51</v>
      </c>
      <c r="M1274">
        <v>107.624</v>
      </c>
      <c r="N1274">
        <v>109.048783</v>
      </c>
      <c r="O1274">
        <v>37.936999999999998</v>
      </c>
      <c r="P1274">
        <v>42.771000000000001</v>
      </c>
      <c r="Q1274">
        <v>25.109000000000002</v>
      </c>
      <c r="R1274" t="s">
        <v>664</v>
      </c>
      <c r="S1274" t="s">
        <v>83</v>
      </c>
      <c r="T1274">
        <f>IF(TRIM(Table1[[#This Row],[PitStopLaps]])="",0,
LEN(Table1[[#This Row],[PitStopLaps]])-LEN(SUBSTITUTE(Table1[[#This Row],[PitStopLaps]],",",""))+1)</f>
        <v>5</v>
      </c>
      <c r="U1274">
        <f>Table1[[#This Row],[StartPosition]]-Table1[[#This Row],[FinishPosition]]</f>
        <v>4</v>
      </c>
    </row>
    <row r="1275" spans="1:21" x14ac:dyDescent="0.3">
      <c r="A1275">
        <v>2021</v>
      </c>
      <c r="B1275">
        <v>6</v>
      </c>
      <c r="C1275" t="s">
        <v>111</v>
      </c>
      <c r="D1275" t="s">
        <v>613</v>
      </c>
      <c r="E1275" t="s">
        <v>614</v>
      </c>
      <c r="F1275" t="s">
        <v>69</v>
      </c>
      <c r="G1275">
        <v>18</v>
      </c>
      <c r="H1275">
        <v>14</v>
      </c>
      <c r="I1275">
        <v>0</v>
      </c>
      <c r="J1275" t="s">
        <v>34</v>
      </c>
      <c r="K1275" t="s">
        <v>24</v>
      </c>
      <c r="L1275">
        <v>51</v>
      </c>
      <c r="M1275">
        <v>107.747</v>
      </c>
      <c r="N1275">
        <v>110.063444</v>
      </c>
      <c r="O1275">
        <v>38.167999999999999</v>
      </c>
      <c r="P1275">
        <v>43.154000000000003</v>
      </c>
      <c r="Q1275">
        <v>25.693000000000001</v>
      </c>
      <c r="R1275" t="s">
        <v>665</v>
      </c>
      <c r="S1275" t="s">
        <v>83</v>
      </c>
      <c r="T1275">
        <f>IF(TRIM(Table1[[#This Row],[PitStopLaps]])="",0,
LEN(Table1[[#This Row],[PitStopLaps]])-LEN(SUBSTITUTE(Table1[[#This Row],[PitStopLaps]],",",""))+1)</f>
        <v>6</v>
      </c>
      <c r="U1275">
        <f>Table1[[#This Row],[StartPosition]]-Table1[[#This Row],[FinishPosition]]</f>
        <v>4</v>
      </c>
    </row>
    <row r="1276" spans="1:21" x14ac:dyDescent="0.3">
      <c r="A1276">
        <v>2021</v>
      </c>
      <c r="B1276">
        <v>6</v>
      </c>
      <c r="C1276" t="s">
        <v>111</v>
      </c>
      <c r="D1276" t="s">
        <v>26</v>
      </c>
      <c r="E1276" t="s">
        <v>27</v>
      </c>
      <c r="F1276" t="s">
        <v>28</v>
      </c>
      <c r="G1276">
        <v>2</v>
      </c>
      <c r="H1276">
        <v>15</v>
      </c>
      <c r="I1276">
        <v>0</v>
      </c>
      <c r="J1276" t="s">
        <v>34</v>
      </c>
      <c r="K1276" t="s">
        <v>24</v>
      </c>
      <c r="L1276">
        <v>51</v>
      </c>
      <c r="M1276">
        <v>104.76900000000001</v>
      </c>
      <c r="N1276">
        <v>106.476102</v>
      </c>
      <c r="O1276">
        <v>37.195999999999998</v>
      </c>
      <c r="P1276">
        <v>42.253</v>
      </c>
      <c r="Q1276">
        <v>24.829000000000001</v>
      </c>
      <c r="R1276" t="s">
        <v>658</v>
      </c>
      <c r="S1276" t="s">
        <v>83</v>
      </c>
      <c r="T1276">
        <f>IF(TRIM(Table1[[#This Row],[PitStopLaps]])="",0,
LEN(Table1[[#This Row],[PitStopLaps]])-LEN(SUBSTITUTE(Table1[[#This Row],[PitStopLaps]],",",""))+1)</f>
        <v>3</v>
      </c>
      <c r="U1276">
        <f>Table1[[#This Row],[StartPosition]]-Table1[[#This Row],[FinishPosition]]</f>
        <v>-13</v>
      </c>
    </row>
    <row r="1277" spans="1:21" x14ac:dyDescent="0.3">
      <c r="A1277">
        <v>2021</v>
      </c>
      <c r="B1277">
        <v>6</v>
      </c>
      <c r="C1277" t="s">
        <v>111</v>
      </c>
      <c r="D1277" t="s">
        <v>440</v>
      </c>
      <c r="E1277" t="s">
        <v>441</v>
      </c>
      <c r="F1277" t="s">
        <v>60</v>
      </c>
      <c r="G1277">
        <v>16</v>
      </c>
      <c r="H1277">
        <v>16</v>
      </c>
      <c r="I1277">
        <v>0</v>
      </c>
      <c r="J1277" t="s">
        <v>34</v>
      </c>
      <c r="K1277" t="s">
        <v>24</v>
      </c>
      <c r="L1277">
        <v>51</v>
      </c>
      <c r="M1277">
        <v>106.608</v>
      </c>
      <c r="N1277">
        <v>108.814179</v>
      </c>
      <c r="O1277">
        <v>37.744</v>
      </c>
      <c r="P1277">
        <v>43.212000000000003</v>
      </c>
      <c r="Q1277">
        <v>25.033000000000001</v>
      </c>
      <c r="R1277" t="s">
        <v>666</v>
      </c>
      <c r="S1277" t="s">
        <v>83</v>
      </c>
      <c r="T1277">
        <f>IF(TRIM(Table1[[#This Row],[PitStopLaps]])="",0,
LEN(Table1[[#This Row],[PitStopLaps]])-LEN(SUBSTITUTE(Table1[[#This Row],[PitStopLaps]],",",""))+1)</f>
        <v>2</v>
      </c>
      <c r="U1277">
        <f>Table1[[#This Row],[StartPosition]]-Table1[[#This Row],[FinishPosition]]</f>
        <v>0</v>
      </c>
    </row>
    <row r="1278" spans="1:21" x14ac:dyDescent="0.3">
      <c r="A1278">
        <v>2021</v>
      </c>
      <c r="B1278">
        <v>6</v>
      </c>
      <c r="C1278" t="s">
        <v>111</v>
      </c>
      <c r="D1278" t="s">
        <v>252</v>
      </c>
      <c r="E1278" t="s">
        <v>253</v>
      </c>
      <c r="F1278" t="s">
        <v>60</v>
      </c>
      <c r="G1278">
        <v>15</v>
      </c>
      <c r="H1278">
        <v>17</v>
      </c>
      <c r="I1278">
        <v>0</v>
      </c>
      <c r="J1278" t="s">
        <v>34</v>
      </c>
      <c r="K1278" t="s">
        <v>132</v>
      </c>
      <c r="L1278">
        <v>48</v>
      </c>
      <c r="M1278">
        <v>105.959</v>
      </c>
      <c r="N1278">
        <v>108.340131</v>
      </c>
      <c r="O1278">
        <v>37.682000000000002</v>
      </c>
      <c r="P1278">
        <v>42.984000000000002</v>
      </c>
      <c r="Q1278">
        <v>25.036000000000001</v>
      </c>
      <c r="R1278" t="s">
        <v>667</v>
      </c>
      <c r="S1278" t="s">
        <v>83</v>
      </c>
      <c r="T1278">
        <f>IF(TRIM(Table1[[#This Row],[PitStopLaps]])="",0,
LEN(Table1[[#This Row],[PitStopLaps]])-LEN(SUBSTITUTE(Table1[[#This Row],[PitStopLaps]],",",""))+1)</f>
        <v>4</v>
      </c>
      <c r="U1278">
        <f>Table1[[#This Row],[StartPosition]]-Table1[[#This Row],[FinishPosition]]</f>
        <v>-2</v>
      </c>
    </row>
    <row r="1279" spans="1:21" x14ac:dyDescent="0.3">
      <c r="A1279">
        <v>2021</v>
      </c>
      <c r="B1279">
        <v>6</v>
      </c>
      <c r="C1279" t="s">
        <v>111</v>
      </c>
      <c r="D1279" t="s">
        <v>38</v>
      </c>
      <c r="E1279" t="s">
        <v>39</v>
      </c>
      <c r="F1279" t="s">
        <v>33</v>
      </c>
      <c r="G1279">
        <v>3</v>
      </c>
      <c r="H1279">
        <v>18</v>
      </c>
      <c r="I1279">
        <v>0</v>
      </c>
      <c r="J1279" t="s">
        <v>34</v>
      </c>
      <c r="K1279" t="s">
        <v>123</v>
      </c>
      <c r="L1279">
        <v>46</v>
      </c>
      <c r="M1279">
        <v>104.48099999999999</v>
      </c>
      <c r="N1279">
        <v>106.119378</v>
      </c>
      <c r="O1279">
        <v>36.911000000000001</v>
      </c>
      <c r="P1279">
        <v>41.941000000000003</v>
      </c>
      <c r="Q1279">
        <v>25.295999999999999</v>
      </c>
      <c r="R1279">
        <v>12</v>
      </c>
      <c r="S1279" t="s">
        <v>83</v>
      </c>
      <c r="T1279">
        <f>IF(TRIM(Table1[[#This Row],[PitStopLaps]])="",0,
LEN(Table1[[#This Row],[PitStopLaps]])-LEN(SUBSTITUTE(Table1[[#This Row],[PitStopLaps]],",",""))+1)</f>
        <v>1</v>
      </c>
      <c r="U1279">
        <f>Table1[[#This Row],[StartPosition]]-Table1[[#This Row],[FinishPosition]]</f>
        <v>-15</v>
      </c>
    </row>
    <row r="1280" spans="1:21" x14ac:dyDescent="0.3">
      <c r="A1280">
        <v>2021</v>
      </c>
      <c r="B1280">
        <v>6</v>
      </c>
      <c r="C1280" t="s">
        <v>111</v>
      </c>
      <c r="D1280" t="s">
        <v>58</v>
      </c>
      <c r="E1280" t="s">
        <v>59</v>
      </c>
      <c r="F1280" t="s">
        <v>603</v>
      </c>
      <c r="G1280">
        <v>19</v>
      </c>
      <c r="H1280">
        <v>19</v>
      </c>
      <c r="I1280">
        <v>0</v>
      </c>
      <c r="J1280" t="s">
        <v>34</v>
      </c>
      <c r="K1280" t="s">
        <v>123</v>
      </c>
      <c r="L1280">
        <v>30</v>
      </c>
      <c r="M1280">
        <v>106.20699999999999</v>
      </c>
      <c r="N1280">
        <v>107.536035</v>
      </c>
      <c r="O1280">
        <v>37.64</v>
      </c>
      <c r="P1280">
        <v>42.752000000000002</v>
      </c>
      <c r="Q1280">
        <v>25.596</v>
      </c>
      <c r="S1280" t="s">
        <v>83</v>
      </c>
      <c r="T1280">
        <f>IF(TRIM(Table1[[#This Row],[PitStopLaps]])="",0,
LEN(Table1[[#This Row],[PitStopLaps]])-LEN(SUBSTITUTE(Table1[[#This Row],[PitStopLaps]],",",""))+1)</f>
        <v>0</v>
      </c>
      <c r="U1280">
        <f>Table1[[#This Row],[StartPosition]]-Table1[[#This Row],[FinishPosition]]</f>
        <v>0</v>
      </c>
    </row>
    <row r="1281" spans="1:21" x14ac:dyDescent="0.3">
      <c r="A1281">
        <v>2021</v>
      </c>
      <c r="B1281">
        <v>6</v>
      </c>
      <c r="C1281" t="s">
        <v>111</v>
      </c>
      <c r="D1281" t="s">
        <v>52</v>
      </c>
      <c r="E1281" t="s">
        <v>53</v>
      </c>
      <c r="F1281" t="s">
        <v>607</v>
      </c>
      <c r="G1281">
        <v>12</v>
      </c>
      <c r="H1281">
        <v>20</v>
      </c>
      <c r="I1281">
        <v>0</v>
      </c>
      <c r="J1281" t="s">
        <v>34</v>
      </c>
      <c r="K1281" t="s">
        <v>135</v>
      </c>
      <c r="L1281">
        <v>3</v>
      </c>
      <c r="M1281">
        <v>110.85</v>
      </c>
      <c r="N1281">
        <v>110.85</v>
      </c>
      <c r="O1281">
        <v>39.768999999999998</v>
      </c>
      <c r="P1281">
        <v>45.238</v>
      </c>
      <c r="Q1281">
        <v>25.843</v>
      </c>
      <c r="R1281">
        <v>3</v>
      </c>
      <c r="S1281" t="s">
        <v>83</v>
      </c>
      <c r="T1281">
        <f>IF(TRIM(Table1[[#This Row],[PitStopLaps]])="",0,
LEN(Table1[[#This Row],[PitStopLaps]])-LEN(SUBSTITUTE(Table1[[#This Row],[PitStopLaps]],",",""))+1)</f>
        <v>1</v>
      </c>
      <c r="U1281">
        <f>Table1[[#This Row],[StartPosition]]-Table1[[#This Row],[FinishPosition]]</f>
        <v>-8</v>
      </c>
    </row>
    <row r="1282" spans="1:21" x14ac:dyDescent="0.3">
      <c r="A1282">
        <v>2021</v>
      </c>
      <c r="B1282">
        <v>7</v>
      </c>
      <c r="C1282" t="s">
        <v>147</v>
      </c>
      <c r="D1282" t="s">
        <v>38</v>
      </c>
      <c r="E1282" t="s">
        <v>39</v>
      </c>
      <c r="F1282" t="s">
        <v>33</v>
      </c>
      <c r="G1282">
        <v>1</v>
      </c>
      <c r="H1282">
        <v>1</v>
      </c>
      <c r="I1282">
        <v>26</v>
      </c>
      <c r="J1282" t="s">
        <v>23</v>
      </c>
      <c r="K1282" t="s">
        <v>24</v>
      </c>
      <c r="L1282">
        <v>53</v>
      </c>
      <c r="M1282">
        <v>96.403999999999996</v>
      </c>
      <c r="N1282">
        <v>98.003</v>
      </c>
      <c r="O1282">
        <v>24.510999999999999</v>
      </c>
      <c r="P1282">
        <v>28.885000000000002</v>
      </c>
      <c r="Q1282">
        <v>42.9</v>
      </c>
      <c r="R1282" t="s">
        <v>668</v>
      </c>
      <c r="S1282" t="s">
        <v>83</v>
      </c>
      <c r="T1282">
        <f>IF(TRIM(Table1[[#This Row],[PitStopLaps]])="",0,
LEN(Table1[[#This Row],[PitStopLaps]])-LEN(SUBSTITUTE(Table1[[#This Row],[PitStopLaps]],",",""))+1)</f>
        <v>2</v>
      </c>
      <c r="U1282">
        <f>Table1[[#This Row],[StartPosition]]-Table1[[#This Row],[FinishPosition]]</f>
        <v>0</v>
      </c>
    </row>
    <row r="1283" spans="1:21" x14ac:dyDescent="0.3">
      <c r="A1283">
        <v>2021</v>
      </c>
      <c r="B1283">
        <v>7</v>
      </c>
      <c r="C1283" t="s">
        <v>147</v>
      </c>
      <c r="D1283" t="s">
        <v>26</v>
      </c>
      <c r="E1283" t="s">
        <v>27</v>
      </c>
      <c r="F1283" t="s">
        <v>28</v>
      </c>
      <c r="G1283">
        <v>2</v>
      </c>
      <c r="H1283">
        <v>2</v>
      </c>
      <c r="I1283">
        <v>18</v>
      </c>
      <c r="J1283" t="s">
        <v>23</v>
      </c>
      <c r="K1283" t="s">
        <v>24</v>
      </c>
      <c r="L1283">
        <v>53</v>
      </c>
      <c r="M1283">
        <v>97.41</v>
      </c>
      <c r="N1283">
        <v>98.465159999999997</v>
      </c>
      <c r="O1283">
        <v>24.704000000000001</v>
      </c>
      <c r="P1283">
        <v>28.922000000000001</v>
      </c>
      <c r="Q1283">
        <v>43.031999999999996</v>
      </c>
      <c r="R1283">
        <v>19</v>
      </c>
      <c r="S1283" t="s">
        <v>83</v>
      </c>
      <c r="T1283">
        <f>IF(TRIM(Table1[[#This Row],[PitStopLaps]])="",0,
LEN(Table1[[#This Row],[PitStopLaps]])-LEN(SUBSTITUTE(Table1[[#This Row],[PitStopLaps]],",",""))+1)</f>
        <v>1</v>
      </c>
      <c r="U1283">
        <f>Table1[[#This Row],[StartPosition]]-Table1[[#This Row],[FinishPosition]]</f>
        <v>0</v>
      </c>
    </row>
    <row r="1284" spans="1:21" x14ac:dyDescent="0.3">
      <c r="A1284">
        <v>2021</v>
      </c>
      <c r="B1284">
        <v>7</v>
      </c>
      <c r="C1284" t="s">
        <v>147</v>
      </c>
      <c r="D1284" t="s">
        <v>49</v>
      </c>
      <c r="E1284" t="s">
        <v>50</v>
      </c>
      <c r="F1284" t="s">
        <v>33</v>
      </c>
      <c r="G1284">
        <v>4</v>
      </c>
      <c r="H1284">
        <v>3</v>
      </c>
      <c r="I1284">
        <v>15</v>
      </c>
      <c r="J1284" t="s">
        <v>23</v>
      </c>
      <c r="K1284" t="s">
        <v>24</v>
      </c>
      <c r="L1284">
        <v>53</v>
      </c>
      <c r="M1284">
        <v>96.692999999999998</v>
      </c>
      <c r="N1284">
        <v>98.527379999999994</v>
      </c>
      <c r="O1284">
        <v>24.652000000000001</v>
      </c>
      <c r="P1284">
        <v>28.850999999999999</v>
      </c>
      <c r="Q1284">
        <v>42.981999999999999</v>
      </c>
      <c r="R1284">
        <v>24</v>
      </c>
      <c r="S1284" t="s">
        <v>83</v>
      </c>
      <c r="T1284">
        <f>IF(TRIM(Table1[[#This Row],[PitStopLaps]])="",0,
LEN(Table1[[#This Row],[PitStopLaps]])-LEN(SUBSTITUTE(Table1[[#This Row],[PitStopLaps]],",",""))+1)</f>
        <v>1</v>
      </c>
      <c r="U1284">
        <f>Table1[[#This Row],[StartPosition]]-Table1[[#This Row],[FinishPosition]]</f>
        <v>1</v>
      </c>
    </row>
    <row r="1285" spans="1:21" x14ac:dyDescent="0.3">
      <c r="A1285">
        <v>2021</v>
      </c>
      <c r="B1285">
        <v>7</v>
      </c>
      <c r="C1285" t="s">
        <v>147</v>
      </c>
      <c r="D1285" t="s">
        <v>43</v>
      </c>
      <c r="E1285" t="s">
        <v>44</v>
      </c>
      <c r="F1285" t="s">
        <v>28</v>
      </c>
      <c r="G1285">
        <v>3</v>
      </c>
      <c r="H1285">
        <v>4</v>
      </c>
      <c r="I1285">
        <v>12</v>
      </c>
      <c r="J1285" t="s">
        <v>34</v>
      </c>
      <c r="K1285" t="s">
        <v>24</v>
      </c>
      <c r="L1285">
        <v>53</v>
      </c>
      <c r="M1285">
        <v>96.96</v>
      </c>
      <c r="N1285">
        <v>98.683819999999997</v>
      </c>
      <c r="O1285">
        <v>24.64</v>
      </c>
      <c r="P1285">
        <v>28.805</v>
      </c>
      <c r="Q1285">
        <v>43.264000000000003</v>
      </c>
      <c r="R1285">
        <v>17</v>
      </c>
      <c r="S1285" t="s">
        <v>83</v>
      </c>
      <c r="T1285">
        <f>IF(TRIM(Table1[[#This Row],[PitStopLaps]])="",0,
LEN(Table1[[#This Row],[PitStopLaps]])-LEN(SUBSTITUTE(Table1[[#This Row],[PitStopLaps]],",",""))+1)</f>
        <v>1</v>
      </c>
      <c r="U1285">
        <f>Table1[[#This Row],[StartPosition]]-Table1[[#This Row],[FinishPosition]]</f>
        <v>-1</v>
      </c>
    </row>
    <row r="1286" spans="1:21" x14ac:dyDescent="0.3">
      <c r="A1286">
        <v>2021</v>
      </c>
      <c r="B1286">
        <v>7</v>
      </c>
      <c r="C1286" t="s">
        <v>147</v>
      </c>
      <c r="D1286" t="s">
        <v>246</v>
      </c>
      <c r="E1286" t="s">
        <v>247</v>
      </c>
      <c r="F1286" t="s">
        <v>37</v>
      </c>
      <c r="G1286">
        <v>8</v>
      </c>
      <c r="H1286">
        <v>5</v>
      </c>
      <c r="I1286">
        <v>10</v>
      </c>
      <c r="J1286" t="s">
        <v>34</v>
      </c>
      <c r="K1286" t="s">
        <v>24</v>
      </c>
      <c r="L1286">
        <v>53</v>
      </c>
      <c r="M1286">
        <v>97.424999999999997</v>
      </c>
      <c r="N1286">
        <v>99.493039999999993</v>
      </c>
      <c r="O1286">
        <v>24.64</v>
      </c>
      <c r="P1286">
        <v>28.817</v>
      </c>
      <c r="Q1286">
        <v>43.188000000000002</v>
      </c>
      <c r="R1286">
        <v>24</v>
      </c>
      <c r="S1286" t="s">
        <v>83</v>
      </c>
      <c r="T1286">
        <f>IF(TRIM(Table1[[#This Row],[PitStopLaps]])="",0,
LEN(Table1[[#This Row],[PitStopLaps]])-LEN(SUBSTITUTE(Table1[[#This Row],[PitStopLaps]],",",""))+1)</f>
        <v>1</v>
      </c>
      <c r="U1286">
        <f>Table1[[#This Row],[StartPosition]]-Table1[[#This Row],[FinishPosition]]</f>
        <v>3</v>
      </c>
    </row>
    <row r="1287" spans="1:21" x14ac:dyDescent="0.3">
      <c r="A1287">
        <v>2021</v>
      </c>
      <c r="B1287">
        <v>7</v>
      </c>
      <c r="C1287" t="s">
        <v>147</v>
      </c>
      <c r="D1287" t="s">
        <v>31</v>
      </c>
      <c r="E1287" t="s">
        <v>32</v>
      </c>
      <c r="F1287" t="s">
        <v>37</v>
      </c>
      <c r="G1287">
        <v>10</v>
      </c>
      <c r="H1287">
        <v>6</v>
      </c>
      <c r="I1287">
        <v>8</v>
      </c>
      <c r="J1287" t="s">
        <v>34</v>
      </c>
      <c r="K1287" t="s">
        <v>24</v>
      </c>
      <c r="L1287">
        <v>53</v>
      </c>
      <c r="M1287">
        <v>98.323999999999998</v>
      </c>
      <c r="N1287">
        <v>99.764279999999999</v>
      </c>
      <c r="O1287">
        <v>24.841999999999999</v>
      </c>
      <c r="P1287">
        <v>29.097000000000001</v>
      </c>
      <c r="Q1287">
        <v>43.737000000000002</v>
      </c>
      <c r="R1287">
        <v>16</v>
      </c>
      <c r="S1287" t="s">
        <v>83</v>
      </c>
      <c r="T1287">
        <f>IF(TRIM(Table1[[#This Row],[PitStopLaps]])="",0,
LEN(Table1[[#This Row],[PitStopLaps]])-LEN(SUBSTITUTE(Table1[[#This Row],[PitStopLaps]],",",""))+1)</f>
        <v>1</v>
      </c>
      <c r="U1287">
        <f>Table1[[#This Row],[StartPosition]]-Table1[[#This Row],[FinishPosition]]</f>
        <v>4</v>
      </c>
    </row>
    <row r="1288" spans="1:21" x14ac:dyDescent="0.3">
      <c r="A1288">
        <v>2021</v>
      </c>
      <c r="B1288">
        <v>7</v>
      </c>
      <c r="C1288" t="s">
        <v>147</v>
      </c>
      <c r="D1288" t="s">
        <v>73</v>
      </c>
      <c r="E1288" t="s">
        <v>74</v>
      </c>
      <c r="F1288" t="s">
        <v>438</v>
      </c>
      <c r="G1288">
        <v>6</v>
      </c>
      <c r="H1288">
        <v>7</v>
      </c>
      <c r="I1288">
        <v>6</v>
      </c>
      <c r="J1288" t="s">
        <v>34</v>
      </c>
      <c r="K1288" t="s">
        <v>24</v>
      </c>
      <c r="L1288">
        <v>53</v>
      </c>
      <c r="M1288">
        <v>98.102999999999994</v>
      </c>
      <c r="N1288">
        <v>99.778940000000006</v>
      </c>
      <c r="O1288">
        <v>24.78</v>
      </c>
      <c r="P1288">
        <v>29.376000000000001</v>
      </c>
      <c r="Q1288">
        <v>43.509</v>
      </c>
      <c r="R1288">
        <v>17</v>
      </c>
      <c r="S1288" t="s">
        <v>83</v>
      </c>
      <c r="T1288">
        <f>IF(TRIM(Table1[[#This Row],[PitStopLaps]])="",0,
LEN(Table1[[#This Row],[PitStopLaps]])-LEN(SUBSTITUTE(Table1[[#This Row],[PitStopLaps]],",",""))+1)</f>
        <v>1</v>
      </c>
      <c r="U1288">
        <f>Table1[[#This Row],[StartPosition]]-Table1[[#This Row],[FinishPosition]]</f>
        <v>-1</v>
      </c>
    </row>
    <row r="1289" spans="1:21" x14ac:dyDescent="0.3">
      <c r="A1289">
        <v>2021</v>
      </c>
      <c r="B1289">
        <v>7</v>
      </c>
      <c r="C1289" t="s">
        <v>147</v>
      </c>
      <c r="D1289" t="s">
        <v>35</v>
      </c>
      <c r="E1289" t="s">
        <v>36</v>
      </c>
      <c r="F1289" t="s">
        <v>607</v>
      </c>
      <c r="G1289">
        <v>9</v>
      </c>
      <c r="H1289">
        <v>8</v>
      </c>
      <c r="I1289">
        <v>4</v>
      </c>
      <c r="J1289" t="s">
        <v>34</v>
      </c>
      <c r="K1289" t="s">
        <v>24</v>
      </c>
      <c r="L1289">
        <v>53</v>
      </c>
      <c r="M1289">
        <v>97.646000000000001</v>
      </c>
      <c r="N1289">
        <v>99.784360000000007</v>
      </c>
      <c r="O1289">
        <v>24.686</v>
      </c>
      <c r="P1289">
        <v>29.116</v>
      </c>
      <c r="Q1289">
        <v>43.366999999999997</v>
      </c>
      <c r="R1289">
        <v>18</v>
      </c>
      <c r="S1289" t="s">
        <v>83</v>
      </c>
      <c r="T1289">
        <f>IF(TRIM(Table1[[#This Row],[PitStopLaps]])="",0,
LEN(Table1[[#This Row],[PitStopLaps]])-LEN(SUBSTITUTE(Table1[[#This Row],[PitStopLaps]],",",""))+1)</f>
        <v>1</v>
      </c>
      <c r="U1289">
        <f>Table1[[#This Row],[StartPosition]]-Table1[[#This Row],[FinishPosition]]</f>
        <v>1</v>
      </c>
    </row>
    <row r="1290" spans="1:21" x14ac:dyDescent="0.3">
      <c r="A1290">
        <v>2021</v>
      </c>
      <c r="B1290">
        <v>7</v>
      </c>
      <c r="C1290" t="s">
        <v>147</v>
      </c>
      <c r="D1290" t="s">
        <v>20</v>
      </c>
      <c r="E1290" t="s">
        <v>21</v>
      </c>
      <c r="F1290" t="s">
        <v>603</v>
      </c>
      <c r="G1290">
        <v>12</v>
      </c>
      <c r="H1290">
        <v>9</v>
      </c>
      <c r="I1290">
        <v>2</v>
      </c>
      <c r="J1290" t="s">
        <v>34</v>
      </c>
      <c r="K1290" t="s">
        <v>24</v>
      </c>
      <c r="L1290">
        <v>53</v>
      </c>
      <c r="M1290">
        <v>97.138000000000005</v>
      </c>
      <c r="N1290">
        <v>99.811480000000003</v>
      </c>
      <c r="O1290">
        <v>24.68</v>
      </c>
      <c r="P1290">
        <v>29.073</v>
      </c>
      <c r="Q1290">
        <v>43.375999999999998</v>
      </c>
      <c r="R1290">
        <v>37</v>
      </c>
      <c r="S1290" t="s">
        <v>83</v>
      </c>
      <c r="T1290">
        <f>IF(TRIM(Table1[[#This Row],[PitStopLaps]])="",0,
LEN(Table1[[#This Row],[PitStopLaps]])-LEN(SUBSTITUTE(Table1[[#This Row],[PitStopLaps]],",",""))+1)</f>
        <v>1</v>
      </c>
      <c r="U1290">
        <f>Table1[[#This Row],[StartPosition]]-Table1[[#This Row],[FinishPosition]]</f>
        <v>3</v>
      </c>
    </row>
    <row r="1291" spans="1:21" x14ac:dyDescent="0.3">
      <c r="A1291">
        <v>2021</v>
      </c>
      <c r="B1291">
        <v>7</v>
      </c>
      <c r="C1291" t="s">
        <v>147</v>
      </c>
      <c r="D1291" t="s">
        <v>58</v>
      </c>
      <c r="E1291" t="s">
        <v>59</v>
      </c>
      <c r="F1291" t="s">
        <v>603</v>
      </c>
      <c r="G1291">
        <v>19</v>
      </c>
      <c r="H1291">
        <v>10</v>
      </c>
      <c r="I1291">
        <v>1</v>
      </c>
      <c r="J1291" t="s">
        <v>34</v>
      </c>
      <c r="K1291" t="s">
        <v>24</v>
      </c>
      <c r="L1291">
        <v>53</v>
      </c>
      <c r="M1291">
        <v>97.828000000000003</v>
      </c>
      <c r="N1291">
        <v>99.994739999999993</v>
      </c>
      <c r="O1291">
        <v>24.803999999999998</v>
      </c>
      <c r="P1291">
        <v>28.905000000000001</v>
      </c>
      <c r="Q1291">
        <v>43.545999999999999</v>
      </c>
      <c r="R1291">
        <v>34</v>
      </c>
      <c r="S1291" t="s">
        <v>83</v>
      </c>
      <c r="T1291">
        <f>IF(TRIM(Table1[[#This Row],[PitStopLaps]])="",0,
LEN(Table1[[#This Row],[PitStopLaps]])-LEN(SUBSTITUTE(Table1[[#This Row],[PitStopLaps]],",",""))+1)</f>
        <v>1</v>
      </c>
      <c r="U1291">
        <f>Table1[[#This Row],[StartPosition]]-Table1[[#This Row],[FinishPosition]]</f>
        <v>9</v>
      </c>
    </row>
    <row r="1292" spans="1:21" x14ac:dyDescent="0.3">
      <c r="A1292">
        <v>2021</v>
      </c>
      <c r="B1292">
        <v>7</v>
      </c>
      <c r="C1292" t="s">
        <v>147</v>
      </c>
      <c r="D1292" t="s">
        <v>47</v>
      </c>
      <c r="E1292" t="s">
        <v>48</v>
      </c>
      <c r="F1292" t="s">
        <v>22</v>
      </c>
      <c r="G1292">
        <v>5</v>
      </c>
      <c r="H1292">
        <v>11</v>
      </c>
      <c r="I1292">
        <v>0</v>
      </c>
      <c r="J1292" t="s">
        <v>34</v>
      </c>
      <c r="K1292" t="s">
        <v>24</v>
      </c>
      <c r="L1292">
        <v>53</v>
      </c>
      <c r="M1292">
        <v>98.930999999999997</v>
      </c>
      <c r="N1292">
        <v>100.24852</v>
      </c>
      <c r="O1292">
        <v>24.943000000000001</v>
      </c>
      <c r="P1292">
        <v>29.457000000000001</v>
      </c>
      <c r="Q1292">
        <v>43.953000000000003</v>
      </c>
      <c r="R1292">
        <v>17</v>
      </c>
      <c r="S1292" t="s">
        <v>83</v>
      </c>
      <c r="T1292">
        <f>IF(TRIM(Table1[[#This Row],[PitStopLaps]])="",0,
LEN(Table1[[#This Row],[PitStopLaps]])-LEN(SUBSTITUTE(Table1[[#This Row],[PitStopLaps]],",",""))+1)</f>
        <v>1</v>
      </c>
      <c r="U1292">
        <f>Table1[[#This Row],[StartPosition]]-Table1[[#This Row],[FinishPosition]]</f>
        <v>-6</v>
      </c>
    </row>
    <row r="1293" spans="1:21" x14ac:dyDescent="0.3">
      <c r="A1293">
        <v>2021</v>
      </c>
      <c r="B1293">
        <v>7</v>
      </c>
      <c r="C1293" t="s">
        <v>147</v>
      </c>
      <c r="D1293" t="s">
        <v>252</v>
      </c>
      <c r="E1293" t="s">
        <v>253</v>
      </c>
      <c r="F1293" t="s">
        <v>60</v>
      </c>
      <c r="G1293">
        <v>14</v>
      </c>
      <c r="H1293">
        <v>12</v>
      </c>
      <c r="I1293">
        <v>0</v>
      </c>
      <c r="J1293" t="s">
        <v>34</v>
      </c>
      <c r="K1293" t="s">
        <v>65</v>
      </c>
      <c r="L1293">
        <v>52</v>
      </c>
      <c r="M1293">
        <v>98.313999999999993</v>
      </c>
      <c r="N1293">
        <v>100.334836</v>
      </c>
      <c r="O1293">
        <v>24.986999999999998</v>
      </c>
      <c r="P1293">
        <v>28.893999999999998</v>
      </c>
      <c r="Q1293">
        <v>43.737000000000002</v>
      </c>
      <c r="R1293">
        <v>17</v>
      </c>
      <c r="S1293" t="s">
        <v>83</v>
      </c>
      <c r="T1293">
        <f>IF(TRIM(Table1[[#This Row],[PitStopLaps]])="",0,
LEN(Table1[[#This Row],[PitStopLaps]])-LEN(SUBSTITUTE(Table1[[#This Row],[PitStopLaps]],",",""))+1)</f>
        <v>1</v>
      </c>
      <c r="U1293">
        <f>Table1[[#This Row],[StartPosition]]-Table1[[#This Row],[FinishPosition]]</f>
        <v>2</v>
      </c>
    </row>
    <row r="1294" spans="1:21" x14ac:dyDescent="0.3">
      <c r="A1294">
        <v>2021</v>
      </c>
      <c r="B1294">
        <v>7</v>
      </c>
      <c r="C1294" t="s">
        <v>147</v>
      </c>
      <c r="D1294" t="s">
        <v>601</v>
      </c>
      <c r="E1294" t="s">
        <v>602</v>
      </c>
      <c r="F1294" t="s">
        <v>438</v>
      </c>
      <c r="G1294">
        <v>0</v>
      </c>
      <c r="H1294">
        <v>13</v>
      </c>
      <c r="I1294">
        <v>0</v>
      </c>
      <c r="J1294" t="s">
        <v>34</v>
      </c>
      <c r="K1294" t="s">
        <v>65</v>
      </c>
      <c r="L1294">
        <v>52</v>
      </c>
      <c r="M1294">
        <v>98.98</v>
      </c>
      <c r="N1294">
        <v>100.336122</v>
      </c>
      <c r="O1294">
        <v>25.099</v>
      </c>
      <c r="P1294">
        <v>29.547999999999998</v>
      </c>
      <c r="Q1294">
        <v>44.008000000000003</v>
      </c>
      <c r="R1294">
        <v>15</v>
      </c>
      <c r="S1294" t="s">
        <v>83</v>
      </c>
      <c r="T1294">
        <f>IF(TRIM(Table1[[#This Row],[PitStopLaps]])="",0,
LEN(Table1[[#This Row],[PitStopLaps]])-LEN(SUBSTITUTE(Table1[[#This Row],[PitStopLaps]],",",""))+1)</f>
        <v>1</v>
      </c>
      <c r="U1294">
        <f>Table1[[#This Row],[StartPosition]]-Table1[[#This Row],[FinishPosition]]</f>
        <v>-13</v>
      </c>
    </row>
    <row r="1295" spans="1:21" x14ac:dyDescent="0.3">
      <c r="A1295">
        <v>2021</v>
      </c>
      <c r="B1295">
        <v>7</v>
      </c>
      <c r="C1295" t="s">
        <v>147</v>
      </c>
      <c r="D1295" t="s">
        <v>52</v>
      </c>
      <c r="E1295" t="s">
        <v>53</v>
      </c>
      <c r="F1295" t="s">
        <v>607</v>
      </c>
      <c r="G1295">
        <v>11</v>
      </c>
      <c r="H1295">
        <v>14</v>
      </c>
      <c r="I1295">
        <v>0</v>
      </c>
      <c r="J1295" t="s">
        <v>34</v>
      </c>
      <c r="K1295" t="s">
        <v>65</v>
      </c>
      <c r="L1295">
        <v>52</v>
      </c>
      <c r="M1295">
        <v>98.644999999999996</v>
      </c>
      <c r="N1295">
        <v>100.45087700000001</v>
      </c>
      <c r="O1295">
        <v>25.062999999999999</v>
      </c>
      <c r="P1295">
        <v>29.358000000000001</v>
      </c>
      <c r="Q1295">
        <v>43.942999999999998</v>
      </c>
      <c r="R1295">
        <v>28</v>
      </c>
      <c r="S1295" t="s">
        <v>83</v>
      </c>
      <c r="T1295">
        <f>IF(TRIM(Table1[[#This Row],[PitStopLaps]])="",0,
LEN(Table1[[#This Row],[PitStopLaps]])-LEN(SUBSTITUTE(Table1[[#This Row],[PitStopLaps]],",",""))+1)</f>
        <v>1</v>
      </c>
      <c r="U1295">
        <f>Table1[[#This Row],[StartPosition]]-Table1[[#This Row],[FinishPosition]]</f>
        <v>-3</v>
      </c>
    </row>
    <row r="1296" spans="1:21" x14ac:dyDescent="0.3">
      <c r="A1296">
        <v>2021</v>
      </c>
      <c r="B1296">
        <v>7</v>
      </c>
      <c r="C1296" t="s">
        <v>147</v>
      </c>
      <c r="D1296" t="s">
        <v>250</v>
      </c>
      <c r="E1296" t="s">
        <v>251</v>
      </c>
      <c r="F1296" t="s">
        <v>243</v>
      </c>
      <c r="G1296">
        <v>13</v>
      </c>
      <c r="H1296">
        <v>15</v>
      </c>
      <c r="I1296">
        <v>0</v>
      </c>
      <c r="J1296" t="s">
        <v>34</v>
      </c>
      <c r="K1296" t="s">
        <v>65</v>
      </c>
      <c r="L1296">
        <v>52</v>
      </c>
      <c r="M1296">
        <v>98.701999999999998</v>
      </c>
      <c r="N1296">
        <v>100.52597900000001</v>
      </c>
      <c r="O1296">
        <v>24.946999999999999</v>
      </c>
      <c r="P1296">
        <v>29.603000000000002</v>
      </c>
      <c r="Q1296">
        <v>43.926000000000002</v>
      </c>
      <c r="R1296">
        <v>28</v>
      </c>
      <c r="S1296" t="s">
        <v>83</v>
      </c>
      <c r="T1296">
        <f>IF(TRIM(Table1[[#This Row],[PitStopLaps]])="",0,
LEN(Table1[[#This Row],[PitStopLaps]])-LEN(SUBSTITUTE(Table1[[#This Row],[PitStopLaps]],",",""))+1)</f>
        <v>1</v>
      </c>
      <c r="U1296">
        <f>Table1[[#This Row],[StartPosition]]-Table1[[#This Row],[FinishPosition]]</f>
        <v>-2</v>
      </c>
    </row>
    <row r="1297" spans="1:21" x14ac:dyDescent="0.3">
      <c r="A1297">
        <v>2021</v>
      </c>
      <c r="B1297">
        <v>7</v>
      </c>
      <c r="C1297" t="s">
        <v>147</v>
      </c>
      <c r="D1297" t="s">
        <v>54</v>
      </c>
      <c r="E1297" t="s">
        <v>55</v>
      </c>
      <c r="F1297" t="s">
        <v>22</v>
      </c>
      <c r="G1297">
        <v>7</v>
      </c>
      <c r="H1297">
        <v>16</v>
      </c>
      <c r="I1297">
        <v>0</v>
      </c>
      <c r="J1297" t="s">
        <v>34</v>
      </c>
      <c r="K1297" t="s">
        <v>65</v>
      </c>
      <c r="L1297">
        <v>52</v>
      </c>
      <c r="M1297">
        <v>97.680999999999997</v>
      </c>
      <c r="N1297">
        <v>100.202127</v>
      </c>
      <c r="O1297">
        <v>24.648</v>
      </c>
      <c r="P1297">
        <v>29.349</v>
      </c>
      <c r="Q1297">
        <v>43.418999999999997</v>
      </c>
      <c r="R1297" t="s">
        <v>184</v>
      </c>
      <c r="S1297" t="s">
        <v>83</v>
      </c>
      <c r="T1297">
        <f>IF(TRIM(Table1[[#This Row],[PitStopLaps]])="",0,
LEN(Table1[[#This Row],[PitStopLaps]])-LEN(SUBSTITUTE(Table1[[#This Row],[PitStopLaps]],",",""))+1)</f>
        <v>2</v>
      </c>
      <c r="U1297">
        <f>Table1[[#This Row],[StartPosition]]-Table1[[#This Row],[FinishPosition]]</f>
        <v>-9</v>
      </c>
    </row>
    <row r="1298" spans="1:21" x14ac:dyDescent="0.3">
      <c r="A1298">
        <v>2021</v>
      </c>
      <c r="B1298">
        <v>7</v>
      </c>
      <c r="C1298" t="s">
        <v>147</v>
      </c>
      <c r="D1298" t="s">
        <v>29</v>
      </c>
      <c r="E1298" t="s">
        <v>30</v>
      </c>
      <c r="F1298" t="s">
        <v>243</v>
      </c>
      <c r="G1298">
        <v>17</v>
      </c>
      <c r="H1298">
        <v>17</v>
      </c>
      <c r="I1298">
        <v>0</v>
      </c>
      <c r="J1298" t="s">
        <v>34</v>
      </c>
      <c r="K1298" t="s">
        <v>65</v>
      </c>
      <c r="L1298">
        <v>52</v>
      </c>
      <c r="M1298">
        <v>97.992000000000004</v>
      </c>
      <c r="N1298">
        <v>100.632122</v>
      </c>
      <c r="O1298">
        <v>24.771000000000001</v>
      </c>
      <c r="P1298">
        <v>29.488</v>
      </c>
      <c r="Q1298">
        <v>43.51</v>
      </c>
      <c r="R1298">
        <v>33</v>
      </c>
      <c r="S1298" t="s">
        <v>83</v>
      </c>
      <c r="T1298">
        <f>IF(TRIM(Table1[[#This Row],[PitStopLaps]])="",0,
LEN(Table1[[#This Row],[PitStopLaps]])-LEN(SUBSTITUTE(Table1[[#This Row],[PitStopLaps]],",",""))+1)</f>
        <v>1</v>
      </c>
      <c r="U1298">
        <f>Table1[[#This Row],[StartPosition]]-Table1[[#This Row],[FinishPosition]]</f>
        <v>0</v>
      </c>
    </row>
    <row r="1299" spans="1:21" x14ac:dyDescent="0.3">
      <c r="A1299">
        <v>2021</v>
      </c>
      <c r="B1299">
        <v>7</v>
      </c>
      <c r="C1299" t="s">
        <v>147</v>
      </c>
      <c r="D1299" t="s">
        <v>440</v>
      </c>
      <c r="E1299" t="s">
        <v>441</v>
      </c>
      <c r="F1299" t="s">
        <v>60</v>
      </c>
      <c r="G1299">
        <v>16</v>
      </c>
      <c r="H1299">
        <v>18</v>
      </c>
      <c r="I1299">
        <v>0</v>
      </c>
      <c r="J1299" t="s">
        <v>34</v>
      </c>
      <c r="K1299" t="s">
        <v>65</v>
      </c>
      <c r="L1299">
        <v>52</v>
      </c>
      <c r="M1299">
        <v>98.313000000000002</v>
      </c>
      <c r="N1299">
        <v>100.640224</v>
      </c>
      <c r="O1299">
        <v>24.847000000000001</v>
      </c>
      <c r="P1299">
        <v>29.407</v>
      </c>
      <c r="Q1299">
        <v>43.81</v>
      </c>
      <c r="R1299">
        <v>18</v>
      </c>
      <c r="S1299" t="s">
        <v>83</v>
      </c>
      <c r="T1299">
        <f>IF(TRIM(Table1[[#This Row],[PitStopLaps]])="",0,
LEN(Table1[[#This Row],[PitStopLaps]])-LEN(SUBSTITUTE(Table1[[#This Row],[PitStopLaps]],",",""))+1)</f>
        <v>1</v>
      </c>
      <c r="U1299">
        <f>Table1[[#This Row],[StartPosition]]-Table1[[#This Row],[FinishPosition]]</f>
        <v>-2</v>
      </c>
    </row>
    <row r="1300" spans="1:21" x14ac:dyDescent="0.3">
      <c r="A1300">
        <v>2021</v>
      </c>
      <c r="B1300">
        <v>7</v>
      </c>
      <c r="C1300" t="s">
        <v>147</v>
      </c>
      <c r="D1300" t="s">
        <v>608</v>
      </c>
      <c r="E1300" t="s">
        <v>609</v>
      </c>
      <c r="F1300" t="s">
        <v>69</v>
      </c>
      <c r="G1300">
        <v>15</v>
      </c>
      <c r="H1300">
        <v>19</v>
      </c>
      <c r="I1300">
        <v>0</v>
      </c>
      <c r="J1300" t="s">
        <v>34</v>
      </c>
      <c r="K1300" t="s">
        <v>65</v>
      </c>
      <c r="L1300">
        <v>52</v>
      </c>
      <c r="M1300">
        <v>98.846999999999994</v>
      </c>
      <c r="N1300">
        <v>101.120938</v>
      </c>
      <c r="O1300">
        <v>25.02</v>
      </c>
      <c r="P1300">
        <v>29.95</v>
      </c>
      <c r="Q1300">
        <v>43.865000000000002</v>
      </c>
      <c r="R1300">
        <v>15</v>
      </c>
      <c r="S1300" t="s">
        <v>83</v>
      </c>
      <c r="T1300">
        <f>IF(TRIM(Table1[[#This Row],[PitStopLaps]])="",0,
LEN(Table1[[#This Row],[PitStopLaps]])-LEN(SUBSTITUTE(Table1[[#This Row],[PitStopLaps]],",",""))+1)</f>
        <v>1</v>
      </c>
      <c r="U1300">
        <f>Table1[[#This Row],[StartPosition]]-Table1[[#This Row],[FinishPosition]]</f>
        <v>-4</v>
      </c>
    </row>
    <row r="1301" spans="1:21" x14ac:dyDescent="0.3">
      <c r="A1301">
        <v>2021</v>
      </c>
      <c r="B1301">
        <v>7</v>
      </c>
      <c r="C1301" t="s">
        <v>147</v>
      </c>
      <c r="D1301" t="s">
        <v>613</v>
      </c>
      <c r="E1301" t="s">
        <v>614</v>
      </c>
      <c r="F1301" t="s">
        <v>69</v>
      </c>
      <c r="G1301">
        <v>18</v>
      </c>
      <c r="H1301">
        <v>20</v>
      </c>
      <c r="I1301">
        <v>0</v>
      </c>
      <c r="J1301" t="s">
        <v>34</v>
      </c>
      <c r="K1301" t="s">
        <v>65</v>
      </c>
      <c r="L1301">
        <v>52</v>
      </c>
      <c r="M1301">
        <v>99.316999999999993</v>
      </c>
      <c r="N1301">
        <v>101.399387</v>
      </c>
      <c r="O1301">
        <v>25.434999999999999</v>
      </c>
      <c r="P1301">
        <v>29.853999999999999</v>
      </c>
      <c r="Q1301">
        <v>43.981999999999999</v>
      </c>
      <c r="R1301">
        <v>31</v>
      </c>
      <c r="S1301" t="s">
        <v>83</v>
      </c>
      <c r="T1301">
        <f>IF(TRIM(Table1[[#This Row],[PitStopLaps]])="",0,
LEN(Table1[[#This Row],[PitStopLaps]])-LEN(SUBSTITUTE(Table1[[#This Row],[PitStopLaps]],",",""))+1)</f>
        <v>1</v>
      </c>
      <c r="U1301">
        <f>Table1[[#This Row],[StartPosition]]-Table1[[#This Row],[FinishPosition]]</f>
        <v>-2</v>
      </c>
    </row>
    <row r="1302" spans="1:21" x14ac:dyDescent="0.3">
      <c r="A1302">
        <v>2021</v>
      </c>
      <c r="B1302">
        <v>8</v>
      </c>
      <c r="C1302" t="s">
        <v>445</v>
      </c>
      <c r="D1302" t="s">
        <v>38</v>
      </c>
      <c r="E1302" t="s">
        <v>39</v>
      </c>
      <c r="F1302" t="s">
        <v>33</v>
      </c>
      <c r="G1302">
        <v>1</v>
      </c>
      <c r="H1302">
        <v>1</v>
      </c>
      <c r="I1302">
        <v>25</v>
      </c>
      <c r="J1302" t="s">
        <v>23</v>
      </c>
      <c r="K1302" t="s">
        <v>24</v>
      </c>
      <c r="L1302">
        <v>71</v>
      </c>
      <c r="M1302">
        <v>68.016999999999996</v>
      </c>
      <c r="N1302">
        <v>69.217984999999999</v>
      </c>
      <c r="O1302">
        <v>16.87</v>
      </c>
      <c r="P1302">
        <v>30.384</v>
      </c>
      <c r="Q1302">
        <v>20.677</v>
      </c>
      <c r="R1302">
        <v>29</v>
      </c>
      <c r="S1302" t="s">
        <v>83</v>
      </c>
      <c r="T1302">
        <f>IF(TRIM(Table1[[#This Row],[PitStopLaps]])="",0,
LEN(Table1[[#This Row],[PitStopLaps]])-LEN(SUBSTITUTE(Table1[[#This Row],[PitStopLaps]],",",""))+1)</f>
        <v>1</v>
      </c>
      <c r="U1302">
        <f>Table1[[#This Row],[StartPosition]]-Table1[[#This Row],[FinishPosition]]</f>
        <v>0</v>
      </c>
    </row>
    <row r="1303" spans="1:21" x14ac:dyDescent="0.3">
      <c r="A1303">
        <v>2021</v>
      </c>
      <c r="B1303">
        <v>8</v>
      </c>
      <c r="C1303" t="s">
        <v>445</v>
      </c>
      <c r="D1303" t="s">
        <v>26</v>
      </c>
      <c r="E1303" t="s">
        <v>27</v>
      </c>
      <c r="F1303" t="s">
        <v>28</v>
      </c>
      <c r="G1303">
        <v>2</v>
      </c>
      <c r="H1303">
        <v>2</v>
      </c>
      <c r="I1303">
        <v>19</v>
      </c>
      <c r="J1303" t="s">
        <v>23</v>
      </c>
      <c r="K1303" t="s">
        <v>24</v>
      </c>
      <c r="L1303">
        <v>71</v>
      </c>
      <c r="M1303">
        <v>67.058000000000007</v>
      </c>
      <c r="N1303">
        <v>69.407121000000004</v>
      </c>
      <c r="O1303">
        <v>17.006</v>
      </c>
      <c r="P1303">
        <v>29.673999999999999</v>
      </c>
      <c r="Q1303">
        <v>20.257000000000001</v>
      </c>
      <c r="R1303" t="s">
        <v>669</v>
      </c>
      <c r="S1303" t="s">
        <v>83</v>
      </c>
      <c r="T1303">
        <f>IF(TRIM(Table1[[#This Row],[PitStopLaps]])="",0,
LEN(Table1[[#This Row],[PitStopLaps]])-LEN(SUBSTITUTE(Table1[[#This Row],[PitStopLaps]],",",""))+1)</f>
        <v>2</v>
      </c>
      <c r="U1303">
        <f>Table1[[#This Row],[StartPosition]]-Table1[[#This Row],[FinishPosition]]</f>
        <v>0</v>
      </c>
    </row>
    <row r="1304" spans="1:21" x14ac:dyDescent="0.3">
      <c r="A1304">
        <v>2021</v>
      </c>
      <c r="B1304">
        <v>8</v>
      </c>
      <c r="C1304" t="s">
        <v>445</v>
      </c>
      <c r="D1304" t="s">
        <v>43</v>
      </c>
      <c r="E1304" t="s">
        <v>44</v>
      </c>
      <c r="F1304" t="s">
        <v>28</v>
      </c>
      <c r="G1304">
        <v>5</v>
      </c>
      <c r="H1304">
        <v>3</v>
      </c>
      <c r="I1304">
        <v>15</v>
      </c>
      <c r="J1304" t="s">
        <v>23</v>
      </c>
      <c r="K1304" t="s">
        <v>24</v>
      </c>
      <c r="L1304">
        <v>71</v>
      </c>
      <c r="M1304">
        <v>68.619</v>
      </c>
      <c r="N1304">
        <v>69.856632000000005</v>
      </c>
      <c r="O1304">
        <v>17.128</v>
      </c>
      <c r="P1304">
        <v>30.515000000000001</v>
      </c>
      <c r="Q1304">
        <v>20.622</v>
      </c>
      <c r="R1304">
        <v>27</v>
      </c>
      <c r="S1304" t="s">
        <v>83</v>
      </c>
      <c r="T1304">
        <f>IF(TRIM(Table1[[#This Row],[PitStopLaps]])="",0,
LEN(Table1[[#This Row],[PitStopLaps]])-LEN(SUBSTITUTE(Table1[[#This Row],[PitStopLaps]],",",""))+1)</f>
        <v>1</v>
      </c>
      <c r="U1304">
        <f>Table1[[#This Row],[StartPosition]]-Table1[[#This Row],[FinishPosition]]</f>
        <v>2</v>
      </c>
    </row>
    <row r="1305" spans="1:21" x14ac:dyDescent="0.3">
      <c r="A1305">
        <v>2021</v>
      </c>
      <c r="B1305">
        <v>8</v>
      </c>
      <c r="C1305" t="s">
        <v>445</v>
      </c>
      <c r="D1305" t="s">
        <v>49</v>
      </c>
      <c r="E1305" t="s">
        <v>50</v>
      </c>
      <c r="F1305" t="s">
        <v>33</v>
      </c>
      <c r="G1305">
        <v>4</v>
      </c>
      <c r="H1305">
        <v>4</v>
      </c>
      <c r="I1305">
        <v>12</v>
      </c>
      <c r="J1305" t="s">
        <v>34</v>
      </c>
      <c r="K1305" t="s">
        <v>24</v>
      </c>
      <c r="L1305">
        <v>71</v>
      </c>
      <c r="M1305">
        <v>67.894000000000005</v>
      </c>
      <c r="N1305">
        <v>69.540953999999999</v>
      </c>
      <c r="O1305">
        <v>16.925999999999998</v>
      </c>
      <c r="P1305">
        <v>30.111999999999998</v>
      </c>
      <c r="Q1305">
        <v>20.533999999999999</v>
      </c>
      <c r="R1305" t="s">
        <v>585</v>
      </c>
      <c r="S1305" t="s">
        <v>83</v>
      </c>
      <c r="T1305">
        <f>IF(TRIM(Table1[[#This Row],[PitStopLaps]])="",0,
LEN(Table1[[#This Row],[PitStopLaps]])-LEN(SUBSTITUTE(Table1[[#This Row],[PitStopLaps]],",",""))+1)</f>
        <v>2</v>
      </c>
      <c r="U1305">
        <f>Table1[[#This Row],[StartPosition]]-Table1[[#This Row],[FinishPosition]]</f>
        <v>0</v>
      </c>
    </row>
    <row r="1306" spans="1:21" x14ac:dyDescent="0.3">
      <c r="A1306">
        <v>2021</v>
      </c>
      <c r="B1306">
        <v>8</v>
      </c>
      <c r="C1306" t="s">
        <v>445</v>
      </c>
      <c r="D1306" t="s">
        <v>246</v>
      </c>
      <c r="E1306" t="s">
        <v>247</v>
      </c>
      <c r="F1306" t="s">
        <v>37</v>
      </c>
      <c r="G1306">
        <v>3</v>
      </c>
      <c r="H1306">
        <v>5</v>
      </c>
      <c r="I1306">
        <v>10</v>
      </c>
      <c r="J1306" t="s">
        <v>34</v>
      </c>
      <c r="K1306" t="s">
        <v>65</v>
      </c>
      <c r="L1306">
        <v>70</v>
      </c>
      <c r="M1306">
        <v>68.903000000000006</v>
      </c>
      <c r="N1306">
        <v>70.233940000000004</v>
      </c>
      <c r="O1306">
        <v>17.155999999999999</v>
      </c>
      <c r="P1306">
        <v>30.681000000000001</v>
      </c>
      <c r="Q1306">
        <v>20.613</v>
      </c>
      <c r="R1306">
        <v>31</v>
      </c>
      <c r="S1306" t="s">
        <v>83</v>
      </c>
      <c r="T1306">
        <f>IF(TRIM(Table1[[#This Row],[PitStopLaps]])="",0,
LEN(Table1[[#This Row],[PitStopLaps]])-LEN(SUBSTITUTE(Table1[[#This Row],[PitStopLaps]],",",""))+1)</f>
        <v>1</v>
      </c>
      <c r="U1306">
        <f>Table1[[#This Row],[StartPosition]]-Table1[[#This Row],[FinishPosition]]</f>
        <v>-2</v>
      </c>
    </row>
    <row r="1307" spans="1:21" x14ac:dyDescent="0.3">
      <c r="A1307">
        <v>2021</v>
      </c>
      <c r="B1307">
        <v>8</v>
      </c>
      <c r="C1307" t="s">
        <v>445</v>
      </c>
      <c r="D1307" t="s">
        <v>47</v>
      </c>
      <c r="E1307" t="s">
        <v>48</v>
      </c>
      <c r="F1307" t="s">
        <v>22</v>
      </c>
      <c r="G1307">
        <v>12</v>
      </c>
      <c r="H1307">
        <v>6</v>
      </c>
      <c r="I1307">
        <v>8</v>
      </c>
      <c r="J1307" t="s">
        <v>34</v>
      </c>
      <c r="K1307" t="s">
        <v>65</v>
      </c>
      <c r="L1307">
        <v>70</v>
      </c>
      <c r="M1307">
        <v>68.608999999999995</v>
      </c>
      <c r="N1307">
        <v>70.311985000000007</v>
      </c>
      <c r="O1307">
        <v>17.081</v>
      </c>
      <c r="P1307">
        <v>30.495999999999999</v>
      </c>
      <c r="Q1307">
        <v>20.652000000000001</v>
      </c>
      <c r="R1307">
        <v>41</v>
      </c>
      <c r="S1307" t="s">
        <v>83</v>
      </c>
      <c r="T1307">
        <f>IF(TRIM(Table1[[#This Row],[PitStopLaps]])="",0,
LEN(Table1[[#This Row],[PitStopLaps]])-LEN(SUBSTITUTE(Table1[[#This Row],[PitStopLaps]],",",""))+1)</f>
        <v>1</v>
      </c>
      <c r="U1307">
        <f>Table1[[#This Row],[StartPosition]]-Table1[[#This Row],[FinishPosition]]</f>
        <v>6</v>
      </c>
    </row>
    <row r="1308" spans="1:21" x14ac:dyDescent="0.3">
      <c r="A1308">
        <v>2021</v>
      </c>
      <c r="B1308">
        <v>8</v>
      </c>
      <c r="C1308" t="s">
        <v>445</v>
      </c>
      <c r="D1308" t="s">
        <v>54</v>
      </c>
      <c r="E1308" t="s">
        <v>55</v>
      </c>
      <c r="F1308" t="s">
        <v>22</v>
      </c>
      <c r="G1308">
        <v>7</v>
      </c>
      <c r="H1308">
        <v>7</v>
      </c>
      <c r="I1308">
        <v>6</v>
      </c>
      <c r="J1308" t="s">
        <v>34</v>
      </c>
      <c r="K1308" t="s">
        <v>65</v>
      </c>
      <c r="L1308">
        <v>70</v>
      </c>
      <c r="M1308">
        <v>68.738</v>
      </c>
      <c r="N1308">
        <v>70.121938999999998</v>
      </c>
      <c r="O1308">
        <v>17.143999999999998</v>
      </c>
      <c r="P1308">
        <v>30.597999999999999</v>
      </c>
      <c r="Q1308">
        <v>20.602</v>
      </c>
      <c r="R1308" t="s">
        <v>670</v>
      </c>
      <c r="S1308" t="s">
        <v>83</v>
      </c>
      <c r="T1308">
        <f>IF(TRIM(Table1[[#This Row],[PitStopLaps]])="",0,
LEN(Table1[[#This Row],[PitStopLaps]])-LEN(SUBSTITUTE(Table1[[#This Row],[PitStopLaps]],",",""))+1)</f>
        <v>2</v>
      </c>
      <c r="U1308">
        <f>Table1[[#This Row],[StartPosition]]-Table1[[#This Row],[FinishPosition]]</f>
        <v>0</v>
      </c>
    </row>
    <row r="1309" spans="1:21" x14ac:dyDescent="0.3">
      <c r="A1309">
        <v>2021</v>
      </c>
      <c r="B1309">
        <v>8</v>
      </c>
      <c r="C1309" t="s">
        <v>445</v>
      </c>
      <c r="D1309" t="s">
        <v>58</v>
      </c>
      <c r="E1309" t="s">
        <v>59</v>
      </c>
      <c r="F1309" t="s">
        <v>603</v>
      </c>
      <c r="G1309">
        <v>9</v>
      </c>
      <c r="H1309">
        <v>8</v>
      </c>
      <c r="I1309">
        <v>4</v>
      </c>
      <c r="J1309" t="s">
        <v>34</v>
      </c>
      <c r="K1309" t="s">
        <v>65</v>
      </c>
      <c r="L1309">
        <v>70</v>
      </c>
      <c r="M1309">
        <v>69.787000000000006</v>
      </c>
      <c r="N1309">
        <v>71.890274000000005</v>
      </c>
      <c r="O1309">
        <v>17.132999999999999</v>
      </c>
      <c r="P1309">
        <v>31.045999999999999</v>
      </c>
      <c r="Q1309">
        <v>21.085000000000001</v>
      </c>
      <c r="R1309">
        <v>28</v>
      </c>
      <c r="S1309" t="s">
        <v>83</v>
      </c>
      <c r="T1309">
        <f>IF(TRIM(Table1[[#This Row],[PitStopLaps]])="",0,
LEN(Table1[[#This Row],[PitStopLaps]])-LEN(SUBSTITUTE(Table1[[#This Row],[PitStopLaps]],",",""))+1)</f>
        <v>1</v>
      </c>
      <c r="U1309">
        <f>Table1[[#This Row],[StartPosition]]-Table1[[#This Row],[FinishPosition]]</f>
        <v>1</v>
      </c>
    </row>
    <row r="1310" spans="1:21" x14ac:dyDescent="0.3">
      <c r="A1310">
        <v>2021</v>
      </c>
      <c r="B1310">
        <v>8</v>
      </c>
      <c r="C1310" t="s">
        <v>445</v>
      </c>
      <c r="D1310" t="s">
        <v>35</v>
      </c>
      <c r="E1310" t="s">
        <v>36</v>
      </c>
      <c r="F1310" t="s">
        <v>607</v>
      </c>
      <c r="G1310">
        <v>8</v>
      </c>
      <c r="H1310">
        <v>9</v>
      </c>
      <c r="I1310">
        <v>2</v>
      </c>
      <c r="J1310" t="s">
        <v>34</v>
      </c>
      <c r="K1310" t="s">
        <v>65</v>
      </c>
      <c r="L1310">
        <v>70</v>
      </c>
      <c r="M1310">
        <v>69.748999999999995</v>
      </c>
      <c r="N1310">
        <v>70.744134000000003</v>
      </c>
      <c r="O1310">
        <v>17.146999999999998</v>
      </c>
      <c r="P1310">
        <v>31.091000000000001</v>
      </c>
      <c r="Q1310">
        <v>20.965</v>
      </c>
      <c r="R1310">
        <v>27</v>
      </c>
      <c r="S1310" t="s">
        <v>83</v>
      </c>
      <c r="T1310">
        <f>IF(TRIM(Table1[[#This Row],[PitStopLaps]])="",0,
LEN(Table1[[#This Row],[PitStopLaps]])-LEN(SUBSTITUTE(Table1[[#This Row],[PitStopLaps]],",",""))+1)</f>
        <v>1</v>
      </c>
      <c r="U1310">
        <f>Table1[[#This Row],[StartPosition]]-Table1[[#This Row],[FinishPosition]]</f>
        <v>-1</v>
      </c>
    </row>
    <row r="1311" spans="1:21" x14ac:dyDescent="0.3">
      <c r="A1311">
        <v>2021</v>
      </c>
      <c r="B1311">
        <v>8</v>
      </c>
      <c r="C1311" t="s">
        <v>445</v>
      </c>
      <c r="D1311" t="s">
        <v>601</v>
      </c>
      <c r="E1311" t="s">
        <v>602</v>
      </c>
      <c r="F1311" t="s">
        <v>438</v>
      </c>
      <c r="G1311">
        <v>11</v>
      </c>
      <c r="H1311">
        <v>10</v>
      </c>
      <c r="I1311">
        <v>1</v>
      </c>
      <c r="J1311" t="s">
        <v>34</v>
      </c>
      <c r="K1311" t="s">
        <v>65</v>
      </c>
      <c r="L1311">
        <v>70</v>
      </c>
      <c r="M1311">
        <v>69.650000000000006</v>
      </c>
      <c r="N1311">
        <v>70.745716000000002</v>
      </c>
      <c r="O1311">
        <v>16.885000000000002</v>
      </c>
      <c r="P1311">
        <v>31.157</v>
      </c>
      <c r="Q1311">
        <v>20.866</v>
      </c>
      <c r="R1311">
        <v>26</v>
      </c>
      <c r="S1311" t="s">
        <v>83</v>
      </c>
      <c r="T1311">
        <f>IF(TRIM(Table1[[#This Row],[PitStopLaps]])="",0,
LEN(Table1[[#This Row],[PitStopLaps]])-LEN(SUBSTITUTE(Table1[[#This Row],[PitStopLaps]],",",""))+1)</f>
        <v>1</v>
      </c>
      <c r="U1311">
        <f>Table1[[#This Row],[StartPosition]]-Table1[[#This Row],[FinishPosition]]</f>
        <v>1</v>
      </c>
    </row>
    <row r="1312" spans="1:21" x14ac:dyDescent="0.3">
      <c r="A1312">
        <v>2021</v>
      </c>
      <c r="B1312">
        <v>8</v>
      </c>
      <c r="C1312" t="s">
        <v>445</v>
      </c>
      <c r="D1312" t="s">
        <v>29</v>
      </c>
      <c r="E1312" t="s">
        <v>30</v>
      </c>
      <c r="F1312" t="s">
        <v>243</v>
      </c>
      <c r="G1312">
        <v>18</v>
      </c>
      <c r="H1312">
        <v>11</v>
      </c>
      <c r="I1312">
        <v>0</v>
      </c>
      <c r="J1312" t="s">
        <v>34</v>
      </c>
      <c r="K1312" t="s">
        <v>65</v>
      </c>
      <c r="L1312">
        <v>70</v>
      </c>
      <c r="M1312">
        <v>69.128</v>
      </c>
      <c r="N1312">
        <v>70.763328000000001</v>
      </c>
      <c r="O1312">
        <v>17.07</v>
      </c>
      <c r="P1312">
        <v>30.738</v>
      </c>
      <c r="Q1312">
        <v>20.984000000000002</v>
      </c>
      <c r="R1312">
        <v>36</v>
      </c>
      <c r="S1312" t="s">
        <v>83</v>
      </c>
      <c r="T1312">
        <f>IF(TRIM(Table1[[#This Row],[PitStopLaps]])="",0,
LEN(Table1[[#This Row],[PitStopLaps]])-LEN(SUBSTITUTE(Table1[[#This Row],[PitStopLaps]],",",""))+1)</f>
        <v>1</v>
      </c>
      <c r="U1312">
        <f>Table1[[#This Row],[StartPosition]]-Table1[[#This Row],[FinishPosition]]</f>
        <v>7</v>
      </c>
    </row>
    <row r="1313" spans="1:21" x14ac:dyDescent="0.3">
      <c r="A1313">
        <v>2021</v>
      </c>
      <c r="B1313">
        <v>8</v>
      </c>
      <c r="C1313" t="s">
        <v>445</v>
      </c>
      <c r="D1313" t="s">
        <v>20</v>
      </c>
      <c r="E1313" t="s">
        <v>21</v>
      </c>
      <c r="F1313" t="s">
        <v>603</v>
      </c>
      <c r="G1313">
        <v>14</v>
      </c>
      <c r="H1313">
        <v>12</v>
      </c>
      <c r="I1313">
        <v>0</v>
      </c>
      <c r="J1313" t="s">
        <v>34</v>
      </c>
      <c r="K1313" t="s">
        <v>65</v>
      </c>
      <c r="L1313">
        <v>70</v>
      </c>
      <c r="M1313">
        <v>69.820999999999998</v>
      </c>
      <c r="N1313">
        <v>70.855431999999993</v>
      </c>
      <c r="O1313">
        <v>17.172000000000001</v>
      </c>
      <c r="P1313">
        <v>31.146000000000001</v>
      </c>
      <c r="Q1313">
        <v>20.940999999999999</v>
      </c>
      <c r="R1313">
        <v>27</v>
      </c>
      <c r="S1313" t="s">
        <v>83</v>
      </c>
      <c r="T1313">
        <f>IF(TRIM(Table1[[#This Row],[PitStopLaps]])="",0,
LEN(Table1[[#This Row],[PitStopLaps]])-LEN(SUBSTITUTE(Table1[[#This Row],[PitStopLaps]],",",""))+1)</f>
        <v>1</v>
      </c>
      <c r="U1313">
        <f>Table1[[#This Row],[StartPosition]]-Table1[[#This Row],[FinishPosition]]</f>
        <v>2</v>
      </c>
    </row>
    <row r="1314" spans="1:21" x14ac:dyDescent="0.3">
      <c r="A1314">
        <v>2021</v>
      </c>
      <c r="B1314">
        <v>8</v>
      </c>
      <c r="C1314" t="s">
        <v>445</v>
      </c>
      <c r="D1314" t="s">
        <v>31</v>
      </c>
      <c r="E1314" t="s">
        <v>32</v>
      </c>
      <c r="F1314" t="s">
        <v>37</v>
      </c>
      <c r="G1314">
        <v>13</v>
      </c>
      <c r="H1314">
        <v>13</v>
      </c>
      <c r="I1314">
        <v>0</v>
      </c>
      <c r="J1314" t="s">
        <v>34</v>
      </c>
      <c r="K1314" t="s">
        <v>65</v>
      </c>
      <c r="L1314">
        <v>70</v>
      </c>
      <c r="M1314">
        <v>69.305000000000007</v>
      </c>
      <c r="N1314">
        <v>70.864164000000002</v>
      </c>
      <c r="O1314">
        <v>16.805</v>
      </c>
      <c r="P1314">
        <v>30.861000000000001</v>
      </c>
      <c r="Q1314">
        <v>20.891999999999999</v>
      </c>
      <c r="R1314">
        <v>41</v>
      </c>
      <c r="S1314" t="s">
        <v>83</v>
      </c>
      <c r="T1314">
        <f>IF(TRIM(Table1[[#This Row],[PitStopLaps]])="",0,
LEN(Table1[[#This Row],[PitStopLaps]])-LEN(SUBSTITUTE(Table1[[#This Row],[PitStopLaps]],",",""))+1)</f>
        <v>1</v>
      </c>
      <c r="U1314">
        <f>Table1[[#This Row],[StartPosition]]-Table1[[#This Row],[FinishPosition]]</f>
        <v>0</v>
      </c>
    </row>
    <row r="1315" spans="1:21" x14ac:dyDescent="0.3">
      <c r="A1315">
        <v>2021</v>
      </c>
      <c r="B1315">
        <v>8</v>
      </c>
      <c r="C1315" t="s">
        <v>445</v>
      </c>
      <c r="D1315" t="s">
        <v>52</v>
      </c>
      <c r="E1315" t="s">
        <v>53</v>
      </c>
      <c r="F1315" t="s">
        <v>607</v>
      </c>
      <c r="G1315">
        <v>17</v>
      </c>
      <c r="H1315">
        <v>14</v>
      </c>
      <c r="I1315">
        <v>0</v>
      </c>
      <c r="J1315" t="s">
        <v>34</v>
      </c>
      <c r="K1315" t="s">
        <v>65</v>
      </c>
      <c r="L1315">
        <v>70</v>
      </c>
      <c r="M1315">
        <v>69.575999999999993</v>
      </c>
      <c r="N1315">
        <v>70.889849999999996</v>
      </c>
      <c r="O1315">
        <v>17.105</v>
      </c>
      <c r="P1315">
        <v>30.9</v>
      </c>
      <c r="Q1315">
        <v>20.959</v>
      </c>
      <c r="R1315">
        <v>36</v>
      </c>
      <c r="S1315" t="s">
        <v>83</v>
      </c>
      <c r="T1315">
        <f>IF(TRIM(Table1[[#This Row],[PitStopLaps]])="",0,
LEN(Table1[[#This Row],[PitStopLaps]])-LEN(SUBSTITUTE(Table1[[#This Row],[PitStopLaps]],",",""))+1)</f>
        <v>1</v>
      </c>
      <c r="U1315">
        <f>Table1[[#This Row],[StartPosition]]-Table1[[#This Row],[FinishPosition]]</f>
        <v>3</v>
      </c>
    </row>
    <row r="1316" spans="1:21" x14ac:dyDescent="0.3">
      <c r="A1316">
        <v>2021</v>
      </c>
      <c r="B1316">
        <v>8</v>
      </c>
      <c r="C1316" t="s">
        <v>445</v>
      </c>
      <c r="D1316" t="s">
        <v>250</v>
      </c>
      <c r="E1316" t="s">
        <v>251</v>
      </c>
      <c r="F1316" t="s">
        <v>243</v>
      </c>
      <c r="G1316">
        <v>15</v>
      </c>
      <c r="H1316">
        <v>15</v>
      </c>
      <c r="I1316">
        <v>0</v>
      </c>
      <c r="J1316" t="s">
        <v>34</v>
      </c>
      <c r="K1316" t="s">
        <v>65</v>
      </c>
      <c r="L1316">
        <v>70</v>
      </c>
      <c r="M1316">
        <v>69.722999999999999</v>
      </c>
      <c r="N1316">
        <v>70.923327999999998</v>
      </c>
      <c r="O1316">
        <v>17.138000000000002</v>
      </c>
      <c r="P1316">
        <v>31.091000000000001</v>
      </c>
      <c r="Q1316">
        <v>21.132000000000001</v>
      </c>
      <c r="R1316">
        <v>23</v>
      </c>
      <c r="S1316" t="s">
        <v>83</v>
      </c>
      <c r="T1316">
        <f>IF(TRIM(Table1[[#This Row],[PitStopLaps]])="",0,
LEN(Table1[[#This Row],[PitStopLaps]])-LEN(SUBSTITUTE(Table1[[#This Row],[PitStopLaps]],",",""))+1)</f>
        <v>1</v>
      </c>
      <c r="U1316">
        <f>Table1[[#This Row],[StartPosition]]-Table1[[#This Row],[FinishPosition]]</f>
        <v>0</v>
      </c>
    </row>
    <row r="1317" spans="1:21" x14ac:dyDescent="0.3">
      <c r="A1317">
        <v>2021</v>
      </c>
      <c r="B1317">
        <v>8</v>
      </c>
      <c r="C1317" t="s">
        <v>445</v>
      </c>
      <c r="D1317" t="s">
        <v>608</v>
      </c>
      <c r="E1317" t="s">
        <v>609</v>
      </c>
      <c r="F1317" t="s">
        <v>69</v>
      </c>
      <c r="G1317">
        <v>19</v>
      </c>
      <c r="H1317">
        <v>16</v>
      </c>
      <c r="I1317">
        <v>0</v>
      </c>
      <c r="J1317" t="s">
        <v>34</v>
      </c>
      <c r="K1317" t="s">
        <v>127</v>
      </c>
      <c r="L1317">
        <v>69</v>
      </c>
      <c r="M1317">
        <v>70.004999999999995</v>
      </c>
      <c r="N1317">
        <v>71.753651000000005</v>
      </c>
      <c r="O1317">
        <v>17.172000000000001</v>
      </c>
      <c r="P1317">
        <v>31.266999999999999</v>
      </c>
      <c r="Q1317">
        <v>21.157</v>
      </c>
      <c r="R1317">
        <v>33</v>
      </c>
      <c r="S1317" t="s">
        <v>83</v>
      </c>
      <c r="T1317">
        <f>IF(TRIM(Table1[[#This Row],[PitStopLaps]])="",0,
LEN(Table1[[#This Row],[PitStopLaps]])-LEN(SUBSTITUTE(Table1[[#This Row],[PitStopLaps]],",",""))+1)</f>
        <v>1</v>
      </c>
      <c r="U1317">
        <f>Table1[[#This Row],[StartPosition]]-Table1[[#This Row],[FinishPosition]]</f>
        <v>3</v>
      </c>
    </row>
    <row r="1318" spans="1:21" x14ac:dyDescent="0.3">
      <c r="A1318">
        <v>2021</v>
      </c>
      <c r="B1318">
        <v>8</v>
      </c>
      <c r="C1318" t="s">
        <v>445</v>
      </c>
      <c r="D1318" t="s">
        <v>440</v>
      </c>
      <c r="E1318" t="s">
        <v>441</v>
      </c>
      <c r="F1318" t="s">
        <v>60</v>
      </c>
      <c r="G1318">
        <v>16</v>
      </c>
      <c r="H1318">
        <v>17</v>
      </c>
      <c r="I1318">
        <v>0</v>
      </c>
      <c r="J1318" t="s">
        <v>34</v>
      </c>
      <c r="K1318" t="s">
        <v>130</v>
      </c>
      <c r="L1318">
        <v>68</v>
      </c>
      <c r="M1318">
        <v>70.103999999999999</v>
      </c>
      <c r="N1318">
        <v>71.400374999999997</v>
      </c>
      <c r="O1318">
        <v>17.306000000000001</v>
      </c>
      <c r="P1318">
        <v>31.25</v>
      </c>
      <c r="Q1318">
        <v>21.177</v>
      </c>
      <c r="R1318" t="s">
        <v>193</v>
      </c>
      <c r="S1318" t="s">
        <v>83</v>
      </c>
      <c r="T1318">
        <f>IF(TRIM(Table1[[#This Row],[PitStopLaps]])="",0,
LEN(Table1[[#This Row],[PitStopLaps]])-LEN(SUBSTITUTE(Table1[[#This Row],[PitStopLaps]],",",""))+1)</f>
        <v>2</v>
      </c>
      <c r="U1318">
        <f>Table1[[#This Row],[StartPosition]]-Table1[[#This Row],[FinishPosition]]</f>
        <v>-1</v>
      </c>
    </row>
    <row r="1319" spans="1:21" x14ac:dyDescent="0.3">
      <c r="A1319">
        <v>2021</v>
      </c>
      <c r="B1319">
        <v>8</v>
      </c>
      <c r="C1319" t="s">
        <v>445</v>
      </c>
      <c r="D1319" t="s">
        <v>613</v>
      </c>
      <c r="E1319" t="s">
        <v>614</v>
      </c>
      <c r="F1319" t="s">
        <v>69</v>
      </c>
      <c r="G1319">
        <v>20</v>
      </c>
      <c r="H1319">
        <v>18</v>
      </c>
      <c r="I1319">
        <v>0</v>
      </c>
      <c r="J1319" t="s">
        <v>34</v>
      </c>
      <c r="K1319" t="s">
        <v>130</v>
      </c>
      <c r="L1319">
        <v>68</v>
      </c>
      <c r="M1319">
        <v>70.950999999999993</v>
      </c>
      <c r="N1319">
        <v>72.332691999999994</v>
      </c>
      <c r="O1319">
        <v>17.363</v>
      </c>
      <c r="P1319">
        <v>31.62</v>
      </c>
      <c r="Q1319">
        <v>21.521000000000001</v>
      </c>
      <c r="R1319">
        <v>21</v>
      </c>
      <c r="S1319" t="s">
        <v>83</v>
      </c>
      <c r="T1319">
        <f>IF(TRIM(Table1[[#This Row],[PitStopLaps]])="",0,
LEN(Table1[[#This Row],[PitStopLaps]])-LEN(SUBSTITUTE(Table1[[#This Row],[PitStopLaps]],",",""))+1)</f>
        <v>1</v>
      </c>
      <c r="U1319">
        <f>Table1[[#This Row],[StartPosition]]-Table1[[#This Row],[FinishPosition]]</f>
        <v>2</v>
      </c>
    </row>
    <row r="1320" spans="1:21" x14ac:dyDescent="0.3">
      <c r="A1320">
        <v>2021</v>
      </c>
      <c r="B1320">
        <v>8</v>
      </c>
      <c r="C1320" t="s">
        <v>445</v>
      </c>
      <c r="D1320" t="s">
        <v>252</v>
      </c>
      <c r="E1320" t="s">
        <v>253</v>
      </c>
      <c r="F1320" t="s">
        <v>60</v>
      </c>
      <c r="G1320">
        <v>10</v>
      </c>
      <c r="H1320">
        <v>19</v>
      </c>
      <c r="I1320">
        <v>0</v>
      </c>
      <c r="J1320" t="s">
        <v>34</v>
      </c>
      <c r="K1320" t="s">
        <v>75</v>
      </c>
      <c r="L1320">
        <v>36</v>
      </c>
      <c r="M1320">
        <v>70.498999999999995</v>
      </c>
      <c r="N1320">
        <v>71.465935000000002</v>
      </c>
      <c r="O1320">
        <v>17.084</v>
      </c>
      <c r="P1320">
        <v>31.73</v>
      </c>
      <c r="Q1320">
        <v>21.329000000000001</v>
      </c>
      <c r="R1320" t="s">
        <v>671</v>
      </c>
      <c r="S1320" t="s">
        <v>83</v>
      </c>
      <c r="T1320">
        <f>IF(TRIM(Table1[[#This Row],[PitStopLaps]])="",0,
LEN(Table1[[#This Row],[PitStopLaps]])-LEN(SUBSTITUTE(Table1[[#This Row],[PitStopLaps]],",",""))+1)</f>
        <v>3</v>
      </c>
      <c r="U1320">
        <f>Table1[[#This Row],[StartPosition]]-Table1[[#This Row],[FinishPosition]]</f>
        <v>-9</v>
      </c>
    </row>
    <row r="1321" spans="1:21" x14ac:dyDescent="0.3">
      <c r="A1321">
        <v>2021</v>
      </c>
      <c r="B1321">
        <v>8</v>
      </c>
      <c r="C1321" t="s">
        <v>445</v>
      </c>
      <c r="D1321" t="s">
        <v>73</v>
      </c>
      <c r="E1321" t="s">
        <v>74</v>
      </c>
      <c r="F1321" t="s">
        <v>438</v>
      </c>
      <c r="G1321">
        <v>6</v>
      </c>
      <c r="H1321">
        <v>20</v>
      </c>
      <c r="I1321">
        <v>0</v>
      </c>
      <c r="J1321" t="s">
        <v>34</v>
      </c>
      <c r="K1321" t="s">
        <v>124</v>
      </c>
      <c r="L1321">
        <v>1</v>
      </c>
      <c r="R1321">
        <v>1</v>
      </c>
      <c r="S1321" t="s">
        <v>83</v>
      </c>
      <c r="T1321">
        <f>IF(TRIM(Table1[[#This Row],[PitStopLaps]])="",0,
LEN(Table1[[#This Row],[PitStopLaps]])-LEN(SUBSTITUTE(Table1[[#This Row],[PitStopLaps]],",",""))+1)</f>
        <v>1</v>
      </c>
      <c r="U1321">
        <f>Table1[[#This Row],[StartPosition]]-Table1[[#This Row],[FinishPosition]]</f>
        <v>-14</v>
      </c>
    </row>
    <row r="1322" spans="1:21" x14ac:dyDescent="0.3">
      <c r="A1322">
        <v>2021</v>
      </c>
      <c r="B1322">
        <v>9</v>
      </c>
      <c r="C1322" t="s">
        <v>149</v>
      </c>
      <c r="D1322" t="s">
        <v>38</v>
      </c>
      <c r="E1322" t="s">
        <v>39</v>
      </c>
      <c r="F1322" t="s">
        <v>33</v>
      </c>
      <c r="G1322">
        <v>1</v>
      </c>
      <c r="H1322">
        <v>1</v>
      </c>
      <c r="I1322">
        <v>26</v>
      </c>
      <c r="J1322" t="s">
        <v>23</v>
      </c>
      <c r="K1322" t="s">
        <v>24</v>
      </c>
      <c r="L1322">
        <v>71</v>
      </c>
      <c r="M1322">
        <v>66.2</v>
      </c>
      <c r="N1322">
        <v>68.787780999999995</v>
      </c>
      <c r="O1322">
        <v>16.748999999999999</v>
      </c>
      <c r="P1322">
        <v>29.33</v>
      </c>
      <c r="Q1322">
        <v>20.064</v>
      </c>
      <c r="R1322" t="s">
        <v>672</v>
      </c>
      <c r="S1322" t="s">
        <v>25</v>
      </c>
      <c r="T1322">
        <f>IF(TRIM(Table1[[#This Row],[PitStopLaps]])="",0,
LEN(Table1[[#This Row],[PitStopLaps]])-LEN(SUBSTITUTE(Table1[[#This Row],[PitStopLaps]],",",""))+1)</f>
        <v>2</v>
      </c>
      <c r="U1322">
        <f>Table1[[#This Row],[StartPosition]]-Table1[[#This Row],[FinishPosition]]</f>
        <v>0</v>
      </c>
    </row>
    <row r="1323" spans="1:21" x14ac:dyDescent="0.3">
      <c r="A1323">
        <v>2021</v>
      </c>
      <c r="B1323">
        <v>9</v>
      </c>
      <c r="C1323" t="s">
        <v>149</v>
      </c>
      <c r="D1323" t="s">
        <v>43</v>
      </c>
      <c r="E1323" t="s">
        <v>44</v>
      </c>
      <c r="F1323" t="s">
        <v>28</v>
      </c>
      <c r="G1323">
        <v>5</v>
      </c>
      <c r="H1323">
        <v>2</v>
      </c>
      <c r="I1323">
        <v>18</v>
      </c>
      <c r="J1323" t="s">
        <v>23</v>
      </c>
      <c r="K1323" t="s">
        <v>24</v>
      </c>
      <c r="L1323">
        <v>71</v>
      </c>
      <c r="M1323">
        <v>68.373999999999995</v>
      </c>
      <c r="N1323">
        <v>69.312438999999998</v>
      </c>
      <c r="O1323">
        <v>16.995000000000001</v>
      </c>
      <c r="P1323">
        <v>30.44</v>
      </c>
      <c r="Q1323">
        <v>20.613</v>
      </c>
      <c r="R1323">
        <v>30</v>
      </c>
      <c r="S1323" t="s">
        <v>25</v>
      </c>
      <c r="T1323">
        <f>IF(TRIM(Table1[[#This Row],[PitStopLaps]])="",0,
LEN(Table1[[#This Row],[PitStopLaps]])-LEN(SUBSTITUTE(Table1[[#This Row],[PitStopLaps]],",",""))+1)</f>
        <v>1</v>
      </c>
      <c r="U1323">
        <f>Table1[[#This Row],[StartPosition]]-Table1[[#This Row],[FinishPosition]]</f>
        <v>3</v>
      </c>
    </row>
    <row r="1324" spans="1:21" x14ac:dyDescent="0.3">
      <c r="A1324">
        <v>2021</v>
      </c>
      <c r="B1324">
        <v>9</v>
      </c>
      <c r="C1324" t="s">
        <v>149</v>
      </c>
      <c r="D1324" t="s">
        <v>246</v>
      </c>
      <c r="E1324" t="s">
        <v>247</v>
      </c>
      <c r="F1324" t="s">
        <v>37</v>
      </c>
      <c r="G1324">
        <v>2</v>
      </c>
      <c r="H1324">
        <v>3</v>
      </c>
      <c r="I1324">
        <v>15</v>
      </c>
      <c r="J1324" t="s">
        <v>23</v>
      </c>
      <c r="K1324" t="s">
        <v>24</v>
      </c>
      <c r="L1324">
        <v>71</v>
      </c>
      <c r="M1324">
        <v>68.471000000000004</v>
      </c>
      <c r="N1324">
        <v>69.278727000000003</v>
      </c>
      <c r="O1324">
        <v>16.89</v>
      </c>
      <c r="P1324">
        <v>30.251000000000001</v>
      </c>
      <c r="Q1324">
        <v>20.526</v>
      </c>
      <c r="R1324">
        <v>30</v>
      </c>
      <c r="S1324" t="s">
        <v>25</v>
      </c>
      <c r="T1324">
        <f>IF(TRIM(Table1[[#This Row],[PitStopLaps]])="",0,
LEN(Table1[[#This Row],[PitStopLaps]])-LEN(SUBSTITUTE(Table1[[#This Row],[PitStopLaps]],",",""))+1)</f>
        <v>1</v>
      </c>
      <c r="U1324">
        <f>Table1[[#This Row],[StartPosition]]-Table1[[#This Row],[FinishPosition]]</f>
        <v>-1</v>
      </c>
    </row>
    <row r="1325" spans="1:21" x14ac:dyDescent="0.3">
      <c r="A1325">
        <v>2021</v>
      </c>
      <c r="B1325">
        <v>9</v>
      </c>
      <c r="C1325" t="s">
        <v>149</v>
      </c>
      <c r="D1325" t="s">
        <v>26</v>
      </c>
      <c r="E1325" t="s">
        <v>27</v>
      </c>
      <c r="F1325" t="s">
        <v>28</v>
      </c>
      <c r="G1325">
        <v>4</v>
      </c>
      <c r="H1325">
        <v>4</v>
      </c>
      <c r="I1325">
        <v>12</v>
      </c>
      <c r="J1325" t="s">
        <v>34</v>
      </c>
      <c r="K1325" t="s">
        <v>24</v>
      </c>
      <c r="L1325">
        <v>71</v>
      </c>
      <c r="M1325">
        <v>68.126000000000005</v>
      </c>
      <c r="N1325">
        <v>69.441249999999997</v>
      </c>
      <c r="O1325">
        <v>17.068000000000001</v>
      </c>
      <c r="P1325">
        <v>30.195</v>
      </c>
      <c r="Q1325">
        <v>20.57</v>
      </c>
      <c r="R1325" t="s">
        <v>673</v>
      </c>
      <c r="S1325" t="s">
        <v>25</v>
      </c>
      <c r="T1325">
        <f>IF(TRIM(Table1[[#This Row],[PitStopLaps]])="",0,
LEN(Table1[[#This Row],[PitStopLaps]])-LEN(SUBSTITUTE(Table1[[#This Row],[PitStopLaps]],",",""))+1)</f>
        <v>2</v>
      </c>
      <c r="U1325">
        <f>Table1[[#This Row],[StartPosition]]-Table1[[#This Row],[FinishPosition]]</f>
        <v>0</v>
      </c>
    </row>
    <row r="1326" spans="1:21" x14ac:dyDescent="0.3">
      <c r="A1326">
        <v>2021</v>
      </c>
      <c r="B1326">
        <v>9</v>
      </c>
      <c r="C1326" t="s">
        <v>149</v>
      </c>
      <c r="D1326" t="s">
        <v>47</v>
      </c>
      <c r="E1326" t="s">
        <v>48</v>
      </c>
      <c r="F1326" t="s">
        <v>22</v>
      </c>
      <c r="G1326">
        <v>10</v>
      </c>
      <c r="H1326">
        <v>5</v>
      </c>
      <c r="I1326">
        <v>10</v>
      </c>
      <c r="J1326" t="s">
        <v>34</v>
      </c>
      <c r="K1326" t="s">
        <v>24</v>
      </c>
      <c r="L1326">
        <v>71</v>
      </c>
      <c r="M1326">
        <v>67.762</v>
      </c>
      <c r="N1326">
        <v>69.875984000000003</v>
      </c>
      <c r="O1326">
        <v>16.960999999999999</v>
      </c>
      <c r="P1326">
        <v>30.268999999999998</v>
      </c>
      <c r="Q1326">
        <v>20.439</v>
      </c>
      <c r="R1326">
        <v>48</v>
      </c>
      <c r="S1326" t="s">
        <v>25</v>
      </c>
      <c r="T1326">
        <f>IF(TRIM(Table1[[#This Row],[PitStopLaps]])="",0,
LEN(Table1[[#This Row],[PitStopLaps]])-LEN(SUBSTITUTE(Table1[[#This Row],[PitStopLaps]],",",""))+1)</f>
        <v>1</v>
      </c>
      <c r="U1326">
        <f>Table1[[#This Row],[StartPosition]]-Table1[[#This Row],[FinishPosition]]</f>
        <v>5</v>
      </c>
    </row>
    <row r="1327" spans="1:21" x14ac:dyDescent="0.3">
      <c r="A1327">
        <v>2021</v>
      </c>
      <c r="B1327">
        <v>9</v>
      </c>
      <c r="C1327" t="s">
        <v>149</v>
      </c>
      <c r="D1327" t="s">
        <v>49</v>
      </c>
      <c r="E1327" t="s">
        <v>50</v>
      </c>
      <c r="F1327" t="s">
        <v>33</v>
      </c>
      <c r="G1327">
        <v>3</v>
      </c>
      <c r="H1327">
        <v>6</v>
      </c>
      <c r="I1327">
        <v>8</v>
      </c>
      <c r="J1327" t="s">
        <v>34</v>
      </c>
      <c r="K1327" t="s">
        <v>24</v>
      </c>
      <c r="L1327">
        <v>71</v>
      </c>
      <c r="M1327">
        <v>68.191999999999993</v>
      </c>
      <c r="N1327">
        <v>69.783226999999997</v>
      </c>
      <c r="O1327">
        <v>16.853999999999999</v>
      </c>
      <c r="P1327">
        <v>30.36</v>
      </c>
      <c r="Q1327">
        <v>20.542000000000002</v>
      </c>
      <c r="R1327">
        <v>32</v>
      </c>
      <c r="S1327" t="s">
        <v>25</v>
      </c>
      <c r="T1327">
        <f>IF(TRIM(Table1[[#This Row],[PitStopLaps]])="",0,
LEN(Table1[[#This Row],[PitStopLaps]])-LEN(SUBSTITUTE(Table1[[#This Row],[PitStopLaps]],",",""))+1)</f>
        <v>1</v>
      </c>
      <c r="U1327">
        <f>Table1[[#This Row],[StartPosition]]-Table1[[#This Row],[FinishPosition]]</f>
        <v>-3</v>
      </c>
    </row>
    <row r="1328" spans="1:21" x14ac:dyDescent="0.3">
      <c r="A1328">
        <v>2021</v>
      </c>
      <c r="B1328">
        <v>9</v>
      </c>
      <c r="C1328" t="s">
        <v>149</v>
      </c>
      <c r="D1328" t="s">
        <v>31</v>
      </c>
      <c r="E1328" t="s">
        <v>32</v>
      </c>
      <c r="F1328" t="s">
        <v>37</v>
      </c>
      <c r="G1328">
        <v>13</v>
      </c>
      <c r="H1328">
        <v>7</v>
      </c>
      <c r="I1328">
        <v>6</v>
      </c>
      <c r="J1328" t="s">
        <v>34</v>
      </c>
      <c r="K1328" t="s">
        <v>24</v>
      </c>
      <c r="L1328">
        <v>71</v>
      </c>
      <c r="M1328">
        <v>68.819999999999993</v>
      </c>
      <c r="N1328">
        <v>69.94453</v>
      </c>
      <c r="O1328">
        <v>16.978000000000002</v>
      </c>
      <c r="P1328">
        <v>30.774000000000001</v>
      </c>
      <c r="Q1328">
        <v>20.556999999999999</v>
      </c>
      <c r="R1328">
        <v>29</v>
      </c>
      <c r="S1328" t="s">
        <v>25</v>
      </c>
      <c r="T1328">
        <f>IF(TRIM(Table1[[#This Row],[PitStopLaps]])="",0,
LEN(Table1[[#This Row],[PitStopLaps]])-LEN(SUBSTITUTE(Table1[[#This Row],[PitStopLaps]],",",""))+1)</f>
        <v>1</v>
      </c>
      <c r="U1328">
        <f>Table1[[#This Row],[StartPosition]]-Table1[[#This Row],[FinishPosition]]</f>
        <v>6</v>
      </c>
    </row>
    <row r="1329" spans="1:21" x14ac:dyDescent="0.3">
      <c r="A1329">
        <v>2021</v>
      </c>
      <c r="B1329">
        <v>9</v>
      </c>
      <c r="C1329" t="s">
        <v>149</v>
      </c>
      <c r="D1329" t="s">
        <v>54</v>
      </c>
      <c r="E1329" t="s">
        <v>55</v>
      </c>
      <c r="F1329" t="s">
        <v>22</v>
      </c>
      <c r="G1329">
        <v>12</v>
      </c>
      <c r="H1329">
        <v>8</v>
      </c>
      <c r="I1329">
        <v>4</v>
      </c>
      <c r="J1329" t="s">
        <v>34</v>
      </c>
      <c r="K1329" t="s">
        <v>24</v>
      </c>
      <c r="L1329">
        <v>71</v>
      </c>
      <c r="M1329">
        <v>68.697999999999993</v>
      </c>
      <c r="N1329">
        <v>69.960832999999994</v>
      </c>
      <c r="O1329">
        <v>16.972000000000001</v>
      </c>
      <c r="P1329">
        <v>30.367000000000001</v>
      </c>
      <c r="Q1329">
        <v>20.728999999999999</v>
      </c>
      <c r="R1329">
        <v>34</v>
      </c>
      <c r="S1329" t="s">
        <v>25</v>
      </c>
      <c r="T1329">
        <f>IF(TRIM(Table1[[#This Row],[PitStopLaps]])="",0,
LEN(Table1[[#This Row],[PitStopLaps]])-LEN(SUBSTITUTE(Table1[[#This Row],[PitStopLaps]],",",""))+1)</f>
        <v>1</v>
      </c>
      <c r="U1329">
        <f>Table1[[#This Row],[StartPosition]]-Table1[[#This Row],[FinishPosition]]</f>
        <v>4</v>
      </c>
    </row>
    <row r="1330" spans="1:21" x14ac:dyDescent="0.3">
      <c r="A1330">
        <v>2021</v>
      </c>
      <c r="B1330">
        <v>9</v>
      </c>
      <c r="C1330" t="s">
        <v>149</v>
      </c>
      <c r="D1330" t="s">
        <v>73</v>
      </c>
      <c r="E1330" t="s">
        <v>74</v>
      </c>
      <c r="F1330" t="s">
        <v>438</v>
      </c>
      <c r="G1330">
        <v>6</v>
      </c>
      <c r="H1330">
        <v>9</v>
      </c>
      <c r="I1330">
        <v>2</v>
      </c>
      <c r="J1330" t="s">
        <v>34</v>
      </c>
      <c r="K1330" t="s">
        <v>24</v>
      </c>
      <c r="L1330">
        <v>71</v>
      </c>
      <c r="M1330">
        <v>68.146000000000001</v>
      </c>
      <c r="N1330">
        <v>69.640140000000002</v>
      </c>
      <c r="O1330">
        <v>16.771999999999998</v>
      </c>
      <c r="P1330">
        <v>30.341000000000001</v>
      </c>
      <c r="Q1330">
        <v>20.515000000000001</v>
      </c>
      <c r="R1330" t="s">
        <v>674</v>
      </c>
      <c r="S1330" t="s">
        <v>25</v>
      </c>
      <c r="T1330">
        <f>IF(TRIM(Table1[[#This Row],[PitStopLaps]])="",0,
LEN(Table1[[#This Row],[PitStopLaps]])-LEN(SUBSTITUTE(Table1[[#This Row],[PitStopLaps]],",",""))+1)</f>
        <v>2</v>
      </c>
      <c r="U1330">
        <f>Table1[[#This Row],[StartPosition]]-Table1[[#This Row],[FinishPosition]]</f>
        <v>-3</v>
      </c>
    </row>
    <row r="1331" spans="1:21" x14ac:dyDescent="0.3">
      <c r="A1331">
        <v>2021</v>
      </c>
      <c r="B1331">
        <v>9</v>
      </c>
      <c r="C1331" t="s">
        <v>149</v>
      </c>
      <c r="D1331" t="s">
        <v>35</v>
      </c>
      <c r="E1331" t="s">
        <v>36</v>
      </c>
      <c r="F1331" t="s">
        <v>607</v>
      </c>
      <c r="G1331">
        <v>14</v>
      </c>
      <c r="H1331">
        <v>10</v>
      </c>
      <c r="I1331">
        <v>1</v>
      </c>
      <c r="J1331" t="s">
        <v>34</v>
      </c>
      <c r="K1331" t="s">
        <v>65</v>
      </c>
      <c r="L1331">
        <v>70</v>
      </c>
      <c r="M1331">
        <v>68.405000000000001</v>
      </c>
      <c r="N1331">
        <v>70.194523000000004</v>
      </c>
      <c r="O1331">
        <v>16.957000000000001</v>
      </c>
      <c r="P1331">
        <v>30.504999999999999</v>
      </c>
      <c r="Q1331">
        <v>20.524999999999999</v>
      </c>
      <c r="R1331">
        <v>32</v>
      </c>
      <c r="S1331" t="s">
        <v>25</v>
      </c>
      <c r="T1331">
        <f>IF(TRIM(Table1[[#This Row],[PitStopLaps]])="",0,
LEN(Table1[[#This Row],[PitStopLaps]])-LEN(SUBSTITUTE(Table1[[#This Row],[PitStopLaps]],",",""))+1)</f>
        <v>1</v>
      </c>
      <c r="U1331">
        <f>Table1[[#This Row],[StartPosition]]-Table1[[#This Row],[FinishPosition]]</f>
        <v>4</v>
      </c>
    </row>
    <row r="1332" spans="1:21" x14ac:dyDescent="0.3">
      <c r="A1332">
        <v>2021</v>
      </c>
      <c r="B1332">
        <v>9</v>
      </c>
      <c r="C1332" t="s">
        <v>149</v>
      </c>
      <c r="D1332" t="s">
        <v>252</v>
      </c>
      <c r="E1332" t="s">
        <v>253</v>
      </c>
      <c r="F1332" t="s">
        <v>60</v>
      </c>
      <c r="G1332">
        <v>8</v>
      </c>
      <c r="H1332">
        <v>11</v>
      </c>
      <c r="I1332">
        <v>0</v>
      </c>
      <c r="J1332" t="s">
        <v>34</v>
      </c>
      <c r="K1332" t="s">
        <v>65</v>
      </c>
      <c r="L1332">
        <v>70</v>
      </c>
      <c r="M1332">
        <v>68.900000000000006</v>
      </c>
      <c r="N1332">
        <v>70.328875999999994</v>
      </c>
      <c r="O1332">
        <v>17.11</v>
      </c>
      <c r="P1332">
        <v>30.763999999999999</v>
      </c>
      <c r="Q1332">
        <v>20.632999999999999</v>
      </c>
      <c r="R1332">
        <v>30</v>
      </c>
      <c r="S1332" t="s">
        <v>25</v>
      </c>
      <c r="T1332">
        <f>IF(TRIM(Table1[[#This Row],[PitStopLaps]])="",0,
LEN(Table1[[#This Row],[PitStopLaps]])-LEN(SUBSTITUTE(Table1[[#This Row],[PitStopLaps]],",",""))+1)</f>
        <v>1</v>
      </c>
      <c r="U1332">
        <f>Table1[[#This Row],[StartPosition]]-Table1[[#This Row],[FinishPosition]]</f>
        <v>-3</v>
      </c>
    </row>
    <row r="1333" spans="1:21" x14ac:dyDescent="0.3">
      <c r="A1333">
        <v>2021</v>
      </c>
      <c r="B1333">
        <v>9</v>
      </c>
      <c r="C1333" t="s">
        <v>149</v>
      </c>
      <c r="D1333" t="s">
        <v>601</v>
      </c>
      <c r="E1333" t="s">
        <v>602</v>
      </c>
      <c r="F1333" t="s">
        <v>438</v>
      </c>
      <c r="G1333">
        <v>7</v>
      </c>
      <c r="H1333">
        <v>12</v>
      </c>
      <c r="I1333">
        <v>0</v>
      </c>
      <c r="J1333" t="s">
        <v>34</v>
      </c>
      <c r="K1333" t="s">
        <v>65</v>
      </c>
      <c r="L1333">
        <v>70</v>
      </c>
      <c r="M1333">
        <v>68.454999999999998</v>
      </c>
      <c r="N1333">
        <v>70.027221999999995</v>
      </c>
      <c r="O1333">
        <v>17.010000000000002</v>
      </c>
      <c r="P1333">
        <v>30.437999999999999</v>
      </c>
      <c r="Q1333">
        <v>20.721</v>
      </c>
      <c r="R1333" t="s">
        <v>675</v>
      </c>
      <c r="S1333" t="s">
        <v>25</v>
      </c>
      <c r="T1333">
        <f>IF(TRIM(Table1[[#This Row],[PitStopLaps]])="",0,
LEN(Table1[[#This Row],[PitStopLaps]])-LEN(SUBSTITUTE(Table1[[#This Row],[PitStopLaps]],",",""))+1)</f>
        <v>2</v>
      </c>
      <c r="U1333">
        <f>Table1[[#This Row],[StartPosition]]-Table1[[#This Row],[FinishPosition]]</f>
        <v>-5</v>
      </c>
    </row>
    <row r="1334" spans="1:21" x14ac:dyDescent="0.3">
      <c r="A1334">
        <v>2021</v>
      </c>
      <c r="B1334">
        <v>9</v>
      </c>
      <c r="C1334" t="s">
        <v>149</v>
      </c>
      <c r="D1334" t="s">
        <v>58</v>
      </c>
      <c r="E1334" t="s">
        <v>59</v>
      </c>
      <c r="F1334" t="s">
        <v>603</v>
      </c>
      <c r="G1334">
        <v>9</v>
      </c>
      <c r="H1334">
        <v>13</v>
      </c>
      <c r="I1334">
        <v>0</v>
      </c>
      <c r="J1334" t="s">
        <v>34</v>
      </c>
      <c r="K1334" t="s">
        <v>65</v>
      </c>
      <c r="L1334">
        <v>70</v>
      </c>
      <c r="M1334">
        <v>68.659000000000006</v>
      </c>
      <c r="N1334">
        <v>70.181411999999995</v>
      </c>
      <c r="O1334">
        <v>16.815999999999999</v>
      </c>
      <c r="P1334">
        <v>30.507999999999999</v>
      </c>
      <c r="Q1334">
        <v>20.681000000000001</v>
      </c>
      <c r="R1334" t="s">
        <v>676</v>
      </c>
      <c r="S1334" t="s">
        <v>25</v>
      </c>
      <c r="T1334">
        <f>IF(TRIM(Table1[[#This Row],[PitStopLaps]])="",0,
LEN(Table1[[#This Row],[PitStopLaps]])-LEN(SUBSTITUTE(Table1[[#This Row],[PitStopLaps]],",",""))+1)</f>
        <v>2</v>
      </c>
      <c r="U1334">
        <f>Table1[[#This Row],[StartPosition]]-Table1[[#This Row],[FinishPosition]]</f>
        <v>-4</v>
      </c>
    </row>
    <row r="1335" spans="1:21" x14ac:dyDescent="0.3">
      <c r="A1335">
        <v>2021</v>
      </c>
      <c r="B1335">
        <v>9</v>
      </c>
      <c r="C1335" t="s">
        <v>149</v>
      </c>
      <c r="D1335" t="s">
        <v>250</v>
      </c>
      <c r="E1335" t="s">
        <v>251</v>
      </c>
      <c r="F1335" t="s">
        <v>243</v>
      </c>
      <c r="G1335">
        <v>15</v>
      </c>
      <c r="H1335">
        <v>14</v>
      </c>
      <c r="I1335">
        <v>0</v>
      </c>
      <c r="J1335" t="s">
        <v>34</v>
      </c>
      <c r="K1335" t="s">
        <v>65</v>
      </c>
      <c r="L1335">
        <v>70</v>
      </c>
      <c r="M1335">
        <v>69.042000000000002</v>
      </c>
      <c r="N1335">
        <v>70.482029999999995</v>
      </c>
      <c r="O1335">
        <v>17.004000000000001</v>
      </c>
      <c r="P1335">
        <v>30.657</v>
      </c>
      <c r="Q1335">
        <v>20.856000000000002</v>
      </c>
      <c r="R1335" t="s">
        <v>259</v>
      </c>
      <c r="S1335" t="s">
        <v>25</v>
      </c>
      <c r="T1335">
        <f>IF(TRIM(Table1[[#This Row],[PitStopLaps]])="",0,
LEN(Table1[[#This Row],[PitStopLaps]])-LEN(SUBSTITUTE(Table1[[#This Row],[PitStopLaps]],",",""))+1)</f>
        <v>2</v>
      </c>
      <c r="U1335">
        <f>Table1[[#This Row],[StartPosition]]-Table1[[#This Row],[FinishPosition]]</f>
        <v>1</v>
      </c>
    </row>
    <row r="1336" spans="1:21" x14ac:dyDescent="0.3">
      <c r="A1336">
        <v>2021</v>
      </c>
      <c r="B1336">
        <v>9</v>
      </c>
      <c r="C1336" t="s">
        <v>149</v>
      </c>
      <c r="D1336" t="s">
        <v>29</v>
      </c>
      <c r="E1336" t="s">
        <v>30</v>
      </c>
      <c r="F1336" t="s">
        <v>243</v>
      </c>
      <c r="G1336">
        <v>16</v>
      </c>
      <c r="H1336">
        <v>15</v>
      </c>
      <c r="I1336">
        <v>0</v>
      </c>
      <c r="J1336" t="s">
        <v>34</v>
      </c>
      <c r="K1336" t="s">
        <v>65</v>
      </c>
      <c r="L1336">
        <v>70</v>
      </c>
      <c r="M1336">
        <v>68.52</v>
      </c>
      <c r="N1336">
        <v>70.723091999999994</v>
      </c>
      <c r="O1336">
        <v>17.088000000000001</v>
      </c>
      <c r="P1336">
        <v>30.375</v>
      </c>
      <c r="Q1336">
        <v>20.663</v>
      </c>
      <c r="R1336">
        <v>37</v>
      </c>
      <c r="S1336" t="s">
        <v>25</v>
      </c>
      <c r="T1336">
        <f>IF(TRIM(Table1[[#This Row],[PitStopLaps]])="",0,
LEN(Table1[[#This Row],[PitStopLaps]])-LEN(SUBSTITUTE(Table1[[#This Row],[PitStopLaps]],",",""))+1)</f>
        <v>1</v>
      </c>
      <c r="U1336">
        <f>Table1[[#This Row],[StartPosition]]-Table1[[#This Row],[FinishPosition]]</f>
        <v>1</v>
      </c>
    </row>
    <row r="1337" spans="1:21" x14ac:dyDescent="0.3">
      <c r="A1337">
        <v>2021</v>
      </c>
      <c r="B1337">
        <v>9</v>
      </c>
      <c r="C1337" t="s">
        <v>149</v>
      </c>
      <c r="D1337" t="s">
        <v>440</v>
      </c>
      <c r="E1337" t="s">
        <v>441</v>
      </c>
      <c r="F1337" t="s">
        <v>60</v>
      </c>
      <c r="G1337">
        <v>18</v>
      </c>
      <c r="H1337">
        <v>16</v>
      </c>
      <c r="I1337">
        <v>0</v>
      </c>
      <c r="J1337" t="s">
        <v>34</v>
      </c>
      <c r="K1337" t="s">
        <v>65</v>
      </c>
      <c r="L1337">
        <v>70</v>
      </c>
      <c r="M1337">
        <v>68.873999999999995</v>
      </c>
      <c r="N1337">
        <v>70.675184000000002</v>
      </c>
      <c r="O1337">
        <v>17.221</v>
      </c>
      <c r="P1337">
        <v>31.009</v>
      </c>
      <c r="Q1337">
        <v>20.582000000000001</v>
      </c>
      <c r="R1337">
        <v>33</v>
      </c>
      <c r="S1337" t="s">
        <v>25</v>
      </c>
      <c r="T1337">
        <f>IF(TRIM(Table1[[#This Row],[PitStopLaps]])="",0,
LEN(Table1[[#This Row],[PitStopLaps]])-LEN(SUBSTITUTE(Table1[[#This Row],[PitStopLaps]],",",""))+1)</f>
        <v>1</v>
      </c>
      <c r="U1337">
        <f>Table1[[#This Row],[StartPosition]]-Table1[[#This Row],[FinishPosition]]</f>
        <v>2</v>
      </c>
    </row>
    <row r="1338" spans="1:21" x14ac:dyDescent="0.3">
      <c r="A1338">
        <v>2021</v>
      </c>
      <c r="B1338">
        <v>9</v>
      </c>
      <c r="C1338" t="s">
        <v>149</v>
      </c>
      <c r="D1338" t="s">
        <v>20</v>
      </c>
      <c r="E1338" t="s">
        <v>21</v>
      </c>
      <c r="F1338" t="s">
        <v>603</v>
      </c>
      <c r="G1338">
        <v>11</v>
      </c>
      <c r="H1338">
        <v>17</v>
      </c>
      <c r="I1338">
        <v>0</v>
      </c>
      <c r="J1338" t="s">
        <v>34</v>
      </c>
      <c r="K1338" t="s">
        <v>124</v>
      </c>
      <c r="L1338">
        <v>70</v>
      </c>
      <c r="M1338">
        <v>68.42</v>
      </c>
      <c r="N1338">
        <v>70.064338000000006</v>
      </c>
      <c r="O1338">
        <v>16.928999999999998</v>
      </c>
      <c r="P1338">
        <v>30.315999999999999</v>
      </c>
      <c r="Q1338">
        <v>20.69</v>
      </c>
      <c r="R1338" t="s">
        <v>677</v>
      </c>
      <c r="S1338" t="s">
        <v>25</v>
      </c>
      <c r="T1338">
        <f>IF(TRIM(Table1[[#This Row],[PitStopLaps]])="",0,
LEN(Table1[[#This Row],[PitStopLaps]])-LEN(SUBSTITUTE(Table1[[#This Row],[PitStopLaps]],",",""))+1)</f>
        <v>3</v>
      </c>
      <c r="U1338">
        <f>Table1[[#This Row],[StartPosition]]-Table1[[#This Row],[FinishPosition]]</f>
        <v>-6</v>
      </c>
    </row>
    <row r="1339" spans="1:21" x14ac:dyDescent="0.3">
      <c r="A1339">
        <v>2021</v>
      </c>
      <c r="B1339">
        <v>9</v>
      </c>
      <c r="C1339" t="s">
        <v>149</v>
      </c>
      <c r="D1339" t="s">
        <v>608</v>
      </c>
      <c r="E1339" t="s">
        <v>609</v>
      </c>
      <c r="F1339" t="s">
        <v>69</v>
      </c>
      <c r="G1339">
        <v>19</v>
      </c>
      <c r="H1339">
        <v>18</v>
      </c>
      <c r="I1339">
        <v>0</v>
      </c>
      <c r="J1339" t="s">
        <v>34</v>
      </c>
      <c r="K1339" t="s">
        <v>127</v>
      </c>
      <c r="L1339">
        <v>69</v>
      </c>
      <c r="M1339">
        <v>69.394000000000005</v>
      </c>
      <c r="N1339">
        <v>71.162734</v>
      </c>
      <c r="O1339">
        <v>17.312000000000001</v>
      </c>
      <c r="P1339">
        <v>30.963000000000001</v>
      </c>
      <c r="Q1339">
        <v>20.922999999999998</v>
      </c>
      <c r="R1339">
        <v>34</v>
      </c>
      <c r="S1339" t="s">
        <v>25</v>
      </c>
      <c r="T1339">
        <f>IF(TRIM(Table1[[#This Row],[PitStopLaps]])="",0,
LEN(Table1[[#This Row],[PitStopLaps]])-LEN(SUBSTITUTE(Table1[[#This Row],[PitStopLaps]],",",""))+1)</f>
        <v>1</v>
      </c>
      <c r="U1339">
        <f>Table1[[#This Row],[StartPosition]]-Table1[[#This Row],[FinishPosition]]</f>
        <v>1</v>
      </c>
    </row>
    <row r="1340" spans="1:21" x14ac:dyDescent="0.3">
      <c r="A1340">
        <v>2021</v>
      </c>
      <c r="B1340">
        <v>9</v>
      </c>
      <c r="C1340" t="s">
        <v>149</v>
      </c>
      <c r="D1340" t="s">
        <v>613</v>
      </c>
      <c r="E1340" t="s">
        <v>614</v>
      </c>
      <c r="F1340" t="s">
        <v>69</v>
      </c>
      <c r="G1340">
        <v>20</v>
      </c>
      <c r="H1340">
        <v>19</v>
      </c>
      <c r="I1340">
        <v>0</v>
      </c>
      <c r="J1340" t="s">
        <v>34</v>
      </c>
      <c r="K1340" t="s">
        <v>127</v>
      </c>
      <c r="L1340">
        <v>69</v>
      </c>
      <c r="M1340">
        <v>69.757000000000005</v>
      </c>
      <c r="N1340">
        <v>71.583321999999995</v>
      </c>
      <c r="O1340">
        <v>17.259</v>
      </c>
      <c r="P1340">
        <v>31.033999999999999</v>
      </c>
      <c r="Q1340">
        <v>21.222000000000001</v>
      </c>
      <c r="R1340" t="s">
        <v>678</v>
      </c>
      <c r="S1340" t="s">
        <v>25</v>
      </c>
      <c r="T1340">
        <f>IF(TRIM(Table1[[#This Row],[PitStopLaps]])="",0,
LEN(Table1[[#This Row],[PitStopLaps]])-LEN(SUBSTITUTE(Table1[[#This Row],[PitStopLaps]],",",""))+1)</f>
        <v>2</v>
      </c>
      <c r="U1340">
        <f>Table1[[#This Row],[StartPosition]]-Table1[[#This Row],[FinishPosition]]</f>
        <v>1</v>
      </c>
    </row>
    <row r="1341" spans="1:21" x14ac:dyDescent="0.3">
      <c r="A1341">
        <v>2021</v>
      </c>
      <c r="B1341">
        <v>9</v>
      </c>
      <c r="C1341" t="s">
        <v>149</v>
      </c>
      <c r="D1341" t="s">
        <v>52</v>
      </c>
      <c r="E1341" t="s">
        <v>53</v>
      </c>
      <c r="F1341" t="s">
        <v>607</v>
      </c>
      <c r="G1341">
        <v>17</v>
      </c>
      <c r="H1341">
        <v>20</v>
      </c>
      <c r="I1341">
        <v>0</v>
      </c>
      <c r="J1341" t="s">
        <v>34</v>
      </c>
      <c r="K1341" t="s">
        <v>124</v>
      </c>
      <c r="L1341">
        <v>1</v>
      </c>
      <c r="S1341" t="s">
        <v>25</v>
      </c>
      <c r="T1341">
        <f>IF(TRIM(Table1[[#This Row],[PitStopLaps]])="",0,
LEN(Table1[[#This Row],[PitStopLaps]])-LEN(SUBSTITUTE(Table1[[#This Row],[PitStopLaps]],",",""))+1)</f>
        <v>0</v>
      </c>
      <c r="U1341">
        <f>Table1[[#This Row],[StartPosition]]-Table1[[#This Row],[FinishPosition]]</f>
        <v>-3</v>
      </c>
    </row>
    <row r="1342" spans="1:21" x14ac:dyDescent="0.3">
      <c r="A1342">
        <v>2021</v>
      </c>
      <c r="B1342">
        <v>10</v>
      </c>
      <c r="C1342" t="s">
        <v>157</v>
      </c>
      <c r="D1342" t="s">
        <v>26</v>
      </c>
      <c r="E1342" t="s">
        <v>27</v>
      </c>
      <c r="F1342" t="s">
        <v>28</v>
      </c>
      <c r="G1342">
        <v>2</v>
      </c>
      <c r="H1342">
        <v>1</v>
      </c>
      <c r="I1342">
        <v>25</v>
      </c>
      <c r="J1342" t="s">
        <v>23</v>
      </c>
      <c r="K1342" t="s">
        <v>24</v>
      </c>
      <c r="L1342">
        <v>52</v>
      </c>
      <c r="M1342">
        <v>89.698999999999998</v>
      </c>
      <c r="N1342">
        <v>91.671260000000004</v>
      </c>
      <c r="O1342">
        <v>28.698</v>
      </c>
      <c r="P1342">
        <v>36.289000000000001</v>
      </c>
      <c r="Q1342">
        <v>24.619</v>
      </c>
      <c r="R1342" t="s">
        <v>386</v>
      </c>
      <c r="S1342" t="s">
        <v>83</v>
      </c>
      <c r="T1342">
        <f>IF(TRIM(Table1[[#This Row],[PitStopLaps]])="",0,
LEN(Table1[[#This Row],[PitStopLaps]])-LEN(SUBSTITUTE(Table1[[#This Row],[PitStopLaps]],",",""))+1)</f>
        <v>2</v>
      </c>
      <c r="U1342">
        <f>Table1[[#This Row],[StartPosition]]-Table1[[#This Row],[FinishPosition]]</f>
        <v>1</v>
      </c>
    </row>
    <row r="1343" spans="1:21" x14ac:dyDescent="0.3">
      <c r="A1343">
        <v>2021</v>
      </c>
      <c r="B1343">
        <v>10</v>
      </c>
      <c r="C1343" t="s">
        <v>157</v>
      </c>
      <c r="D1343" t="s">
        <v>54</v>
      </c>
      <c r="E1343" t="s">
        <v>55</v>
      </c>
      <c r="F1343" t="s">
        <v>22</v>
      </c>
      <c r="G1343">
        <v>4</v>
      </c>
      <c r="H1343">
        <v>2</v>
      </c>
      <c r="I1343">
        <v>18</v>
      </c>
      <c r="J1343" t="s">
        <v>23</v>
      </c>
      <c r="K1343" t="s">
        <v>24</v>
      </c>
      <c r="L1343">
        <v>52</v>
      </c>
      <c r="M1343">
        <v>90.569000000000003</v>
      </c>
      <c r="N1343">
        <v>92.057085999999998</v>
      </c>
      <c r="O1343">
        <v>29.04</v>
      </c>
      <c r="P1343">
        <v>36.670999999999999</v>
      </c>
      <c r="Q1343">
        <v>24.853999999999999</v>
      </c>
      <c r="R1343" t="s">
        <v>679</v>
      </c>
      <c r="S1343" t="s">
        <v>83</v>
      </c>
      <c r="T1343">
        <f>IF(TRIM(Table1[[#This Row],[PitStopLaps]])="",0,
LEN(Table1[[#This Row],[PitStopLaps]])-LEN(SUBSTITUTE(Table1[[#This Row],[PitStopLaps]],",",""))+1)</f>
        <v>2</v>
      </c>
      <c r="U1343">
        <f>Table1[[#This Row],[StartPosition]]-Table1[[#This Row],[FinishPosition]]</f>
        <v>2</v>
      </c>
    </row>
    <row r="1344" spans="1:21" x14ac:dyDescent="0.3">
      <c r="A1344">
        <v>2021</v>
      </c>
      <c r="B1344">
        <v>10</v>
      </c>
      <c r="C1344" t="s">
        <v>157</v>
      </c>
      <c r="D1344" t="s">
        <v>43</v>
      </c>
      <c r="E1344" t="s">
        <v>44</v>
      </c>
      <c r="F1344" t="s">
        <v>28</v>
      </c>
      <c r="G1344">
        <v>3</v>
      </c>
      <c r="H1344">
        <v>3</v>
      </c>
      <c r="I1344">
        <v>15</v>
      </c>
      <c r="J1344" t="s">
        <v>23</v>
      </c>
      <c r="K1344" t="s">
        <v>24</v>
      </c>
      <c r="L1344">
        <v>52</v>
      </c>
      <c r="M1344">
        <v>90.524000000000001</v>
      </c>
      <c r="N1344">
        <v>92.131173000000004</v>
      </c>
      <c r="O1344">
        <v>28.844000000000001</v>
      </c>
      <c r="P1344">
        <v>36.79</v>
      </c>
      <c r="Q1344">
        <v>24.847999999999999</v>
      </c>
      <c r="R1344" t="s">
        <v>680</v>
      </c>
      <c r="S1344" t="s">
        <v>83</v>
      </c>
      <c r="T1344">
        <f>IF(TRIM(Table1[[#This Row],[PitStopLaps]])="",0,
LEN(Table1[[#This Row],[PitStopLaps]])-LEN(SUBSTITUTE(Table1[[#This Row],[PitStopLaps]],",",""))+1)</f>
        <v>2</v>
      </c>
      <c r="U1344">
        <f>Table1[[#This Row],[StartPosition]]-Table1[[#This Row],[FinishPosition]]</f>
        <v>0</v>
      </c>
    </row>
    <row r="1345" spans="1:21" x14ac:dyDescent="0.3">
      <c r="A1345">
        <v>2021</v>
      </c>
      <c r="B1345">
        <v>10</v>
      </c>
      <c r="C1345" t="s">
        <v>157</v>
      </c>
      <c r="D1345" t="s">
        <v>246</v>
      </c>
      <c r="E1345" t="s">
        <v>247</v>
      </c>
      <c r="F1345" t="s">
        <v>37</v>
      </c>
      <c r="G1345">
        <v>5</v>
      </c>
      <c r="H1345">
        <v>4</v>
      </c>
      <c r="I1345">
        <v>12</v>
      </c>
      <c r="J1345" t="s">
        <v>34</v>
      </c>
      <c r="K1345" t="s">
        <v>24</v>
      </c>
      <c r="L1345">
        <v>52</v>
      </c>
      <c r="M1345">
        <v>91.42</v>
      </c>
      <c r="N1345">
        <v>92.479129999999998</v>
      </c>
      <c r="O1345">
        <v>29.100999999999999</v>
      </c>
      <c r="P1345">
        <v>36.975999999999999</v>
      </c>
      <c r="Q1345">
        <v>25.155000000000001</v>
      </c>
      <c r="R1345" t="s">
        <v>681</v>
      </c>
      <c r="S1345" t="s">
        <v>83</v>
      </c>
      <c r="T1345">
        <f>IF(TRIM(Table1[[#This Row],[PitStopLaps]])="",0,
LEN(Table1[[#This Row],[PitStopLaps]])-LEN(SUBSTITUTE(Table1[[#This Row],[PitStopLaps]],",",""))+1)</f>
        <v>2</v>
      </c>
      <c r="U1345">
        <f>Table1[[#This Row],[StartPosition]]-Table1[[#This Row],[FinishPosition]]</f>
        <v>1</v>
      </c>
    </row>
    <row r="1346" spans="1:21" x14ac:dyDescent="0.3">
      <c r="A1346">
        <v>2021</v>
      </c>
      <c r="B1346">
        <v>10</v>
      </c>
      <c r="C1346" t="s">
        <v>157</v>
      </c>
      <c r="D1346" t="s">
        <v>31</v>
      </c>
      <c r="E1346" t="s">
        <v>32</v>
      </c>
      <c r="F1346" t="s">
        <v>37</v>
      </c>
      <c r="G1346">
        <v>6</v>
      </c>
      <c r="H1346">
        <v>5</v>
      </c>
      <c r="I1346">
        <v>10</v>
      </c>
      <c r="J1346" t="s">
        <v>34</v>
      </c>
      <c r="K1346" t="s">
        <v>24</v>
      </c>
      <c r="L1346">
        <v>52</v>
      </c>
      <c r="M1346">
        <v>91.284000000000006</v>
      </c>
      <c r="N1346">
        <v>92.767759999999996</v>
      </c>
      <c r="O1346">
        <v>29.404</v>
      </c>
      <c r="P1346">
        <v>36.728999999999999</v>
      </c>
      <c r="Q1346">
        <v>25.045999999999999</v>
      </c>
      <c r="R1346" t="s">
        <v>458</v>
      </c>
      <c r="S1346" t="s">
        <v>83</v>
      </c>
      <c r="T1346">
        <f>IF(TRIM(Table1[[#This Row],[PitStopLaps]])="",0,
LEN(Table1[[#This Row],[PitStopLaps]])-LEN(SUBSTITUTE(Table1[[#This Row],[PitStopLaps]],",",""))+1)</f>
        <v>2</v>
      </c>
      <c r="U1346">
        <f>Table1[[#This Row],[StartPosition]]-Table1[[#This Row],[FinishPosition]]</f>
        <v>1</v>
      </c>
    </row>
    <row r="1347" spans="1:21" x14ac:dyDescent="0.3">
      <c r="A1347">
        <v>2021</v>
      </c>
      <c r="B1347">
        <v>10</v>
      </c>
      <c r="C1347" t="s">
        <v>157</v>
      </c>
      <c r="D1347" t="s">
        <v>47</v>
      </c>
      <c r="E1347" t="s">
        <v>48</v>
      </c>
      <c r="F1347" t="s">
        <v>22</v>
      </c>
      <c r="G1347">
        <v>10</v>
      </c>
      <c r="H1347">
        <v>6</v>
      </c>
      <c r="I1347">
        <v>8</v>
      </c>
      <c r="J1347" t="s">
        <v>34</v>
      </c>
      <c r="K1347" t="s">
        <v>24</v>
      </c>
      <c r="L1347">
        <v>52</v>
      </c>
      <c r="M1347">
        <v>91.222999999999999</v>
      </c>
      <c r="N1347">
        <v>93.662063000000003</v>
      </c>
      <c r="O1347">
        <v>29.042000000000002</v>
      </c>
      <c r="P1347">
        <v>36.759</v>
      </c>
      <c r="Q1347">
        <v>25.1</v>
      </c>
      <c r="R1347" t="s">
        <v>682</v>
      </c>
      <c r="S1347" t="s">
        <v>83</v>
      </c>
      <c r="T1347">
        <f>IF(TRIM(Table1[[#This Row],[PitStopLaps]])="",0,
LEN(Table1[[#This Row],[PitStopLaps]])-LEN(SUBSTITUTE(Table1[[#This Row],[PitStopLaps]],",",""))+1)</f>
        <v>2</v>
      </c>
      <c r="U1347">
        <f>Table1[[#This Row],[StartPosition]]-Table1[[#This Row],[FinishPosition]]</f>
        <v>4</v>
      </c>
    </row>
    <row r="1348" spans="1:21" x14ac:dyDescent="0.3">
      <c r="A1348">
        <v>2021</v>
      </c>
      <c r="B1348">
        <v>10</v>
      </c>
      <c r="C1348" t="s">
        <v>157</v>
      </c>
      <c r="D1348" t="s">
        <v>35</v>
      </c>
      <c r="E1348" t="s">
        <v>36</v>
      </c>
      <c r="F1348" t="s">
        <v>607</v>
      </c>
      <c r="G1348">
        <v>7</v>
      </c>
      <c r="H1348">
        <v>7</v>
      </c>
      <c r="I1348">
        <v>6</v>
      </c>
      <c r="J1348" t="s">
        <v>34</v>
      </c>
      <c r="K1348" t="s">
        <v>24</v>
      </c>
      <c r="L1348">
        <v>52</v>
      </c>
      <c r="M1348">
        <v>91.697999999999993</v>
      </c>
      <c r="N1348">
        <v>94.447318999999993</v>
      </c>
      <c r="O1348">
        <v>29.356999999999999</v>
      </c>
      <c r="P1348">
        <v>37.036999999999999</v>
      </c>
      <c r="Q1348">
        <v>25.25</v>
      </c>
      <c r="R1348" t="s">
        <v>683</v>
      </c>
      <c r="S1348" t="s">
        <v>83</v>
      </c>
      <c r="T1348">
        <f>IF(TRIM(Table1[[#This Row],[PitStopLaps]])="",0,
LEN(Table1[[#This Row],[PitStopLaps]])-LEN(SUBSTITUTE(Table1[[#This Row],[PitStopLaps]],",",""))+1)</f>
        <v>2</v>
      </c>
      <c r="U1348">
        <f>Table1[[#This Row],[StartPosition]]-Table1[[#This Row],[FinishPosition]]</f>
        <v>0</v>
      </c>
    </row>
    <row r="1349" spans="1:21" x14ac:dyDescent="0.3">
      <c r="A1349">
        <v>2021</v>
      </c>
      <c r="B1349">
        <v>10</v>
      </c>
      <c r="C1349" t="s">
        <v>157</v>
      </c>
      <c r="D1349" t="s">
        <v>58</v>
      </c>
      <c r="E1349" t="s">
        <v>59</v>
      </c>
      <c r="F1349" t="s">
        <v>603</v>
      </c>
      <c r="G1349">
        <v>14</v>
      </c>
      <c r="H1349">
        <v>8</v>
      </c>
      <c r="I1349">
        <v>4</v>
      </c>
      <c r="J1349" t="s">
        <v>34</v>
      </c>
      <c r="K1349" t="s">
        <v>24</v>
      </c>
      <c r="L1349">
        <v>52</v>
      </c>
      <c r="M1349">
        <v>91.992000000000004</v>
      </c>
      <c r="N1349">
        <v>94.242255</v>
      </c>
      <c r="O1349">
        <v>29.042000000000002</v>
      </c>
      <c r="P1349">
        <v>37.28</v>
      </c>
      <c r="Q1349">
        <v>25.321000000000002</v>
      </c>
      <c r="R1349" t="s">
        <v>684</v>
      </c>
      <c r="S1349" t="s">
        <v>83</v>
      </c>
      <c r="T1349">
        <f>IF(TRIM(Table1[[#This Row],[PitStopLaps]])="",0,
LEN(Table1[[#This Row],[PitStopLaps]])-LEN(SUBSTITUTE(Table1[[#This Row],[PitStopLaps]],",",""))+1)</f>
        <v>2</v>
      </c>
      <c r="U1349">
        <f>Table1[[#This Row],[StartPosition]]-Table1[[#This Row],[FinishPosition]]</f>
        <v>6</v>
      </c>
    </row>
    <row r="1350" spans="1:21" x14ac:dyDescent="0.3">
      <c r="A1350">
        <v>2021</v>
      </c>
      <c r="B1350">
        <v>10</v>
      </c>
      <c r="C1350" t="s">
        <v>157</v>
      </c>
      <c r="D1350" t="s">
        <v>52</v>
      </c>
      <c r="E1350" t="s">
        <v>53</v>
      </c>
      <c r="F1350" t="s">
        <v>607</v>
      </c>
      <c r="G1350">
        <v>9</v>
      </c>
      <c r="H1350">
        <v>9</v>
      </c>
      <c r="I1350">
        <v>2</v>
      </c>
      <c r="J1350" t="s">
        <v>34</v>
      </c>
      <c r="K1350" t="s">
        <v>24</v>
      </c>
      <c r="L1350">
        <v>52</v>
      </c>
      <c r="M1350">
        <v>92.21</v>
      </c>
      <c r="N1350">
        <v>94.315275999999997</v>
      </c>
      <c r="O1350">
        <v>29.33</v>
      </c>
      <c r="P1350">
        <v>37.319000000000003</v>
      </c>
      <c r="Q1350">
        <v>25.283000000000001</v>
      </c>
      <c r="R1350" t="s">
        <v>685</v>
      </c>
      <c r="S1350" t="s">
        <v>83</v>
      </c>
      <c r="T1350">
        <f>IF(TRIM(Table1[[#This Row],[PitStopLaps]])="",0,
LEN(Table1[[#This Row],[PitStopLaps]])-LEN(SUBSTITUTE(Table1[[#This Row],[PitStopLaps]],",",""))+1)</f>
        <v>2</v>
      </c>
      <c r="U1350">
        <f>Table1[[#This Row],[StartPosition]]-Table1[[#This Row],[FinishPosition]]</f>
        <v>0</v>
      </c>
    </row>
    <row r="1351" spans="1:21" x14ac:dyDescent="0.3">
      <c r="A1351">
        <v>2021</v>
      </c>
      <c r="B1351">
        <v>10</v>
      </c>
      <c r="C1351" t="s">
        <v>157</v>
      </c>
      <c r="D1351" t="s">
        <v>601</v>
      </c>
      <c r="E1351" t="s">
        <v>602</v>
      </c>
      <c r="F1351" t="s">
        <v>438</v>
      </c>
      <c r="G1351">
        <v>16</v>
      </c>
      <c r="H1351">
        <v>10</v>
      </c>
      <c r="I1351">
        <v>1</v>
      </c>
      <c r="J1351" t="s">
        <v>34</v>
      </c>
      <c r="K1351" t="s">
        <v>24</v>
      </c>
      <c r="L1351">
        <v>52</v>
      </c>
      <c r="M1351">
        <v>90.825999999999993</v>
      </c>
      <c r="N1351">
        <v>94.075021000000007</v>
      </c>
      <c r="O1351">
        <v>29.059000000000001</v>
      </c>
      <c r="P1351">
        <v>36.692999999999998</v>
      </c>
      <c r="Q1351">
        <v>24.998000000000001</v>
      </c>
      <c r="R1351" t="s">
        <v>686</v>
      </c>
      <c r="S1351" t="s">
        <v>83</v>
      </c>
      <c r="T1351">
        <f>IF(TRIM(Table1[[#This Row],[PitStopLaps]])="",0,
LEN(Table1[[#This Row],[PitStopLaps]])-LEN(SUBSTITUTE(Table1[[#This Row],[PitStopLaps]],",",""))+1)</f>
        <v>2</v>
      </c>
      <c r="U1351">
        <f>Table1[[#This Row],[StartPosition]]-Table1[[#This Row],[FinishPosition]]</f>
        <v>6</v>
      </c>
    </row>
    <row r="1352" spans="1:21" x14ac:dyDescent="0.3">
      <c r="A1352">
        <v>2021</v>
      </c>
      <c r="B1352">
        <v>10</v>
      </c>
      <c r="C1352" t="s">
        <v>157</v>
      </c>
      <c r="D1352" t="s">
        <v>73</v>
      </c>
      <c r="E1352" t="s">
        <v>74</v>
      </c>
      <c r="F1352" t="s">
        <v>438</v>
      </c>
      <c r="G1352">
        <v>11</v>
      </c>
      <c r="H1352">
        <v>11</v>
      </c>
      <c r="I1352">
        <v>0</v>
      </c>
      <c r="J1352" t="s">
        <v>34</v>
      </c>
      <c r="K1352" t="s">
        <v>24</v>
      </c>
      <c r="L1352">
        <v>52</v>
      </c>
      <c r="M1352">
        <v>90.266000000000005</v>
      </c>
      <c r="N1352">
        <v>94.026177000000004</v>
      </c>
      <c r="O1352">
        <v>28.849</v>
      </c>
      <c r="P1352">
        <v>36.424999999999997</v>
      </c>
      <c r="Q1352">
        <v>24.411000000000001</v>
      </c>
      <c r="R1352" t="s">
        <v>687</v>
      </c>
      <c r="S1352" t="s">
        <v>83</v>
      </c>
      <c r="T1352">
        <f>IF(TRIM(Table1[[#This Row],[PitStopLaps]])="",0,
LEN(Table1[[#This Row],[PitStopLaps]])-LEN(SUBSTITUTE(Table1[[#This Row],[PitStopLaps]],",",""))+1)</f>
        <v>3</v>
      </c>
      <c r="U1352">
        <f>Table1[[#This Row],[StartPosition]]-Table1[[#This Row],[FinishPosition]]</f>
        <v>0</v>
      </c>
    </row>
    <row r="1353" spans="1:21" x14ac:dyDescent="0.3">
      <c r="A1353">
        <v>2021</v>
      </c>
      <c r="B1353">
        <v>10</v>
      </c>
      <c r="C1353" t="s">
        <v>157</v>
      </c>
      <c r="D1353" t="s">
        <v>252</v>
      </c>
      <c r="E1353" t="s">
        <v>253</v>
      </c>
      <c r="F1353" t="s">
        <v>60</v>
      </c>
      <c r="G1353">
        <v>12</v>
      </c>
      <c r="H1353">
        <v>12</v>
      </c>
      <c r="I1353">
        <v>0</v>
      </c>
      <c r="J1353" t="s">
        <v>34</v>
      </c>
      <c r="K1353" t="s">
        <v>65</v>
      </c>
      <c r="L1353">
        <v>51</v>
      </c>
      <c r="M1353">
        <v>92.049000000000007</v>
      </c>
      <c r="N1353">
        <v>94.431912999999994</v>
      </c>
      <c r="O1353">
        <v>29.32</v>
      </c>
      <c r="P1353">
        <v>37.338999999999999</v>
      </c>
      <c r="Q1353">
        <v>25.321999999999999</v>
      </c>
      <c r="R1353" t="s">
        <v>688</v>
      </c>
      <c r="S1353" t="s">
        <v>83</v>
      </c>
      <c r="T1353">
        <f>IF(TRIM(Table1[[#This Row],[PitStopLaps]])="",0,
LEN(Table1[[#This Row],[PitStopLaps]])-LEN(SUBSTITUTE(Table1[[#This Row],[PitStopLaps]],",",""))+1)</f>
        <v>2</v>
      </c>
      <c r="U1353">
        <f>Table1[[#This Row],[StartPosition]]-Table1[[#This Row],[FinishPosition]]</f>
        <v>0</v>
      </c>
    </row>
    <row r="1354" spans="1:21" x14ac:dyDescent="0.3">
      <c r="A1354">
        <v>2021</v>
      </c>
      <c r="B1354">
        <v>10</v>
      </c>
      <c r="C1354" t="s">
        <v>157</v>
      </c>
      <c r="D1354" t="s">
        <v>250</v>
      </c>
      <c r="E1354" t="s">
        <v>251</v>
      </c>
      <c r="F1354" t="s">
        <v>243</v>
      </c>
      <c r="G1354">
        <v>15</v>
      </c>
      <c r="H1354">
        <v>13</v>
      </c>
      <c r="I1354">
        <v>0</v>
      </c>
      <c r="J1354" t="s">
        <v>34</v>
      </c>
      <c r="K1354" t="s">
        <v>65</v>
      </c>
      <c r="L1354">
        <v>51</v>
      </c>
      <c r="M1354">
        <v>92.346000000000004</v>
      </c>
      <c r="N1354">
        <v>94.579607999999993</v>
      </c>
      <c r="O1354">
        <v>29.417000000000002</v>
      </c>
      <c r="P1354">
        <v>37.533999999999999</v>
      </c>
      <c r="Q1354">
        <v>25.37</v>
      </c>
      <c r="R1354" t="s">
        <v>684</v>
      </c>
      <c r="S1354" t="s">
        <v>83</v>
      </c>
      <c r="T1354">
        <f>IF(TRIM(Table1[[#This Row],[PitStopLaps]])="",0,
LEN(Table1[[#This Row],[PitStopLaps]])-LEN(SUBSTITUTE(Table1[[#This Row],[PitStopLaps]],",",""))+1)</f>
        <v>2</v>
      </c>
      <c r="U1354">
        <f>Table1[[#This Row],[StartPosition]]-Table1[[#This Row],[FinishPosition]]</f>
        <v>2</v>
      </c>
    </row>
    <row r="1355" spans="1:21" x14ac:dyDescent="0.3">
      <c r="A1355">
        <v>2021</v>
      </c>
      <c r="B1355">
        <v>10</v>
      </c>
      <c r="C1355" t="s">
        <v>157</v>
      </c>
      <c r="D1355" t="s">
        <v>440</v>
      </c>
      <c r="E1355" t="s">
        <v>441</v>
      </c>
      <c r="F1355" t="s">
        <v>60</v>
      </c>
      <c r="G1355">
        <v>17</v>
      </c>
      <c r="H1355">
        <v>14</v>
      </c>
      <c r="I1355">
        <v>0</v>
      </c>
      <c r="J1355" t="s">
        <v>34</v>
      </c>
      <c r="K1355" t="s">
        <v>65</v>
      </c>
      <c r="L1355">
        <v>51</v>
      </c>
      <c r="M1355">
        <v>92.477000000000004</v>
      </c>
      <c r="N1355">
        <v>94.361542999999998</v>
      </c>
      <c r="O1355">
        <v>29.349</v>
      </c>
      <c r="P1355">
        <v>37.463000000000001</v>
      </c>
      <c r="Q1355">
        <v>25.260999999999999</v>
      </c>
      <c r="R1355" t="s">
        <v>685</v>
      </c>
      <c r="S1355" t="s">
        <v>83</v>
      </c>
      <c r="T1355">
        <f>IF(TRIM(Table1[[#This Row],[PitStopLaps]])="",0,
LEN(Table1[[#This Row],[PitStopLaps]])-LEN(SUBSTITUTE(Table1[[#This Row],[PitStopLaps]],",",""))+1)</f>
        <v>2</v>
      </c>
      <c r="U1355">
        <f>Table1[[#This Row],[StartPosition]]-Table1[[#This Row],[FinishPosition]]</f>
        <v>3</v>
      </c>
    </row>
    <row r="1356" spans="1:21" x14ac:dyDescent="0.3">
      <c r="A1356">
        <v>2021</v>
      </c>
      <c r="B1356">
        <v>10</v>
      </c>
      <c r="C1356" t="s">
        <v>157</v>
      </c>
      <c r="D1356" t="s">
        <v>29</v>
      </c>
      <c r="E1356" t="s">
        <v>30</v>
      </c>
      <c r="F1356" t="s">
        <v>243</v>
      </c>
      <c r="G1356">
        <v>13</v>
      </c>
      <c r="H1356">
        <v>15</v>
      </c>
      <c r="I1356">
        <v>0</v>
      </c>
      <c r="J1356" t="s">
        <v>34</v>
      </c>
      <c r="K1356" t="s">
        <v>65</v>
      </c>
      <c r="L1356">
        <v>51</v>
      </c>
      <c r="M1356">
        <v>91.894999999999996</v>
      </c>
      <c r="N1356">
        <v>94.940847000000005</v>
      </c>
      <c r="O1356">
        <v>29.513000000000002</v>
      </c>
      <c r="P1356">
        <v>37.139000000000003</v>
      </c>
      <c r="Q1356">
        <v>25.018999999999998</v>
      </c>
      <c r="R1356" t="s">
        <v>688</v>
      </c>
      <c r="S1356" t="s">
        <v>83</v>
      </c>
      <c r="T1356">
        <f>IF(TRIM(Table1[[#This Row],[PitStopLaps]])="",0,
LEN(Table1[[#This Row],[PitStopLaps]])-LEN(SUBSTITUTE(Table1[[#This Row],[PitStopLaps]],",",""))+1)</f>
        <v>2</v>
      </c>
      <c r="U1356">
        <f>Table1[[#This Row],[StartPosition]]-Table1[[#This Row],[FinishPosition]]</f>
        <v>-2</v>
      </c>
    </row>
    <row r="1357" spans="1:21" x14ac:dyDescent="0.3">
      <c r="A1357">
        <v>2021</v>
      </c>
      <c r="B1357">
        <v>10</v>
      </c>
      <c r="C1357" t="s">
        <v>157</v>
      </c>
      <c r="D1357" t="s">
        <v>49</v>
      </c>
      <c r="E1357" t="s">
        <v>50</v>
      </c>
      <c r="F1357" t="s">
        <v>33</v>
      </c>
      <c r="G1357">
        <v>0</v>
      </c>
      <c r="H1357">
        <v>16</v>
      </c>
      <c r="I1357">
        <v>0</v>
      </c>
      <c r="J1357" t="s">
        <v>34</v>
      </c>
      <c r="K1357" t="s">
        <v>65</v>
      </c>
      <c r="L1357">
        <v>51</v>
      </c>
      <c r="M1357">
        <v>88.617000000000004</v>
      </c>
      <c r="N1357">
        <v>93.399928000000003</v>
      </c>
      <c r="O1357">
        <v>28.547000000000001</v>
      </c>
      <c r="P1357">
        <v>35.631</v>
      </c>
      <c r="Q1357">
        <v>24.439</v>
      </c>
      <c r="R1357" t="s">
        <v>689</v>
      </c>
      <c r="S1357" t="s">
        <v>83</v>
      </c>
      <c r="T1357">
        <f>IF(TRIM(Table1[[#This Row],[PitStopLaps]])="",0,
LEN(Table1[[#This Row],[PitStopLaps]])-LEN(SUBSTITUTE(Table1[[#This Row],[PitStopLaps]],",",""))+1)</f>
        <v>4</v>
      </c>
      <c r="U1357">
        <f>Table1[[#This Row],[StartPosition]]-Table1[[#This Row],[FinishPosition]]</f>
        <v>-16</v>
      </c>
    </row>
    <row r="1358" spans="1:21" x14ac:dyDescent="0.3">
      <c r="A1358">
        <v>2021</v>
      </c>
      <c r="B1358">
        <v>10</v>
      </c>
      <c r="C1358" t="s">
        <v>157</v>
      </c>
      <c r="D1358" t="s">
        <v>613</v>
      </c>
      <c r="E1358" t="s">
        <v>614</v>
      </c>
      <c r="F1358" t="s">
        <v>69</v>
      </c>
      <c r="G1358">
        <v>19</v>
      </c>
      <c r="H1358">
        <v>17</v>
      </c>
      <c r="I1358">
        <v>0</v>
      </c>
      <c r="J1358" t="s">
        <v>34</v>
      </c>
      <c r="K1358" t="s">
        <v>65</v>
      </c>
      <c r="L1358">
        <v>51</v>
      </c>
      <c r="M1358">
        <v>92.909000000000006</v>
      </c>
      <c r="N1358">
        <v>95.326933999999994</v>
      </c>
      <c r="O1358">
        <v>29.632999999999999</v>
      </c>
      <c r="P1358">
        <v>37.630000000000003</v>
      </c>
      <c r="Q1358">
        <v>25.539000000000001</v>
      </c>
      <c r="R1358" t="s">
        <v>690</v>
      </c>
      <c r="S1358" t="s">
        <v>83</v>
      </c>
      <c r="T1358">
        <f>IF(TRIM(Table1[[#This Row],[PitStopLaps]])="",0,
LEN(Table1[[#This Row],[PitStopLaps]])-LEN(SUBSTITUTE(Table1[[#This Row],[PitStopLaps]],",",""))+1)</f>
        <v>2</v>
      </c>
      <c r="U1358">
        <f>Table1[[#This Row],[StartPosition]]-Table1[[#This Row],[FinishPosition]]</f>
        <v>2</v>
      </c>
    </row>
    <row r="1359" spans="1:21" x14ac:dyDescent="0.3">
      <c r="A1359">
        <v>2021</v>
      </c>
      <c r="B1359">
        <v>10</v>
      </c>
      <c r="C1359" t="s">
        <v>157</v>
      </c>
      <c r="D1359" t="s">
        <v>608</v>
      </c>
      <c r="E1359" t="s">
        <v>609</v>
      </c>
      <c r="F1359" t="s">
        <v>69</v>
      </c>
      <c r="G1359">
        <v>18</v>
      </c>
      <c r="H1359">
        <v>18</v>
      </c>
      <c r="I1359">
        <v>0</v>
      </c>
      <c r="J1359" t="s">
        <v>34</v>
      </c>
      <c r="K1359" t="s">
        <v>65</v>
      </c>
      <c r="L1359">
        <v>51</v>
      </c>
      <c r="M1359">
        <v>92.861999999999995</v>
      </c>
      <c r="N1359">
        <v>95.678933999999998</v>
      </c>
      <c r="O1359">
        <v>29.297999999999998</v>
      </c>
      <c r="P1359">
        <v>37.813000000000002</v>
      </c>
      <c r="Q1359">
        <v>25.393999999999998</v>
      </c>
      <c r="R1359" t="s">
        <v>683</v>
      </c>
      <c r="S1359" t="s">
        <v>83</v>
      </c>
      <c r="T1359">
        <f>IF(TRIM(Table1[[#This Row],[PitStopLaps]])="",0,
LEN(Table1[[#This Row],[PitStopLaps]])-LEN(SUBSTITUTE(Table1[[#This Row],[PitStopLaps]],",",""))+1)</f>
        <v>2</v>
      </c>
      <c r="U1359">
        <f>Table1[[#This Row],[StartPosition]]-Table1[[#This Row],[FinishPosition]]</f>
        <v>0</v>
      </c>
    </row>
    <row r="1360" spans="1:21" x14ac:dyDescent="0.3">
      <c r="A1360">
        <v>2021</v>
      </c>
      <c r="B1360">
        <v>10</v>
      </c>
      <c r="C1360" t="s">
        <v>157</v>
      </c>
      <c r="D1360" t="s">
        <v>20</v>
      </c>
      <c r="E1360" t="s">
        <v>21</v>
      </c>
      <c r="F1360" t="s">
        <v>603</v>
      </c>
      <c r="G1360">
        <v>8</v>
      </c>
      <c r="H1360">
        <v>19</v>
      </c>
      <c r="I1360">
        <v>0</v>
      </c>
      <c r="J1360" t="s">
        <v>34</v>
      </c>
      <c r="K1360" t="s">
        <v>179</v>
      </c>
      <c r="L1360">
        <v>40</v>
      </c>
      <c r="M1360">
        <v>93.058999999999997</v>
      </c>
      <c r="N1360">
        <v>93.915211999999997</v>
      </c>
      <c r="O1360">
        <v>29.074000000000002</v>
      </c>
      <c r="P1360">
        <v>37.875999999999998</v>
      </c>
      <c r="Q1360">
        <v>25.567</v>
      </c>
      <c r="R1360" t="s">
        <v>691</v>
      </c>
      <c r="S1360" t="s">
        <v>83</v>
      </c>
      <c r="T1360">
        <f>IF(TRIM(Table1[[#This Row],[PitStopLaps]])="",0,
LEN(Table1[[#This Row],[PitStopLaps]])-LEN(SUBSTITUTE(Table1[[#This Row],[PitStopLaps]],",",""))+1)</f>
        <v>3</v>
      </c>
      <c r="U1360">
        <f>Table1[[#This Row],[StartPosition]]-Table1[[#This Row],[FinishPosition]]</f>
        <v>-11</v>
      </c>
    </row>
    <row r="1361" spans="1:21" x14ac:dyDescent="0.3">
      <c r="A1361">
        <v>2021</v>
      </c>
      <c r="B1361">
        <v>10</v>
      </c>
      <c r="C1361" t="s">
        <v>157</v>
      </c>
      <c r="D1361" t="s">
        <v>38</v>
      </c>
      <c r="E1361" t="s">
        <v>39</v>
      </c>
      <c r="F1361" t="s">
        <v>33</v>
      </c>
      <c r="G1361">
        <v>1</v>
      </c>
      <c r="H1361">
        <v>20</v>
      </c>
      <c r="I1361">
        <v>0</v>
      </c>
      <c r="J1361" t="s">
        <v>34</v>
      </c>
      <c r="K1361" t="s">
        <v>124</v>
      </c>
      <c r="L1361">
        <v>1</v>
      </c>
      <c r="S1361" t="s">
        <v>83</v>
      </c>
      <c r="T1361">
        <f>IF(TRIM(Table1[[#This Row],[PitStopLaps]])="",0,
LEN(Table1[[#This Row],[PitStopLaps]])-LEN(SUBSTITUTE(Table1[[#This Row],[PitStopLaps]],",",""))+1)</f>
        <v>0</v>
      </c>
      <c r="U1361">
        <f>Table1[[#This Row],[StartPosition]]-Table1[[#This Row],[FinishPosition]]</f>
        <v>-19</v>
      </c>
    </row>
    <row r="1362" spans="1:21" x14ac:dyDescent="0.3">
      <c r="A1362">
        <v>2021</v>
      </c>
      <c r="B1362">
        <v>11</v>
      </c>
      <c r="C1362" t="s">
        <v>183</v>
      </c>
      <c r="D1362" t="s">
        <v>52</v>
      </c>
      <c r="E1362" t="s">
        <v>53</v>
      </c>
      <c r="F1362" t="s">
        <v>607</v>
      </c>
      <c r="G1362">
        <v>8</v>
      </c>
      <c r="H1362">
        <v>1</v>
      </c>
      <c r="I1362">
        <v>25</v>
      </c>
      <c r="J1362" t="s">
        <v>23</v>
      </c>
      <c r="K1362" t="s">
        <v>24</v>
      </c>
      <c r="L1362">
        <v>70</v>
      </c>
      <c r="M1362">
        <v>81.421000000000006</v>
      </c>
      <c r="N1362">
        <v>82.719967999999994</v>
      </c>
      <c r="O1362">
        <v>29.404</v>
      </c>
      <c r="P1362">
        <v>28.707999999999998</v>
      </c>
      <c r="Q1362">
        <v>23.099</v>
      </c>
      <c r="R1362" t="s">
        <v>627</v>
      </c>
      <c r="S1362" t="s">
        <v>25</v>
      </c>
      <c r="T1362">
        <f>IF(TRIM(Table1[[#This Row],[PitStopLaps]])="",0,
LEN(Table1[[#This Row],[PitStopLaps]])-LEN(SUBSTITUTE(Table1[[#This Row],[PitStopLaps]],",",""))+1)</f>
        <v>3</v>
      </c>
      <c r="U1362">
        <f>Table1[[#This Row],[StartPosition]]-Table1[[#This Row],[FinishPosition]]</f>
        <v>7</v>
      </c>
    </row>
    <row r="1363" spans="1:21" x14ac:dyDescent="0.3">
      <c r="A1363">
        <v>2021</v>
      </c>
      <c r="B1363">
        <v>11</v>
      </c>
      <c r="C1363" t="s">
        <v>183</v>
      </c>
      <c r="D1363" t="s">
        <v>26</v>
      </c>
      <c r="E1363" t="s">
        <v>27</v>
      </c>
      <c r="F1363" t="s">
        <v>28</v>
      </c>
      <c r="G1363">
        <v>1</v>
      </c>
      <c r="H1363">
        <v>2</v>
      </c>
      <c r="I1363">
        <v>18</v>
      </c>
      <c r="J1363" t="s">
        <v>23</v>
      </c>
      <c r="K1363" t="s">
        <v>24</v>
      </c>
      <c r="L1363">
        <v>70</v>
      </c>
      <c r="M1363">
        <v>78.715000000000003</v>
      </c>
      <c r="N1363">
        <v>82.159441999999999</v>
      </c>
      <c r="O1363">
        <v>28.491</v>
      </c>
      <c r="P1363">
        <v>28.012</v>
      </c>
      <c r="Q1363">
        <v>22.181000000000001</v>
      </c>
      <c r="R1363" t="s">
        <v>692</v>
      </c>
      <c r="S1363" t="s">
        <v>25</v>
      </c>
      <c r="T1363">
        <f>IF(TRIM(Table1[[#This Row],[PitStopLaps]])="",0,
LEN(Table1[[#This Row],[PitStopLaps]])-LEN(SUBSTITUTE(Table1[[#This Row],[PitStopLaps]],",",""))+1)</f>
        <v>4</v>
      </c>
      <c r="U1363">
        <f>Table1[[#This Row],[StartPosition]]-Table1[[#This Row],[FinishPosition]]</f>
        <v>-1</v>
      </c>
    </row>
    <row r="1364" spans="1:21" x14ac:dyDescent="0.3">
      <c r="A1364">
        <v>2021</v>
      </c>
      <c r="B1364">
        <v>11</v>
      </c>
      <c r="C1364" t="s">
        <v>183</v>
      </c>
      <c r="D1364" t="s">
        <v>47</v>
      </c>
      <c r="E1364" t="s">
        <v>48</v>
      </c>
      <c r="F1364" t="s">
        <v>22</v>
      </c>
      <c r="G1364">
        <v>15</v>
      </c>
      <c r="H1364">
        <v>3</v>
      </c>
      <c r="I1364">
        <v>15</v>
      </c>
      <c r="J1364" t="s">
        <v>23</v>
      </c>
      <c r="K1364" t="s">
        <v>24</v>
      </c>
      <c r="L1364">
        <v>70</v>
      </c>
      <c r="M1364">
        <v>81.423000000000002</v>
      </c>
      <c r="N1364">
        <v>82.864828000000003</v>
      </c>
      <c r="O1364">
        <v>29.408999999999999</v>
      </c>
      <c r="P1364">
        <v>28.81</v>
      </c>
      <c r="Q1364">
        <v>23.082000000000001</v>
      </c>
      <c r="R1364" t="s">
        <v>639</v>
      </c>
      <c r="S1364" t="s">
        <v>25</v>
      </c>
      <c r="T1364">
        <f>IF(TRIM(Table1[[#This Row],[PitStopLaps]])="",0,
LEN(Table1[[#This Row],[PitStopLaps]])-LEN(SUBSTITUTE(Table1[[#This Row],[PitStopLaps]],",",""))+1)</f>
        <v>3</v>
      </c>
      <c r="U1364">
        <f>Table1[[#This Row],[StartPosition]]-Table1[[#This Row],[FinishPosition]]</f>
        <v>12</v>
      </c>
    </row>
    <row r="1365" spans="1:21" x14ac:dyDescent="0.3">
      <c r="A1365">
        <v>2021</v>
      </c>
      <c r="B1365">
        <v>11</v>
      </c>
      <c r="C1365" t="s">
        <v>183</v>
      </c>
      <c r="D1365" t="s">
        <v>35</v>
      </c>
      <c r="E1365" t="s">
        <v>36</v>
      </c>
      <c r="F1365" t="s">
        <v>607</v>
      </c>
      <c r="G1365">
        <v>9</v>
      </c>
      <c r="H1365">
        <v>4</v>
      </c>
      <c r="I1365">
        <v>12</v>
      </c>
      <c r="J1365" t="s">
        <v>34</v>
      </c>
      <c r="K1365" t="s">
        <v>24</v>
      </c>
      <c r="L1365">
        <v>70</v>
      </c>
      <c r="M1365">
        <v>80.358999999999995</v>
      </c>
      <c r="N1365">
        <v>82.865453000000002</v>
      </c>
      <c r="O1365">
        <v>29.356999999999999</v>
      </c>
      <c r="P1365">
        <v>28.256</v>
      </c>
      <c r="Q1365">
        <v>22.71</v>
      </c>
      <c r="R1365" t="s">
        <v>637</v>
      </c>
      <c r="S1365" t="s">
        <v>25</v>
      </c>
      <c r="T1365">
        <f>IF(TRIM(Table1[[#This Row],[PitStopLaps]])="",0,
LEN(Table1[[#This Row],[PitStopLaps]])-LEN(SUBSTITUTE(Table1[[#This Row],[PitStopLaps]],",",""))+1)</f>
        <v>3</v>
      </c>
      <c r="U1365">
        <f>Table1[[#This Row],[StartPosition]]-Table1[[#This Row],[FinishPosition]]</f>
        <v>5</v>
      </c>
    </row>
    <row r="1366" spans="1:21" x14ac:dyDescent="0.3">
      <c r="A1366">
        <v>2021</v>
      </c>
      <c r="B1366">
        <v>11</v>
      </c>
      <c r="C1366" t="s">
        <v>183</v>
      </c>
      <c r="D1366" t="s">
        <v>73</v>
      </c>
      <c r="E1366" t="s">
        <v>74</v>
      </c>
      <c r="F1366" t="s">
        <v>438</v>
      </c>
      <c r="G1366">
        <v>5</v>
      </c>
      <c r="H1366">
        <v>5</v>
      </c>
      <c r="I1366">
        <v>11</v>
      </c>
      <c r="J1366" t="s">
        <v>34</v>
      </c>
      <c r="K1366" t="s">
        <v>24</v>
      </c>
      <c r="L1366">
        <v>70</v>
      </c>
      <c r="M1366">
        <v>78.394000000000005</v>
      </c>
      <c r="N1366">
        <v>83.196353999999999</v>
      </c>
      <c r="O1366">
        <v>28.652999999999999</v>
      </c>
      <c r="P1366">
        <v>27.690999999999999</v>
      </c>
      <c r="Q1366">
        <v>22.05</v>
      </c>
      <c r="R1366" t="s">
        <v>693</v>
      </c>
      <c r="S1366" t="s">
        <v>25</v>
      </c>
      <c r="T1366">
        <f>IF(TRIM(Table1[[#This Row],[PitStopLaps]])="",0,
LEN(Table1[[#This Row],[PitStopLaps]])-LEN(SUBSTITUTE(Table1[[#This Row],[PitStopLaps]],",",""))+1)</f>
        <v>4</v>
      </c>
      <c r="U1366">
        <f>Table1[[#This Row],[StartPosition]]-Table1[[#This Row],[FinishPosition]]</f>
        <v>0</v>
      </c>
    </row>
    <row r="1367" spans="1:21" x14ac:dyDescent="0.3">
      <c r="A1367">
        <v>2021</v>
      </c>
      <c r="B1367">
        <v>11</v>
      </c>
      <c r="C1367" t="s">
        <v>183</v>
      </c>
      <c r="D1367" t="s">
        <v>601</v>
      </c>
      <c r="E1367" t="s">
        <v>602</v>
      </c>
      <c r="F1367" t="s">
        <v>438</v>
      </c>
      <c r="G1367">
        <v>16</v>
      </c>
      <c r="H1367">
        <v>6</v>
      </c>
      <c r="I1367">
        <v>8</v>
      </c>
      <c r="J1367" t="s">
        <v>34</v>
      </c>
      <c r="K1367" t="s">
        <v>24</v>
      </c>
      <c r="L1367">
        <v>70</v>
      </c>
      <c r="M1367">
        <v>82.45</v>
      </c>
      <c r="N1367">
        <v>83.805436999999998</v>
      </c>
      <c r="O1367">
        <v>29.658999999999999</v>
      </c>
      <c r="P1367">
        <v>29.440999999999999</v>
      </c>
      <c r="Q1367">
        <v>23.213000000000001</v>
      </c>
      <c r="R1367" t="s">
        <v>631</v>
      </c>
      <c r="S1367" t="s">
        <v>25</v>
      </c>
      <c r="T1367">
        <f>IF(TRIM(Table1[[#This Row],[PitStopLaps]])="",0,
LEN(Table1[[#This Row],[PitStopLaps]])-LEN(SUBSTITUTE(Table1[[#This Row],[PitStopLaps]],",",""))+1)</f>
        <v>3</v>
      </c>
      <c r="U1367">
        <f>Table1[[#This Row],[StartPosition]]-Table1[[#This Row],[FinishPosition]]</f>
        <v>10</v>
      </c>
    </row>
    <row r="1368" spans="1:21" x14ac:dyDescent="0.3">
      <c r="A1368">
        <v>2021</v>
      </c>
      <c r="B1368">
        <v>11</v>
      </c>
      <c r="C1368" t="s">
        <v>183</v>
      </c>
      <c r="D1368" t="s">
        <v>440</v>
      </c>
      <c r="E1368" t="s">
        <v>441</v>
      </c>
      <c r="F1368" t="s">
        <v>60</v>
      </c>
      <c r="G1368">
        <v>18</v>
      </c>
      <c r="H1368">
        <v>7</v>
      </c>
      <c r="I1368">
        <v>6</v>
      </c>
      <c r="J1368" t="s">
        <v>34</v>
      </c>
      <c r="K1368" t="s">
        <v>24</v>
      </c>
      <c r="L1368">
        <v>70</v>
      </c>
      <c r="M1368">
        <v>82.831000000000003</v>
      </c>
      <c r="N1368">
        <v>83.815405999999996</v>
      </c>
      <c r="O1368">
        <v>29.558</v>
      </c>
      <c r="P1368">
        <v>29.596</v>
      </c>
      <c r="Q1368">
        <v>23.381</v>
      </c>
      <c r="R1368" t="s">
        <v>694</v>
      </c>
      <c r="S1368" t="s">
        <v>25</v>
      </c>
      <c r="T1368">
        <f>IF(TRIM(Table1[[#This Row],[PitStopLaps]])="",0,
LEN(Table1[[#This Row],[PitStopLaps]])-LEN(SUBSTITUTE(Table1[[#This Row],[PitStopLaps]],",",""))+1)</f>
        <v>3</v>
      </c>
      <c r="U1368">
        <f>Table1[[#This Row],[StartPosition]]-Table1[[#This Row],[FinishPosition]]</f>
        <v>11</v>
      </c>
    </row>
    <row r="1369" spans="1:21" x14ac:dyDescent="0.3">
      <c r="A1369">
        <v>2021</v>
      </c>
      <c r="B1369">
        <v>11</v>
      </c>
      <c r="C1369" t="s">
        <v>183</v>
      </c>
      <c r="D1369" t="s">
        <v>252</v>
      </c>
      <c r="E1369" t="s">
        <v>253</v>
      </c>
      <c r="F1369" t="s">
        <v>60</v>
      </c>
      <c r="G1369">
        <v>17</v>
      </c>
      <c r="H1369">
        <v>8</v>
      </c>
      <c r="I1369">
        <v>4</v>
      </c>
      <c r="J1369" t="s">
        <v>34</v>
      </c>
      <c r="K1369" t="s">
        <v>24</v>
      </c>
      <c r="L1369">
        <v>70</v>
      </c>
      <c r="M1369">
        <v>82.111999999999995</v>
      </c>
      <c r="N1369">
        <v>83.789625000000001</v>
      </c>
      <c r="O1369">
        <v>29.533000000000001</v>
      </c>
      <c r="P1369">
        <v>29.178000000000001</v>
      </c>
      <c r="Q1369">
        <v>23.247</v>
      </c>
      <c r="R1369" t="s">
        <v>636</v>
      </c>
      <c r="S1369" t="s">
        <v>25</v>
      </c>
      <c r="T1369">
        <f>IF(TRIM(Table1[[#This Row],[PitStopLaps]])="",0,
LEN(Table1[[#This Row],[PitStopLaps]])-LEN(SUBSTITUTE(Table1[[#This Row],[PitStopLaps]],",",""))+1)</f>
        <v>3</v>
      </c>
      <c r="U1369">
        <f>Table1[[#This Row],[StartPosition]]-Table1[[#This Row],[FinishPosition]]</f>
        <v>9</v>
      </c>
    </row>
    <row r="1370" spans="1:21" x14ac:dyDescent="0.3">
      <c r="A1370">
        <v>2021</v>
      </c>
      <c r="B1370">
        <v>11</v>
      </c>
      <c r="C1370" t="s">
        <v>183</v>
      </c>
      <c r="D1370" t="s">
        <v>38</v>
      </c>
      <c r="E1370" t="s">
        <v>39</v>
      </c>
      <c r="F1370" t="s">
        <v>33</v>
      </c>
      <c r="G1370">
        <v>3</v>
      </c>
      <c r="H1370">
        <v>9</v>
      </c>
      <c r="I1370">
        <v>2</v>
      </c>
      <c r="J1370" t="s">
        <v>34</v>
      </c>
      <c r="K1370" t="s">
        <v>24</v>
      </c>
      <c r="L1370">
        <v>70</v>
      </c>
      <c r="M1370">
        <v>80.944999999999993</v>
      </c>
      <c r="N1370">
        <v>83.503208999999998</v>
      </c>
      <c r="O1370">
        <v>29.012</v>
      </c>
      <c r="P1370">
        <v>28.885000000000002</v>
      </c>
      <c r="Q1370">
        <v>22.809000000000001</v>
      </c>
      <c r="R1370" t="s">
        <v>695</v>
      </c>
      <c r="S1370" t="s">
        <v>25</v>
      </c>
      <c r="T1370">
        <f>IF(TRIM(Table1[[#This Row],[PitStopLaps]])="",0,
LEN(Table1[[#This Row],[PitStopLaps]])-LEN(SUBSTITUTE(Table1[[#This Row],[PitStopLaps]],",",""))+1)</f>
        <v>5</v>
      </c>
      <c r="U1370">
        <f>Table1[[#This Row],[StartPosition]]-Table1[[#This Row],[FinishPosition]]</f>
        <v>-6</v>
      </c>
    </row>
    <row r="1371" spans="1:21" x14ac:dyDescent="0.3">
      <c r="A1371">
        <v>2021</v>
      </c>
      <c r="B1371">
        <v>11</v>
      </c>
      <c r="C1371" t="s">
        <v>183</v>
      </c>
      <c r="D1371" t="s">
        <v>29</v>
      </c>
      <c r="E1371" t="s">
        <v>30</v>
      </c>
      <c r="F1371" t="s">
        <v>243</v>
      </c>
      <c r="G1371">
        <v>13</v>
      </c>
      <c r="H1371">
        <v>10</v>
      </c>
      <c r="I1371">
        <v>1</v>
      </c>
      <c r="J1371" t="s">
        <v>34</v>
      </c>
      <c r="K1371" t="s">
        <v>65</v>
      </c>
      <c r="L1371">
        <v>69</v>
      </c>
      <c r="M1371">
        <v>81.518000000000001</v>
      </c>
      <c r="N1371">
        <v>83.548294999999996</v>
      </c>
      <c r="O1371">
        <v>29.001000000000001</v>
      </c>
      <c r="P1371">
        <v>29.047000000000001</v>
      </c>
      <c r="Q1371">
        <v>23.015999999999998</v>
      </c>
      <c r="R1371" t="s">
        <v>696</v>
      </c>
      <c r="S1371" t="s">
        <v>25</v>
      </c>
      <c r="T1371">
        <f>IF(TRIM(Table1[[#This Row],[PitStopLaps]])="",0,
LEN(Table1[[#This Row],[PitStopLaps]])-LEN(SUBSTITUTE(Table1[[#This Row],[PitStopLaps]],",",""))+1)</f>
        <v>4</v>
      </c>
      <c r="U1371">
        <f>Table1[[#This Row],[StartPosition]]-Table1[[#This Row],[FinishPosition]]</f>
        <v>3</v>
      </c>
    </row>
    <row r="1372" spans="1:21" x14ac:dyDescent="0.3">
      <c r="A1372">
        <v>2021</v>
      </c>
      <c r="B1372">
        <v>11</v>
      </c>
      <c r="C1372" t="s">
        <v>183</v>
      </c>
      <c r="D1372" t="s">
        <v>31</v>
      </c>
      <c r="E1372" t="s">
        <v>32</v>
      </c>
      <c r="F1372" t="s">
        <v>37</v>
      </c>
      <c r="G1372">
        <v>11</v>
      </c>
      <c r="H1372">
        <v>11</v>
      </c>
      <c r="I1372">
        <v>0</v>
      </c>
      <c r="J1372" t="s">
        <v>34</v>
      </c>
      <c r="K1372" t="s">
        <v>65</v>
      </c>
      <c r="L1372">
        <v>69</v>
      </c>
      <c r="M1372">
        <v>82.802000000000007</v>
      </c>
      <c r="N1372">
        <v>84.292300999999995</v>
      </c>
      <c r="O1372">
        <v>29.532</v>
      </c>
      <c r="P1372">
        <v>29.433</v>
      </c>
      <c r="Q1372">
        <v>23.628</v>
      </c>
      <c r="R1372" t="s">
        <v>697</v>
      </c>
      <c r="S1372" t="s">
        <v>25</v>
      </c>
      <c r="T1372">
        <f>IF(TRIM(Table1[[#This Row],[PitStopLaps]])="",0,
LEN(Table1[[#This Row],[PitStopLaps]])-LEN(SUBSTITUTE(Table1[[#This Row],[PitStopLaps]],",",""))+1)</f>
        <v>3</v>
      </c>
      <c r="U1372">
        <f>Table1[[#This Row],[StartPosition]]-Table1[[#This Row],[FinishPosition]]</f>
        <v>0</v>
      </c>
    </row>
    <row r="1373" spans="1:21" x14ac:dyDescent="0.3">
      <c r="A1373">
        <v>2021</v>
      </c>
      <c r="B1373">
        <v>11</v>
      </c>
      <c r="C1373" t="s">
        <v>183</v>
      </c>
      <c r="D1373" t="s">
        <v>608</v>
      </c>
      <c r="E1373" t="s">
        <v>609</v>
      </c>
      <c r="F1373" t="s">
        <v>69</v>
      </c>
      <c r="G1373">
        <v>20</v>
      </c>
      <c r="H1373">
        <v>12</v>
      </c>
      <c r="I1373">
        <v>0</v>
      </c>
      <c r="J1373" t="s">
        <v>34</v>
      </c>
      <c r="K1373" t="s">
        <v>65</v>
      </c>
      <c r="L1373">
        <v>69</v>
      </c>
      <c r="M1373">
        <v>82.710999999999999</v>
      </c>
      <c r="N1373">
        <v>84.375793000000002</v>
      </c>
      <c r="O1373">
        <v>29.734999999999999</v>
      </c>
      <c r="P1373">
        <v>29.279</v>
      </c>
      <c r="Q1373">
        <v>23.334</v>
      </c>
      <c r="R1373" t="s">
        <v>698</v>
      </c>
      <c r="S1373" t="s">
        <v>25</v>
      </c>
      <c r="T1373">
        <f>IF(TRIM(Table1[[#This Row],[PitStopLaps]])="",0,
LEN(Table1[[#This Row],[PitStopLaps]])-LEN(SUBSTITUTE(Table1[[#This Row],[PitStopLaps]],",",""))+1)</f>
        <v>3</v>
      </c>
      <c r="U1373">
        <f>Table1[[#This Row],[StartPosition]]-Table1[[#This Row],[FinishPosition]]</f>
        <v>8</v>
      </c>
    </row>
    <row r="1374" spans="1:21" x14ac:dyDescent="0.3">
      <c r="A1374">
        <v>2021</v>
      </c>
      <c r="B1374">
        <v>11</v>
      </c>
      <c r="C1374" t="s">
        <v>183</v>
      </c>
      <c r="D1374" t="s">
        <v>250</v>
      </c>
      <c r="E1374" t="s">
        <v>251</v>
      </c>
      <c r="F1374" t="s">
        <v>243</v>
      </c>
      <c r="G1374">
        <v>0</v>
      </c>
      <c r="H1374">
        <v>13</v>
      </c>
      <c r="I1374">
        <v>0</v>
      </c>
      <c r="J1374" t="s">
        <v>34</v>
      </c>
      <c r="K1374" t="s">
        <v>65</v>
      </c>
      <c r="L1374">
        <v>69</v>
      </c>
      <c r="M1374">
        <v>82.736000000000004</v>
      </c>
      <c r="N1374">
        <v>83.915754000000007</v>
      </c>
      <c r="O1374">
        <v>29.37</v>
      </c>
      <c r="P1374">
        <v>29.454999999999998</v>
      </c>
      <c r="Q1374">
        <v>23.495999999999999</v>
      </c>
      <c r="R1374" t="s">
        <v>699</v>
      </c>
      <c r="S1374" t="s">
        <v>25</v>
      </c>
      <c r="T1374">
        <f>IF(TRIM(Table1[[#This Row],[PitStopLaps]])="",0,
LEN(Table1[[#This Row],[PitStopLaps]])-LEN(SUBSTITUTE(Table1[[#This Row],[PitStopLaps]],",",""))+1)</f>
        <v>5</v>
      </c>
      <c r="U1374">
        <f>Table1[[#This Row],[StartPosition]]-Table1[[#This Row],[FinishPosition]]</f>
        <v>-13</v>
      </c>
    </row>
    <row r="1375" spans="1:21" x14ac:dyDescent="0.3">
      <c r="A1375">
        <v>2021</v>
      </c>
      <c r="B1375">
        <v>11</v>
      </c>
      <c r="C1375" t="s">
        <v>183</v>
      </c>
      <c r="D1375" t="s">
        <v>613</v>
      </c>
      <c r="E1375" t="s">
        <v>614</v>
      </c>
      <c r="F1375" t="s">
        <v>69</v>
      </c>
      <c r="G1375">
        <v>19</v>
      </c>
      <c r="H1375">
        <v>14</v>
      </c>
      <c r="I1375">
        <v>0</v>
      </c>
      <c r="J1375" t="s">
        <v>34</v>
      </c>
      <c r="K1375" t="s">
        <v>124</v>
      </c>
      <c r="L1375">
        <v>3</v>
      </c>
      <c r="R1375" t="s">
        <v>700</v>
      </c>
      <c r="S1375" t="s">
        <v>25</v>
      </c>
      <c r="T1375">
        <f>IF(TRIM(Table1[[#This Row],[PitStopLaps]])="",0,
LEN(Table1[[#This Row],[PitStopLaps]])-LEN(SUBSTITUTE(Table1[[#This Row],[PitStopLaps]],",",""))+1)</f>
        <v>3</v>
      </c>
      <c r="U1375">
        <f>Table1[[#This Row],[StartPosition]]-Table1[[#This Row],[FinishPosition]]</f>
        <v>5</v>
      </c>
    </row>
    <row r="1376" spans="1:21" x14ac:dyDescent="0.3">
      <c r="A1376">
        <v>2021</v>
      </c>
      <c r="B1376">
        <v>11</v>
      </c>
      <c r="C1376" t="s">
        <v>183</v>
      </c>
      <c r="D1376" t="s">
        <v>246</v>
      </c>
      <c r="E1376" t="s">
        <v>247</v>
      </c>
      <c r="F1376" t="s">
        <v>37</v>
      </c>
      <c r="G1376">
        <v>6</v>
      </c>
      <c r="H1376">
        <v>15</v>
      </c>
      <c r="I1376">
        <v>0</v>
      </c>
      <c r="J1376" t="s">
        <v>34</v>
      </c>
      <c r="K1376" t="s">
        <v>124</v>
      </c>
      <c r="L1376">
        <v>2</v>
      </c>
      <c r="R1376" t="s">
        <v>219</v>
      </c>
      <c r="S1376" t="s">
        <v>25</v>
      </c>
      <c r="T1376">
        <f>IF(TRIM(Table1[[#This Row],[PitStopLaps]])="",0,
LEN(Table1[[#This Row],[PitStopLaps]])-LEN(SUBSTITUTE(Table1[[#This Row],[PitStopLaps]],",",""))+1)</f>
        <v>2</v>
      </c>
      <c r="U1376">
        <f>Table1[[#This Row],[StartPosition]]-Table1[[#This Row],[FinishPosition]]</f>
        <v>-9</v>
      </c>
    </row>
    <row r="1377" spans="1:21" x14ac:dyDescent="0.3">
      <c r="A1377">
        <v>2021</v>
      </c>
      <c r="B1377">
        <v>11</v>
      </c>
      <c r="C1377" t="s">
        <v>183</v>
      </c>
      <c r="D1377" t="s">
        <v>43</v>
      </c>
      <c r="E1377" t="s">
        <v>44</v>
      </c>
      <c r="F1377" t="s">
        <v>28</v>
      </c>
      <c r="G1377">
        <v>2</v>
      </c>
      <c r="H1377">
        <v>16</v>
      </c>
      <c r="I1377">
        <v>0</v>
      </c>
      <c r="J1377" t="s">
        <v>34</v>
      </c>
      <c r="K1377" t="s">
        <v>124</v>
      </c>
      <c r="L1377">
        <v>1</v>
      </c>
      <c r="S1377" t="s">
        <v>25</v>
      </c>
      <c r="T1377">
        <f>IF(TRIM(Table1[[#This Row],[PitStopLaps]])="",0,
LEN(Table1[[#This Row],[PitStopLaps]])-LEN(SUBSTITUTE(Table1[[#This Row],[PitStopLaps]],",",""))+1)</f>
        <v>0</v>
      </c>
      <c r="U1377">
        <f>Table1[[#This Row],[StartPosition]]-Table1[[#This Row],[FinishPosition]]</f>
        <v>-14</v>
      </c>
    </row>
    <row r="1378" spans="1:21" x14ac:dyDescent="0.3">
      <c r="A1378">
        <v>2021</v>
      </c>
      <c r="B1378">
        <v>11</v>
      </c>
      <c r="C1378" t="s">
        <v>183</v>
      </c>
      <c r="D1378" t="s">
        <v>49</v>
      </c>
      <c r="E1378" t="s">
        <v>50</v>
      </c>
      <c r="F1378" t="s">
        <v>33</v>
      </c>
      <c r="G1378">
        <v>4</v>
      </c>
      <c r="H1378">
        <v>17</v>
      </c>
      <c r="I1378">
        <v>0</v>
      </c>
      <c r="J1378" t="s">
        <v>34</v>
      </c>
      <c r="K1378" t="s">
        <v>124</v>
      </c>
      <c r="L1378">
        <v>1</v>
      </c>
      <c r="S1378" t="s">
        <v>25</v>
      </c>
      <c r="T1378">
        <f>IF(TRIM(Table1[[#This Row],[PitStopLaps]])="",0,
LEN(Table1[[#This Row],[PitStopLaps]])-LEN(SUBSTITUTE(Table1[[#This Row],[PitStopLaps]],",",""))+1)</f>
        <v>0</v>
      </c>
      <c r="U1378">
        <f>Table1[[#This Row],[StartPosition]]-Table1[[#This Row],[FinishPosition]]</f>
        <v>-13</v>
      </c>
    </row>
    <row r="1379" spans="1:21" x14ac:dyDescent="0.3">
      <c r="A1379">
        <v>2021</v>
      </c>
      <c r="B1379">
        <v>11</v>
      </c>
      <c r="C1379" t="s">
        <v>183</v>
      </c>
      <c r="D1379" t="s">
        <v>54</v>
      </c>
      <c r="E1379" t="s">
        <v>55</v>
      </c>
      <c r="F1379" t="s">
        <v>22</v>
      </c>
      <c r="G1379">
        <v>7</v>
      </c>
      <c r="H1379">
        <v>18</v>
      </c>
      <c r="I1379">
        <v>0</v>
      </c>
      <c r="J1379" t="s">
        <v>34</v>
      </c>
      <c r="K1379" t="s">
        <v>124</v>
      </c>
      <c r="L1379">
        <v>1</v>
      </c>
      <c r="S1379" t="s">
        <v>25</v>
      </c>
      <c r="T1379">
        <f>IF(TRIM(Table1[[#This Row],[PitStopLaps]])="",0,
LEN(Table1[[#This Row],[PitStopLaps]])-LEN(SUBSTITUTE(Table1[[#This Row],[PitStopLaps]],",",""))+1)</f>
        <v>0</v>
      </c>
      <c r="U1379">
        <f>Table1[[#This Row],[StartPosition]]-Table1[[#This Row],[FinishPosition]]</f>
        <v>-11</v>
      </c>
    </row>
    <row r="1380" spans="1:21" x14ac:dyDescent="0.3">
      <c r="A1380">
        <v>2021</v>
      </c>
      <c r="B1380">
        <v>11</v>
      </c>
      <c r="C1380" t="s">
        <v>183</v>
      </c>
      <c r="D1380" t="s">
        <v>58</v>
      </c>
      <c r="E1380" t="s">
        <v>59</v>
      </c>
      <c r="F1380" t="s">
        <v>603</v>
      </c>
      <c r="G1380">
        <v>12</v>
      </c>
      <c r="H1380">
        <v>19</v>
      </c>
      <c r="I1380">
        <v>0</v>
      </c>
      <c r="J1380" t="s">
        <v>34</v>
      </c>
      <c r="K1380" t="s">
        <v>124</v>
      </c>
      <c r="L1380">
        <v>1</v>
      </c>
      <c r="S1380" t="s">
        <v>25</v>
      </c>
      <c r="T1380">
        <f>IF(TRIM(Table1[[#This Row],[PitStopLaps]])="",0,
LEN(Table1[[#This Row],[PitStopLaps]])-LEN(SUBSTITUTE(Table1[[#This Row],[PitStopLaps]],",",""))+1)</f>
        <v>0</v>
      </c>
      <c r="U1380">
        <f>Table1[[#This Row],[StartPosition]]-Table1[[#This Row],[FinishPosition]]</f>
        <v>-7</v>
      </c>
    </row>
    <row r="1381" spans="1:21" x14ac:dyDescent="0.3">
      <c r="A1381">
        <v>2021</v>
      </c>
      <c r="B1381">
        <v>11</v>
      </c>
      <c r="C1381" t="s">
        <v>183</v>
      </c>
      <c r="D1381" t="s">
        <v>20</v>
      </c>
      <c r="E1381" t="s">
        <v>21</v>
      </c>
      <c r="F1381" t="s">
        <v>603</v>
      </c>
      <c r="G1381">
        <v>10</v>
      </c>
      <c r="H1381">
        <v>20</v>
      </c>
      <c r="I1381">
        <v>0</v>
      </c>
      <c r="J1381" t="s">
        <v>34</v>
      </c>
      <c r="K1381" t="s">
        <v>220</v>
      </c>
      <c r="L1381">
        <v>70</v>
      </c>
      <c r="M1381">
        <v>81.459000000000003</v>
      </c>
      <c r="N1381">
        <v>82.752734000000004</v>
      </c>
      <c r="O1381">
        <v>29.233000000000001</v>
      </c>
      <c r="P1381">
        <v>28.965</v>
      </c>
      <c r="Q1381">
        <v>23.041</v>
      </c>
      <c r="R1381" t="s">
        <v>701</v>
      </c>
      <c r="S1381" t="s">
        <v>25</v>
      </c>
      <c r="T1381">
        <f>IF(TRIM(Table1[[#This Row],[PitStopLaps]])="",0,
LEN(Table1[[#This Row],[PitStopLaps]])-LEN(SUBSTITUTE(Table1[[#This Row],[PitStopLaps]],",",""))+1)</f>
        <v>3</v>
      </c>
      <c r="U1381">
        <f>Table1[[#This Row],[StartPosition]]-Table1[[#This Row],[FinishPosition]]</f>
        <v>-10</v>
      </c>
    </row>
    <row r="1382" spans="1:21" x14ac:dyDescent="0.3">
      <c r="A1382">
        <v>2021</v>
      </c>
      <c r="B1382">
        <v>12</v>
      </c>
      <c r="C1382" t="s">
        <v>188</v>
      </c>
      <c r="D1382" t="s">
        <v>38</v>
      </c>
      <c r="E1382" t="s">
        <v>39</v>
      </c>
      <c r="F1382" t="s">
        <v>33</v>
      </c>
      <c r="G1382">
        <v>1</v>
      </c>
      <c r="H1382">
        <v>1</v>
      </c>
      <c r="I1382">
        <v>12.5</v>
      </c>
      <c r="J1382" t="s">
        <v>23</v>
      </c>
      <c r="K1382" t="s">
        <v>24</v>
      </c>
      <c r="L1382">
        <v>3</v>
      </c>
      <c r="R1382">
        <v>3</v>
      </c>
      <c r="S1382" t="s">
        <v>25</v>
      </c>
      <c r="T1382">
        <f>IF(TRIM(Table1[[#This Row],[PitStopLaps]])="",0,
LEN(Table1[[#This Row],[PitStopLaps]])-LEN(SUBSTITUTE(Table1[[#This Row],[PitStopLaps]],",",""))+1)</f>
        <v>1</v>
      </c>
      <c r="U1382">
        <f>Table1[[#This Row],[StartPosition]]-Table1[[#This Row],[FinishPosition]]</f>
        <v>0</v>
      </c>
    </row>
    <row r="1383" spans="1:21" x14ac:dyDescent="0.3">
      <c r="A1383">
        <v>2021</v>
      </c>
      <c r="B1383">
        <v>12</v>
      </c>
      <c r="C1383" t="s">
        <v>188</v>
      </c>
      <c r="D1383" t="s">
        <v>252</v>
      </c>
      <c r="E1383" t="s">
        <v>253</v>
      </c>
      <c r="F1383" t="s">
        <v>60</v>
      </c>
      <c r="G1383">
        <v>2</v>
      </c>
      <c r="H1383">
        <v>2</v>
      </c>
      <c r="I1383">
        <v>9</v>
      </c>
      <c r="J1383" t="s">
        <v>23</v>
      </c>
      <c r="K1383" t="s">
        <v>24</v>
      </c>
      <c r="L1383">
        <v>3</v>
      </c>
      <c r="R1383">
        <v>3</v>
      </c>
      <c r="S1383" t="s">
        <v>25</v>
      </c>
      <c r="T1383">
        <f>IF(TRIM(Table1[[#This Row],[PitStopLaps]])="",0,
LEN(Table1[[#This Row],[PitStopLaps]])-LEN(SUBSTITUTE(Table1[[#This Row],[PitStopLaps]],",",""))+1)</f>
        <v>1</v>
      </c>
      <c r="U1383">
        <f>Table1[[#This Row],[StartPosition]]-Table1[[#This Row],[FinishPosition]]</f>
        <v>0</v>
      </c>
    </row>
    <row r="1384" spans="1:21" x14ac:dyDescent="0.3">
      <c r="A1384">
        <v>2021</v>
      </c>
      <c r="B1384">
        <v>12</v>
      </c>
      <c r="C1384" t="s">
        <v>188</v>
      </c>
      <c r="D1384" t="s">
        <v>26</v>
      </c>
      <c r="E1384" t="s">
        <v>27</v>
      </c>
      <c r="F1384" t="s">
        <v>28</v>
      </c>
      <c r="G1384">
        <v>3</v>
      </c>
      <c r="H1384">
        <v>3</v>
      </c>
      <c r="I1384">
        <v>7.5</v>
      </c>
      <c r="J1384" t="s">
        <v>23</v>
      </c>
      <c r="K1384" t="s">
        <v>24</v>
      </c>
      <c r="L1384">
        <v>3</v>
      </c>
      <c r="R1384">
        <v>3</v>
      </c>
      <c r="S1384" t="s">
        <v>25</v>
      </c>
      <c r="T1384">
        <f>IF(TRIM(Table1[[#This Row],[PitStopLaps]])="",0,
LEN(Table1[[#This Row],[PitStopLaps]])-LEN(SUBSTITUTE(Table1[[#This Row],[PitStopLaps]],",",""))+1)</f>
        <v>1</v>
      </c>
      <c r="U1384">
        <f>Table1[[#This Row],[StartPosition]]-Table1[[#This Row],[FinishPosition]]</f>
        <v>0</v>
      </c>
    </row>
    <row r="1385" spans="1:21" x14ac:dyDescent="0.3">
      <c r="A1385">
        <v>2021</v>
      </c>
      <c r="B1385">
        <v>12</v>
      </c>
      <c r="C1385" t="s">
        <v>188</v>
      </c>
      <c r="D1385" t="s">
        <v>31</v>
      </c>
      <c r="E1385" t="s">
        <v>32</v>
      </c>
      <c r="F1385" t="s">
        <v>37</v>
      </c>
      <c r="G1385">
        <v>4</v>
      </c>
      <c r="H1385">
        <v>4</v>
      </c>
      <c r="I1385">
        <v>6</v>
      </c>
      <c r="J1385" t="s">
        <v>34</v>
      </c>
      <c r="K1385" t="s">
        <v>24</v>
      </c>
      <c r="L1385">
        <v>3</v>
      </c>
      <c r="R1385">
        <v>3</v>
      </c>
      <c r="S1385" t="s">
        <v>25</v>
      </c>
      <c r="T1385">
        <f>IF(TRIM(Table1[[#This Row],[PitStopLaps]])="",0,
LEN(Table1[[#This Row],[PitStopLaps]])-LEN(SUBSTITUTE(Table1[[#This Row],[PitStopLaps]],",",""))+1)</f>
        <v>1</v>
      </c>
      <c r="U1385">
        <f>Table1[[#This Row],[StartPosition]]-Table1[[#This Row],[FinishPosition]]</f>
        <v>0</v>
      </c>
    </row>
    <row r="1386" spans="1:21" x14ac:dyDescent="0.3">
      <c r="A1386">
        <v>2021</v>
      </c>
      <c r="B1386">
        <v>12</v>
      </c>
      <c r="C1386" t="s">
        <v>188</v>
      </c>
      <c r="D1386" t="s">
        <v>20</v>
      </c>
      <c r="E1386" t="s">
        <v>21</v>
      </c>
      <c r="F1386" t="s">
        <v>603</v>
      </c>
      <c r="G1386">
        <v>5</v>
      </c>
      <c r="H1386">
        <v>5</v>
      </c>
      <c r="I1386">
        <v>5</v>
      </c>
      <c r="J1386" t="s">
        <v>34</v>
      </c>
      <c r="K1386" t="s">
        <v>24</v>
      </c>
      <c r="L1386">
        <v>3</v>
      </c>
      <c r="R1386">
        <v>3</v>
      </c>
      <c r="S1386" t="s">
        <v>25</v>
      </c>
      <c r="T1386">
        <f>IF(TRIM(Table1[[#This Row],[PitStopLaps]])="",0,
LEN(Table1[[#This Row],[PitStopLaps]])-LEN(SUBSTITUTE(Table1[[#This Row],[PitStopLaps]],",",""))+1)</f>
        <v>1</v>
      </c>
      <c r="U1386">
        <f>Table1[[#This Row],[StartPosition]]-Table1[[#This Row],[FinishPosition]]</f>
        <v>0</v>
      </c>
    </row>
    <row r="1387" spans="1:21" x14ac:dyDescent="0.3">
      <c r="A1387">
        <v>2021</v>
      </c>
      <c r="B1387">
        <v>12</v>
      </c>
      <c r="C1387" t="s">
        <v>188</v>
      </c>
      <c r="D1387" t="s">
        <v>73</v>
      </c>
      <c r="E1387" t="s">
        <v>74</v>
      </c>
      <c r="F1387" t="s">
        <v>438</v>
      </c>
      <c r="G1387">
        <v>6</v>
      </c>
      <c r="H1387">
        <v>6</v>
      </c>
      <c r="I1387">
        <v>4</v>
      </c>
      <c r="J1387" t="s">
        <v>34</v>
      </c>
      <c r="K1387" t="s">
        <v>24</v>
      </c>
      <c r="L1387">
        <v>3</v>
      </c>
      <c r="R1387">
        <v>3</v>
      </c>
      <c r="S1387" t="s">
        <v>25</v>
      </c>
      <c r="T1387">
        <f>IF(TRIM(Table1[[#This Row],[PitStopLaps]])="",0,
LEN(Table1[[#This Row],[PitStopLaps]])-LEN(SUBSTITUTE(Table1[[#This Row],[PitStopLaps]],",",""))+1)</f>
        <v>1</v>
      </c>
      <c r="U1387">
        <f>Table1[[#This Row],[StartPosition]]-Table1[[#This Row],[FinishPosition]]</f>
        <v>0</v>
      </c>
    </row>
    <row r="1388" spans="1:21" x14ac:dyDescent="0.3">
      <c r="A1388">
        <v>2021</v>
      </c>
      <c r="B1388">
        <v>12</v>
      </c>
      <c r="C1388" t="s">
        <v>188</v>
      </c>
      <c r="D1388" t="s">
        <v>52</v>
      </c>
      <c r="E1388" t="s">
        <v>53</v>
      </c>
      <c r="F1388" t="s">
        <v>607</v>
      </c>
      <c r="G1388">
        <v>8</v>
      </c>
      <c r="H1388">
        <v>7</v>
      </c>
      <c r="I1388">
        <v>3</v>
      </c>
      <c r="J1388" t="s">
        <v>34</v>
      </c>
      <c r="K1388" t="s">
        <v>24</v>
      </c>
      <c r="L1388">
        <v>3</v>
      </c>
      <c r="R1388">
        <v>3</v>
      </c>
      <c r="S1388" t="s">
        <v>25</v>
      </c>
      <c r="T1388">
        <f>IF(TRIM(Table1[[#This Row],[PitStopLaps]])="",0,
LEN(Table1[[#This Row],[PitStopLaps]])-LEN(SUBSTITUTE(Table1[[#This Row],[PitStopLaps]],",",""))+1)</f>
        <v>1</v>
      </c>
      <c r="U1388">
        <f>Table1[[#This Row],[StartPosition]]-Table1[[#This Row],[FinishPosition]]</f>
        <v>1</v>
      </c>
    </row>
    <row r="1389" spans="1:21" x14ac:dyDescent="0.3">
      <c r="A1389">
        <v>2021</v>
      </c>
      <c r="B1389">
        <v>12</v>
      </c>
      <c r="C1389" t="s">
        <v>188</v>
      </c>
      <c r="D1389" t="s">
        <v>54</v>
      </c>
      <c r="E1389" t="s">
        <v>55</v>
      </c>
      <c r="F1389" t="s">
        <v>22</v>
      </c>
      <c r="G1389">
        <v>9</v>
      </c>
      <c r="H1389">
        <v>8</v>
      </c>
      <c r="I1389">
        <v>2</v>
      </c>
      <c r="J1389" t="s">
        <v>34</v>
      </c>
      <c r="K1389" t="s">
        <v>24</v>
      </c>
      <c r="L1389">
        <v>3</v>
      </c>
      <c r="R1389">
        <v>3</v>
      </c>
      <c r="S1389" t="s">
        <v>25</v>
      </c>
      <c r="T1389">
        <f>IF(TRIM(Table1[[#This Row],[PitStopLaps]])="",0,
LEN(Table1[[#This Row],[PitStopLaps]])-LEN(SUBSTITUTE(Table1[[#This Row],[PitStopLaps]],",",""))+1)</f>
        <v>1</v>
      </c>
      <c r="U1389">
        <f>Table1[[#This Row],[StartPosition]]-Table1[[#This Row],[FinishPosition]]</f>
        <v>1</v>
      </c>
    </row>
    <row r="1390" spans="1:21" x14ac:dyDescent="0.3">
      <c r="A1390">
        <v>2021</v>
      </c>
      <c r="B1390">
        <v>12</v>
      </c>
      <c r="C1390" t="s">
        <v>188</v>
      </c>
      <c r="D1390" t="s">
        <v>440</v>
      </c>
      <c r="E1390" t="s">
        <v>441</v>
      </c>
      <c r="F1390" t="s">
        <v>60</v>
      </c>
      <c r="G1390">
        <v>10</v>
      </c>
      <c r="H1390">
        <v>9</v>
      </c>
      <c r="I1390">
        <v>1</v>
      </c>
      <c r="J1390" t="s">
        <v>34</v>
      </c>
      <c r="K1390" t="s">
        <v>24</v>
      </c>
      <c r="L1390">
        <v>3</v>
      </c>
      <c r="R1390">
        <v>3</v>
      </c>
      <c r="S1390" t="s">
        <v>25</v>
      </c>
      <c r="T1390">
        <f>IF(TRIM(Table1[[#This Row],[PitStopLaps]])="",0,
LEN(Table1[[#This Row],[PitStopLaps]])-LEN(SUBSTITUTE(Table1[[#This Row],[PitStopLaps]],",",""))+1)</f>
        <v>1</v>
      </c>
      <c r="U1390">
        <f>Table1[[#This Row],[StartPosition]]-Table1[[#This Row],[FinishPosition]]</f>
        <v>1</v>
      </c>
    </row>
    <row r="1391" spans="1:21" x14ac:dyDescent="0.3">
      <c r="A1391">
        <v>2021</v>
      </c>
      <c r="B1391">
        <v>12</v>
      </c>
      <c r="C1391" t="s">
        <v>188</v>
      </c>
      <c r="D1391" t="s">
        <v>47</v>
      </c>
      <c r="E1391" t="s">
        <v>48</v>
      </c>
      <c r="F1391" t="s">
        <v>22</v>
      </c>
      <c r="G1391">
        <v>11</v>
      </c>
      <c r="H1391">
        <v>10</v>
      </c>
      <c r="I1391">
        <v>0.5</v>
      </c>
      <c r="J1391" t="s">
        <v>34</v>
      </c>
      <c r="K1391" t="s">
        <v>24</v>
      </c>
      <c r="L1391">
        <v>3</v>
      </c>
      <c r="R1391">
        <v>3</v>
      </c>
      <c r="S1391" t="s">
        <v>25</v>
      </c>
      <c r="T1391">
        <f>IF(TRIM(Table1[[#This Row],[PitStopLaps]])="",0,
LEN(Table1[[#This Row],[PitStopLaps]])-LEN(SUBSTITUTE(Table1[[#This Row],[PitStopLaps]],",",""))+1)</f>
        <v>1</v>
      </c>
      <c r="U1391">
        <f>Table1[[#This Row],[StartPosition]]-Table1[[#This Row],[FinishPosition]]</f>
        <v>1</v>
      </c>
    </row>
    <row r="1392" spans="1:21" x14ac:dyDescent="0.3">
      <c r="A1392">
        <v>2021</v>
      </c>
      <c r="B1392">
        <v>12</v>
      </c>
      <c r="C1392" t="s">
        <v>188</v>
      </c>
      <c r="D1392" t="s">
        <v>35</v>
      </c>
      <c r="E1392" t="s">
        <v>36</v>
      </c>
      <c r="F1392" t="s">
        <v>607</v>
      </c>
      <c r="G1392">
        <v>12</v>
      </c>
      <c r="H1392">
        <v>11</v>
      </c>
      <c r="I1392">
        <v>0</v>
      </c>
      <c r="J1392" t="s">
        <v>34</v>
      </c>
      <c r="K1392" t="s">
        <v>24</v>
      </c>
      <c r="L1392">
        <v>3</v>
      </c>
      <c r="R1392">
        <v>3</v>
      </c>
      <c r="S1392" t="s">
        <v>25</v>
      </c>
      <c r="T1392">
        <f>IF(TRIM(Table1[[#This Row],[PitStopLaps]])="",0,
LEN(Table1[[#This Row],[PitStopLaps]])-LEN(SUBSTITUTE(Table1[[#This Row],[PitStopLaps]],",",""))+1)</f>
        <v>1</v>
      </c>
      <c r="U1392">
        <f>Table1[[#This Row],[StartPosition]]-Table1[[#This Row],[FinishPosition]]</f>
        <v>1</v>
      </c>
    </row>
    <row r="1393" spans="1:21" x14ac:dyDescent="0.3">
      <c r="A1393">
        <v>2021</v>
      </c>
      <c r="B1393">
        <v>12</v>
      </c>
      <c r="C1393" t="s">
        <v>188</v>
      </c>
      <c r="D1393" t="s">
        <v>43</v>
      </c>
      <c r="E1393" t="s">
        <v>44</v>
      </c>
      <c r="F1393" t="s">
        <v>28</v>
      </c>
      <c r="G1393">
        <v>13</v>
      </c>
      <c r="H1393">
        <v>12</v>
      </c>
      <c r="I1393">
        <v>0</v>
      </c>
      <c r="J1393" t="s">
        <v>34</v>
      </c>
      <c r="K1393" t="s">
        <v>24</v>
      </c>
      <c r="L1393">
        <v>3</v>
      </c>
      <c r="R1393">
        <v>3</v>
      </c>
      <c r="S1393" t="s">
        <v>25</v>
      </c>
      <c r="T1393">
        <f>IF(TRIM(Table1[[#This Row],[PitStopLaps]])="",0,
LEN(Table1[[#This Row],[PitStopLaps]])-LEN(SUBSTITUTE(Table1[[#This Row],[PitStopLaps]],",",""))+1)</f>
        <v>1</v>
      </c>
      <c r="U1393">
        <f>Table1[[#This Row],[StartPosition]]-Table1[[#This Row],[FinishPosition]]</f>
        <v>1</v>
      </c>
    </row>
    <row r="1394" spans="1:21" x14ac:dyDescent="0.3">
      <c r="A1394">
        <v>2021</v>
      </c>
      <c r="B1394">
        <v>12</v>
      </c>
      <c r="C1394" t="s">
        <v>188</v>
      </c>
      <c r="D1394" t="s">
        <v>250</v>
      </c>
      <c r="E1394" t="s">
        <v>251</v>
      </c>
      <c r="F1394" t="s">
        <v>243</v>
      </c>
      <c r="G1394">
        <v>14</v>
      </c>
      <c r="H1394">
        <v>13</v>
      </c>
      <c r="I1394">
        <v>0</v>
      </c>
      <c r="J1394" t="s">
        <v>34</v>
      </c>
      <c r="K1394" t="s">
        <v>24</v>
      </c>
      <c r="L1394">
        <v>3</v>
      </c>
      <c r="R1394">
        <v>3</v>
      </c>
      <c r="S1394" t="s">
        <v>25</v>
      </c>
      <c r="T1394">
        <f>IF(TRIM(Table1[[#This Row],[PitStopLaps]])="",0,
LEN(Table1[[#This Row],[PitStopLaps]])-LEN(SUBSTITUTE(Table1[[#This Row],[PitStopLaps]],",",""))+1)</f>
        <v>1</v>
      </c>
      <c r="U1394">
        <f>Table1[[#This Row],[StartPosition]]-Table1[[#This Row],[FinishPosition]]</f>
        <v>1</v>
      </c>
    </row>
    <row r="1395" spans="1:21" x14ac:dyDescent="0.3">
      <c r="A1395">
        <v>2021</v>
      </c>
      <c r="B1395">
        <v>12</v>
      </c>
      <c r="C1395" t="s">
        <v>188</v>
      </c>
      <c r="D1395" t="s">
        <v>246</v>
      </c>
      <c r="E1395" t="s">
        <v>247</v>
      </c>
      <c r="F1395" t="s">
        <v>37</v>
      </c>
      <c r="G1395">
        <v>15</v>
      </c>
      <c r="H1395">
        <v>14</v>
      </c>
      <c r="I1395">
        <v>0</v>
      </c>
      <c r="J1395" t="s">
        <v>34</v>
      </c>
      <c r="K1395" t="s">
        <v>24</v>
      </c>
      <c r="L1395">
        <v>3</v>
      </c>
      <c r="R1395">
        <v>3</v>
      </c>
      <c r="S1395" t="s">
        <v>25</v>
      </c>
      <c r="T1395">
        <f>IF(TRIM(Table1[[#This Row],[PitStopLaps]])="",0,
LEN(Table1[[#This Row],[PitStopLaps]])-LEN(SUBSTITUTE(Table1[[#This Row],[PitStopLaps]],",",""))+1)</f>
        <v>1</v>
      </c>
      <c r="U1395">
        <f>Table1[[#This Row],[StartPosition]]-Table1[[#This Row],[FinishPosition]]</f>
        <v>1</v>
      </c>
    </row>
    <row r="1396" spans="1:21" x14ac:dyDescent="0.3">
      <c r="A1396">
        <v>2021</v>
      </c>
      <c r="B1396">
        <v>12</v>
      </c>
      <c r="C1396" t="s">
        <v>188</v>
      </c>
      <c r="D1396" t="s">
        <v>601</v>
      </c>
      <c r="E1396" t="s">
        <v>602</v>
      </c>
      <c r="F1396" t="s">
        <v>438</v>
      </c>
      <c r="G1396">
        <v>16</v>
      </c>
      <c r="H1396">
        <v>15</v>
      </c>
      <c r="I1396">
        <v>0</v>
      </c>
      <c r="J1396" t="s">
        <v>34</v>
      </c>
      <c r="K1396" t="s">
        <v>24</v>
      </c>
      <c r="L1396">
        <v>3</v>
      </c>
      <c r="R1396">
        <v>3</v>
      </c>
      <c r="S1396" t="s">
        <v>25</v>
      </c>
      <c r="T1396">
        <f>IF(TRIM(Table1[[#This Row],[PitStopLaps]])="",0,
LEN(Table1[[#This Row],[PitStopLaps]])-LEN(SUBSTITUTE(Table1[[#This Row],[PitStopLaps]],",",""))+1)</f>
        <v>1</v>
      </c>
      <c r="U1396">
        <f>Table1[[#This Row],[StartPosition]]-Table1[[#This Row],[FinishPosition]]</f>
        <v>1</v>
      </c>
    </row>
    <row r="1397" spans="1:21" x14ac:dyDescent="0.3">
      <c r="A1397">
        <v>2021</v>
      </c>
      <c r="B1397">
        <v>12</v>
      </c>
      <c r="C1397" t="s">
        <v>188</v>
      </c>
      <c r="D1397" t="s">
        <v>608</v>
      </c>
      <c r="E1397" t="s">
        <v>609</v>
      </c>
      <c r="F1397" t="s">
        <v>69</v>
      </c>
      <c r="G1397">
        <v>17</v>
      </c>
      <c r="H1397">
        <v>16</v>
      </c>
      <c r="I1397">
        <v>0</v>
      </c>
      <c r="J1397" t="s">
        <v>34</v>
      </c>
      <c r="K1397" t="s">
        <v>24</v>
      </c>
      <c r="L1397">
        <v>3</v>
      </c>
      <c r="R1397">
        <v>3</v>
      </c>
      <c r="S1397" t="s">
        <v>25</v>
      </c>
      <c r="T1397">
        <f>IF(TRIM(Table1[[#This Row],[PitStopLaps]])="",0,
LEN(Table1[[#This Row],[PitStopLaps]])-LEN(SUBSTITUTE(Table1[[#This Row],[PitStopLaps]],",",""))+1)</f>
        <v>1</v>
      </c>
      <c r="U1397">
        <f>Table1[[#This Row],[StartPosition]]-Table1[[#This Row],[FinishPosition]]</f>
        <v>1</v>
      </c>
    </row>
    <row r="1398" spans="1:21" x14ac:dyDescent="0.3">
      <c r="A1398">
        <v>2021</v>
      </c>
      <c r="B1398">
        <v>12</v>
      </c>
      <c r="C1398" t="s">
        <v>188</v>
      </c>
      <c r="D1398" t="s">
        <v>613</v>
      </c>
      <c r="E1398" t="s">
        <v>614</v>
      </c>
      <c r="F1398" t="s">
        <v>69</v>
      </c>
      <c r="G1398">
        <v>18</v>
      </c>
      <c r="H1398">
        <v>17</v>
      </c>
      <c r="I1398">
        <v>0</v>
      </c>
      <c r="J1398" t="s">
        <v>34</v>
      </c>
      <c r="K1398" t="s">
        <v>24</v>
      </c>
      <c r="L1398">
        <v>3</v>
      </c>
      <c r="R1398">
        <v>3</v>
      </c>
      <c r="S1398" t="s">
        <v>25</v>
      </c>
      <c r="T1398">
        <f>IF(TRIM(Table1[[#This Row],[PitStopLaps]])="",0,
LEN(Table1[[#This Row],[PitStopLaps]])-LEN(SUBSTITUTE(Table1[[#This Row],[PitStopLaps]],",",""))+1)</f>
        <v>1</v>
      </c>
      <c r="U1398">
        <f>Table1[[#This Row],[StartPosition]]-Table1[[#This Row],[FinishPosition]]</f>
        <v>1</v>
      </c>
    </row>
    <row r="1399" spans="1:21" x14ac:dyDescent="0.3">
      <c r="A1399">
        <v>2021</v>
      </c>
      <c r="B1399">
        <v>12</v>
      </c>
      <c r="C1399" t="s">
        <v>188</v>
      </c>
      <c r="D1399" t="s">
        <v>29</v>
      </c>
      <c r="E1399" t="s">
        <v>30</v>
      </c>
      <c r="F1399" t="s">
        <v>243</v>
      </c>
      <c r="G1399">
        <v>0</v>
      </c>
      <c r="H1399">
        <v>18</v>
      </c>
      <c r="I1399">
        <v>0</v>
      </c>
      <c r="J1399" t="s">
        <v>34</v>
      </c>
      <c r="K1399" t="s">
        <v>24</v>
      </c>
      <c r="L1399">
        <v>3</v>
      </c>
      <c r="R1399">
        <v>3</v>
      </c>
      <c r="S1399" t="s">
        <v>25</v>
      </c>
      <c r="T1399">
        <f>IF(TRIM(Table1[[#This Row],[PitStopLaps]])="",0,
LEN(Table1[[#This Row],[PitStopLaps]])-LEN(SUBSTITUTE(Table1[[#This Row],[PitStopLaps]],",",""))+1)</f>
        <v>1</v>
      </c>
      <c r="U1399">
        <f>Table1[[#This Row],[StartPosition]]-Table1[[#This Row],[FinishPosition]]</f>
        <v>-18</v>
      </c>
    </row>
    <row r="1400" spans="1:21" x14ac:dyDescent="0.3">
      <c r="A1400">
        <v>2021</v>
      </c>
      <c r="B1400">
        <v>12</v>
      </c>
      <c r="C1400" t="s">
        <v>188</v>
      </c>
      <c r="D1400" t="s">
        <v>49</v>
      </c>
      <c r="E1400" t="s">
        <v>50</v>
      </c>
      <c r="F1400" t="s">
        <v>33</v>
      </c>
      <c r="G1400">
        <v>0</v>
      </c>
      <c r="H1400">
        <v>19</v>
      </c>
      <c r="I1400">
        <v>0</v>
      </c>
      <c r="J1400" t="s">
        <v>34</v>
      </c>
      <c r="K1400" t="s">
        <v>24</v>
      </c>
      <c r="L1400">
        <v>3</v>
      </c>
      <c r="R1400">
        <v>3</v>
      </c>
      <c r="S1400" t="s">
        <v>25</v>
      </c>
      <c r="T1400">
        <f>IF(TRIM(Table1[[#This Row],[PitStopLaps]])="",0,
LEN(Table1[[#This Row],[PitStopLaps]])-LEN(SUBSTITUTE(Table1[[#This Row],[PitStopLaps]],",",""))+1)</f>
        <v>1</v>
      </c>
      <c r="U1400">
        <f>Table1[[#This Row],[StartPosition]]-Table1[[#This Row],[FinishPosition]]</f>
        <v>-19</v>
      </c>
    </row>
    <row r="1401" spans="1:21" x14ac:dyDescent="0.3">
      <c r="A1401">
        <v>2021</v>
      </c>
      <c r="B1401">
        <v>12</v>
      </c>
      <c r="C1401" t="s">
        <v>188</v>
      </c>
      <c r="D1401" t="s">
        <v>58</v>
      </c>
      <c r="E1401" t="s">
        <v>59</v>
      </c>
      <c r="F1401" t="s">
        <v>603</v>
      </c>
      <c r="G1401">
        <v>19</v>
      </c>
      <c r="H1401">
        <v>20</v>
      </c>
      <c r="I1401">
        <v>0</v>
      </c>
      <c r="J1401" t="s">
        <v>34</v>
      </c>
      <c r="K1401" t="s">
        <v>24</v>
      </c>
      <c r="L1401">
        <v>3</v>
      </c>
      <c r="R1401">
        <v>3</v>
      </c>
      <c r="S1401" t="s">
        <v>25</v>
      </c>
      <c r="T1401">
        <f>IF(TRIM(Table1[[#This Row],[PitStopLaps]])="",0,
LEN(Table1[[#This Row],[PitStopLaps]])-LEN(SUBSTITUTE(Table1[[#This Row],[PitStopLaps]],",",""))+1)</f>
        <v>1</v>
      </c>
      <c r="U1401">
        <f>Table1[[#This Row],[StartPosition]]-Table1[[#This Row],[FinishPosition]]</f>
        <v>-1</v>
      </c>
    </row>
    <row r="1402" spans="1:21" x14ac:dyDescent="0.3">
      <c r="A1402">
        <v>2021</v>
      </c>
      <c r="B1402">
        <v>13</v>
      </c>
      <c r="C1402" t="s">
        <v>702</v>
      </c>
      <c r="D1402" t="s">
        <v>38</v>
      </c>
      <c r="E1402" t="s">
        <v>39</v>
      </c>
      <c r="F1402" t="s">
        <v>33</v>
      </c>
      <c r="G1402">
        <v>1</v>
      </c>
      <c r="H1402">
        <v>1</v>
      </c>
      <c r="I1402">
        <v>25</v>
      </c>
      <c r="J1402" t="s">
        <v>23</v>
      </c>
      <c r="K1402" t="s">
        <v>24</v>
      </c>
      <c r="L1402">
        <v>72</v>
      </c>
      <c r="M1402">
        <v>73.275000000000006</v>
      </c>
      <c r="N1402">
        <v>74.452252999999999</v>
      </c>
      <c r="O1402">
        <v>25.324999999999999</v>
      </c>
      <c r="P1402">
        <v>25.234999999999999</v>
      </c>
      <c r="Q1402">
        <v>22.494</v>
      </c>
      <c r="R1402" t="s">
        <v>703</v>
      </c>
      <c r="S1402" t="s">
        <v>83</v>
      </c>
      <c r="T1402">
        <f>IF(TRIM(Table1[[#This Row],[PitStopLaps]])="",0,
LEN(Table1[[#This Row],[PitStopLaps]])-LEN(SUBSTITUTE(Table1[[#This Row],[PitStopLaps]],",",""))+1)</f>
        <v>2</v>
      </c>
      <c r="U1402">
        <f>Table1[[#This Row],[StartPosition]]-Table1[[#This Row],[FinishPosition]]</f>
        <v>0</v>
      </c>
    </row>
    <row r="1403" spans="1:21" x14ac:dyDescent="0.3">
      <c r="A1403">
        <v>2021</v>
      </c>
      <c r="B1403">
        <v>13</v>
      </c>
      <c r="C1403" t="s">
        <v>702</v>
      </c>
      <c r="D1403" t="s">
        <v>26</v>
      </c>
      <c r="E1403" t="s">
        <v>27</v>
      </c>
      <c r="F1403" t="s">
        <v>28</v>
      </c>
      <c r="G1403">
        <v>2</v>
      </c>
      <c r="H1403">
        <v>2</v>
      </c>
      <c r="I1403">
        <v>19</v>
      </c>
      <c r="J1403" t="s">
        <v>23</v>
      </c>
      <c r="K1403" t="s">
        <v>24</v>
      </c>
      <c r="L1403">
        <v>72</v>
      </c>
      <c r="M1403">
        <v>71.096999999999994</v>
      </c>
      <c r="N1403">
        <v>74.412814999999995</v>
      </c>
      <c r="O1403">
        <v>24.776</v>
      </c>
      <c r="P1403">
        <v>24.327999999999999</v>
      </c>
      <c r="Q1403">
        <v>21.992999999999999</v>
      </c>
      <c r="R1403" t="s">
        <v>704</v>
      </c>
      <c r="S1403" t="s">
        <v>83</v>
      </c>
      <c r="T1403">
        <f>IF(TRIM(Table1[[#This Row],[PitStopLaps]])="",0,
LEN(Table1[[#This Row],[PitStopLaps]])-LEN(SUBSTITUTE(Table1[[#This Row],[PitStopLaps]],",",""))+1)</f>
        <v>3</v>
      </c>
      <c r="U1403">
        <f>Table1[[#This Row],[StartPosition]]-Table1[[#This Row],[FinishPosition]]</f>
        <v>0</v>
      </c>
    </row>
    <row r="1404" spans="1:21" x14ac:dyDescent="0.3">
      <c r="A1404">
        <v>2021</v>
      </c>
      <c r="B1404">
        <v>13</v>
      </c>
      <c r="C1404" t="s">
        <v>702</v>
      </c>
      <c r="D1404" t="s">
        <v>43</v>
      </c>
      <c r="E1404" t="s">
        <v>44</v>
      </c>
      <c r="F1404" t="s">
        <v>28</v>
      </c>
      <c r="G1404">
        <v>3</v>
      </c>
      <c r="H1404">
        <v>3</v>
      </c>
      <c r="I1404">
        <v>15</v>
      </c>
      <c r="J1404" t="s">
        <v>23</v>
      </c>
      <c r="K1404" t="s">
        <v>24</v>
      </c>
      <c r="L1404">
        <v>72</v>
      </c>
      <c r="M1404">
        <v>72.549000000000007</v>
      </c>
      <c r="N1404">
        <v>75.090328</v>
      </c>
      <c r="O1404">
        <v>24.713999999999999</v>
      </c>
      <c r="P1404">
        <v>24.792000000000002</v>
      </c>
      <c r="Q1404">
        <v>22.378</v>
      </c>
      <c r="R1404" t="s">
        <v>705</v>
      </c>
      <c r="S1404" t="s">
        <v>83</v>
      </c>
      <c r="T1404">
        <f>IF(TRIM(Table1[[#This Row],[PitStopLaps]])="",0,
LEN(Table1[[#This Row],[PitStopLaps]])-LEN(SUBSTITUTE(Table1[[#This Row],[PitStopLaps]],",",""))+1)</f>
        <v>2</v>
      </c>
      <c r="U1404">
        <f>Table1[[#This Row],[StartPosition]]-Table1[[#This Row],[FinishPosition]]</f>
        <v>0</v>
      </c>
    </row>
    <row r="1405" spans="1:21" x14ac:dyDescent="0.3">
      <c r="A1405">
        <v>2021</v>
      </c>
      <c r="B1405">
        <v>13</v>
      </c>
      <c r="C1405" t="s">
        <v>702</v>
      </c>
      <c r="D1405" t="s">
        <v>73</v>
      </c>
      <c r="E1405" t="s">
        <v>74</v>
      </c>
      <c r="F1405" t="s">
        <v>438</v>
      </c>
      <c r="G1405">
        <v>4</v>
      </c>
      <c r="H1405">
        <v>4</v>
      </c>
      <c r="I1405">
        <v>12</v>
      </c>
      <c r="J1405" t="s">
        <v>34</v>
      </c>
      <c r="K1405" t="s">
        <v>65</v>
      </c>
      <c r="L1405">
        <v>71</v>
      </c>
      <c r="M1405">
        <v>74.817999999999998</v>
      </c>
      <c r="N1405">
        <v>75.921705000000003</v>
      </c>
      <c r="O1405">
        <v>25.4</v>
      </c>
      <c r="P1405">
        <v>26.32</v>
      </c>
      <c r="Q1405">
        <v>22.738</v>
      </c>
      <c r="R1405">
        <v>24</v>
      </c>
      <c r="S1405" t="s">
        <v>83</v>
      </c>
      <c r="T1405">
        <f>IF(TRIM(Table1[[#This Row],[PitStopLaps]])="",0,
LEN(Table1[[#This Row],[PitStopLaps]])-LEN(SUBSTITUTE(Table1[[#This Row],[PitStopLaps]],",",""))+1)</f>
        <v>1</v>
      </c>
      <c r="U1405">
        <f>Table1[[#This Row],[StartPosition]]-Table1[[#This Row],[FinishPosition]]</f>
        <v>0</v>
      </c>
    </row>
    <row r="1406" spans="1:21" x14ac:dyDescent="0.3">
      <c r="A1406">
        <v>2021</v>
      </c>
      <c r="B1406">
        <v>13</v>
      </c>
      <c r="C1406" t="s">
        <v>702</v>
      </c>
      <c r="D1406" t="s">
        <v>54</v>
      </c>
      <c r="E1406" t="s">
        <v>55</v>
      </c>
      <c r="F1406" t="s">
        <v>22</v>
      </c>
      <c r="G1406">
        <v>5</v>
      </c>
      <c r="H1406">
        <v>5</v>
      </c>
      <c r="I1406">
        <v>10</v>
      </c>
      <c r="J1406" t="s">
        <v>34</v>
      </c>
      <c r="K1406" t="s">
        <v>65</v>
      </c>
      <c r="L1406">
        <v>71</v>
      </c>
      <c r="M1406">
        <v>74.78</v>
      </c>
      <c r="N1406">
        <v>75.940366999999995</v>
      </c>
      <c r="O1406">
        <v>25.821000000000002</v>
      </c>
      <c r="P1406">
        <v>25.965</v>
      </c>
      <c r="Q1406">
        <v>22.834</v>
      </c>
      <c r="R1406">
        <v>34</v>
      </c>
      <c r="S1406" t="s">
        <v>83</v>
      </c>
      <c r="T1406">
        <f>IF(TRIM(Table1[[#This Row],[PitStopLaps]])="",0,
LEN(Table1[[#This Row],[PitStopLaps]])-LEN(SUBSTITUTE(Table1[[#This Row],[PitStopLaps]],",",""))+1)</f>
        <v>1</v>
      </c>
      <c r="U1406">
        <f>Table1[[#This Row],[StartPosition]]-Table1[[#This Row],[FinishPosition]]</f>
        <v>0</v>
      </c>
    </row>
    <row r="1407" spans="1:21" x14ac:dyDescent="0.3">
      <c r="A1407">
        <v>2021</v>
      </c>
      <c r="B1407">
        <v>13</v>
      </c>
      <c r="C1407" t="s">
        <v>702</v>
      </c>
      <c r="D1407" t="s">
        <v>35</v>
      </c>
      <c r="E1407" t="s">
        <v>36</v>
      </c>
      <c r="F1407" t="s">
        <v>607</v>
      </c>
      <c r="G1407">
        <v>9</v>
      </c>
      <c r="H1407">
        <v>6</v>
      </c>
      <c r="I1407">
        <v>8</v>
      </c>
      <c r="J1407" t="s">
        <v>34</v>
      </c>
      <c r="K1407" t="s">
        <v>65</v>
      </c>
      <c r="L1407">
        <v>71</v>
      </c>
      <c r="M1407">
        <v>74.322999999999993</v>
      </c>
      <c r="N1407">
        <v>76.356984999999995</v>
      </c>
      <c r="O1407">
        <v>25.466000000000001</v>
      </c>
      <c r="P1407">
        <v>26.001999999999999</v>
      </c>
      <c r="Q1407">
        <v>22.765000000000001</v>
      </c>
      <c r="R1407">
        <v>33</v>
      </c>
      <c r="S1407" t="s">
        <v>83</v>
      </c>
      <c r="T1407">
        <f>IF(TRIM(Table1[[#This Row],[PitStopLaps]])="",0,
LEN(Table1[[#This Row],[PitStopLaps]])-LEN(SUBSTITUTE(Table1[[#This Row],[PitStopLaps]],",",""))+1)</f>
        <v>1</v>
      </c>
      <c r="U1407">
        <f>Table1[[#This Row],[StartPosition]]-Table1[[#This Row],[FinishPosition]]</f>
        <v>3</v>
      </c>
    </row>
    <row r="1408" spans="1:21" x14ac:dyDescent="0.3">
      <c r="A1408">
        <v>2021</v>
      </c>
      <c r="B1408">
        <v>13</v>
      </c>
      <c r="C1408" t="s">
        <v>702</v>
      </c>
      <c r="D1408" t="s">
        <v>47</v>
      </c>
      <c r="E1408" t="s">
        <v>48</v>
      </c>
      <c r="F1408" t="s">
        <v>22</v>
      </c>
      <c r="G1408">
        <v>6</v>
      </c>
      <c r="H1408">
        <v>7</v>
      </c>
      <c r="I1408">
        <v>6</v>
      </c>
      <c r="J1408" t="s">
        <v>34</v>
      </c>
      <c r="K1408" t="s">
        <v>65</v>
      </c>
      <c r="L1408">
        <v>71</v>
      </c>
      <c r="M1408">
        <v>75.260000000000005</v>
      </c>
      <c r="N1408">
        <v>76.362514000000004</v>
      </c>
      <c r="O1408">
        <v>25.922999999999998</v>
      </c>
      <c r="P1408">
        <v>26.225999999999999</v>
      </c>
      <c r="Q1408">
        <v>22.829000000000001</v>
      </c>
      <c r="R1408">
        <v>31</v>
      </c>
      <c r="S1408" t="s">
        <v>83</v>
      </c>
      <c r="T1408">
        <f>IF(TRIM(Table1[[#This Row],[PitStopLaps]])="",0,
LEN(Table1[[#This Row],[PitStopLaps]])-LEN(SUBSTITUTE(Table1[[#This Row],[PitStopLaps]],",",""))+1)</f>
        <v>1</v>
      </c>
      <c r="U1408">
        <f>Table1[[#This Row],[StartPosition]]-Table1[[#This Row],[FinishPosition]]</f>
        <v>-1</v>
      </c>
    </row>
    <row r="1409" spans="1:21" x14ac:dyDescent="0.3">
      <c r="A1409">
        <v>2021</v>
      </c>
      <c r="B1409">
        <v>13</v>
      </c>
      <c r="C1409" t="s">
        <v>702</v>
      </c>
      <c r="D1409" t="s">
        <v>49</v>
      </c>
      <c r="E1409" t="s">
        <v>50</v>
      </c>
      <c r="F1409" t="s">
        <v>33</v>
      </c>
      <c r="G1409">
        <v>0</v>
      </c>
      <c r="H1409">
        <v>8</v>
      </c>
      <c r="I1409">
        <v>4</v>
      </c>
      <c r="J1409" t="s">
        <v>34</v>
      </c>
      <c r="K1409" t="s">
        <v>65</v>
      </c>
      <c r="L1409">
        <v>71</v>
      </c>
      <c r="M1409">
        <v>73.460999999999999</v>
      </c>
      <c r="N1409">
        <v>75.907257000000001</v>
      </c>
      <c r="O1409">
        <v>25.379000000000001</v>
      </c>
      <c r="P1409">
        <v>25.222999999999999</v>
      </c>
      <c r="Q1409">
        <v>22.425999999999998</v>
      </c>
      <c r="R1409" t="s">
        <v>706</v>
      </c>
      <c r="S1409" t="s">
        <v>83</v>
      </c>
      <c r="T1409">
        <f>IF(TRIM(Table1[[#This Row],[PitStopLaps]])="",0,
LEN(Table1[[#This Row],[PitStopLaps]])-LEN(SUBSTITUTE(Table1[[#This Row],[PitStopLaps]],",",""))+1)</f>
        <v>2</v>
      </c>
      <c r="U1409">
        <f>Table1[[#This Row],[StartPosition]]-Table1[[#This Row],[FinishPosition]]</f>
        <v>-8</v>
      </c>
    </row>
    <row r="1410" spans="1:21" x14ac:dyDescent="0.3">
      <c r="A1410">
        <v>2021</v>
      </c>
      <c r="B1410">
        <v>13</v>
      </c>
      <c r="C1410" t="s">
        <v>702</v>
      </c>
      <c r="D1410" t="s">
        <v>52</v>
      </c>
      <c r="E1410" t="s">
        <v>53</v>
      </c>
      <c r="F1410" t="s">
        <v>607</v>
      </c>
      <c r="G1410">
        <v>8</v>
      </c>
      <c r="H1410">
        <v>9</v>
      </c>
      <c r="I1410">
        <v>2</v>
      </c>
      <c r="J1410" t="s">
        <v>34</v>
      </c>
      <c r="K1410" t="s">
        <v>65</v>
      </c>
      <c r="L1410">
        <v>71</v>
      </c>
      <c r="M1410">
        <v>74.674999999999997</v>
      </c>
      <c r="N1410">
        <v>76.428175999999993</v>
      </c>
      <c r="O1410">
        <v>25.585999999999999</v>
      </c>
      <c r="P1410">
        <v>26.187999999999999</v>
      </c>
      <c r="Q1410">
        <v>22.823</v>
      </c>
      <c r="R1410">
        <v>31</v>
      </c>
      <c r="S1410" t="s">
        <v>83</v>
      </c>
      <c r="T1410">
        <f>IF(TRIM(Table1[[#This Row],[PitStopLaps]])="",0,
LEN(Table1[[#This Row],[PitStopLaps]])-LEN(SUBSTITUTE(Table1[[#This Row],[PitStopLaps]],",",""))+1)</f>
        <v>1</v>
      </c>
      <c r="U1410">
        <f>Table1[[#This Row],[StartPosition]]-Table1[[#This Row],[FinishPosition]]</f>
        <v>-1</v>
      </c>
    </row>
    <row r="1411" spans="1:21" x14ac:dyDescent="0.3">
      <c r="A1411">
        <v>2021</v>
      </c>
      <c r="B1411">
        <v>13</v>
      </c>
      <c r="C1411" t="s">
        <v>702</v>
      </c>
      <c r="D1411" t="s">
        <v>246</v>
      </c>
      <c r="E1411" t="s">
        <v>247</v>
      </c>
      <c r="F1411" t="s">
        <v>37</v>
      </c>
      <c r="G1411">
        <v>13</v>
      </c>
      <c r="H1411">
        <v>10</v>
      </c>
      <c r="I1411">
        <v>1</v>
      </c>
      <c r="J1411" t="s">
        <v>34</v>
      </c>
      <c r="K1411" t="s">
        <v>65</v>
      </c>
      <c r="L1411">
        <v>71</v>
      </c>
      <c r="M1411">
        <v>74.236000000000004</v>
      </c>
      <c r="N1411">
        <v>76.404808000000003</v>
      </c>
      <c r="O1411">
        <v>25.670999999999999</v>
      </c>
      <c r="P1411">
        <v>25.663</v>
      </c>
      <c r="Q1411">
        <v>22.745999999999999</v>
      </c>
      <c r="R1411">
        <v>42</v>
      </c>
      <c r="S1411" t="s">
        <v>83</v>
      </c>
      <c r="T1411">
        <f>IF(TRIM(Table1[[#This Row],[PitStopLaps]])="",0,
LEN(Table1[[#This Row],[PitStopLaps]])-LEN(SUBSTITUTE(Table1[[#This Row],[PitStopLaps]],",",""))+1)</f>
        <v>1</v>
      </c>
      <c r="U1411">
        <f>Table1[[#This Row],[StartPosition]]-Table1[[#This Row],[FinishPosition]]</f>
        <v>3</v>
      </c>
    </row>
    <row r="1412" spans="1:21" x14ac:dyDescent="0.3">
      <c r="A1412">
        <v>2021</v>
      </c>
      <c r="B1412">
        <v>13</v>
      </c>
      <c r="C1412" t="s">
        <v>702</v>
      </c>
      <c r="D1412" t="s">
        <v>31</v>
      </c>
      <c r="E1412" t="s">
        <v>32</v>
      </c>
      <c r="F1412" t="s">
        <v>37</v>
      </c>
      <c r="G1412">
        <v>10</v>
      </c>
      <c r="H1412">
        <v>11</v>
      </c>
      <c r="I1412">
        <v>0</v>
      </c>
      <c r="J1412" t="s">
        <v>34</v>
      </c>
      <c r="K1412" t="s">
        <v>65</v>
      </c>
      <c r="L1412">
        <v>71</v>
      </c>
      <c r="M1412">
        <v>74.92</v>
      </c>
      <c r="N1412">
        <v>76.599073000000004</v>
      </c>
      <c r="O1412">
        <v>25.914999999999999</v>
      </c>
      <c r="P1412">
        <v>26.013000000000002</v>
      </c>
      <c r="Q1412">
        <v>22.821000000000002</v>
      </c>
      <c r="R1412">
        <v>30</v>
      </c>
      <c r="S1412" t="s">
        <v>83</v>
      </c>
      <c r="T1412">
        <f>IF(TRIM(Table1[[#This Row],[PitStopLaps]])="",0,
LEN(Table1[[#This Row],[PitStopLaps]])-LEN(SUBSTITUTE(Table1[[#This Row],[PitStopLaps]],",",""))+1)</f>
        <v>1</v>
      </c>
      <c r="U1412">
        <f>Table1[[#This Row],[StartPosition]]-Table1[[#This Row],[FinishPosition]]</f>
        <v>-1</v>
      </c>
    </row>
    <row r="1413" spans="1:21" x14ac:dyDescent="0.3">
      <c r="A1413">
        <v>2021</v>
      </c>
      <c r="B1413">
        <v>13</v>
      </c>
      <c r="C1413" t="s">
        <v>702</v>
      </c>
      <c r="D1413" t="s">
        <v>58</v>
      </c>
      <c r="E1413" t="s">
        <v>59</v>
      </c>
      <c r="F1413" t="s">
        <v>603</v>
      </c>
      <c r="G1413">
        <v>12</v>
      </c>
      <c r="H1413">
        <v>12</v>
      </c>
      <c r="I1413">
        <v>0</v>
      </c>
      <c r="J1413" t="s">
        <v>34</v>
      </c>
      <c r="K1413" t="s">
        <v>127</v>
      </c>
      <c r="L1413">
        <v>70</v>
      </c>
      <c r="M1413">
        <v>75.611000000000004</v>
      </c>
      <c r="N1413">
        <v>77.030834999999996</v>
      </c>
      <c r="O1413">
        <v>25.864999999999998</v>
      </c>
      <c r="P1413">
        <v>26.457999999999998</v>
      </c>
      <c r="Q1413">
        <v>23.079000000000001</v>
      </c>
      <c r="R1413">
        <v>27</v>
      </c>
      <c r="S1413" t="s">
        <v>83</v>
      </c>
      <c r="T1413">
        <f>IF(TRIM(Table1[[#This Row],[PitStopLaps]])="",0,
LEN(Table1[[#This Row],[PitStopLaps]])-LEN(SUBSTITUTE(Table1[[#This Row],[PitStopLaps]],",",""))+1)</f>
        <v>1</v>
      </c>
      <c r="U1413">
        <f>Table1[[#This Row],[StartPosition]]-Table1[[#This Row],[FinishPosition]]</f>
        <v>0</v>
      </c>
    </row>
    <row r="1414" spans="1:21" x14ac:dyDescent="0.3">
      <c r="A1414">
        <v>2021</v>
      </c>
      <c r="B1414">
        <v>13</v>
      </c>
      <c r="C1414" t="s">
        <v>702</v>
      </c>
      <c r="D1414" t="s">
        <v>20</v>
      </c>
      <c r="E1414" t="s">
        <v>21</v>
      </c>
      <c r="F1414" t="s">
        <v>603</v>
      </c>
      <c r="G1414">
        <v>15</v>
      </c>
      <c r="H1414">
        <v>13</v>
      </c>
      <c r="I1414">
        <v>0</v>
      </c>
      <c r="J1414" t="s">
        <v>34</v>
      </c>
      <c r="K1414" t="s">
        <v>127</v>
      </c>
      <c r="L1414">
        <v>70</v>
      </c>
      <c r="M1414">
        <v>73.957999999999998</v>
      </c>
      <c r="N1414">
        <v>76.739583999999994</v>
      </c>
      <c r="O1414">
        <v>25.47</v>
      </c>
      <c r="P1414">
        <v>25.713000000000001</v>
      </c>
      <c r="Q1414">
        <v>22.558</v>
      </c>
      <c r="R1414" t="s">
        <v>399</v>
      </c>
      <c r="S1414" t="s">
        <v>83</v>
      </c>
      <c r="T1414">
        <f>IF(TRIM(Table1[[#This Row],[PitStopLaps]])="",0,
LEN(Table1[[#This Row],[PitStopLaps]])-LEN(SUBSTITUTE(Table1[[#This Row],[PitStopLaps]],",",""))+1)</f>
        <v>2</v>
      </c>
      <c r="U1414">
        <f>Table1[[#This Row],[StartPosition]]-Table1[[#This Row],[FinishPosition]]</f>
        <v>2</v>
      </c>
    </row>
    <row r="1415" spans="1:21" x14ac:dyDescent="0.3">
      <c r="A1415">
        <v>2021</v>
      </c>
      <c r="B1415">
        <v>13</v>
      </c>
      <c r="C1415" t="s">
        <v>702</v>
      </c>
      <c r="D1415" t="s">
        <v>250</v>
      </c>
      <c r="E1415" t="s">
        <v>251</v>
      </c>
      <c r="F1415" t="s">
        <v>243</v>
      </c>
      <c r="G1415">
        <v>7</v>
      </c>
      <c r="H1415">
        <v>14</v>
      </c>
      <c r="I1415">
        <v>0</v>
      </c>
      <c r="J1415" t="s">
        <v>34</v>
      </c>
      <c r="K1415" t="s">
        <v>127</v>
      </c>
      <c r="L1415">
        <v>70</v>
      </c>
      <c r="M1415">
        <v>75.125</v>
      </c>
      <c r="N1415">
        <v>76.855475999999996</v>
      </c>
      <c r="O1415">
        <v>25.844999999999999</v>
      </c>
      <c r="P1415">
        <v>26.283999999999999</v>
      </c>
      <c r="Q1415">
        <v>22.899000000000001</v>
      </c>
      <c r="R1415" t="s">
        <v>615</v>
      </c>
      <c r="S1415" t="s">
        <v>83</v>
      </c>
      <c r="T1415">
        <f>IF(TRIM(Table1[[#This Row],[PitStopLaps]])="",0,
LEN(Table1[[#This Row],[PitStopLaps]])-LEN(SUBSTITUTE(Table1[[#This Row],[PitStopLaps]],",",""))+1)</f>
        <v>2</v>
      </c>
      <c r="U1415">
        <f>Table1[[#This Row],[StartPosition]]-Table1[[#This Row],[FinishPosition]]</f>
        <v>-7</v>
      </c>
    </row>
    <row r="1416" spans="1:21" x14ac:dyDescent="0.3">
      <c r="A1416">
        <v>2021</v>
      </c>
      <c r="B1416">
        <v>13</v>
      </c>
      <c r="C1416" t="s">
        <v>702</v>
      </c>
      <c r="D1416" t="s">
        <v>255</v>
      </c>
      <c r="E1416" t="s">
        <v>256</v>
      </c>
      <c r="F1416" t="s">
        <v>243</v>
      </c>
      <c r="G1416">
        <v>16</v>
      </c>
      <c r="H1416">
        <v>15</v>
      </c>
      <c r="I1416">
        <v>0</v>
      </c>
      <c r="J1416" t="s">
        <v>34</v>
      </c>
      <c r="K1416" t="s">
        <v>127</v>
      </c>
      <c r="L1416">
        <v>70</v>
      </c>
      <c r="M1416">
        <v>75.441999999999993</v>
      </c>
      <c r="N1416">
        <v>77.591804999999994</v>
      </c>
      <c r="O1416">
        <v>26.018999999999998</v>
      </c>
      <c r="P1416">
        <v>26.329000000000001</v>
      </c>
      <c r="Q1416">
        <v>22.998999999999999</v>
      </c>
      <c r="R1416">
        <v>40</v>
      </c>
      <c r="S1416" t="s">
        <v>83</v>
      </c>
      <c r="T1416">
        <f>IF(TRIM(Table1[[#This Row],[PitStopLaps]])="",0,
LEN(Table1[[#This Row],[PitStopLaps]])-LEN(SUBSTITUTE(Table1[[#This Row],[PitStopLaps]],",",""))+1)</f>
        <v>1</v>
      </c>
      <c r="U1416">
        <f>Table1[[#This Row],[StartPosition]]-Table1[[#This Row],[FinishPosition]]</f>
        <v>1</v>
      </c>
    </row>
    <row r="1417" spans="1:21" x14ac:dyDescent="0.3">
      <c r="A1417">
        <v>2021</v>
      </c>
      <c r="B1417">
        <v>13</v>
      </c>
      <c r="C1417" t="s">
        <v>702</v>
      </c>
      <c r="D1417" t="s">
        <v>440</v>
      </c>
      <c r="E1417" t="s">
        <v>441</v>
      </c>
      <c r="F1417" t="s">
        <v>60</v>
      </c>
      <c r="G1417">
        <v>0</v>
      </c>
      <c r="H1417">
        <v>16</v>
      </c>
      <c r="I1417">
        <v>0</v>
      </c>
      <c r="J1417" t="s">
        <v>34</v>
      </c>
      <c r="K1417" t="s">
        <v>127</v>
      </c>
      <c r="L1417">
        <v>70</v>
      </c>
      <c r="M1417">
        <v>75.790000000000006</v>
      </c>
      <c r="N1417">
        <v>77.528745999999998</v>
      </c>
      <c r="O1417">
        <v>26.016999999999999</v>
      </c>
      <c r="P1417">
        <v>26.402000000000001</v>
      </c>
      <c r="Q1417">
        <v>23.184000000000001</v>
      </c>
      <c r="R1417">
        <v>23</v>
      </c>
      <c r="S1417" t="s">
        <v>83</v>
      </c>
      <c r="T1417">
        <f>IF(TRIM(Table1[[#This Row],[PitStopLaps]])="",0,
LEN(Table1[[#This Row],[PitStopLaps]])-LEN(SUBSTITUTE(Table1[[#This Row],[PitStopLaps]],",",""))+1)</f>
        <v>1</v>
      </c>
      <c r="U1417">
        <f>Table1[[#This Row],[StartPosition]]-Table1[[#This Row],[FinishPosition]]</f>
        <v>-16</v>
      </c>
    </row>
    <row r="1418" spans="1:21" x14ac:dyDescent="0.3">
      <c r="A1418">
        <v>2021</v>
      </c>
      <c r="B1418">
        <v>13</v>
      </c>
      <c r="C1418" t="s">
        <v>702</v>
      </c>
      <c r="D1418" t="s">
        <v>252</v>
      </c>
      <c r="E1418" t="s">
        <v>253</v>
      </c>
      <c r="F1418" t="s">
        <v>60</v>
      </c>
      <c r="G1418">
        <v>11</v>
      </c>
      <c r="H1418">
        <v>17</v>
      </c>
      <c r="I1418">
        <v>0</v>
      </c>
      <c r="J1418" t="s">
        <v>34</v>
      </c>
      <c r="K1418" t="s">
        <v>132</v>
      </c>
      <c r="L1418">
        <v>69</v>
      </c>
      <c r="M1418">
        <v>75.628</v>
      </c>
      <c r="N1418">
        <v>76.984812000000005</v>
      </c>
      <c r="O1418">
        <v>25.768000000000001</v>
      </c>
      <c r="P1418">
        <v>26.571999999999999</v>
      </c>
      <c r="Q1418">
        <v>23.123000000000001</v>
      </c>
      <c r="R1418" t="s">
        <v>707</v>
      </c>
      <c r="S1418" t="s">
        <v>83</v>
      </c>
      <c r="T1418">
        <f>IF(TRIM(Table1[[#This Row],[PitStopLaps]])="",0,
LEN(Table1[[#This Row],[PitStopLaps]])-LEN(SUBSTITUTE(Table1[[#This Row],[PitStopLaps]],",",""))+1)</f>
        <v>3</v>
      </c>
      <c r="U1418">
        <f>Table1[[#This Row],[StartPosition]]-Table1[[#This Row],[FinishPosition]]</f>
        <v>-6</v>
      </c>
    </row>
    <row r="1419" spans="1:21" x14ac:dyDescent="0.3">
      <c r="A1419">
        <v>2021</v>
      </c>
      <c r="B1419">
        <v>13</v>
      </c>
      <c r="C1419" t="s">
        <v>702</v>
      </c>
      <c r="D1419" t="s">
        <v>608</v>
      </c>
      <c r="E1419" t="s">
        <v>609</v>
      </c>
      <c r="F1419" t="s">
        <v>69</v>
      </c>
      <c r="G1419">
        <v>17</v>
      </c>
      <c r="H1419">
        <v>18</v>
      </c>
      <c r="I1419">
        <v>0</v>
      </c>
      <c r="J1419" t="s">
        <v>34</v>
      </c>
      <c r="K1419" t="s">
        <v>130</v>
      </c>
      <c r="L1419">
        <v>69</v>
      </c>
      <c r="M1419">
        <v>75.927000000000007</v>
      </c>
      <c r="N1419">
        <v>78.034750000000003</v>
      </c>
      <c r="O1419">
        <v>25.824000000000002</v>
      </c>
      <c r="P1419">
        <v>26.501999999999999</v>
      </c>
      <c r="Q1419">
        <v>23.149000000000001</v>
      </c>
      <c r="R1419" t="s">
        <v>708</v>
      </c>
      <c r="S1419" t="s">
        <v>83</v>
      </c>
      <c r="T1419">
        <f>IF(TRIM(Table1[[#This Row],[PitStopLaps]])="",0,
LEN(Table1[[#This Row],[PitStopLaps]])-LEN(SUBSTITUTE(Table1[[#This Row],[PitStopLaps]],",",""))+1)</f>
        <v>2</v>
      </c>
      <c r="U1419">
        <f>Table1[[#This Row],[StartPosition]]-Table1[[#This Row],[FinishPosition]]</f>
        <v>-1</v>
      </c>
    </row>
    <row r="1420" spans="1:21" x14ac:dyDescent="0.3">
      <c r="A1420">
        <v>2021</v>
      </c>
      <c r="B1420">
        <v>13</v>
      </c>
      <c r="C1420" t="s">
        <v>702</v>
      </c>
      <c r="D1420" t="s">
        <v>601</v>
      </c>
      <c r="E1420" t="s">
        <v>602</v>
      </c>
      <c r="F1420" t="s">
        <v>438</v>
      </c>
      <c r="G1420">
        <v>14</v>
      </c>
      <c r="H1420">
        <v>19</v>
      </c>
      <c r="I1420">
        <v>0</v>
      </c>
      <c r="J1420" t="s">
        <v>34</v>
      </c>
      <c r="K1420" t="s">
        <v>167</v>
      </c>
      <c r="L1420">
        <v>48</v>
      </c>
      <c r="M1420">
        <v>75.783000000000001</v>
      </c>
      <c r="N1420">
        <v>77.356181000000007</v>
      </c>
      <c r="O1420">
        <v>26.25</v>
      </c>
      <c r="P1420">
        <v>26.475999999999999</v>
      </c>
      <c r="Q1420">
        <v>23.056000000000001</v>
      </c>
      <c r="R1420" t="s">
        <v>358</v>
      </c>
      <c r="S1420" t="s">
        <v>83</v>
      </c>
      <c r="T1420">
        <f>IF(TRIM(Table1[[#This Row],[PitStopLaps]])="",0,
LEN(Table1[[#This Row],[PitStopLaps]])-LEN(SUBSTITUTE(Table1[[#This Row],[PitStopLaps]],",",""))+1)</f>
        <v>2</v>
      </c>
      <c r="U1420">
        <f>Table1[[#This Row],[StartPosition]]-Table1[[#This Row],[FinishPosition]]</f>
        <v>-5</v>
      </c>
    </row>
    <row r="1421" spans="1:21" x14ac:dyDescent="0.3">
      <c r="A1421">
        <v>2021</v>
      </c>
      <c r="B1421">
        <v>13</v>
      </c>
      <c r="C1421" t="s">
        <v>702</v>
      </c>
      <c r="D1421" t="s">
        <v>613</v>
      </c>
      <c r="E1421" t="s">
        <v>614</v>
      </c>
      <c r="F1421" t="s">
        <v>69</v>
      </c>
      <c r="G1421">
        <v>18</v>
      </c>
      <c r="H1421">
        <v>20</v>
      </c>
      <c r="I1421">
        <v>0</v>
      </c>
      <c r="J1421" t="s">
        <v>34</v>
      </c>
      <c r="K1421" t="s">
        <v>155</v>
      </c>
      <c r="L1421">
        <v>41</v>
      </c>
      <c r="M1421">
        <v>76.066000000000003</v>
      </c>
      <c r="N1421">
        <v>78.364783000000003</v>
      </c>
      <c r="O1421">
        <v>26.242000000000001</v>
      </c>
      <c r="P1421">
        <v>26.436</v>
      </c>
      <c r="Q1421">
        <v>23.315000000000001</v>
      </c>
      <c r="R1421" t="s">
        <v>709</v>
      </c>
      <c r="S1421" t="s">
        <v>83</v>
      </c>
      <c r="T1421">
        <f>IF(TRIM(Table1[[#This Row],[PitStopLaps]])="",0,
LEN(Table1[[#This Row],[PitStopLaps]])-LEN(SUBSTITUTE(Table1[[#This Row],[PitStopLaps]],",",""))+1)</f>
        <v>2</v>
      </c>
      <c r="U1421">
        <f>Table1[[#This Row],[StartPosition]]-Table1[[#This Row],[FinishPosition]]</f>
        <v>-2</v>
      </c>
    </row>
    <row r="1422" spans="1:21" x14ac:dyDescent="0.3">
      <c r="A1422">
        <v>2021</v>
      </c>
      <c r="B1422">
        <v>14</v>
      </c>
      <c r="C1422" t="s">
        <v>367</v>
      </c>
      <c r="D1422" t="s">
        <v>31</v>
      </c>
      <c r="E1422" t="s">
        <v>32</v>
      </c>
      <c r="F1422" t="s">
        <v>37</v>
      </c>
      <c r="G1422">
        <v>2</v>
      </c>
      <c r="H1422">
        <v>1</v>
      </c>
      <c r="I1422">
        <v>26</v>
      </c>
      <c r="J1422" t="s">
        <v>23</v>
      </c>
      <c r="K1422" t="s">
        <v>24</v>
      </c>
      <c r="L1422">
        <v>53</v>
      </c>
      <c r="M1422">
        <v>84.811999999999998</v>
      </c>
      <c r="N1422">
        <v>86.190651000000003</v>
      </c>
      <c r="O1422">
        <v>27.922999999999998</v>
      </c>
      <c r="P1422">
        <v>28.797999999999998</v>
      </c>
      <c r="Q1422">
        <v>27.937000000000001</v>
      </c>
      <c r="R1422">
        <v>22</v>
      </c>
      <c r="S1422" t="s">
        <v>83</v>
      </c>
      <c r="T1422">
        <f>IF(TRIM(Table1[[#This Row],[PitStopLaps]])="",0,
LEN(Table1[[#This Row],[PitStopLaps]])-LEN(SUBSTITUTE(Table1[[#This Row],[PitStopLaps]],",",""))+1)</f>
        <v>1</v>
      </c>
      <c r="U1422">
        <f>Table1[[#This Row],[StartPosition]]-Table1[[#This Row],[FinishPosition]]</f>
        <v>1</v>
      </c>
    </row>
    <row r="1423" spans="1:21" x14ac:dyDescent="0.3">
      <c r="A1423">
        <v>2021</v>
      </c>
      <c r="B1423">
        <v>14</v>
      </c>
      <c r="C1423" t="s">
        <v>367</v>
      </c>
      <c r="D1423" t="s">
        <v>246</v>
      </c>
      <c r="E1423" t="s">
        <v>247</v>
      </c>
      <c r="F1423" t="s">
        <v>37</v>
      </c>
      <c r="G1423">
        <v>3</v>
      </c>
      <c r="H1423">
        <v>2</v>
      </c>
      <c r="I1423">
        <v>18</v>
      </c>
      <c r="J1423" t="s">
        <v>23</v>
      </c>
      <c r="K1423" t="s">
        <v>24</v>
      </c>
      <c r="L1423">
        <v>53</v>
      </c>
      <c r="M1423">
        <v>84.971000000000004</v>
      </c>
      <c r="N1423">
        <v>86.315325000000001</v>
      </c>
      <c r="O1423">
        <v>27.701000000000001</v>
      </c>
      <c r="P1423">
        <v>28.917000000000002</v>
      </c>
      <c r="Q1423">
        <v>28.023</v>
      </c>
      <c r="R1423">
        <v>24</v>
      </c>
      <c r="S1423" t="s">
        <v>83</v>
      </c>
      <c r="T1423">
        <f>IF(TRIM(Table1[[#This Row],[PitStopLaps]])="",0,
LEN(Table1[[#This Row],[PitStopLaps]])-LEN(SUBSTITUTE(Table1[[#This Row],[PitStopLaps]],",",""))+1)</f>
        <v>1</v>
      </c>
      <c r="U1423">
        <f>Table1[[#This Row],[StartPosition]]-Table1[[#This Row],[FinishPosition]]</f>
        <v>1</v>
      </c>
    </row>
    <row r="1424" spans="1:21" x14ac:dyDescent="0.3">
      <c r="A1424">
        <v>2021</v>
      </c>
      <c r="B1424">
        <v>14</v>
      </c>
      <c r="C1424" t="s">
        <v>367</v>
      </c>
      <c r="D1424" t="s">
        <v>43</v>
      </c>
      <c r="E1424" t="s">
        <v>44</v>
      </c>
      <c r="F1424" t="s">
        <v>28</v>
      </c>
      <c r="G1424">
        <v>19</v>
      </c>
      <c r="H1424">
        <v>3</v>
      </c>
      <c r="I1424">
        <v>15</v>
      </c>
      <c r="J1424" t="s">
        <v>23</v>
      </c>
      <c r="K1424" t="s">
        <v>24</v>
      </c>
      <c r="L1424">
        <v>53</v>
      </c>
      <c r="M1424">
        <v>84.826999999999998</v>
      </c>
      <c r="N1424">
        <v>86.485347000000004</v>
      </c>
      <c r="O1424">
        <v>27.651</v>
      </c>
      <c r="P1424">
        <v>28.931999999999999</v>
      </c>
      <c r="Q1424">
        <v>28.081</v>
      </c>
      <c r="R1424">
        <v>26</v>
      </c>
      <c r="S1424" t="s">
        <v>83</v>
      </c>
      <c r="T1424">
        <f>IF(TRIM(Table1[[#This Row],[PitStopLaps]])="",0,
LEN(Table1[[#This Row],[PitStopLaps]])-LEN(SUBSTITUTE(Table1[[#This Row],[PitStopLaps]],",",""))+1)</f>
        <v>1</v>
      </c>
      <c r="U1424">
        <f>Table1[[#This Row],[StartPosition]]-Table1[[#This Row],[FinishPosition]]</f>
        <v>16</v>
      </c>
    </row>
    <row r="1425" spans="1:21" x14ac:dyDescent="0.3">
      <c r="A1425">
        <v>2021</v>
      </c>
      <c r="B1425">
        <v>14</v>
      </c>
      <c r="C1425" t="s">
        <v>367</v>
      </c>
      <c r="D1425" t="s">
        <v>54</v>
      </c>
      <c r="E1425" t="s">
        <v>55</v>
      </c>
      <c r="F1425" t="s">
        <v>22</v>
      </c>
      <c r="G1425">
        <v>5</v>
      </c>
      <c r="H1425">
        <v>4</v>
      </c>
      <c r="I1425">
        <v>12</v>
      </c>
      <c r="J1425" t="s">
        <v>34</v>
      </c>
      <c r="K1425" t="s">
        <v>24</v>
      </c>
      <c r="L1425">
        <v>53</v>
      </c>
      <c r="M1425">
        <v>85.319000000000003</v>
      </c>
      <c r="N1425">
        <v>86.497310999999996</v>
      </c>
      <c r="O1425">
        <v>27.998999999999999</v>
      </c>
      <c r="P1425">
        <v>28.882000000000001</v>
      </c>
      <c r="Q1425">
        <v>28.373000000000001</v>
      </c>
      <c r="R1425">
        <v>26</v>
      </c>
      <c r="S1425" t="s">
        <v>83</v>
      </c>
      <c r="T1425">
        <f>IF(TRIM(Table1[[#This Row],[PitStopLaps]])="",0,
LEN(Table1[[#This Row],[PitStopLaps]])-LEN(SUBSTITUTE(Table1[[#This Row],[PitStopLaps]],",",""))+1)</f>
        <v>1</v>
      </c>
      <c r="U1425">
        <f>Table1[[#This Row],[StartPosition]]-Table1[[#This Row],[FinishPosition]]</f>
        <v>1</v>
      </c>
    </row>
    <row r="1426" spans="1:21" x14ac:dyDescent="0.3">
      <c r="A1426">
        <v>2021</v>
      </c>
      <c r="B1426">
        <v>14</v>
      </c>
      <c r="C1426" t="s">
        <v>367</v>
      </c>
      <c r="D1426" t="s">
        <v>49</v>
      </c>
      <c r="E1426" t="s">
        <v>50</v>
      </c>
      <c r="F1426" t="s">
        <v>33</v>
      </c>
      <c r="G1426">
        <v>8</v>
      </c>
      <c r="H1426">
        <v>5</v>
      </c>
      <c r="I1426">
        <v>10</v>
      </c>
      <c r="J1426" t="s">
        <v>34</v>
      </c>
      <c r="K1426" t="s">
        <v>24</v>
      </c>
      <c r="L1426">
        <v>53</v>
      </c>
      <c r="M1426">
        <v>85.156000000000006</v>
      </c>
      <c r="N1426">
        <v>86.441488000000007</v>
      </c>
      <c r="O1426">
        <v>27.638999999999999</v>
      </c>
      <c r="P1426">
        <v>28.934000000000001</v>
      </c>
      <c r="Q1426">
        <v>28.213000000000001</v>
      </c>
      <c r="R1426">
        <v>26</v>
      </c>
      <c r="S1426" t="s">
        <v>83</v>
      </c>
      <c r="T1426">
        <f>IF(TRIM(Table1[[#This Row],[PitStopLaps]])="",0,
LEN(Table1[[#This Row],[PitStopLaps]])-LEN(SUBSTITUTE(Table1[[#This Row],[PitStopLaps]],",",""))+1)</f>
        <v>1</v>
      </c>
      <c r="U1426">
        <f>Table1[[#This Row],[StartPosition]]-Table1[[#This Row],[FinishPosition]]</f>
        <v>3</v>
      </c>
    </row>
    <row r="1427" spans="1:21" x14ac:dyDescent="0.3">
      <c r="A1427">
        <v>2021</v>
      </c>
      <c r="B1427">
        <v>14</v>
      </c>
      <c r="C1427" t="s">
        <v>367</v>
      </c>
      <c r="D1427" t="s">
        <v>47</v>
      </c>
      <c r="E1427" t="s">
        <v>48</v>
      </c>
      <c r="F1427" t="s">
        <v>22</v>
      </c>
      <c r="G1427">
        <v>6</v>
      </c>
      <c r="H1427">
        <v>6</v>
      </c>
      <c r="I1427">
        <v>8</v>
      </c>
      <c r="J1427" t="s">
        <v>34</v>
      </c>
      <c r="K1427" t="s">
        <v>24</v>
      </c>
      <c r="L1427">
        <v>53</v>
      </c>
      <c r="M1427">
        <v>85.558999999999997</v>
      </c>
      <c r="N1427">
        <v>86.805755000000005</v>
      </c>
      <c r="O1427">
        <v>27.867000000000001</v>
      </c>
      <c r="P1427">
        <v>28.991</v>
      </c>
      <c r="Q1427">
        <v>28.423999999999999</v>
      </c>
      <c r="R1427">
        <v>26</v>
      </c>
      <c r="S1427" t="s">
        <v>83</v>
      </c>
      <c r="T1427">
        <f>IF(TRIM(Table1[[#This Row],[PitStopLaps]])="",0,
LEN(Table1[[#This Row],[PitStopLaps]])-LEN(SUBSTITUTE(Table1[[#This Row],[PitStopLaps]],",",""))+1)</f>
        <v>1</v>
      </c>
      <c r="U1427">
        <f>Table1[[#This Row],[StartPosition]]-Table1[[#This Row],[FinishPosition]]</f>
        <v>0</v>
      </c>
    </row>
    <row r="1428" spans="1:21" x14ac:dyDescent="0.3">
      <c r="A1428">
        <v>2021</v>
      </c>
      <c r="B1428">
        <v>14</v>
      </c>
      <c r="C1428" t="s">
        <v>367</v>
      </c>
      <c r="D1428" t="s">
        <v>58</v>
      </c>
      <c r="E1428" t="s">
        <v>59</v>
      </c>
      <c r="F1428" t="s">
        <v>603</v>
      </c>
      <c r="G1428">
        <v>9</v>
      </c>
      <c r="H1428">
        <v>7</v>
      </c>
      <c r="I1428">
        <v>6</v>
      </c>
      <c r="J1428" t="s">
        <v>34</v>
      </c>
      <c r="K1428" t="s">
        <v>24</v>
      </c>
      <c r="L1428">
        <v>53</v>
      </c>
      <c r="M1428">
        <v>85.852999999999994</v>
      </c>
      <c r="N1428">
        <v>86.987318000000002</v>
      </c>
      <c r="O1428">
        <v>28.213999999999999</v>
      </c>
      <c r="P1428">
        <v>29.02</v>
      </c>
      <c r="Q1428">
        <v>28.381</v>
      </c>
      <c r="R1428">
        <v>25</v>
      </c>
      <c r="S1428" t="s">
        <v>83</v>
      </c>
      <c r="T1428">
        <f>IF(TRIM(Table1[[#This Row],[PitStopLaps]])="",0,
LEN(Table1[[#This Row],[PitStopLaps]])-LEN(SUBSTITUTE(Table1[[#This Row],[PitStopLaps]],",",""))+1)</f>
        <v>1</v>
      </c>
      <c r="U1428">
        <f>Table1[[#This Row],[StartPosition]]-Table1[[#This Row],[FinishPosition]]</f>
        <v>2</v>
      </c>
    </row>
    <row r="1429" spans="1:21" x14ac:dyDescent="0.3">
      <c r="A1429">
        <v>2021</v>
      </c>
      <c r="B1429">
        <v>14</v>
      </c>
      <c r="C1429" t="s">
        <v>367</v>
      </c>
      <c r="D1429" t="s">
        <v>35</v>
      </c>
      <c r="E1429" t="s">
        <v>36</v>
      </c>
      <c r="F1429" t="s">
        <v>607</v>
      </c>
      <c r="G1429">
        <v>10</v>
      </c>
      <c r="H1429">
        <v>8</v>
      </c>
      <c r="I1429">
        <v>4</v>
      </c>
      <c r="J1429" t="s">
        <v>34</v>
      </c>
      <c r="K1429" t="s">
        <v>24</v>
      </c>
      <c r="L1429">
        <v>53</v>
      </c>
      <c r="M1429">
        <v>85.471999999999994</v>
      </c>
      <c r="N1429">
        <v>87.051930999999996</v>
      </c>
      <c r="O1429">
        <v>28.029</v>
      </c>
      <c r="P1429">
        <v>29.103999999999999</v>
      </c>
      <c r="Q1429">
        <v>28.321000000000002</v>
      </c>
      <c r="R1429">
        <v>25</v>
      </c>
      <c r="S1429" t="s">
        <v>83</v>
      </c>
      <c r="T1429">
        <f>IF(TRIM(Table1[[#This Row],[PitStopLaps]])="",0,
LEN(Table1[[#This Row],[PitStopLaps]])-LEN(SUBSTITUTE(Table1[[#This Row],[PitStopLaps]],",",""))+1)</f>
        <v>1</v>
      </c>
      <c r="U1429">
        <f>Table1[[#This Row],[StartPosition]]-Table1[[#This Row],[FinishPosition]]</f>
        <v>2</v>
      </c>
    </row>
    <row r="1430" spans="1:21" x14ac:dyDescent="0.3">
      <c r="A1430">
        <v>2021</v>
      </c>
      <c r="B1430">
        <v>14</v>
      </c>
      <c r="C1430" t="s">
        <v>367</v>
      </c>
      <c r="D1430" t="s">
        <v>252</v>
      </c>
      <c r="E1430" t="s">
        <v>253</v>
      </c>
      <c r="F1430" t="s">
        <v>60</v>
      </c>
      <c r="G1430">
        <v>14</v>
      </c>
      <c r="H1430">
        <v>9</v>
      </c>
      <c r="I1430">
        <v>2</v>
      </c>
      <c r="J1430" t="s">
        <v>34</v>
      </c>
      <c r="K1430" t="s">
        <v>24</v>
      </c>
      <c r="L1430">
        <v>53</v>
      </c>
      <c r="M1430">
        <v>85.834999999999994</v>
      </c>
      <c r="N1430">
        <v>87.198933999999994</v>
      </c>
      <c r="O1430">
        <v>28.027999999999999</v>
      </c>
      <c r="P1430">
        <v>29.190999999999999</v>
      </c>
      <c r="Q1430">
        <v>28.356000000000002</v>
      </c>
      <c r="R1430">
        <v>26</v>
      </c>
      <c r="S1430" t="s">
        <v>83</v>
      </c>
      <c r="T1430">
        <f>IF(TRIM(Table1[[#This Row],[PitStopLaps]])="",0,
LEN(Table1[[#This Row],[PitStopLaps]])-LEN(SUBSTITUTE(Table1[[#This Row],[PitStopLaps]],",",""))+1)</f>
        <v>1</v>
      </c>
      <c r="U1430">
        <f>Table1[[#This Row],[StartPosition]]-Table1[[#This Row],[FinishPosition]]</f>
        <v>5</v>
      </c>
    </row>
    <row r="1431" spans="1:21" x14ac:dyDescent="0.3">
      <c r="A1431">
        <v>2021</v>
      </c>
      <c r="B1431">
        <v>14</v>
      </c>
      <c r="C1431" t="s">
        <v>367</v>
      </c>
      <c r="D1431" t="s">
        <v>52</v>
      </c>
      <c r="E1431" t="s">
        <v>53</v>
      </c>
      <c r="F1431" t="s">
        <v>607</v>
      </c>
      <c r="G1431">
        <v>12</v>
      </c>
      <c r="H1431">
        <v>10</v>
      </c>
      <c r="I1431">
        <v>1</v>
      </c>
      <c r="J1431" t="s">
        <v>34</v>
      </c>
      <c r="K1431" t="s">
        <v>24</v>
      </c>
      <c r="L1431">
        <v>53</v>
      </c>
      <c r="M1431">
        <v>85.566000000000003</v>
      </c>
      <c r="N1431">
        <v>87.207155</v>
      </c>
      <c r="O1431">
        <v>27.986000000000001</v>
      </c>
      <c r="P1431">
        <v>29.263999999999999</v>
      </c>
      <c r="Q1431">
        <v>28.26</v>
      </c>
      <c r="R1431">
        <v>26</v>
      </c>
      <c r="S1431" t="s">
        <v>83</v>
      </c>
      <c r="T1431">
        <f>IF(TRIM(Table1[[#This Row],[PitStopLaps]])="",0,
LEN(Table1[[#This Row],[PitStopLaps]])-LEN(SUBSTITUTE(Table1[[#This Row],[PitStopLaps]],",",""))+1)</f>
        <v>1</v>
      </c>
      <c r="U1431">
        <f>Table1[[#This Row],[StartPosition]]-Table1[[#This Row],[FinishPosition]]</f>
        <v>2</v>
      </c>
    </row>
    <row r="1432" spans="1:21" x14ac:dyDescent="0.3">
      <c r="A1432">
        <v>2021</v>
      </c>
      <c r="B1432">
        <v>14</v>
      </c>
      <c r="C1432" t="s">
        <v>367</v>
      </c>
      <c r="D1432" t="s">
        <v>440</v>
      </c>
      <c r="E1432" t="s">
        <v>441</v>
      </c>
      <c r="F1432" t="s">
        <v>60</v>
      </c>
      <c r="G1432">
        <v>13</v>
      </c>
      <c r="H1432">
        <v>11</v>
      </c>
      <c r="I1432">
        <v>0</v>
      </c>
      <c r="J1432" t="s">
        <v>34</v>
      </c>
      <c r="K1432" t="s">
        <v>24</v>
      </c>
      <c r="L1432">
        <v>53</v>
      </c>
      <c r="M1432">
        <v>85.953000000000003</v>
      </c>
      <c r="N1432">
        <v>87.200339999999997</v>
      </c>
      <c r="O1432">
        <v>28.048999999999999</v>
      </c>
      <c r="P1432">
        <v>29.372</v>
      </c>
      <c r="Q1432">
        <v>28.387</v>
      </c>
      <c r="R1432">
        <v>23</v>
      </c>
      <c r="S1432" t="s">
        <v>83</v>
      </c>
      <c r="T1432">
        <f>IF(TRIM(Table1[[#This Row],[PitStopLaps]])="",0,
LEN(Table1[[#This Row],[PitStopLaps]])-LEN(SUBSTITUTE(Table1[[#This Row],[PitStopLaps]],",",""))+1)</f>
        <v>1</v>
      </c>
      <c r="U1432">
        <f>Table1[[#This Row],[StartPosition]]-Table1[[#This Row],[FinishPosition]]</f>
        <v>2</v>
      </c>
    </row>
    <row r="1433" spans="1:21" x14ac:dyDescent="0.3">
      <c r="A1433">
        <v>2021</v>
      </c>
      <c r="B1433">
        <v>14</v>
      </c>
      <c r="C1433" t="s">
        <v>367</v>
      </c>
      <c r="D1433" t="s">
        <v>20</v>
      </c>
      <c r="E1433" t="s">
        <v>21</v>
      </c>
      <c r="F1433" t="s">
        <v>603</v>
      </c>
      <c r="G1433">
        <v>11</v>
      </c>
      <c r="H1433">
        <v>12</v>
      </c>
      <c r="I1433">
        <v>0</v>
      </c>
      <c r="J1433" t="s">
        <v>34</v>
      </c>
      <c r="K1433" t="s">
        <v>24</v>
      </c>
      <c r="L1433">
        <v>53</v>
      </c>
      <c r="M1433">
        <v>85.938000000000002</v>
      </c>
      <c r="N1433">
        <v>87.215534000000005</v>
      </c>
      <c r="O1433">
        <v>27.975999999999999</v>
      </c>
      <c r="P1433">
        <v>29.152999999999999</v>
      </c>
      <c r="Q1433">
        <v>28.373999999999999</v>
      </c>
      <c r="R1433" t="s">
        <v>497</v>
      </c>
      <c r="S1433" t="s">
        <v>83</v>
      </c>
      <c r="T1433">
        <f>IF(TRIM(Table1[[#This Row],[PitStopLaps]])="",0,
LEN(Table1[[#This Row],[PitStopLaps]])-LEN(SUBSTITUTE(Table1[[#This Row],[PitStopLaps]],",",""))+1)</f>
        <v>2</v>
      </c>
      <c r="U1433">
        <f>Table1[[#This Row],[StartPosition]]-Table1[[#This Row],[FinishPosition]]</f>
        <v>-1</v>
      </c>
    </row>
    <row r="1434" spans="1:21" x14ac:dyDescent="0.3">
      <c r="A1434">
        <v>2021</v>
      </c>
      <c r="B1434">
        <v>14</v>
      </c>
      <c r="C1434" t="s">
        <v>367</v>
      </c>
      <c r="D1434" t="s">
        <v>250</v>
      </c>
      <c r="E1434" t="s">
        <v>251</v>
      </c>
      <c r="F1434" t="s">
        <v>243</v>
      </c>
      <c r="G1434">
        <v>7</v>
      </c>
      <c r="H1434">
        <v>13</v>
      </c>
      <c r="I1434">
        <v>0</v>
      </c>
      <c r="J1434" t="s">
        <v>34</v>
      </c>
      <c r="K1434" t="s">
        <v>24</v>
      </c>
      <c r="L1434">
        <v>53</v>
      </c>
      <c r="M1434">
        <v>85.718000000000004</v>
      </c>
      <c r="N1434">
        <v>86.999295000000004</v>
      </c>
      <c r="O1434">
        <v>27.629000000000001</v>
      </c>
      <c r="P1434">
        <v>29.181000000000001</v>
      </c>
      <c r="Q1434">
        <v>28.391999999999999</v>
      </c>
      <c r="R1434" t="s">
        <v>193</v>
      </c>
      <c r="S1434" t="s">
        <v>83</v>
      </c>
      <c r="T1434">
        <f>IF(TRIM(Table1[[#This Row],[PitStopLaps]])="",0,
LEN(Table1[[#This Row],[PitStopLaps]])-LEN(SUBSTITUTE(Table1[[#This Row],[PitStopLaps]],",",""))+1)</f>
        <v>2</v>
      </c>
      <c r="U1434">
        <f>Table1[[#This Row],[StartPosition]]-Table1[[#This Row],[FinishPosition]]</f>
        <v>-6</v>
      </c>
    </row>
    <row r="1435" spans="1:21" x14ac:dyDescent="0.3">
      <c r="A1435">
        <v>2021</v>
      </c>
      <c r="B1435">
        <v>14</v>
      </c>
      <c r="C1435" t="s">
        <v>367</v>
      </c>
      <c r="D1435" t="s">
        <v>255</v>
      </c>
      <c r="E1435" t="s">
        <v>256</v>
      </c>
      <c r="F1435" t="s">
        <v>243</v>
      </c>
      <c r="G1435">
        <v>17</v>
      </c>
      <c r="H1435">
        <v>14</v>
      </c>
      <c r="I1435">
        <v>0</v>
      </c>
      <c r="J1435" t="s">
        <v>34</v>
      </c>
      <c r="K1435" t="s">
        <v>24</v>
      </c>
      <c r="L1435">
        <v>53</v>
      </c>
      <c r="M1435">
        <v>85.849000000000004</v>
      </c>
      <c r="N1435">
        <v>87.490455999999995</v>
      </c>
      <c r="O1435">
        <v>27.849</v>
      </c>
      <c r="P1435">
        <v>29.175999999999998</v>
      </c>
      <c r="Q1435">
        <v>28.667000000000002</v>
      </c>
      <c r="R1435">
        <v>26</v>
      </c>
      <c r="S1435" t="s">
        <v>83</v>
      </c>
      <c r="T1435">
        <f>IF(TRIM(Table1[[#This Row],[PitStopLaps]])="",0,
LEN(Table1[[#This Row],[PitStopLaps]])-LEN(SUBSTITUTE(Table1[[#This Row],[PitStopLaps]],",",""))+1)</f>
        <v>1</v>
      </c>
      <c r="U1435">
        <f>Table1[[#This Row],[StartPosition]]-Table1[[#This Row],[FinishPosition]]</f>
        <v>3</v>
      </c>
    </row>
    <row r="1436" spans="1:21" x14ac:dyDescent="0.3">
      <c r="A1436">
        <v>2021</v>
      </c>
      <c r="B1436">
        <v>14</v>
      </c>
      <c r="C1436" t="s">
        <v>367</v>
      </c>
      <c r="D1436" t="s">
        <v>608</v>
      </c>
      <c r="E1436" t="s">
        <v>609</v>
      </c>
      <c r="F1436" t="s">
        <v>69</v>
      </c>
      <c r="G1436">
        <v>18</v>
      </c>
      <c r="H1436">
        <v>15</v>
      </c>
      <c r="I1436">
        <v>0</v>
      </c>
      <c r="J1436" t="s">
        <v>34</v>
      </c>
      <c r="K1436" t="s">
        <v>24</v>
      </c>
      <c r="L1436">
        <v>53</v>
      </c>
      <c r="M1436">
        <v>86.706999999999994</v>
      </c>
      <c r="N1436">
        <v>88.284284999999997</v>
      </c>
      <c r="O1436">
        <v>28.38</v>
      </c>
      <c r="P1436">
        <v>29.129000000000001</v>
      </c>
      <c r="Q1436">
        <v>29.036999999999999</v>
      </c>
      <c r="R1436">
        <v>23</v>
      </c>
      <c r="S1436" t="s">
        <v>83</v>
      </c>
      <c r="T1436">
        <f>IF(TRIM(Table1[[#This Row],[PitStopLaps]])="",0,
LEN(Table1[[#This Row],[PitStopLaps]])-LEN(SUBSTITUTE(Table1[[#This Row],[PitStopLaps]],",",""))+1)</f>
        <v>1</v>
      </c>
      <c r="U1436">
        <f>Table1[[#This Row],[StartPosition]]-Table1[[#This Row],[FinishPosition]]</f>
        <v>3</v>
      </c>
    </row>
    <row r="1437" spans="1:21" x14ac:dyDescent="0.3">
      <c r="A1437">
        <v>2021</v>
      </c>
      <c r="B1437">
        <v>14</v>
      </c>
      <c r="C1437" t="s">
        <v>367</v>
      </c>
      <c r="D1437" t="s">
        <v>613</v>
      </c>
      <c r="E1437" t="s">
        <v>614</v>
      </c>
      <c r="F1437" t="s">
        <v>69</v>
      </c>
      <c r="G1437">
        <v>16</v>
      </c>
      <c r="H1437">
        <v>16</v>
      </c>
      <c r="I1437">
        <v>0</v>
      </c>
      <c r="J1437" t="s">
        <v>34</v>
      </c>
      <c r="K1437" t="s">
        <v>167</v>
      </c>
      <c r="L1437">
        <v>42</v>
      </c>
      <c r="M1437">
        <v>87.201999999999998</v>
      </c>
      <c r="N1437">
        <v>88.770837999999998</v>
      </c>
      <c r="O1437">
        <v>28.326000000000001</v>
      </c>
      <c r="P1437">
        <v>29.271999999999998</v>
      </c>
      <c r="Q1437">
        <v>29.111000000000001</v>
      </c>
      <c r="R1437" t="s">
        <v>710</v>
      </c>
      <c r="S1437" t="s">
        <v>83</v>
      </c>
      <c r="T1437">
        <f>IF(TRIM(Table1[[#This Row],[PitStopLaps]])="",0,
LEN(Table1[[#This Row],[PitStopLaps]])-LEN(SUBSTITUTE(Table1[[#This Row],[PitStopLaps]],",",""))+1)</f>
        <v>3</v>
      </c>
      <c r="U1437">
        <f>Table1[[#This Row],[StartPosition]]-Table1[[#This Row],[FinishPosition]]</f>
        <v>0</v>
      </c>
    </row>
    <row r="1438" spans="1:21" x14ac:dyDescent="0.3">
      <c r="A1438">
        <v>2021</v>
      </c>
      <c r="B1438">
        <v>14</v>
      </c>
      <c r="C1438" t="s">
        <v>367</v>
      </c>
      <c r="D1438" t="s">
        <v>26</v>
      </c>
      <c r="E1438" t="s">
        <v>27</v>
      </c>
      <c r="F1438" t="s">
        <v>28</v>
      </c>
      <c r="G1438">
        <v>4</v>
      </c>
      <c r="H1438">
        <v>17</v>
      </c>
      <c r="I1438">
        <v>0</v>
      </c>
      <c r="J1438" t="s">
        <v>34</v>
      </c>
      <c r="K1438" t="s">
        <v>124</v>
      </c>
      <c r="L1438">
        <v>25</v>
      </c>
      <c r="M1438">
        <v>85.87</v>
      </c>
      <c r="N1438">
        <v>86.728181000000006</v>
      </c>
      <c r="O1438">
        <v>27.835999999999999</v>
      </c>
      <c r="P1438">
        <v>29.216000000000001</v>
      </c>
      <c r="Q1438">
        <v>28.42</v>
      </c>
      <c r="R1438">
        <v>25</v>
      </c>
      <c r="S1438" t="s">
        <v>83</v>
      </c>
      <c r="T1438">
        <f>IF(TRIM(Table1[[#This Row],[PitStopLaps]])="",0,
LEN(Table1[[#This Row],[PitStopLaps]])-LEN(SUBSTITUTE(Table1[[#This Row],[PitStopLaps]],",",""))+1)</f>
        <v>1</v>
      </c>
      <c r="U1438">
        <f>Table1[[#This Row],[StartPosition]]-Table1[[#This Row],[FinishPosition]]</f>
        <v>-13</v>
      </c>
    </row>
    <row r="1439" spans="1:21" x14ac:dyDescent="0.3">
      <c r="A1439">
        <v>2021</v>
      </c>
      <c r="B1439">
        <v>14</v>
      </c>
      <c r="C1439" t="s">
        <v>367</v>
      </c>
      <c r="D1439" t="s">
        <v>38</v>
      </c>
      <c r="E1439" t="s">
        <v>39</v>
      </c>
      <c r="F1439" t="s">
        <v>33</v>
      </c>
      <c r="G1439">
        <v>1</v>
      </c>
      <c r="H1439">
        <v>18</v>
      </c>
      <c r="I1439">
        <v>0</v>
      </c>
      <c r="J1439" t="s">
        <v>34</v>
      </c>
      <c r="K1439" t="s">
        <v>124</v>
      </c>
      <c r="L1439">
        <v>26</v>
      </c>
      <c r="M1439">
        <v>85.173000000000002</v>
      </c>
      <c r="N1439">
        <v>86.611333000000002</v>
      </c>
      <c r="O1439">
        <v>28.001999999999999</v>
      </c>
      <c r="P1439">
        <v>28.75</v>
      </c>
      <c r="Q1439">
        <v>28.420999999999999</v>
      </c>
      <c r="R1439">
        <v>23</v>
      </c>
      <c r="S1439" t="s">
        <v>83</v>
      </c>
      <c r="T1439">
        <f>IF(TRIM(Table1[[#This Row],[PitStopLaps]])="",0,
LEN(Table1[[#This Row],[PitStopLaps]])-LEN(SUBSTITUTE(Table1[[#This Row],[PitStopLaps]],",",""))+1)</f>
        <v>1</v>
      </c>
      <c r="U1439">
        <f>Table1[[#This Row],[StartPosition]]-Table1[[#This Row],[FinishPosition]]</f>
        <v>-17</v>
      </c>
    </row>
    <row r="1440" spans="1:21" x14ac:dyDescent="0.3">
      <c r="A1440">
        <v>2021</v>
      </c>
      <c r="B1440">
        <v>14</v>
      </c>
      <c r="C1440" t="s">
        <v>367</v>
      </c>
      <c r="D1440" t="s">
        <v>73</v>
      </c>
      <c r="E1440" t="s">
        <v>74</v>
      </c>
      <c r="F1440" t="s">
        <v>438</v>
      </c>
      <c r="G1440">
        <v>0</v>
      </c>
      <c r="H1440">
        <v>19</v>
      </c>
      <c r="I1440">
        <v>0</v>
      </c>
      <c r="J1440" t="s">
        <v>34</v>
      </c>
      <c r="K1440" t="s">
        <v>187</v>
      </c>
      <c r="L1440">
        <v>3</v>
      </c>
      <c r="M1440">
        <v>89.004999999999995</v>
      </c>
      <c r="N1440">
        <v>89.004999999999995</v>
      </c>
      <c r="O1440">
        <v>28.594000000000001</v>
      </c>
      <c r="P1440">
        <v>30.876999999999999</v>
      </c>
      <c r="Q1440">
        <v>29.533999999999999</v>
      </c>
      <c r="R1440">
        <v>3</v>
      </c>
      <c r="S1440" t="s">
        <v>83</v>
      </c>
      <c r="T1440">
        <f>IF(TRIM(Table1[[#This Row],[PitStopLaps]])="",0,
LEN(Table1[[#This Row],[PitStopLaps]])-LEN(SUBSTITUTE(Table1[[#This Row],[PitStopLaps]],",",""))+1)</f>
        <v>1</v>
      </c>
      <c r="U1440">
        <f>Table1[[#This Row],[StartPosition]]-Table1[[#This Row],[FinishPosition]]</f>
        <v>-19</v>
      </c>
    </row>
    <row r="1441" spans="1:21" x14ac:dyDescent="0.3">
      <c r="A1441">
        <v>2021</v>
      </c>
      <c r="B1441">
        <v>14</v>
      </c>
      <c r="C1441" t="s">
        <v>367</v>
      </c>
      <c r="D1441" t="s">
        <v>601</v>
      </c>
      <c r="E1441" t="s">
        <v>602</v>
      </c>
      <c r="F1441" t="s">
        <v>438</v>
      </c>
      <c r="G1441">
        <v>0</v>
      </c>
      <c r="H1441">
        <v>20</v>
      </c>
      <c r="I1441">
        <v>0</v>
      </c>
      <c r="J1441" t="s">
        <v>34</v>
      </c>
      <c r="K1441" t="s">
        <v>81</v>
      </c>
      <c r="S1441" t="s">
        <v>83</v>
      </c>
      <c r="T1441">
        <f>IF(TRIM(Table1[[#This Row],[PitStopLaps]])="",0,
LEN(Table1[[#This Row],[PitStopLaps]])-LEN(SUBSTITUTE(Table1[[#This Row],[PitStopLaps]],",",""))+1)</f>
        <v>0</v>
      </c>
      <c r="U1441">
        <f>Table1[[#This Row],[StartPosition]]-Table1[[#This Row],[FinishPosition]]</f>
        <v>-20</v>
      </c>
    </row>
    <row r="1442" spans="1:21" x14ac:dyDescent="0.3">
      <c r="A1442">
        <v>2021</v>
      </c>
      <c r="B1442">
        <v>15</v>
      </c>
      <c r="C1442" t="s">
        <v>205</v>
      </c>
      <c r="D1442" t="s">
        <v>26</v>
      </c>
      <c r="E1442" t="s">
        <v>27</v>
      </c>
      <c r="F1442" t="s">
        <v>28</v>
      </c>
      <c r="G1442">
        <v>4</v>
      </c>
      <c r="H1442">
        <v>1</v>
      </c>
      <c r="I1442">
        <v>25</v>
      </c>
      <c r="J1442" t="s">
        <v>23</v>
      </c>
      <c r="K1442" t="s">
        <v>24</v>
      </c>
      <c r="L1442">
        <v>53</v>
      </c>
      <c r="M1442">
        <v>97.575000000000003</v>
      </c>
      <c r="N1442">
        <v>101.317104</v>
      </c>
      <c r="O1442">
        <v>35.177</v>
      </c>
      <c r="P1442">
        <v>33.710999999999999</v>
      </c>
      <c r="Q1442">
        <v>28.314</v>
      </c>
      <c r="R1442" t="s">
        <v>711</v>
      </c>
      <c r="S1442" t="s">
        <v>25</v>
      </c>
      <c r="T1442">
        <f>IF(TRIM(Table1[[#This Row],[PitStopLaps]])="",0,
LEN(Table1[[#This Row],[PitStopLaps]])-LEN(SUBSTITUTE(Table1[[#This Row],[PitStopLaps]],",",""))+1)</f>
        <v>2</v>
      </c>
      <c r="U1442">
        <f>Table1[[#This Row],[StartPosition]]-Table1[[#This Row],[FinishPosition]]</f>
        <v>3</v>
      </c>
    </row>
    <row r="1443" spans="1:21" x14ac:dyDescent="0.3">
      <c r="A1443">
        <v>2021</v>
      </c>
      <c r="B1443">
        <v>15</v>
      </c>
      <c r="C1443" t="s">
        <v>205</v>
      </c>
      <c r="D1443" t="s">
        <v>38</v>
      </c>
      <c r="E1443" t="s">
        <v>39</v>
      </c>
      <c r="F1443" t="s">
        <v>33</v>
      </c>
      <c r="G1443">
        <v>20</v>
      </c>
      <c r="H1443">
        <v>2</v>
      </c>
      <c r="I1443">
        <v>18</v>
      </c>
      <c r="J1443" t="s">
        <v>23</v>
      </c>
      <c r="K1443" t="s">
        <v>24</v>
      </c>
      <c r="L1443">
        <v>53</v>
      </c>
      <c r="M1443">
        <v>98.396000000000001</v>
      </c>
      <c r="N1443">
        <v>102.154354</v>
      </c>
      <c r="O1443">
        <v>34.811</v>
      </c>
      <c r="P1443">
        <v>34.258000000000003</v>
      </c>
      <c r="Q1443">
        <v>29.234000000000002</v>
      </c>
      <c r="R1443" t="s">
        <v>712</v>
      </c>
      <c r="S1443" t="s">
        <v>25</v>
      </c>
      <c r="T1443">
        <f>IF(TRIM(Table1[[#This Row],[PitStopLaps]])="",0,
LEN(Table1[[#This Row],[PitStopLaps]])-LEN(SUBSTITUTE(Table1[[#This Row],[PitStopLaps]],",",""))+1)</f>
        <v>2</v>
      </c>
      <c r="U1443">
        <f>Table1[[#This Row],[StartPosition]]-Table1[[#This Row],[FinishPosition]]</f>
        <v>18</v>
      </c>
    </row>
    <row r="1444" spans="1:21" x14ac:dyDescent="0.3">
      <c r="A1444">
        <v>2021</v>
      </c>
      <c r="B1444">
        <v>15</v>
      </c>
      <c r="C1444" t="s">
        <v>205</v>
      </c>
      <c r="D1444" t="s">
        <v>47</v>
      </c>
      <c r="E1444" t="s">
        <v>48</v>
      </c>
      <c r="F1444" t="s">
        <v>22</v>
      </c>
      <c r="G1444">
        <v>2</v>
      </c>
      <c r="H1444">
        <v>3</v>
      </c>
      <c r="I1444">
        <v>15</v>
      </c>
      <c r="J1444" t="s">
        <v>23</v>
      </c>
      <c r="K1444" t="s">
        <v>24</v>
      </c>
      <c r="L1444">
        <v>53</v>
      </c>
      <c r="M1444">
        <v>99.293999999999997</v>
      </c>
      <c r="N1444">
        <v>102.229354</v>
      </c>
      <c r="O1444">
        <v>35.826999999999998</v>
      </c>
      <c r="P1444">
        <v>34.322000000000003</v>
      </c>
      <c r="Q1444">
        <v>28.858000000000001</v>
      </c>
      <c r="R1444" t="s">
        <v>713</v>
      </c>
      <c r="S1444" t="s">
        <v>25</v>
      </c>
      <c r="T1444">
        <f>IF(TRIM(Table1[[#This Row],[PitStopLaps]])="",0,
LEN(Table1[[#This Row],[PitStopLaps]])-LEN(SUBSTITUTE(Table1[[#This Row],[PitStopLaps]],",",""))+1)</f>
        <v>2</v>
      </c>
      <c r="U1444">
        <f>Table1[[#This Row],[StartPosition]]-Table1[[#This Row],[FinishPosition]]</f>
        <v>-1</v>
      </c>
    </row>
    <row r="1445" spans="1:21" x14ac:dyDescent="0.3">
      <c r="A1445">
        <v>2021</v>
      </c>
      <c r="B1445">
        <v>15</v>
      </c>
      <c r="C1445" t="s">
        <v>205</v>
      </c>
      <c r="D1445" t="s">
        <v>31</v>
      </c>
      <c r="E1445" t="s">
        <v>32</v>
      </c>
      <c r="F1445" t="s">
        <v>37</v>
      </c>
      <c r="G1445">
        <v>5</v>
      </c>
      <c r="H1445">
        <v>4</v>
      </c>
      <c r="I1445">
        <v>12</v>
      </c>
      <c r="J1445" t="s">
        <v>34</v>
      </c>
      <c r="K1445" t="s">
        <v>24</v>
      </c>
      <c r="L1445">
        <v>53</v>
      </c>
      <c r="M1445">
        <v>99.123999999999995</v>
      </c>
      <c r="N1445">
        <v>102.177041</v>
      </c>
      <c r="O1445">
        <v>35.292999999999999</v>
      </c>
      <c r="P1445">
        <v>34.253</v>
      </c>
      <c r="Q1445">
        <v>29.033999999999999</v>
      </c>
      <c r="R1445" t="s">
        <v>714</v>
      </c>
      <c r="S1445" t="s">
        <v>25</v>
      </c>
      <c r="T1445">
        <f>IF(TRIM(Table1[[#This Row],[PitStopLaps]])="",0,
LEN(Table1[[#This Row],[PitStopLaps]])-LEN(SUBSTITUTE(Table1[[#This Row],[PitStopLaps]],",",""))+1)</f>
        <v>2</v>
      </c>
      <c r="U1445">
        <f>Table1[[#This Row],[StartPosition]]-Table1[[#This Row],[FinishPosition]]</f>
        <v>1</v>
      </c>
    </row>
    <row r="1446" spans="1:21" x14ac:dyDescent="0.3">
      <c r="A1446">
        <v>2021</v>
      </c>
      <c r="B1446">
        <v>15</v>
      </c>
      <c r="C1446" t="s">
        <v>205</v>
      </c>
      <c r="D1446" t="s">
        <v>43</v>
      </c>
      <c r="E1446" t="s">
        <v>44</v>
      </c>
      <c r="F1446" t="s">
        <v>28</v>
      </c>
      <c r="G1446">
        <v>16</v>
      </c>
      <c r="H1446">
        <v>5</v>
      </c>
      <c r="I1446">
        <v>10</v>
      </c>
      <c r="J1446" t="s">
        <v>34</v>
      </c>
      <c r="K1446" t="s">
        <v>24</v>
      </c>
      <c r="L1446">
        <v>53</v>
      </c>
      <c r="M1446">
        <v>98.215999999999994</v>
      </c>
      <c r="N1446">
        <v>102.652083</v>
      </c>
      <c r="O1446">
        <v>35.103000000000002</v>
      </c>
      <c r="P1446">
        <v>33.744999999999997</v>
      </c>
      <c r="Q1446">
        <v>28.83</v>
      </c>
      <c r="R1446" t="s">
        <v>715</v>
      </c>
      <c r="S1446" t="s">
        <v>25</v>
      </c>
      <c r="T1446">
        <f>IF(TRIM(Table1[[#This Row],[PitStopLaps]])="",0,
LEN(Table1[[#This Row],[PitStopLaps]])-LEN(SUBSTITUTE(Table1[[#This Row],[PitStopLaps]],",",""))+1)</f>
        <v>2</v>
      </c>
      <c r="U1446">
        <f>Table1[[#This Row],[StartPosition]]-Table1[[#This Row],[FinishPosition]]</f>
        <v>11</v>
      </c>
    </row>
    <row r="1447" spans="1:21" x14ac:dyDescent="0.3">
      <c r="A1447">
        <v>2021</v>
      </c>
      <c r="B1447">
        <v>15</v>
      </c>
      <c r="C1447" t="s">
        <v>205</v>
      </c>
      <c r="D1447" t="s">
        <v>35</v>
      </c>
      <c r="E1447" t="s">
        <v>36</v>
      </c>
      <c r="F1447" t="s">
        <v>607</v>
      </c>
      <c r="G1447">
        <v>6</v>
      </c>
      <c r="H1447">
        <v>6</v>
      </c>
      <c r="I1447">
        <v>8</v>
      </c>
      <c r="J1447" t="s">
        <v>34</v>
      </c>
      <c r="K1447" t="s">
        <v>24</v>
      </c>
      <c r="L1447">
        <v>53</v>
      </c>
      <c r="M1447">
        <v>98.686000000000007</v>
      </c>
      <c r="N1447">
        <v>102.270979</v>
      </c>
      <c r="O1447">
        <v>35.094000000000001</v>
      </c>
      <c r="P1447">
        <v>34.252000000000002</v>
      </c>
      <c r="Q1447">
        <v>28.856999999999999</v>
      </c>
      <c r="R1447" t="s">
        <v>716</v>
      </c>
      <c r="S1447" t="s">
        <v>25</v>
      </c>
      <c r="T1447">
        <f>IF(TRIM(Table1[[#This Row],[PitStopLaps]])="",0,
LEN(Table1[[#This Row],[PitStopLaps]])-LEN(SUBSTITUTE(Table1[[#This Row],[PitStopLaps]],",",""))+1)</f>
        <v>2</v>
      </c>
      <c r="U1447">
        <f>Table1[[#This Row],[StartPosition]]-Table1[[#This Row],[FinishPosition]]</f>
        <v>0</v>
      </c>
    </row>
    <row r="1448" spans="1:21" x14ac:dyDescent="0.3">
      <c r="A1448">
        <v>2021</v>
      </c>
      <c r="B1448">
        <v>15</v>
      </c>
      <c r="C1448" t="s">
        <v>205</v>
      </c>
      <c r="D1448" t="s">
        <v>246</v>
      </c>
      <c r="E1448" t="s">
        <v>247</v>
      </c>
      <c r="F1448" t="s">
        <v>37</v>
      </c>
      <c r="G1448">
        <v>1</v>
      </c>
      <c r="H1448">
        <v>7</v>
      </c>
      <c r="I1448">
        <v>7</v>
      </c>
      <c r="J1448" t="s">
        <v>34</v>
      </c>
      <c r="K1448" t="s">
        <v>24</v>
      </c>
      <c r="L1448">
        <v>53</v>
      </c>
      <c r="M1448">
        <v>97.423000000000002</v>
      </c>
      <c r="N1448">
        <v>101.488208</v>
      </c>
      <c r="O1448">
        <v>35.289000000000001</v>
      </c>
      <c r="P1448">
        <v>33.564999999999998</v>
      </c>
      <c r="Q1448">
        <v>28.271000000000001</v>
      </c>
      <c r="R1448" t="s">
        <v>182</v>
      </c>
      <c r="S1448" t="s">
        <v>25</v>
      </c>
      <c r="T1448">
        <f>IF(TRIM(Table1[[#This Row],[PitStopLaps]])="",0,
LEN(Table1[[#This Row],[PitStopLaps]])-LEN(SUBSTITUTE(Table1[[#This Row],[PitStopLaps]],",",""))+1)</f>
        <v>2</v>
      </c>
      <c r="U1448">
        <f>Table1[[#This Row],[StartPosition]]-Table1[[#This Row],[FinishPosition]]</f>
        <v>-6</v>
      </c>
    </row>
    <row r="1449" spans="1:21" x14ac:dyDescent="0.3">
      <c r="A1449">
        <v>2021</v>
      </c>
      <c r="B1449">
        <v>15</v>
      </c>
      <c r="C1449" t="s">
        <v>205</v>
      </c>
      <c r="D1449" t="s">
        <v>29</v>
      </c>
      <c r="E1449" t="s">
        <v>30</v>
      </c>
      <c r="F1449" t="s">
        <v>243</v>
      </c>
      <c r="G1449">
        <v>13</v>
      </c>
      <c r="H1449">
        <v>8</v>
      </c>
      <c r="I1449">
        <v>4</v>
      </c>
      <c r="J1449" t="s">
        <v>34</v>
      </c>
      <c r="K1449" t="s">
        <v>24</v>
      </c>
      <c r="L1449">
        <v>53</v>
      </c>
      <c r="M1449">
        <v>100.289</v>
      </c>
      <c r="N1449">
        <v>102.916062</v>
      </c>
      <c r="O1449">
        <v>35.825000000000003</v>
      </c>
      <c r="P1449">
        <v>34.567999999999998</v>
      </c>
      <c r="Q1449">
        <v>29.472000000000001</v>
      </c>
      <c r="R1449" t="s">
        <v>717</v>
      </c>
      <c r="S1449" t="s">
        <v>25</v>
      </c>
      <c r="T1449">
        <f>IF(TRIM(Table1[[#This Row],[PitStopLaps]])="",0,
LEN(Table1[[#This Row],[PitStopLaps]])-LEN(SUBSTITUTE(Table1[[#This Row],[PitStopLaps]],",",""))+1)</f>
        <v>2</v>
      </c>
      <c r="U1449">
        <f>Table1[[#This Row],[StartPosition]]-Table1[[#This Row],[FinishPosition]]</f>
        <v>5</v>
      </c>
    </row>
    <row r="1450" spans="1:21" x14ac:dyDescent="0.3">
      <c r="A1450">
        <v>2021</v>
      </c>
      <c r="B1450">
        <v>15</v>
      </c>
      <c r="C1450" t="s">
        <v>205</v>
      </c>
      <c r="D1450" t="s">
        <v>49</v>
      </c>
      <c r="E1450" t="s">
        <v>50</v>
      </c>
      <c r="F1450" t="s">
        <v>33</v>
      </c>
      <c r="G1450">
        <v>8</v>
      </c>
      <c r="H1450">
        <v>9</v>
      </c>
      <c r="I1450">
        <v>2</v>
      </c>
      <c r="J1450" t="s">
        <v>34</v>
      </c>
      <c r="K1450" t="s">
        <v>24</v>
      </c>
      <c r="L1450">
        <v>53</v>
      </c>
      <c r="M1450">
        <v>99.215000000000003</v>
      </c>
      <c r="N1450">
        <v>102.234145</v>
      </c>
      <c r="O1450">
        <v>35.472000000000001</v>
      </c>
      <c r="P1450">
        <v>34.387</v>
      </c>
      <c r="Q1450">
        <v>28.591000000000001</v>
      </c>
      <c r="R1450" t="s">
        <v>716</v>
      </c>
      <c r="S1450" t="s">
        <v>25</v>
      </c>
      <c r="T1450">
        <f>IF(TRIM(Table1[[#This Row],[PitStopLaps]])="",0,
LEN(Table1[[#This Row],[PitStopLaps]])-LEN(SUBSTITUTE(Table1[[#This Row],[PitStopLaps]],",",""))+1)</f>
        <v>2</v>
      </c>
      <c r="U1450">
        <f>Table1[[#This Row],[StartPosition]]-Table1[[#This Row],[FinishPosition]]</f>
        <v>-1</v>
      </c>
    </row>
    <row r="1451" spans="1:21" x14ac:dyDescent="0.3">
      <c r="A1451">
        <v>2021</v>
      </c>
      <c r="B1451">
        <v>15</v>
      </c>
      <c r="C1451" t="s">
        <v>205</v>
      </c>
      <c r="D1451" t="s">
        <v>252</v>
      </c>
      <c r="E1451" t="s">
        <v>253</v>
      </c>
      <c r="F1451" t="s">
        <v>60</v>
      </c>
      <c r="G1451">
        <v>3</v>
      </c>
      <c r="H1451">
        <v>10</v>
      </c>
      <c r="I1451">
        <v>1</v>
      </c>
      <c r="J1451" t="s">
        <v>34</v>
      </c>
      <c r="K1451" t="s">
        <v>24</v>
      </c>
      <c r="L1451">
        <v>53</v>
      </c>
      <c r="M1451">
        <v>100.596</v>
      </c>
      <c r="N1451">
        <v>103.22152</v>
      </c>
      <c r="O1451">
        <v>35.774999999999999</v>
      </c>
      <c r="P1451">
        <v>34.805</v>
      </c>
      <c r="Q1451">
        <v>29.727</v>
      </c>
      <c r="R1451" t="s">
        <v>718</v>
      </c>
      <c r="S1451" t="s">
        <v>25</v>
      </c>
      <c r="T1451">
        <f>IF(TRIM(Table1[[#This Row],[PitStopLaps]])="",0,
LEN(Table1[[#This Row],[PitStopLaps]])-LEN(SUBSTITUTE(Table1[[#This Row],[PitStopLaps]],",",""))+1)</f>
        <v>2</v>
      </c>
      <c r="U1451">
        <f>Table1[[#This Row],[StartPosition]]-Table1[[#This Row],[FinishPosition]]</f>
        <v>-7</v>
      </c>
    </row>
    <row r="1452" spans="1:21" x14ac:dyDescent="0.3">
      <c r="A1452">
        <v>2021</v>
      </c>
      <c r="B1452">
        <v>15</v>
      </c>
      <c r="C1452" t="s">
        <v>205</v>
      </c>
      <c r="D1452" t="s">
        <v>58</v>
      </c>
      <c r="E1452" t="s">
        <v>59</v>
      </c>
      <c r="F1452" t="s">
        <v>603</v>
      </c>
      <c r="G1452">
        <v>7</v>
      </c>
      <c r="H1452">
        <v>11</v>
      </c>
      <c r="I1452">
        <v>0</v>
      </c>
      <c r="J1452" t="s">
        <v>34</v>
      </c>
      <c r="K1452" t="s">
        <v>24</v>
      </c>
      <c r="L1452">
        <v>53</v>
      </c>
      <c r="M1452">
        <v>100.464</v>
      </c>
      <c r="N1452">
        <v>102.719916</v>
      </c>
      <c r="O1452">
        <v>35.860999999999997</v>
      </c>
      <c r="P1452">
        <v>34.732999999999997</v>
      </c>
      <c r="Q1452">
        <v>29.448</v>
      </c>
      <c r="R1452" t="s">
        <v>403</v>
      </c>
      <c r="S1452" t="s">
        <v>25</v>
      </c>
      <c r="T1452">
        <f>IF(TRIM(Table1[[#This Row],[PitStopLaps]])="",0,
LEN(Table1[[#This Row],[PitStopLaps]])-LEN(SUBSTITUTE(Table1[[#This Row],[PitStopLaps]],",",""))+1)</f>
        <v>2</v>
      </c>
      <c r="U1452">
        <f>Table1[[#This Row],[StartPosition]]-Table1[[#This Row],[FinishPosition]]</f>
        <v>-4</v>
      </c>
    </row>
    <row r="1453" spans="1:21" x14ac:dyDescent="0.3">
      <c r="A1453">
        <v>2021</v>
      </c>
      <c r="B1453">
        <v>15</v>
      </c>
      <c r="C1453" t="s">
        <v>205</v>
      </c>
      <c r="D1453" t="s">
        <v>20</v>
      </c>
      <c r="E1453" t="s">
        <v>21</v>
      </c>
      <c r="F1453" t="s">
        <v>603</v>
      </c>
      <c r="G1453">
        <v>10</v>
      </c>
      <c r="H1453">
        <v>12</v>
      </c>
      <c r="I1453">
        <v>0</v>
      </c>
      <c r="J1453" t="s">
        <v>34</v>
      </c>
      <c r="K1453" t="s">
        <v>65</v>
      </c>
      <c r="L1453">
        <v>52</v>
      </c>
      <c r="M1453">
        <v>99.251000000000005</v>
      </c>
      <c r="N1453">
        <v>102.32289299999999</v>
      </c>
      <c r="O1453">
        <v>35.677999999999997</v>
      </c>
      <c r="P1453">
        <v>34.456000000000003</v>
      </c>
      <c r="Q1453">
        <v>28.927</v>
      </c>
      <c r="R1453" t="s">
        <v>719</v>
      </c>
      <c r="S1453" t="s">
        <v>25</v>
      </c>
      <c r="T1453">
        <f>IF(TRIM(Table1[[#This Row],[PitStopLaps]])="",0,
LEN(Table1[[#This Row],[PitStopLaps]])-LEN(SUBSTITUTE(Table1[[#This Row],[PitStopLaps]],",",""))+1)</f>
        <v>2</v>
      </c>
      <c r="U1453">
        <f>Table1[[#This Row],[StartPosition]]-Table1[[#This Row],[FinishPosition]]</f>
        <v>-2</v>
      </c>
    </row>
    <row r="1454" spans="1:21" x14ac:dyDescent="0.3">
      <c r="A1454">
        <v>2021</v>
      </c>
      <c r="B1454">
        <v>15</v>
      </c>
      <c r="C1454" t="s">
        <v>205</v>
      </c>
      <c r="D1454" t="s">
        <v>73</v>
      </c>
      <c r="E1454" t="s">
        <v>74</v>
      </c>
      <c r="F1454" t="s">
        <v>438</v>
      </c>
      <c r="G1454">
        <v>11</v>
      </c>
      <c r="H1454">
        <v>13</v>
      </c>
      <c r="I1454">
        <v>0</v>
      </c>
      <c r="J1454" t="s">
        <v>34</v>
      </c>
      <c r="K1454" t="s">
        <v>65</v>
      </c>
      <c r="L1454">
        <v>52</v>
      </c>
      <c r="M1454">
        <v>98.278999999999996</v>
      </c>
      <c r="N1454">
        <v>102.623446</v>
      </c>
      <c r="O1454">
        <v>35.340000000000003</v>
      </c>
      <c r="P1454">
        <v>34.017000000000003</v>
      </c>
      <c r="Q1454">
        <v>28.922000000000001</v>
      </c>
      <c r="R1454" t="s">
        <v>720</v>
      </c>
      <c r="S1454" t="s">
        <v>25</v>
      </c>
      <c r="T1454">
        <f>IF(TRIM(Table1[[#This Row],[PitStopLaps]])="",0,
LEN(Table1[[#This Row],[PitStopLaps]])-LEN(SUBSTITUTE(Table1[[#This Row],[PitStopLaps]],",",""))+1)</f>
        <v>2</v>
      </c>
      <c r="U1454">
        <f>Table1[[#This Row],[StartPosition]]-Table1[[#This Row],[FinishPosition]]</f>
        <v>-2</v>
      </c>
    </row>
    <row r="1455" spans="1:21" x14ac:dyDescent="0.3">
      <c r="A1455">
        <v>2021</v>
      </c>
      <c r="B1455">
        <v>15</v>
      </c>
      <c r="C1455" t="s">
        <v>205</v>
      </c>
      <c r="D1455" t="s">
        <v>52</v>
      </c>
      <c r="E1455" t="s">
        <v>53</v>
      </c>
      <c r="F1455" t="s">
        <v>607</v>
      </c>
      <c r="G1455">
        <v>9</v>
      </c>
      <c r="H1455">
        <v>14</v>
      </c>
      <c r="I1455">
        <v>0</v>
      </c>
      <c r="J1455" t="s">
        <v>34</v>
      </c>
      <c r="K1455" t="s">
        <v>65</v>
      </c>
      <c r="L1455">
        <v>52</v>
      </c>
      <c r="M1455">
        <v>100.598</v>
      </c>
      <c r="N1455">
        <v>102.771574</v>
      </c>
      <c r="O1455">
        <v>35.906999999999996</v>
      </c>
      <c r="P1455">
        <v>34.786999999999999</v>
      </c>
      <c r="Q1455">
        <v>29.414999999999999</v>
      </c>
      <c r="R1455" t="s">
        <v>721</v>
      </c>
      <c r="S1455" t="s">
        <v>25</v>
      </c>
      <c r="T1455">
        <f>IF(TRIM(Table1[[#This Row],[PitStopLaps]])="",0,
LEN(Table1[[#This Row],[PitStopLaps]])-LEN(SUBSTITUTE(Table1[[#This Row],[PitStopLaps]],",",""))+1)</f>
        <v>2</v>
      </c>
      <c r="U1455">
        <f>Table1[[#This Row],[StartPosition]]-Table1[[#This Row],[FinishPosition]]</f>
        <v>-5</v>
      </c>
    </row>
    <row r="1456" spans="1:21" x14ac:dyDescent="0.3">
      <c r="A1456">
        <v>2021</v>
      </c>
      <c r="B1456">
        <v>15</v>
      </c>
      <c r="C1456" t="s">
        <v>205</v>
      </c>
      <c r="D1456" t="s">
        <v>54</v>
      </c>
      <c r="E1456" t="s">
        <v>55</v>
      </c>
      <c r="F1456" t="s">
        <v>22</v>
      </c>
      <c r="G1456">
        <v>19</v>
      </c>
      <c r="H1456">
        <v>15</v>
      </c>
      <c r="I1456">
        <v>0</v>
      </c>
      <c r="J1456" t="s">
        <v>34</v>
      </c>
      <c r="K1456" t="s">
        <v>65</v>
      </c>
      <c r="L1456">
        <v>52</v>
      </c>
      <c r="M1456">
        <v>98.994</v>
      </c>
      <c r="N1456">
        <v>102.464553</v>
      </c>
      <c r="O1456">
        <v>35.372</v>
      </c>
      <c r="P1456">
        <v>34.061999999999998</v>
      </c>
      <c r="Q1456">
        <v>28.896999999999998</v>
      </c>
      <c r="R1456" t="s">
        <v>722</v>
      </c>
      <c r="S1456" t="s">
        <v>25</v>
      </c>
      <c r="T1456">
        <f>IF(TRIM(Table1[[#This Row],[PitStopLaps]])="",0,
LEN(Table1[[#This Row],[PitStopLaps]])-LEN(SUBSTITUTE(Table1[[#This Row],[PitStopLaps]],",",""))+1)</f>
        <v>2</v>
      </c>
      <c r="U1456">
        <f>Table1[[#This Row],[StartPosition]]-Table1[[#This Row],[FinishPosition]]</f>
        <v>4</v>
      </c>
    </row>
    <row r="1457" spans="1:21" x14ac:dyDescent="0.3">
      <c r="A1457">
        <v>2021</v>
      </c>
      <c r="B1457">
        <v>15</v>
      </c>
      <c r="C1457" t="s">
        <v>205</v>
      </c>
      <c r="D1457" t="s">
        <v>250</v>
      </c>
      <c r="E1457" t="s">
        <v>251</v>
      </c>
      <c r="F1457" t="s">
        <v>243</v>
      </c>
      <c r="G1457">
        <v>17</v>
      </c>
      <c r="H1457">
        <v>16</v>
      </c>
      <c r="I1457">
        <v>0</v>
      </c>
      <c r="J1457" t="s">
        <v>34</v>
      </c>
      <c r="K1457" t="s">
        <v>65</v>
      </c>
      <c r="L1457">
        <v>52</v>
      </c>
      <c r="M1457">
        <v>99.058000000000007</v>
      </c>
      <c r="N1457">
        <v>103.46414799999999</v>
      </c>
      <c r="O1457">
        <v>35.887</v>
      </c>
      <c r="P1457">
        <v>34.290999999999997</v>
      </c>
      <c r="Q1457">
        <v>28.786000000000001</v>
      </c>
      <c r="R1457" t="s">
        <v>716</v>
      </c>
      <c r="S1457" t="s">
        <v>25</v>
      </c>
      <c r="T1457">
        <f>IF(TRIM(Table1[[#This Row],[PitStopLaps]])="",0,
LEN(Table1[[#This Row],[PitStopLaps]])-LEN(SUBSTITUTE(Table1[[#This Row],[PitStopLaps]],",",""))+1)</f>
        <v>2</v>
      </c>
      <c r="U1457">
        <f>Table1[[#This Row],[StartPosition]]-Table1[[#This Row],[FinishPosition]]</f>
        <v>1</v>
      </c>
    </row>
    <row r="1458" spans="1:21" x14ac:dyDescent="0.3">
      <c r="A1458">
        <v>2021</v>
      </c>
      <c r="B1458">
        <v>15</v>
      </c>
      <c r="C1458" t="s">
        <v>205</v>
      </c>
      <c r="D1458" t="s">
        <v>601</v>
      </c>
      <c r="E1458" t="s">
        <v>602</v>
      </c>
      <c r="F1458" t="s">
        <v>438</v>
      </c>
      <c r="G1458">
        <v>12</v>
      </c>
      <c r="H1458">
        <v>17</v>
      </c>
      <c r="I1458">
        <v>0</v>
      </c>
      <c r="J1458" t="s">
        <v>34</v>
      </c>
      <c r="K1458" t="s">
        <v>65</v>
      </c>
      <c r="L1458">
        <v>52</v>
      </c>
      <c r="M1458">
        <v>99.96</v>
      </c>
      <c r="N1458">
        <v>102.718622</v>
      </c>
      <c r="O1458">
        <v>35.695999999999998</v>
      </c>
      <c r="P1458">
        <v>34.676000000000002</v>
      </c>
      <c r="Q1458">
        <v>29.391999999999999</v>
      </c>
      <c r="R1458" t="s">
        <v>723</v>
      </c>
      <c r="S1458" t="s">
        <v>25</v>
      </c>
      <c r="T1458">
        <f>IF(TRIM(Table1[[#This Row],[PitStopLaps]])="",0,
LEN(Table1[[#This Row],[PitStopLaps]])-LEN(SUBSTITUTE(Table1[[#This Row],[PitStopLaps]],",",""))+1)</f>
        <v>3</v>
      </c>
      <c r="U1458">
        <f>Table1[[#This Row],[StartPosition]]-Table1[[#This Row],[FinishPosition]]</f>
        <v>-5</v>
      </c>
    </row>
    <row r="1459" spans="1:21" x14ac:dyDescent="0.3">
      <c r="A1459">
        <v>2021</v>
      </c>
      <c r="B1459">
        <v>15</v>
      </c>
      <c r="C1459" t="s">
        <v>205</v>
      </c>
      <c r="D1459" t="s">
        <v>613</v>
      </c>
      <c r="E1459" t="s">
        <v>614</v>
      </c>
      <c r="F1459" t="s">
        <v>69</v>
      </c>
      <c r="G1459">
        <v>15</v>
      </c>
      <c r="H1459">
        <v>18</v>
      </c>
      <c r="I1459">
        <v>0</v>
      </c>
      <c r="J1459" t="s">
        <v>34</v>
      </c>
      <c r="K1459" t="s">
        <v>127</v>
      </c>
      <c r="L1459">
        <v>51</v>
      </c>
      <c r="M1459">
        <v>101.71299999999999</v>
      </c>
      <c r="N1459">
        <v>105.19654300000001</v>
      </c>
      <c r="O1459">
        <v>36.383000000000003</v>
      </c>
      <c r="P1459">
        <v>35.331000000000003</v>
      </c>
      <c r="Q1459">
        <v>29.803000000000001</v>
      </c>
      <c r="R1459" t="s">
        <v>676</v>
      </c>
      <c r="S1459" t="s">
        <v>25</v>
      </c>
      <c r="T1459">
        <f>IF(TRIM(Table1[[#This Row],[PitStopLaps]])="",0,
LEN(Table1[[#This Row],[PitStopLaps]])-LEN(SUBSTITUTE(Table1[[#This Row],[PitStopLaps]],",",""))+1)</f>
        <v>2</v>
      </c>
      <c r="U1459">
        <f>Table1[[#This Row],[StartPosition]]-Table1[[#This Row],[FinishPosition]]</f>
        <v>-3</v>
      </c>
    </row>
    <row r="1460" spans="1:21" x14ac:dyDescent="0.3">
      <c r="A1460">
        <v>2021</v>
      </c>
      <c r="B1460">
        <v>15</v>
      </c>
      <c r="C1460" t="s">
        <v>205</v>
      </c>
      <c r="D1460" t="s">
        <v>440</v>
      </c>
      <c r="E1460" t="s">
        <v>441</v>
      </c>
      <c r="F1460" t="s">
        <v>60</v>
      </c>
      <c r="G1460">
        <v>18</v>
      </c>
      <c r="H1460">
        <v>19</v>
      </c>
      <c r="I1460">
        <v>0</v>
      </c>
      <c r="J1460" t="s">
        <v>34</v>
      </c>
      <c r="K1460" t="s">
        <v>123</v>
      </c>
      <c r="L1460">
        <v>47</v>
      </c>
      <c r="M1460">
        <v>100</v>
      </c>
      <c r="N1460">
        <v>101.843813</v>
      </c>
      <c r="O1460">
        <v>35.764000000000003</v>
      </c>
      <c r="P1460">
        <v>34.499000000000002</v>
      </c>
      <c r="Q1460">
        <v>29.648</v>
      </c>
      <c r="R1460" t="s">
        <v>718</v>
      </c>
      <c r="S1460" t="s">
        <v>25</v>
      </c>
      <c r="T1460">
        <f>IF(TRIM(Table1[[#This Row],[PitStopLaps]])="",0,
LEN(Table1[[#This Row],[PitStopLaps]])-LEN(SUBSTITUTE(Table1[[#This Row],[PitStopLaps]],",",""))+1)</f>
        <v>2</v>
      </c>
      <c r="U1460">
        <f>Table1[[#This Row],[StartPosition]]-Table1[[#This Row],[FinishPosition]]</f>
        <v>-1</v>
      </c>
    </row>
    <row r="1461" spans="1:21" x14ac:dyDescent="0.3">
      <c r="A1461">
        <v>2021</v>
      </c>
      <c r="B1461">
        <v>15</v>
      </c>
      <c r="C1461" t="s">
        <v>205</v>
      </c>
      <c r="D1461" t="s">
        <v>608</v>
      </c>
      <c r="E1461" t="s">
        <v>609</v>
      </c>
      <c r="F1461" t="s">
        <v>69</v>
      </c>
      <c r="G1461">
        <v>14</v>
      </c>
      <c r="H1461">
        <v>20</v>
      </c>
      <c r="I1461">
        <v>0</v>
      </c>
      <c r="J1461" t="s">
        <v>34</v>
      </c>
      <c r="K1461" t="s">
        <v>134</v>
      </c>
      <c r="L1461">
        <v>32</v>
      </c>
      <c r="M1461">
        <v>100.276</v>
      </c>
      <c r="N1461">
        <v>103.167464</v>
      </c>
      <c r="O1461">
        <v>35.981000000000002</v>
      </c>
      <c r="P1461">
        <v>34.762999999999998</v>
      </c>
      <c r="Q1461">
        <v>29.245999999999999</v>
      </c>
      <c r="R1461" t="s">
        <v>163</v>
      </c>
      <c r="S1461" t="s">
        <v>25</v>
      </c>
      <c r="T1461">
        <f>IF(TRIM(Table1[[#This Row],[PitStopLaps]])="",0,
LEN(Table1[[#This Row],[PitStopLaps]])-LEN(SUBSTITUTE(Table1[[#This Row],[PitStopLaps]],",",""))+1)</f>
        <v>2</v>
      </c>
      <c r="U1461">
        <f>Table1[[#This Row],[StartPosition]]-Table1[[#This Row],[FinishPosition]]</f>
        <v>-6</v>
      </c>
    </row>
    <row r="1462" spans="1:21" x14ac:dyDescent="0.3">
      <c r="A1462">
        <v>2021</v>
      </c>
      <c r="B1462">
        <v>16</v>
      </c>
      <c r="C1462" t="s">
        <v>548</v>
      </c>
      <c r="D1462" t="s">
        <v>43</v>
      </c>
      <c r="E1462" t="s">
        <v>44</v>
      </c>
      <c r="F1462" t="s">
        <v>28</v>
      </c>
      <c r="G1462">
        <v>1</v>
      </c>
      <c r="H1462">
        <v>1</v>
      </c>
      <c r="I1462">
        <v>26</v>
      </c>
      <c r="J1462" t="s">
        <v>23</v>
      </c>
      <c r="K1462" t="s">
        <v>24</v>
      </c>
      <c r="L1462">
        <v>58</v>
      </c>
      <c r="M1462">
        <v>90.432000000000002</v>
      </c>
      <c r="N1462">
        <v>93.815836000000004</v>
      </c>
      <c r="O1462">
        <v>33.728000000000002</v>
      </c>
      <c r="P1462">
        <v>31.623000000000001</v>
      </c>
      <c r="Q1462">
        <v>25.081</v>
      </c>
      <c r="R1462">
        <v>37</v>
      </c>
      <c r="S1462" t="s">
        <v>83</v>
      </c>
      <c r="T1462">
        <f>IF(TRIM(Table1[[#This Row],[PitStopLaps]])="",0,
LEN(Table1[[#This Row],[PitStopLaps]])-LEN(SUBSTITUTE(Table1[[#This Row],[PitStopLaps]],",",""))+1)</f>
        <v>1</v>
      </c>
      <c r="U1462">
        <f>Table1[[#This Row],[StartPosition]]-Table1[[#This Row],[FinishPosition]]</f>
        <v>0</v>
      </c>
    </row>
    <row r="1463" spans="1:21" x14ac:dyDescent="0.3">
      <c r="A1463">
        <v>2021</v>
      </c>
      <c r="B1463">
        <v>16</v>
      </c>
      <c r="C1463" t="s">
        <v>548</v>
      </c>
      <c r="D1463" t="s">
        <v>38</v>
      </c>
      <c r="E1463" t="s">
        <v>39</v>
      </c>
      <c r="F1463" t="s">
        <v>33</v>
      </c>
      <c r="G1463">
        <v>2</v>
      </c>
      <c r="H1463">
        <v>2</v>
      </c>
      <c r="I1463">
        <v>18</v>
      </c>
      <c r="J1463" t="s">
        <v>23</v>
      </c>
      <c r="K1463" t="s">
        <v>24</v>
      </c>
      <c r="L1463">
        <v>58</v>
      </c>
      <c r="M1463">
        <v>92.759</v>
      </c>
      <c r="N1463">
        <v>94.100981000000004</v>
      </c>
      <c r="O1463">
        <v>34.587000000000003</v>
      </c>
      <c r="P1463">
        <v>32.340000000000003</v>
      </c>
      <c r="Q1463">
        <v>25.623999999999999</v>
      </c>
      <c r="R1463">
        <v>36</v>
      </c>
      <c r="S1463" t="s">
        <v>83</v>
      </c>
      <c r="T1463">
        <f>IF(TRIM(Table1[[#This Row],[PitStopLaps]])="",0,
LEN(Table1[[#This Row],[PitStopLaps]])-LEN(SUBSTITUTE(Table1[[#This Row],[PitStopLaps]],",",""))+1)</f>
        <v>1</v>
      </c>
      <c r="U1463">
        <f>Table1[[#This Row],[StartPosition]]-Table1[[#This Row],[FinishPosition]]</f>
        <v>0</v>
      </c>
    </row>
    <row r="1464" spans="1:21" x14ac:dyDescent="0.3">
      <c r="A1464">
        <v>2021</v>
      </c>
      <c r="B1464">
        <v>16</v>
      </c>
      <c r="C1464" t="s">
        <v>548</v>
      </c>
      <c r="D1464" t="s">
        <v>49</v>
      </c>
      <c r="E1464" t="s">
        <v>50</v>
      </c>
      <c r="F1464" t="s">
        <v>33</v>
      </c>
      <c r="G1464">
        <v>6</v>
      </c>
      <c r="H1464">
        <v>3</v>
      </c>
      <c r="I1464">
        <v>15</v>
      </c>
      <c r="J1464" t="s">
        <v>23</v>
      </c>
      <c r="K1464" t="s">
        <v>24</v>
      </c>
      <c r="L1464">
        <v>58</v>
      </c>
      <c r="M1464">
        <v>92.459000000000003</v>
      </c>
      <c r="N1464">
        <v>94.368345000000005</v>
      </c>
      <c r="O1464">
        <v>34.414999999999999</v>
      </c>
      <c r="P1464">
        <v>32.289000000000001</v>
      </c>
      <c r="Q1464">
        <v>25.678000000000001</v>
      </c>
      <c r="R1464">
        <v>37</v>
      </c>
      <c r="S1464" t="s">
        <v>83</v>
      </c>
      <c r="T1464">
        <f>IF(TRIM(Table1[[#This Row],[PitStopLaps]])="",0,
LEN(Table1[[#This Row],[PitStopLaps]])-LEN(SUBSTITUTE(Table1[[#This Row],[PitStopLaps]],",",""))+1)</f>
        <v>1</v>
      </c>
      <c r="U1464">
        <f>Table1[[#This Row],[StartPosition]]-Table1[[#This Row],[FinishPosition]]</f>
        <v>3</v>
      </c>
    </row>
    <row r="1465" spans="1:21" x14ac:dyDescent="0.3">
      <c r="A1465">
        <v>2021</v>
      </c>
      <c r="B1465">
        <v>16</v>
      </c>
      <c r="C1465" t="s">
        <v>548</v>
      </c>
      <c r="D1465" t="s">
        <v>54</v>
      </c>
      <c r="E1465" t="s">
        <v>55</v>
      </c>
      <c r="F1465" t="s">
        <v>22</v>
      </c>
      <c r="G1465">
        <v>3</v>
      </c>
      <c r="H1465">
        <v>4</v>
      </c>
      <c r="I1465">
        <v>12</v>
      </c>
      <c r="J1465" t="s">
        <v>34</v>
      </c>
      <c r="K1465" t="s">
        <v>24</v>
      </c>
      <c r="L1465">
        <v>58</v>
      </c>
      <c r="M1465">
        <v>92.736999999999995</v>
      </c>
      <c r="N1465">
        <v>94.392818000000005</v>
      </c>
      <c r="O1465">
        <v>34.533000000000001</v>
      </c>
      <c r="P1465">
        <v>32.335999999999999</v>
      </c>
      <c r="Q1465">
        <v>25.425999999999998</v>
      </c>
      <c r="R1465">
        <v>47</v>
      </c>
      <c r="S1465" t="s">
        <v>83</v>
      </c>
      <c r="T1465">
        <f>IF(TRIM(Table1[[#This Row],[PitStopLaps]])="",0,
LEN(Table1[[#This Row],[PitStopLaps]])-LEN(SUBSTITUTE(Table1[[#This Row],[PitStopLaps]],",",""))+1)</f>
        <v>1</v>
      </c>
      <c r="U1465">
        <f>Table1[[#This Row],[StartPosition]]-Table1[[#This Row],[FinishPosition]]</f>
        <v>-1</v>
      </c>
    </row>
    <row r="1466" spans="1:21" x14ac:dyDescent="0.3">
      <c r="A1466">
        <v>2021</v>
      </c>
      <c r="B1466">
        <v>16</v>
      </c>
      <c r="C1466" t="s">
        <v>548</v>
      </c>
      <c r="D1466" t="s">
        <v>26</v>
      </c>
      <c r="E1466" t="s">
        <v>27</v>
      </c>
      <c r="F1466" t="s">
        <v>28</v>
      </c>
      <c r="G1466">
        <v>11</v>
      </c>
      <c r="H1466">
        <v>5</v>
      </c>
      <c r="I1466">
        <v>10</v>
      </c>
      <c r="J1466" t="s">
        <v>34</v>
      </c>
      <c r="K1466" t="s">
        <v>24</v>
      </c>
      <c r="L1466">
        <v>58</v>
      </c>
      <c r="M1466">
        <v>92.763000000000005</v>
      </c>
      <c r="N1466">
        <v>94.477526999999995</v>
      </c>
      <c r="O1466">
        <v>33.978000000000002</v>
      </c>
      <c r="P1466">
        <v>32.302</v>
      </c>
      <c r="Q1466">
        <v>25.292000000000002</v>
      </c>
      <c r="R1466">
        <v>50</v>
      </c>
      <c r="S1466" t="s">
        <v>83</v>
      </c>
      <c r="T1466">
        <f>IF(TRIM(Table1[[#This Row],[PitStopLaps]])="",0,
LEN(Table1[[#This Row],[PitStopLaps]])-LEN(SUBSTITUTE(Table1[[#This Row],[PitStopLaps]],",",""))+1)</f>
        <v>1</v>
      </c>
      <c r="U1466">
        <f>Table1[[#This Row],[StartPosition]]-Table1[[#This Row],[FinishPosition]]</f>
        <v>6</v>
      </c>
    </row>
    <row r="1467" spans="1:21" x14ac:dyDescent="0.3">
      <c r="A1467">
        <v>2021</v>
      </c>
      <c r="B1467">
        <v>16</v>
      </c>
      <c r="C1467" t="s">
        <v>548</v>
      </c>
      <c r="D1467" t="s">
        <v>73</v>
      </c>
      <c r="E1467" t="s">
        <v>74</v>
      </c>
      <c r="F1467" t="s">
        <v>438</v>
      </c>
      <c r="G1467">
        <v>4</v>
      </c>
      <c r="H1467">
        <v>6</v>
      </c>
      <c r="I1467">
        <v>8</v>
      </c>
      <c r="J1467" t="s">
        <v>34</v>
      </c>
      <c r="K1467" t="s">
        <v>24</v>
      </c>
      <c r="L1467">
        <v>58</v>
      </c>
      <c r="M1467">
        <v>92.813999999999993</v>
      </c>
      <c r="N1467">
        <v>94.424999999999997</v>
      </c>
      <c r="O1467">
        <v>34.459000000000003</v>
      </c>
      <c r="P1467">
        <v>32.393000000000001</v>
      </c>
      <c r="Q1467">
        <v>25.806999999999999</v>
      </c>
      <c r="R1467">
        <v>39</v>
      </c>
      <c r="S1467" t="s">
        <v>83</v>
      </c>
      <c r="T1467">
        <f>IF(TRIM(Table1[[#This Row],[PitStopLaps]])="",0,
LEN(Table1[[#This Row],[PitStopLaps]])-LEN(SUBSTITUTE(Table1[[#This Row],[PitStopLaps]],",",""))+1)</f>
        <v>1</v>
      </c>
      <c r="U1467">
        <f>Table1[[#This Row],[StartPosition]]-Table1[[#This Row],[FinishPosition]]</f>
        <v>-2</v>
      </c>
    </row>
    <row r="1468" spans="1:21" x14ac:dyDescent="0.3">
      <c r="A1468">
        <v>2021</v>
      </c>
      <c r="B1468">
        <v>16</v>
      </c>
      <c r="C1468" t="s">
        <v>548</v>
      </c>
      <c r="D1468" t="s">
        <v>246</v>
      </c>
      <c r="E1468" t="s">
        <v>247</v>
      </c>
      <c r="F1468" t="s">
        <v>37</v>
      </c>
      <c r="G1468">
        <v>7</v>
      </c>
      <c r="H1468">
        <v>7</v>
      </c>
      <c r="I1468">
        <v>6</v>
      </c>
      <c r="J1468" t="s">
        <v>34</v>
      </c>
      <c r="K1468" t="s">
        <v>24</v>
      </c>
      <c r="L1468">
        <v>58</v>
      </c>
      <c r="M1468">
        <v>92.445999999999998</v>
      </c>
      <c r="N1468">
        <v>94.546654000000004</v>
      </c>
      <c r="O1468">
        <v>34.551000000000002</v>
      </c>
      <c r="P1468">
        <v>32.067</v>
      </c>
      <c r="Q1468">
        <v>25.76</v>
      </c>
      <c r="R1468">
        <v>34</v>
      </c>
      <c r="S1468" t="s">
        <v>83</v>
      </c>
      <c r="T1468">
        <f>IF(TRIM(Table1[[#This Row],[PitStopLaps]])="",0,
LEN(Table1[[#This Row],[PitStopLaps]])-LEN(SUBSTITUTE(Table1[[#This Row],[PitStopLaps]],",",""))+1)</f>
        <v>1</v>
      </c>
      <c r="U1468">
        <f>Table1[[#This Row],[StartPosition]]-Table1[[#This Row],[FinishPosition]]</f>
        <v>0</v>
      </c>
    </row>
    <row r="1469" spans="1:21" x14ac:dyDescent="0.3">
      <c r="A1469">
        <v>2021</v>
      </c>
      <c r="B1469">
        <v>16</v>
      </c>
      <c r="C1469" t="s">
        <v>548</v>
      </c>
      <c r="D1469" t="s">
        <v>47</v>
      </c>
      <c r="E1469" t="s">
        <v>48</v>
      </c>
      <c r="F1469" t="s">
        <v>22</v>
      </c>
      <c r="G1469">
        <v>19</v>
      </c>
      <c r="H1469">
        <v>8</v>
      </c>
      <c r="I1469">
        <v>4</v>
      </c>
      <c r="J1469" t="s">
        <v>34</v>
      </c>
      <c r="K1469" t="s">
        <v>24</v>
      </c>
      <c r="L1469">
        <v>58</v>
      </c>
      <c r="M1469">
        <v>91.921000000000006</v>
      </c>
      <c r="N1469">
        <v>94.407653999999994</v>
      </c>
      <c r="O1469">
        <v>34.277999999999999</v>
      </c>
      <c r="P1469">
        <v>31.971</v>
      </c>
      <c r="Q1469">
        <v>25.529</v>
      </c>
      <c r="R1469">
        <v>36</v>
      </c>
      <c r="S1469" t="s">
        <v>83</v>
      </c>
      <c r="T1469">
        <f>IF(TRIM(Table1[[#This Row],[PitStopLaps]])="",0,
LEN(Table1[[#This Row],[PitStopLaps]])-LEN(SUBSTITUTE(Table1[[#This Row],[PitStopLaps]],",",""))+1)</f>
        <v>1</v>
      </c>
      <c r="U1469">
        <f>Table1[[#This Row],[StartPosition]]-Table1[[#This Row],[FinishPosition]]</f>
        <v>11</v>
      </c>
    </row>
    <row r="1470" spans="1:21" x14ac:dyDescent="0.3">
      <c r="A1470">
        <v>2021</v>
      </c>
      <c r="B1470">
        <v>16</v>
      </c>
      <c r="C1470" t="s">
        <v>548</v>
      </c>
      <c r="D1470" t="s">
        <v>58</v>
      </c>
      <c r="E1470" t="s">
        <v>59</v>
      </c>
      <c r="F1470" t="s">
        <v>603</v>
      </c>
      <c r="G1470">
        <v>8</v>
      </c>
      <c r="H1470">
        <v>9</v>
      </c>
      <c r="I1470">
        <v>2</v>
      </c>
      <c r="J1470" t="s">
        <v>34</v>
      </c>
      <c r="K1470" t="s">
        <v>24</v>
      </c>
      <c r="L1470">
        <v>58</v>
      </c>
      <c r="M1470">
        <v>92.608000000000004</v>
      </c>
      <c r="N1470">
        <v>94.927436</v>
      </c>
      <c r="O1470">
        <v>34.624000000000002</v>
      </c>
      <c r="P1470">
        <v>32.377000000000002</v>
      </c>
      <c r="Q1470">
        <v>25.513999999999999</v>
      </c>
      <c r="R1470">
        <v>39</v>
      </c>
      <c r="S1470" t="s">
        <v>83</v>
      </c>
      <c r="T1470">
        <f>IF(TRIM(Table1[[#This Row],[PitStopLaps]])="",0,
LEN(Table1[[#This Row],[PitStopLaps]])-LEN(SUBSTITUTE(Table1[[#This Row],[PitStopLaps]],",",""))+1)</f>
        <v>1</v>
      </c>
      <c r="U1470">
        <f>Table1[[#This Row],[StartPosition]]-Table1[[#This Row],[FinishPosition]]</f>
        <v>-1</v>
      </c>
    </row>
    <row r="1471" spans="1:21" x14ac:dyDescent="0.3">
      <c r="A1471">
        <v>2021</v>
      </c>
      <c r="B1471">
        <v>16</v>
      </c>
      <c r="C1471" t="s">
        <v>548</v>
      </c>
      <c r="D1471" t="s">
        <v>52</v>
      </c>
      <c r="E1471" t="s">
        <v>53</v>
      </c>
      <c r="F1471" t="s">
        <v>607</v>
      </c>
      <c r="G1471">
        <v>12</v>
      </c>
      <c r="H1471">
        <v>10</v>
      </c>
      <c r="I1471">
        <v>1</v>
      </c>
      <c r="J1471" t="s">
        <v>34</v>
      </c>
      <c r="K1471" t="s">
        <v>65</v>
      </c>
      <c r="L1471">
        <v>57</v>
      </c>
      <c r="M1471">
        <v>94.584000000000003</v>
      </c>
      <c r="N1471">
        <v>95.883731999999995</v>
      </c>
      <c r="O1471">
        <v>35.301000000000002</v>
      </c>
      <c r="P1471">
        <v>33.046999999999997</v>
      </c>
      <c r="Q1471">
        <v>26.006</v>
      </c>
      <c r="S1471" t="s">
        <v>83</v>
      </c>
      <c r="T1471">
        <f>IF(TRIM(Table1[[#This Row],[PitStopLaps]])="",0,
LEN(Table1[[#This Row],[PitStopLaps]])-LEN(SUBSTITUTE(Table1[[#This Row],[PitStopLaps]],",",""))+1)</f>
        <v>0</v>
      </c>
      <c r="U1471">
        <f>Table1[[#This Row],[StartPosition]]-Table1[[#This Row],[FinishPosition]]</f>
        <v>2</v>
      </c>
    </row>
    <row r="1472" spans="1:21" x14ac:dyDescent="0.3">
      <c r="A1472">
        <v>2021</v>
      </c>
      <c r="B1472">
        <v>16</v>
      </c>
      <c r="C1472" t="s">
        <v>548</v>
      </c>
      <c r="D1472" t="s">
        <v>250</v>
      </c>
      <c r="E1472" t="s">
        <v>251</v>
      </c>
      <c r="F1472" t="s">
        <v>243</v>
      </c>
      <c r="G1472">
        <v>16</v>
      </c>
      <c r="H1472">
        <v>11</v>
      </c>
      <c r="I1472">
        <v>0</v>
      </c>
      <c r="J1472" t="s">
        <v>34</v>
      </c>
      <c r="K1472" t="s">
        <v>65</v>
      </c>
      <c r="L1472">
        <v>57</v>
      </c>
      <c r="M1472">
        <v>92.903999999999996</v>
      </c>
      <c r="N1472">
        <v>95.552758999999995</v>
      </c>
      <c r="O1472">
        <v>34.713000000000001</v>
      </c>
      <c r="P1472">
        <v>32.494999999999997</v>
      </c>
      <c r="Q1472">
        <v>25.594999999999999</v>
      </c>
      <c r="R1472">
        <v>40</v>
      </c>
      <c r="S1472" t="s">
        <v>83</v>
      </c>
      <c r="T1472">
        <f>IF(TRIM(Table1[[#This Row],[PitStopLaps]])="",0,
LEN(Table1[[#This Row],[PitStopLaps]])-LEN(SUBSTITUTE(Table1[[#This Row],[PitStopLaps]],",",""))+1)</f>
        <v>1</v>
      </c>
      <c r="U1472">
        <f>Table1[[#This Row],[StartPosition]]-Table1[[#This Row],[FinishPosition]]</f>
        <v>5</v>
      </c>
    </row>
    <row r="1473" spans="1:21" x14ac:dyDescent="0.3">
      <c r="A1473">
        <v>2021</v>
      </c>
      <c r="B1473">
        <v>16</v>
      </c>
      <c r="C1473" t="s">
        <v>548</v>
      </c>
      <c r="D1473" t="s">
        <v>29</v>
      </c>
      <c r="E1473" t="s">
        <v>30</v>
      </c>
      <c r="F1473" t="s">
        <v>243</v>
      </c>
      <c r="G1473">
        <v>17</v>
      </c>
      <c r="H1473">
        <v>12</v>
      </c>
      <c r="I1473">
        <v>0</v>
      </c>
      <c r="J1473" t="s">
        <v>34</v>
      </c>
      <c r="K1473" t="s">
        <v>65</v>
      </c>
      <c r="L1473">
        <v>57</v>
      </c>
      <c r="M1473">
        <v>92.585999999999999</v>
      </c>
      <c r="N1473">
        <v>95.646388000000002</v>
      </c>
      <c r="O1473">
        <v>34.426000000000002</v>
      </c>
      <c r="P1473">
        <v>32.610999999999997</v>
      </c>
      <c r="Q1473">
        <v>25.548999999999999</v>
      </c>
      <c r="R1473">
        <v>37</v>
      </c>
      <c r="S1473" t="s">
        <v>83</v>
      </c>
      <c r="T1473">
        <f>IF(TRIM(Table1[[#This Row],[PitStopLaps]])="",0,
LEN(Table1[[#This Row],[PitStopLaps]])-LEN(SUBSTITUTE(Table1[[#This Row],[PitStopLaps]],",",""))+1)</f>
        <v>1</v>
      </c>
      <c r="U1473">
        <f>Table1[[#This Row],[StartPosition]]-Table1[[#This Row],[FinishPosition]]</f>
        <v>5</v>
      </c>
    </row>
    <row r="1474" spans="1:21" x14ac:dyDescent="0.3">
      <c r="A1474">
        <v>2021</v>
      </c>
      <c r="B1474">
        <v>16</v>
      </c>
      <c r="C1474" t="s">
        <v>548</v>
      </c>
      <c r="D1474" t="s">
        <v>31</v>
      </c>
      <c r="E1474" t="s">
        <v>32</v>
      </c>
      <c r="F1474" t="s">
        <v>37</v>
      </c>
      <c r="G1474">
        <v>20</v>
      </c>
      <c r="H1474">
        <v>13</v>
      </c>
      <c r="I1474">
        <v>0</v>
      </c>
      <c r="J1474" t="s">
        <v>34</v>
      </c>
      <c r="K1474" t="s">
        <v>65</v>
      </c>
      <c r="L1474">
        <v>57</v>
      </c>
      <c r="M1474">
        <v>93.254999999999995</v>
      </c>
      <c r="N1474">
        <v>95.666276999999994</v>
      </c>
      <c r="O1474">
        <v>34.701999999999998</v>
      </c>
      <c r="P1474">
        <v>32.643999999999998</v>
      </c>
      <c r="Q1474">
        <v>25.824000000000002</v>
      </c>
      <c r="R1474">
        <v>21</v>
      </c>
      <c r="S1474" t="s">
        <v>83</v>
      </c>
      <c r="T1474">
        <f>IF(TRIM(Table1[[#This Row],[PitStopLaps]])="",0,
LEN(Table1[[#This Row],[PitStopLaps]])-LEN(SUBSTITUTE(Table1[[#This Row],[PitStopLaps]],",",""))+1)</f>
        <v>1</v>
      </c>
      <c r="U1474">
        <f>Table1[[#This Row],[StartPosition]]-Table1[[#This Row],[FinishPosition]]</f>
        <v>7</v>
      </c>
    </row>
    <row r="1475" spans="1:21" x14ac:dyDescent="0.3">
      <c r="A1475">
        <v>2021</v>
      </c>
      <c r="B1475">
        <v>16</v>
      </c>
      <c r="C1475" t="s">
        <v>548</v>
      </c>
      <c r="D1475" t="s">
        <v>601</v>
      </c>
      <c r="E1475" t="s">
        <v>602</v>
      </c>
      <c r="F1475" t="s">
        <v>438</v>
      </c>
      <c r="G1475">
        <v>9</v>
      </c>
      <c r="H1475">
        <v>14</v>
      </c>
      <c r="I1475">
        <v>0</v>
      </c>
      <c r="J1475" t="s">
        <v>34</v>
      </c>
      <c r="K1475" t="s">
        <v>65</v>
      </c>
      <c r="L1475">
        <v>57</v>
      </c>
      <c r="M1475">
        <v>92.843999999999994</v>
      </c>
      <c r="N1475">
        <v>95.759388000000001</v>
      </c>
      <c r="O1475">
        <v>34.774000000000001</v>
      </c>
      <c r="P1475">
        <v>32.386000000000003</v>
      </c>
      <c r="Q1475">
        <v>25.655000000000001</v>
      </c>
      <c r="R1475">
        <v>35</v>
      </c>
      <c r="S1475" t="s">
        <v>83</v>
      </c>
      <c r="T1475">
        <f>IF(TRIM(Table1[[#This Row],[PitStopLaps]])="",0,
LEN(Table1[[#This Row],[PitStopLaps]])-LEN(SUBSTITUTE(Table1[[#This Row],[PitStopLaps]],",",""))+1)</f>
        <v>1</v>
      </c>
      <c r="U1475">
        <f>Table1[[#This Row],[StartPosition]]-Table1[[#This Row],[FinishPosition]]</f>
        <v>-5</v>
      </c>
    </row>
    <row r="1476" spans="1:21" x14ac:dyDescent="0.3">
      <c r="A1476">
        <v>2021</v>
      </c>
      <c r="B1476">
        <v>16</v>
      </c>
      <c r="C1476" t="s">
        <v>548</v>
      </c>
      <c r="D1476" t="s">
        <v>252</v>
      </c>
      <c r="E1476" t="s">
        <v>253</v>
      </c>
      <c r="F1476" t="s">
        <v>60</v>
      </c>
      <c r="G1476">
        <v>13</v>
      </c>
      <c r="H1476">
        <v>15</v>
      </c>
      <c r="I1476">
        <v>0</v>
      </c>
      <c r="J1476" t="s">
        <v>34</v>
      </c>
      <c r="K1476" t="s">
        <v>65</v>
      </c>
      <c r="L1476">
        <v>57</v>
      </c>
      <c r="M1476">
        <v>93.399000000000001</v>
      </c>
      <c r="N1476">
        <v>95.772054999999995</v>
      </c>
      <c r="O1476">
        <v>35.055999999999997</v>
      </c>
      <c r="P1476">
        <v>32.393999999999998</v>
      </c>
      <c r="Q1476">
        <v>25.777000000000001</v>
      </c>
      <c r="R1476">
        <v>35</v>
      </c>
      <c r="S1476" t="s">
        <v>83</v>
      </c>
      <c r="T1476">
        <f>IF(TRIM(Table1[[#This Row],[PitStopLaps]])="",0,
LEN(Table1[[#This Row],[PitStopLaps]])-LEN(SUBSTITUTE(Table1[[#This Row],[PitStopLaps]],",",""))+1)</f>
        <v>1</v>
      </c>
      <c r="U1476">
        <f>Table1[[#This Row],[StartPosition]]-Table1[[#This Row],[FinishPosition]]</f>
        <v>-2</v>
      </c>
    </row>
    <row r="1477" spans="1:21" x14ac:dyDescent="0.3">
      <c r="A1477">
        <v>2021</v>
      </c>
      <c r="B1477">
        <v>16</v>
      </c>
      <c r="C1477" t="s">
        <v>548</v>
      </c>
      <c r="D1477" t="s">
        <v>35</v>
      </c>
      <c r="E1477" t="s">
        <v>36</v>
      </c>
      <c r="F1477" t="s">
        <v>607</v>
      </c>
      <c r="G1477">
        <v>5</v>
      </c>
      <c r="H1477">
        <v>16</v>
      </c>
      <c r="I1477">
        <v>0</v>
      </c>
      <c r="J1477" t="s">
        <v>34</v>
      </c>
      <c r="K1477" t="s">
        <v>65</v>
      </c>
      <c r="L1477">
        <v>57</v>
      </c>
      <c r="M1477">
        <v>93.251999999999995</v>
      </c>
      <c r="N1477">
        <v>95.703350999999998</v>
      </c>
      <c r="O1477">
        <v>34.871000000000002</v>
      </c>
      <c r="P1477">
        <v>32.545999999999999</v>
      </c>
      <c r="Q1477">
        <v>25.77</v>
      </c>
      <c r="R1477">
        <v>30</v>
      </c>
      <c r="S1477" t="s">
        <v>83</v>
      </c>
      <c r="T1477">
        <f>IF(TRIM(Table1[[#This Row],[PitStopLaps]])="",0,
LEN(Table1[[#This Row],[PitStopLaps]])-LEN(SUBSTITUTE(Table1[[#This Row],[PitStopLaps]],",",""))+1)</f>
        <v>1</v>
      </c>
      <c r="U1477">
        <f>Table1[[#This Row],[StartPosition]]-Table1[[#This Row],[FinishPosition]]</f>
        <v>-11</v>
      </c>
    </row>
    <row r="1478" spans="1:21" x14ac:dyDescent="0.3">
      <c r="A1478">
        <v>2021</v>
      </c>
      <c r="B1478">
        <v>16</v>
      </c>
      <c r="C1478" t="s">
        <v>548</v>
      </c>
      <c r="D1478" t="s">
        <v>440</v>
      </c>
      <c r="E1478" t="s">
        <v>441</v>
      </c>
      <c r="F1478" t="s">
        <v>60</v>
      </c>
      <c r="G1478">
        <v>15</v>
      </c>
      <c r="H1478">
        <v>17</v>
      </c>
      <c r="I1478">
        <v>0</v>
      </c>
      <c r="J1478" t="s">
        <v>34</v>
      </c>
      <c r="K1478" t="s">
        <v>65</v>
      </c>
      <c r="L1478">
        <v>57</v>
      </c>
      <c r="M1478">
        <v>93.671999999999997</v>
      </c>
      <c r="N1478">
        <v>95.644018000000003</v>
      </c>
      <c r="O1478">
        <v>34.85</v>
      </c>
      <c r="P1478">
        <v>32.598999999999997</v>
      </c>
      <c r="Q1478">
        <v>25.756</v>
      </c>
      <c r="R1478">
        <v>34</v>
      </c>
      <c r="S1478" t="s">
        <v>83</v>
      </c>
      <c r="T1478">
        <f>IF(TRIM(Table1[[#This Row],[PitStopLaps]])="",0,
LEN(Table1[[#This Row],[PitStopLaps]])-LEN(SUBSTITUTE(Table1[[#This Row],[PitStopLaps]],",",""))+1)</f>
        <v>1</v>
      </c>
      <c r="U1478">
        <f>Table1[[#This Row],[StartPosition]]-Table1[[#This Row],[FinishPosition]]</f>
        <v>-2</v>
      </c>
    </row>
    <row r="1479" spans="1:21" x14ac:dyDescent="0.3">
      <c r="A1479">
        <v>2021</v>
      </c>
      <c r="B1479">
        <v>16</v>
      </c>
      <c r="C1479" t="s">
        <v>548</v>
      </c>
      <c r="D1479" t="s">
        <v>20</v>
      </c>
      <c r="E1479" t="s">
        <v>21</v>
      </c>
      <c r="F1479" t="s">
        <v>603</v>
      </c>
      <c r="G1479">
        <v>10</v>
      </c>
      <c r="H1479">
        <v>18</v>
      </c>
      <c r="I1479">
        <v>0</v>
      </c>
      <c r="J1479" t="s">
        <v>34</v>
      </c>
      <c r="K1479" t="s">
        <v>65</v>
      </c>
      <c r="L1479">
        <v>57</v>
      </c>
      <c r="M1479">
        <v>92.73</v>
      </c>
      <c r="N1479">
        <v>95.167698000000001</v>
      </c>
      <c r="O1479">
        <v>34.584000000000003</v>
      </c>
      <c r="P1479">
        <v>32.262999999999998</v>
      </c>
      <c r="Q1479">
        <v>25.797999999999998</v>
      </c>
      <c r="R1479" t="s">
        <v>724</v>
      </c>
      <c r="S1479" t="s">
        <v>83</v>
      </c>
      <c r="T1479">
        <f>IF(TRIM(Table1[[#This Row],[PitStopLaps]])="",0,
LEN(Table1[[#This Row],[PitStopLaps]])-LEN(SUBSTITUTE(Table1[[#This Row],[PitStopLaps]],",",""))+1)</f>
        <v>2</v>
      </c>
      <c r="U1479">
        <f>Table1[[#This Row],[StartPosition]]-Table1[[#This Row],[FinishPosition]]</f>
        <v>-8</v>
      </c>
    </row>
    <row r="1480" spans="1:21" x14ac:dyDescent="0.3">
      <c r="A1480">
        <v>2021</v>
      </c>
      <c r="B1480">
        <v>16</v>
      </c>
      <c r="C1480" t="s">
        <v>548</v>
      </c>
      <c r="D1480" t="s">
        <v>608</v>
      </c>
      <c r="E1480" t="s">
        <v>609</v>
      </c>
      <c r="F1480" t="s">
        <v>69</v>
      </c>
      <c r="G1480">
        <v>14</v>
      </c>
      <c r="H1480">
        <v>19</v>
      </c>
      <c r="I1480">
        <v>0</v>
      </c>
      <c r="J1480" t="s">
        <v>34</v>
      </c>
      <c r="K1480" t="s">
        <v>127</v>
      </c>
      <c r="L1480">
        <v>56</v>
      </c>
      <c r="M1480">
        <v>94.209000000000003</v>
      </c>
      <c r="N1480">
        <v>97.395697999999996</v>
      </c>
      <c r="O1480">
        <v>34.930999999999997</v>
      </c>
      <c r="P1480">
        <v>32.921999999999997</v>
      </c>
      <c r="Q1480">
        <v>26.010999999999999</v>
      </c>
      <c r="R1480">
        <v>39</v>
      </c>
      <c r="S1480" t="s">
        <v>83</v>
      </c>
      <c r="T1480">
        <f>IF(TRIM(Table1[[#This Row],[PitStopLaps]])="",0,
LEN(Table1[[#This Row],[PitStopLaps]])-LEN(SUBSTITUTE(Table1[[#This Row],[PitStopLaps]],",",""))+1)</f>
        <v>1</v>
      </c>
      <c r="U1480">
        <f>Table1[[#This Row],[StartPosition]]-Table1[[#This Row],[FinishPosition]]</f>
        <v>-5</v>
      </c>
    </row>
    <row r="1481" spans="1:21" x14ac:dyDescent="0.3">
      <c r="A1481">
        <v>2021</v>
      </c>
      <c r="B1481">
        <v>16</v>
      </c>
      <c r="C1481" t="s">
        <v>548</v>
      </c>
      <c r="D1481" t="s">
        <v>613</v>
      </c>
      <c r="E1481" t="s">
        <v>614</v>
      </c>
      <c r="F1481" t="s">
        <v>69</v>
      </c>
      <c r="G1481">
        <v>18</v>
      </c>
      <c r="H1481">
        <v>20</v>
      </c>
      <c r="I1481">
        <v>0</v>
      </c>
      <c r="J1481" t="s">
        <v>34</v>
      </c>
      <c r="K1481" t="s">
        <v>127</v>
      </c>
      <c r="L1481">
        <v>56</v>
      </c>
      <c r="M1481">
        <v>95.438000000000002</v>
      </c>
      <c r="N1481">
        <v>97.774905000000004</v>
      </c>
      <c r="O1481">
        <v>35.698999999999998</v>
      </c>
      <c r="P1481">
        <v>33.329000000000001</v>
      </c>
      <c r="Q1481">
        <v>26.253</v>
      </c>
      <c r="R1481">
        <v>35</v>
      </c>
      <c r="S1481" t="s">
        <v>83</v>
      </c>
      <c r="T1481">
        <f>IF(TRIM(Table1[[#This Row],[PitStopLaps]])="",0,
LEN(Table1[[#This Row],[PitStopLaps]])-LEN(SUBSTITUTE(Table1[[#This Row],[PitStopLaps]],",",""))+1)</f>
        <v>1</v>
      </c>
      <c r="U1481">
        <f>Table1[[#This Row],[StartPosition]]-Table1[[#This Row],[FinishPosition]]</f>
        <v>-2</v>
      </c>
    </row>
    <row r="1482" spans="1:21" x14ac:dyDescent="0.3">
      <c r="A1482">
        <v>2021</v>
      </c>
      <c r="B1482">
        <v>17</v>
      </c>
      <c r="C1482" t="s">
        <v>214</v>
      </c>
      <c r="D1482" t="s">
        <v>38</v>
      </c>
      <c r="E1482" t="s">
        <v>39</v>
      </c>
      <c r="F1482" t="s">
        <v>33</v>
      </c>
      <c r="G1482">
        <v>1</v>
      </c>
      <c r="H1482">
        <v>1</v>
      </c>
      <c r="I1482">
        <v>25</v>
      </c>
      <c r="J1482" t="s">
        <v>23</v>
      </c>
      <c r="K1482" t="s">
        <v>24</v>
      </c>
      <c r="L1482">
        <v>56</v>
      </c>
      <c r="M1482">
        <v>99.096000000000004</v>
      </c>
      <c r="N1482">
        <v>100.44123999999999</v>
      </c>
      <c r="O1482">
        <v>26.396999999999998</v>
      </c>
      <c r="P1482">
        <v>40.003</v>
      </c>
      <c r="Q1482">
        <v>32.331000000000003</v>
      </c>
      <c r="R1482" t="s">
        <v>93</v>
      </c>
      <c r="S1482" t="s">
        <v>83</v>
      </c>
      <c r="T1482">
        <f>IF(TRIM(Table1[[#This Row],[PitStopLaps]])="",0,
LEN(Table1[[#This Row],[PitStopLaps]])-LEN(SUBSTITUTE(Table1[[#This Row],[PitStopLaps]],",",""))+1)</f>
        <v>2</v>
      </c>
      <c r="U1482">
        <f>Table1[[#This Row],[StartPosition]]-Table1[[#This Row],[FinishPosition]]</f>
        <v>0</v>
      </c>
    </row>
    <row r="1483" spans="1:21" x14ac:dyDescent="0.3">
      <c r="A1483">
        <v>2021</v>
      </c>
      <c r="B1483">
        <v>17</v>
      </c>
      <c r="C1483" t="s">
        <v>214</v>
      </c>
      <c r="D1483" t="s">
        <v>26</v>
      </c>
      <c r="E1483" t="s">
        <v>27</v>
      </c>
      <c r="F1483" t="s">
        <v>28</v>
      </c>
      <c r="G1483">
        <v>2</v>
      </c>
      <c r="H1483">
        <v>2</v>
      </c>
      <c r="I1483">
        <v>19</v>
      </c>
      <c r="J1483" t="s">
        <v>23</v>
      </c>
      <c r="K1483" t="s">
        <v>24</v>
      </c>
      <c r="L1483">
        <v>56</v>
      </c>
      <c r="M1483">
        <v>98.484999999999999</v>
      </c>
      <c r="N1483">
        <v>100.42095999999999</v>
      </c>
      <c r="O1483">
        <v>26.446999999999999</v>
      </c>
      <c r="P1483">
        <v>39.661000000000001</v>
      </c>
      <c r="Q1483">
        <v>32.311999999999998</v>
      </c>
      <c r="R1483" t="s">
        <v>725</v>
      </c>
      <c r="S1483" t="s">
        <v>83</v>
      </c>
      <c r="T1483">
        <f>IF(TRIM(Table1[[#This Row],[PitStopLaps]])="",0,
LEN(Table1[[#This Row],[PitStopLaps]])-LEN(SUBSTITUTE(Table1[[#This Row],[PitStopLaps]],",",""))+1)</f>
        <v>2</v>
      </c>
      <c r="U1483">
        <f>Table1[[#This Row],[StartPosition]]-Table1[[#This Row],[FinishPosition]]</f>
        <v>0</v>
      </c>
    </row>
    <row r="1484" spans="1:21" x14ac:dyDescent="0.3">
      <c r="A1484">
        <v>2021</v>
      </c>
      <c r="B1484">
        <v>17</v>
      </c>
      <c r="C1484" t="s">
        <v>214</v>
      </c>
      <c r="D1484" t="s">
        <v>49</v>
      </c>
      <c r="E1484" t="s">
        <v>50</v>
      </c>
      <c r="F1484" t="s">
        <v>33</v>
      </c>
      <c r="G1484">
        <v>3</v>
      </c>
      <c r="H1484">
        <v>3</v>
      </c>
      <c r="I1484">
        <v>15</v>
      </c>
      <c r="J1484" t="s">
        <v>23</v>
      </c>
      <c r="K1484" t="s">
        <v>24</v>
      </c>
      <c r="L1484">
        <v>56</v>
      </c>
      <c r="M1484">
        <v>99.566000000000003</v>
      </c>
      <c r="N1484">
        <v>101.04883599999999</v>
      </c>
      <c r="O1484">
        <v>26.861999999999998</v>
      </c>
      <c r="P1484">
        <v>40.125</v>
      </c>
      <c r="Q1484">
        <v>32.579000000000001</v>
      </c>
      <c r="R1484" t="s">
        <v>606</v>
      </c>
      <c r="S1484" t="s">
        <v>83</v>
      </c>
      <c r="T1484">
        <f>IF(TRIM(Table1[[#This Row],[PitStopLaps]])="",0,
LEN(Table1[[#This Row],[PitStopLaps]])-LEN(SUBSTITUTE(Table1[[#This Row],[PitStopLaps]],",",""))+1)</f>
        <v>2</v>
      </c>
      <c r="U1484">
        <f>Table1[[#This Row],[StartPosition]]-Table1[[#This Row],[FinishPosition]]</f>
        <v>0</v>
      </c>
    </row>
    <row r="1485" spans="1:21" x14ac:dyDescent="0.3">
      <c r="A1485">
        <v>2021</v>
      </c>
      <c r="B1485">
        <v>17</v>
      </c>
      <c r="C1485" t="s">
        <v>214</v>
      </c>
      <c r="D1485" t="s">
        <v>54</v>
      </c>
      <c r="E1485" t="s">
        <v>55</v>
      </c>
      <c r="F1485" t="s">
        <v>22</v>
      </c>
      <c r="G1485">
        <v>4</v>
      </c>
      <c r="H1485">
        <v>4</v>
      </c>
      <c r="I1485">
        <v>12</v>
      </c>
      <c r="J1485" t="s">
        <v>34</v>
      </c>
      <c r="K1485" t="s">
        <v>24</v>
      </c>
      <c r="L1485">
        <v>56</v>
      </c>
      <c r="M1485">
        <v>99.302999999999997</v>
      </c>
      <c r="N1485">
        <v>101.30030600000001</v>
      </c>
      <c r="O1485">
        <v>26.753</v>
      </c>
      <c r="P1485">
        <v>40.003999999999998</v>
      </c>
      <c r="Q1485">
        <v>32.524999999999999</v>
      </c>
      <c r="R1485" t="s">
        <v>105</v>
      </c>
      <c r="S1485" t="s">
        <v>83</v>
      </c>
      <c r="T1485">
        <f>IF(TRIM(Table1[[#This Row],[PitStopLaps]])="",0,
LEN(Table1[[#This Row],[PitStopLaps]])-LEN(SUBSTITUTE(Table1[[#This Row],[PitStopLaps]],",",""))+1)</f>
        <v>2</v>
      </c>
      <c r="U1485">
        <f>Table1[[#This Row],[StartPosition]]-Table1[[#This Row],[FinishPosition]]</f>
        <v>0</v>
      </c>
    </row>
    <row r="1486" spans="1:21" x14ac:dyDescent="0.3">
      <c r="A1486">
        <v>2021</v>
      </c>
      <c r="B1486">
        <v>17</v>
      </c>
      <c r="C1486" t="s">
        <v>214</v>
      </c>
      <c r="D1486" t="s">
        <v>31</v>
      </c>
      <c r="E1486" t="s">
        <v>32</v>
      </c>
      <c r="F1486" t="s">
        <v>37</v>
      </c>
      <c r="G1486">
        <v>6</v>
      </c>
      <c r="H1486">
        <v>5</v>
      </c>
      <c r="I1486">
        <v>10</v>
      </c>
      <c r="J1486" t="s">
        <v>34</v>
      </c>
      <c r="K1486" t="s">
        <v>24</v>
      </c>
      <c r="L1486">
        <v>56</v>
      </c>
      <c r="M1486">
        <v>100.345</v>
      </c>
      <c r="N1486">
        <v>101.75404</v>
      </c>
      <c r="O1486">
        <v>26.71</v>
      </c>
      <c r="P1486">
        <v>40.351999999999997</v>
      </c>
      <c r="Q1486">
        <v>33.125999999999998</v>
      </c>
      <c r="R1486" t="s">
        <v>726</v>
      </c>
      <c r="S1486" t="s">
        <v>83</v>
      </c>
      <c r="T1486">
        <f>IF(TRIM(Table1[[#This Row],[PitStopLaps]])="",0,
LEN(Table1[[#This Row],[PitStopLaps]])-LEN(SUBSTITUTE(Table1[[#This Row],[PitStopLaps]],",",""))+1)</f>
        <v>2</v>
      </c>
      <c r="U1486">
        <f>Table1[[#This Row],[StartPosition]]-Table1[[#This Row],[FinishPosition]]</f>
        <v>1</v>
      </c>
    </row>
    <row r="1487" spans="1:21" x14ac:dyDescent="0.3">
      <c r="A1487">
        <v>2021</v>
      </c>
      <c r="B1487">
        <v>17</v>
      </c>
      <c r="C1487" t="s">
        <v>214</v>
      </c>
      <c r="D1487" t="s">
        <v>43</v>
      </c>
      <c r="E1487" t="s">
        <v>44</v>
      </c>
      <c r="F1487" t="s">
        <v>28</v>
      </c>
      <c r="G1487">
        <v>9</v>
      </c>
      <c r="H1487">
        <v>6</v>
      </c>
      <c r="I1487">
        <v>8</v>
      </c>
      <c r="J1487" t="s">
        <v>34</v>
      </c>
      <c r="K1487" t="s">
        <v>24</v>
      </c>
      <c r="L1487">
        <v>56</v>
      </c>
      <c r="M1487">
        <v>100.14700000000001</v>
      </c>
      <c r="N1487">
        <v>101.82523999999999</v>
      </c>
      <c r="O1487">
        <v>26.728999999999999</v>
      </c>
      <c r="P1487">
        <v>39.911000000000001</v>
      </c>
      <c r="Q1487">
        <v>32.819000000000003</v>
      </c>
      <c r="R1487" t="s">
        <v>84</v>
      </c>
      <c r="S1487" t="s">
        <v>83</v>
      </c>
      <c r="T1487">
        <f>IF(TRIM(Table1[[#This Row],[PitStopLaps]])="",0,
LEN(Table1[[#This Row],[PitStopLaps]])-LEN(SUBSTITUTE(Table1[[#This Row],[PitStopLaps]],",",""))+1)</f>
        <v>2</v>
      </c>
      <c r="U1487">
        <f>Table1[[#This Row],[StartPosition]]-Table1[[#This Row],[FinishPosition]]</f>
        <v>3</v>
      </c>
    </row>
    <row r="1488" spans="1:21" x14ac:dyDescent="0.3">
      <c r="A1488">
        <v>2021</v>
      </c>
      <c r="B1488">
        <v>17</v>
      </c>
      <c r="C1488" t="s">
        <v>214</v>
      </c>
      <c r="D1488" t="s">
        <v>47</v>
      </c>
      <c r="E1488" t="s">
        <v>48</v>
      </c>
      <c r="F1488" t="s">
        <v>22</v>
      </c>
      <c r="G1488">
        <v>5</v>
      </c>
      <c r="H1488">
        <v>7</v>
      </c>
      <c r="I1488">
        <v>6</v>
      </c>
      <c r="J1488" t="s">
        <v>34</v>
      </c>
      <c r="K1488" t="s">
        <v>24</v>
      </c>
      <c r="L1488">
        <v>56</v>
      </c>
      <c r="M1488">
        <v>100.377</v>
      </c>
      <c r="N1488">
        <v>101.8539</v>
      </c>
      <c r="O1488">
        <v>26.693000000000001</v>
      </c>
      <c r="P1488">
        <v>40.137</v>
      </c>
      <c r="Q1488">
        <v>32.997</v>
      </c>
      <c r="R1488" t="s">
        <v>727</v>
      </c>
      <c r="S1488" t="s">
        <v>83</v>
      </c>
      <c r="T1488">
        <f>IF(TRIM(Table1[[#This Row],[PitStopLaps]])="",0,
LEN(Table1[[#This Row],[PitStopLaps]])-LEN(SUBSTITUTE(Table1[[#This Row],[PitStopLaps]],",",""))+1)</f>
        <v>2</v>
      </c>
      <c r="U1488">
        <f>Table1[[#This Row],[StartPosition]]-Table1[[#This Row],[FinishPosition]]</f>
        <v>-2</v>
      </c>
    </row>
    <row r="1489" spans="1:21" x14ac:dyDescent="0.3">
      <c r="A1489">
        <v>2021</v>
      </c>
      <c r="B1489">
        <v>17</v>
      </c>
      <c r="C1489" t="s">
        <v>214</v>
      </c>
      <c r="D1489" t="s">
        <v>246</v>
      </c>
      <c r="E1489" t="s">
        <v>247</v>
      </c>
      <c r="F1489" t="s">
        <v>37</v>
      </c>
      <c r="G1489">
        <v>7</v>
      </c>
      <c r="H1489">
        <v>8</v>
      </c>
      <c r="I1489">
        <v>4</v>
      </c>
      <c r="J1489" t="s">
        <v>34</v>
      </c>
      <c r="K1489" t="s">
        <v>24</v>
      </c>
      <c r="L1489">
        <v>56</v>
      </c>
      <c r="M1489">
        <v>100.22799999999999</v>
      </c>
      <c r="N1489">
        <v>101.82098000000001</v>
      </c>
      <c r="O1489">
        <v>26.704999999999998</v>
      </c>
      <c r="P1489">
        <v>40.238999999999997</v>
      </c>
      <c r="Q1489">
        <v>32.966000000000001</v>
      </c>
      <c r="R1489" t="s">
        <v>494</v>
      </c>
      <c r="S1489" t="s">
        <v>83</v>
      </c>
      <c r="T1489">
        <f>IF(TRIM(Table1[[#This Row],[PitStopLaps]])="",0,
LEN(Table1[[#This Row],[PitStopLaps]])-LEN(SUBSTITUTE(Table1[[#This Row],[PitStopLaps]],",",""))+1)</f>
        <v>2</v>
      </c>
      <c r="U1489">
        <f>Table1[[#This Row],[StartPosition]]-Table1[[#This Row],[FinishPosition]]</f>
        <v>-1</v>
      </c>
    </row>
    <row r="1490" spans="1:21" x14ac:dyDescent="0.3">
      <c r="A1490">
        <v>2021</v>
      </c>
      <c r="B1490">
        <v>17</v>
      </c>
      <c r="C1490" t="s">
        <v>214</v>
      </c>
      <c r="D1490" t="s">
        <v>601</v>
      </c>
      <c r="E1490" t="s">
        <v>602</v>
      </c>
      <c r="F1490" t="s">
        <v>438</v>
      </c>
      <c r="G1490">
        <v>10</v>
      </c>
      <c r="H1490">
        <v>9</v>
      </c>
      <c r="I1490">
        <v>2</v>
      </c>
      <c r="J1490" t="s">
        <v>34</v>
      </c>
      <c r="K1490" t="s">
        <v>65</v>
      </c>
      <c r="L1490">
        <v>55</v>
      </c>
      <c r="M1490">
        <v>101.151</v>
      </c>
      <c r="N1490">
        <v>102.733408</v>
      </c>
      <c r="O1490">
        <v>27.077000000000002</v>
      </c>
      <c r="P1490">
        <v>40.747</v>
      </c>
      <c r="Q1490">
        <v>33.168999999999997</v>
      </c>
      <c r="R1490" t="s">
        <v>95</v>
      </c>
      <c r="S1490" t="s">
        <v>83</v>
      </c>
      <c r="T1490">
        <f>IF(TRIM(Table1[[#This Row],[PitStopLaps]])="",0,
LEN(Table1[[#This Row],[PitStopLaps]])-LEN(SUBSTITUTE(Table1[[#This Row],[PitStopLaps]],",",""))+1)</f>
        <v>2</v>
      </c>
      <c r="U1490">
        <f>Table1[[#This Row],[StartPosition]]-Table1[[#This Row],[FinishPosition]]</f>
        <v>1</v>
      </c>
    </row>
    <row r="1491" spans="1:21" x14ac:dyDescent="0.3">
      <c r="A1491">
        <v>2021</v>
      </c>
      <c r="B1491">
        <v>17</v>
      </c>
      <c r="C1491" t="s">
        <v>214</v>
      </c>
      <c r="D1491" t="s">
        <v>20</v>
      </c>
      <c r="E1491" t="s">
        <v>21</v>
      </c>
      <c r="F1491" t="s">
        <v>603</v>
      </c>
      <c r="G1491">
        <v>18</v>
      </c>
      <c r="H1491">
        <v>10</v>
      </c>
      <c r="I1491">
        <v>1</v>
      </c>
      <c r="J1491" t="s">
        <v>34</v>
      </c>
      <c r="K1491" t="s">
        <v>65</v>
      </c>
      <c r="L1491">
        <v>55</v>
      </c>
      <c r="M1491">
        <v>100.48099999999999</v>
      </c>
      <c r="N1491">
        <v>102.759142</v>
      </c>
      <c r="O1491">
        <v>27.225999999999999</v>
      </c>
      <c r="P1491">
        <v>40.295999999999999</v>
      </c>
      <c r="Q1491">
        <v>32.896999999999998</v>
      </c>
      <c r="R1491" t="s">
        <v>481</v>
      </c>
      <c r="S1491" t="s">
        <v>83</v>
      </c>
      <c r="T1491">
        <f>IF(TRIM(Table1[[#This Row],[PitStopLaps]])="",0,
LEN(Table1[[#This Row],[PitStopLaps]])-LEN(SUBSTITUTE(Table1[[#This Row],[PitStopLaps]],",",""))+1)</f>
        <v>2</v>
      </c>
      <c r="U1491">
        <f>Table1[[#This Row],[StartPosition]]-Table1[[#This Row],[FinishPosition]]</f>
        <v>8</v>
      </c>
    </row>
    <row r="1492" spans="1:21" x14ac:dyDescent="0.3">
      <c r="A1492">
        <v>2021</v>
      </c>
      <c r="B1492">
        <v>17</v>
      </c>
      <c r="C1492" t="s">
        <v>214</v>
      </c>
      <c r="D1492" t="s">
        <v>250</v>
      </c>
      <c r="E1492" t="s">
        <v>251</v>
      </c>
      <c r="F1492" t="s">
        <v>243</v>
      </c>
      <c r="G1492">
        <v>12</v>
      </c>
      <c r="H1492">
        <v>11</v>
      </c>
      <c r="I1492">
        <v>0</v>
      </c>
      <c r="J1492" t="s">
        <v>34</v>
      </c>
      <c r="K1492" t="s">
        <v>65</v>
      </c>
      <c r="L1492">
        <v>55</v>
      </c>
      <c r="M1492">
        <v>100.792</v>
      </c>
      <c r="N1492">
        <v>102.98076</v>
      </c>
      <c r="O1492">
        <v>27.175000000000001</v>
      </c>
      <c r="P1492">
        <v>40.274999999999999</v>
      </c>
      <c r="Q1492">
        <v>33.128</v>
      </c>
      <c r="R1492" t="s">
        <v>432</v>
      </c>
      <c r="S1492" t="s">
        <v>83</v>
      </c>
      <c r="T1492">
        <f>IF(TRIM(Table1[[#This Row],[PitStopLaps]])="",0,
LEN(Table1[[#This Row],[PitStopLaps]])-LEN(SUBSTITUTE(Table1[[#This Row],[PitStopLaps]],",",""))+1)</f>
        <v>2</v>
      </c>
      <c r="U1492">
        <f>Table1[[#This Row],[StartPosition]]-Table1[[#This Row],[FinishPosition]]</f>
        <v>1</v>
      </c>
    </row>
    <row r="1493" spans="1:21" x14ac:dyDescent="0.3">
      <c r="A1493">
        <v>2021</v>
      </c>
      <c r="B1493">
        <v>17</v>
      </c>
      <c r="C1493" t="s">
        <v>214</v>
      </c>
      <c r="D1493" t="s">
        <v>58</v>
      </c>
      <c r="E1493" t="s">
        <v>59</v>
      </c>
      <c r="F1493" t="s">
        <v>603</v>
      </c>
      <c r="G1493">
        <v>13</v>
      </c>
      <c r="H1493">
        <v>12</v>
      </c>
      <c r="I1493">
        <v>0</v>
      </c>
      <c r="J1493" t="s">
        <v>34</v>
      </c>
      <c r="K1493" t="s">
        <v>65</v>
      </c>
      <c r="L1493">
        <v>55</v>
      </c>
      <c r="M1493">
        <v>101.18899999999999</v>
      </c>
      <c r="N1493">
        <v>103.170224</v>
      </c>
      <c r="O1493">
        <v>27.178999999999998</v>
      </c>
      <c r="P1493">
        <v>40.703000000000003</v>
      </c>
      <c r="Q1493">
        <v>33.173000000000002</v>
      </c>
      <c r="R1493" t="s">
        <v>97</v>
      </c>
      <c r="S1493" t="s">
        <v>83</v>
      </c>
      <c r="T1493">
        <f>IF(TRIM(Table1[[#This Row],[PitStopLaps]])="",0,
LEN(Table1[[#This Row],[PitStopLaps]])-LEN(SUBSTITUTE(Table1[[#This Row],[PitStopLaps]],",",""))+1)</f>
        <v>2</v>
      </c>
      <c r="U1493">
        <f>Table1[[#This Row],[StartPosition]]-Table1[[#This Row],[FinishPosition]]</f>
        <v>1</v>
      </c>
    </row>
    <row r="1494" spans="1:21" x14ac:dyDescent="0.3">
      <c r="A1494">
        <v>2021</v>
      </c>
      <c r="B1494">
        <v>17</v>
      </c>
      <c r="C1494" t="s">
        <v>214</v>
      </c>
      <c r="D1494" t="s">
        <v>29</v>
      </c>
      <c r="E1494" t="s">
        <v>30</v>
      </c>
      <c r="F1494" t="s">
        <v>243</v>
      </c>
      <c r="G1494">
        <v>15</v>
      </c>
      <c r="H1494">
        <v>13</v>
      </c>
      <c r="I1494">
        <v>0</v>
      </c>
      <c r="J1494" t="s">
        <v>34</v>
      </c>
      <c r="K1494" t="s">
        <v>65</v>
      </c>
      <c r="L1494">
        <v>55</v>
      </c>
      <c r="M1494">
        <v>101.34</v>
      </c>
      <c r="N1494">
        <v>103.085875</v>
      </c>
      <c r="O1494">
        <v>27.114999999999998</v>
      </c>
      <c r="P1494">
        <v>40.551000000000002</v>
      </c>
      <c r="Q1494">
        <v>33.344999999999999</v>
      </c>
      <c r="R1494" t="s">
        <v>103</v>
      </c>
      <c r="S1494" t="s">
        <v>83</v>
      </c>
      <c r="T1494">
        <f>IF(TRIM(Table1[[#This Row],[PitStopLaps]])="",0,
LEN(Table1[[#This Row],[PitStopLaps]])-LEN(SUBSTITUTE(Table1[[#This Row],[PitStopLaps]],",",""))+1)</f>
        <v>2</v>
      </c>
      <c r="U1494">
        <f>Table1[[#This Row],[StartPosition]]-Table1[[#This Row],[FinishPosition]]</f>
        <v>2</v>
      </c>
    </row>
    <row r="1495" spans="1:21" x14ac:dyDescent="0.3">
      <c r="A1495">
        <v>2021</v>
      </c>
      <c r="B1495">
        <v>17</v>
      </c>
      <c r="C1495" t="s">
        <v>214</v>
      </c>
      <c r="D1495" t="s">
        <v>252</v>
      </c>
      <c r="E1495" t="s">
        <v>253</v>
      </c>
      <c r="F1495" t="s">
        <v>60</v>
      </c>
      <c r="G1495">
        <v>20</v>
      </c>
      <c r="H1495">
        <v>14</v>
      </c>
      <c r="I1495">
        <v>0</v>
      </c>
      <c r="J1495" t="s">
        <v>34</v>
      </c>
      <c r="K1495" t="s">
        <v>65</v>
      </c>
      <c r="L1495">
        <v>55</v>
      </c>
      <c r="M1495">
        <v>101.12</v>
      </c>
      <c r="N1495">
        <v>103.301489</v>
      </c>
      <c r="O1495">
        <v>27.266999999999999</v>
      </c>
      <c r="P1495">
        <v>40.655999999999999</v>
      </c>
      <c r="Q1495">
        <v>33.14</v>
      </c>
      <c r="R1495" t="s">
        <v>728</v>
      </c>
      <c r="S1495" t="s">
        <v>83</v>
      </c>
      <c r="T1495">
        <f>IF(TRIM(Table1[[#This Row],[PitStopLaps]])="",0,
LEN(Table1[[#This Row],[PitStopLaps]])-LEN(SUBSTITUTE(Table1[[#This Row],[PitStopLaps]],",",""))+1)</f>
        <v>2</v>
      </c>
      <c r="U1495">
        <f>Table1[[#This Row],[StartPosition]]-Table1[[#This Row],[FinishPosition]]</f>
        <v>6</v>
      </c>
    </row>
    <row r="1496" spans="1:21" x14ac:dyDescent="0.3">
      <c r="A1496">
        <v>2021</v>
      </c>
      <c r="B1496">
        <v>17</v>
      </c>
      <c r="C1496" t="s">
        <v>214</v>
      </c>
      <c r="D1496" t="s">
        <v>440</v>
      </c>
      <c r="E1496" t="s">
        <v>441</v>
      </c>
      <c r="F1496" t="s">
        <v>60</v>
      </c>
      <c r="G1496">
        <v>14</v>
      </c>
      <c r="H1496">
        <v>15</v>
      </c>
      <c r="I1496">
        <v>0</v>
      </c>
      <c r="J1496" t="s">
        <v>34</v>
      </c>
      <c r="K1496" t="s">
        <v>65</v>
      </c>
      <c r="L1496">
        <v>55</v>
      </c>
      <c r="M1496">
        <v>101.818</v>
      </c>
      <c r="N1496">
        <v>103.71959099999999</v>
      </c>
      <c r="O1496">
        <v>27.138999999999999</v>
      </c>
      <c r="P1496">
        <v>40.872</v>
      </c>
      <c r="Q1496">
        <v>33.628999999999998</v>
      </c>
      <c r="R1496" t="s">
        <v>729</v>
      </c>
      <c r="S1496" t="s">
        <v>83</v>
      </c>
      <c r="T1496">
        <f>IF(TRIM(Table1[[#This Row],[PitStopLaps]])="",0,
LEN(Table1[[#This Row],[PitStopLaps]])-LEN(SUBSTITUTE(Table1[[#This Row],[PitStopLaps]],",",""))+1)</f>
        <v>2</v>
      </c>
      <c r="U1496">
        <f>Table1[[#This Row],[StartPosition]]-Table1[[#This Row],[FinishPosition]]</f>
        <v>-1</v>
      </c>
    </row>
    <row r="1497" spans="1:21" x14ac:dyDescent="0.3">
      <c r="A1497">
        <v>2021</v>
      </c>
      <c r="B1497">
        <v>17</v>
      </c>
      <c r="C1497" t="s">
        <v>214</v>
      </c>
      <c r="D1497" t="s">
        <v>608</v>
      </c>
      <c r="E1497" t="s">
        <v>609</v>
      </c>
      <c r="F1497" t="s">
        <v>69</v>
      </c>
      <c r="G1497">
        <v>16</v>
      </c>
      <c r="H1497">
        <v>16</v>
      </c>
      <c r="I1497">
        <v>0</v>
      </c>
      <c r="J1497" t="s">
        <v>34</v>
      </c>
      <c r="K1497" t="s">
        <v>127</v>
      </c>
      <c r="L1497">
        <v>54</v>
      </c>
      <c r="M1497">
        <v>101.395</v>
      </c>
      <c r="N1497">
        <v>104.119361</v>
      </c>
      <c r="O1497">
        <v>27.33</v>
      </c>
      <c r="P1497">
        <v>40.662999999999997</v>
      </c>
      <c r="Q1497">
        <v>33.332999999999998</v>
      </c>
      <c r="R1497" t="s">
        <v>730</v>
      </c>
      <c r="S1497" t="s">
        <v>83</v>
      </c>
      <c r="T1497">
        <f>IF(TRIM(Table1[[#This Row],[PitStopLaps]])="",0,
LEN(Table1[[#This Row],[PitStopLaps]])-LEN(SUBSTITUTE(Table1[[#This Row],[PitStopLaps]],",",""))+1)</f>
        <v>2</v>
      </c>
      <c r="U1497">
        <f>Table1[[#This Row],[StartPosition]]-Table1[[#This Row],[FinishPosition]]</f>
        <v>0</v>
      </c>
    </row>
    <row r="1498" spans="1:21" x14ac:dyDescent="0.3">
      <c r="A1498">
        <v>2021</v>
      </c>
      <c r="B1498">
        <v>17</v>
      </c>
      <c r="C1498" t="s">
        <v>214</v>
      </c>
      <c r="D1498" t="s">
        <v>613</v>
      </c>
      <c r="E1498" t="s">
        <v>614</v>
      </c>
      <c r="F1498" t="s">
        <v>69</v>
      </c>
      <c r="G1498">
        <v>17</v>
      </c>
      <c r="H1498">
        <v>17</v>
      </c>
      <c r="I1498">
        <v>0</v>
      </c>
      <c r="J1498" t="s">
        <v>34</v>
      </c>
      <c r="K1498" t="s">
        <v>127</v>
      </c>
      <c r="L1498">
        <v>54</v>
      </c>
      <c r="M1498">
        <v>102.886</v>
      </c>
      <c r="N1498">
        <v>105.180829</v>
      </c>
      <c r="O1498">
        <v>27.629000000000001</v>
      </c>
      <c r="P1498">
        <v>41.14</v>
      </c>
      <c r="Q1498">
        <v>33.658999999999999</v>
      </c>
      <c r="R1498" t="s">
        <v>731</v>
      </c>
      <c r="S1498" t="s">
        <v>83</v>
      </c>
      <c r="T1498">
        <f>IF(TRIM(Table1[[#This Row],[PitStopLaps]])="",0,
LEN(Table1[[#This Row],[PitStopLaps]])-LEN(SUBSTITUTE(Table1[[#This Row],[PitStopLaps]],",",""))+1)</f>
        <v>3</v>
      </c>
      <c r="U1498">
        <f>Table1[[#This Row],[StartPosition]]-Table1[[#This Row],[FinishPosition]]</f>
        <v>0</v>
      </c>
    </row>
    <row r="1499" spans="1:21" x14ac:dyDescent="0.3">
      <c r="A1499">
        <v>2021</v>
      </c>
      <c r="B1499">
        <v>17</v>
      </c>
      <c r="C1499" t="s">
        <v>214</v>
      </c>
      <c r="D1499" t="s">
        <v>35</v>
      </c>
      <c r="E1499" t="s">
        <v>36</v>
      </c>
      <c r="F1499" t="s">
        <v>607</v>
      </c>
      <c r="G1499">
        <v>19</v>
      </c>
      <c r="H1499">
        <v>18</v>
      </c>
      <c r="I1499">
        <v>0</v>
      </c>
      <c r="J1499" t="s">
        <v>34</v>
      </c>
      <c r="K1499" t="s">
        <v>732</v>
      </c>
      <c r="L1499">
        <v>49</v>
      </c>
      <c r="M1499">
        <v>100.06699999999999</v>
      </c>
      <c r="N1499">
        <v>102.74195</v>
      </c>
      <c r="O1499">
        <v>26.849</v>
      </c>
      <c r="P1499">
        <v>39.935000000000002</v>
      </c>
      <c r="Q1499">
        <v>32.871000000000002</v>
      </c>
      <c r="R1499" t="s">
        <v>733</v>
      </c>
      <c r="S1499" t="s">
        <v>83</v>
      </c>
      <c r="T1499">
        <f>IF(TRIM(Table1[[#This Row],[PitStopLaps]])="",0,
LEN(Table1[[#This Row],[PitStopLaps]])-LEN(SUBSTITUTE(Table1[[#This Row],[PitStopLaps]],",",""))+1)</f>
        <v>4</v>
      </c>
      <c r="U1499">
        <f>Table1[[#This Row],[StartPosition]]-Table1[[#This Row],[FinishPosition]]</f>
        <v>1</v>
      </c>
    </row>
    <row r="1500" spans="1:21" x14ac:dyDescent="0.3">
      <c r="A1500">
        <v>2021</v>
      </c>
      <c r="B1500">
        <v>17</v>
      </c>
      <c r="C1500" t="s">
        <v>214</v>
      </c>
      <c r="D1500" t="s">
        <v>52</v>
      </c>
      <c r="E1500" t="s">
        <v>53</v>
      </c>
      <c r="F1500" t="s">
        <v>607</v>
      </c>
      <c r="G1500">
        <v>11</v>
      </c>
      <c r="H1500">
        <v>19</v>
      </c>
      <c r="I1500">
        <v>0</v>
      </c>
      <c r="J1500" t="s">
        <v>34</v>
      </c>
      <c r="K1500" t="s">
        <v>210</v>
      </c>
      <c r="L1500">
        <v>40</v>
      </c>
      <c r="M1500">
        <v>102.194</v>
      </c>
      <c r="N1500">
        <v>103.677454</v>
      </c>
      <c r="O1500">
        <v>27.341000000000001</v>
      </c>
      <c r="P1500">
        <v>41.006999999999998</v>
      </c>
      <c r="Q1500">
        <v>33.549999999999997</v>
      </c>
      <c r="R1500" t="s">
        <v>734</v>
      </c>
      <c r="S1500" t="s">
        <v>83</v>
      </c>
      <c r="T1500">
        <f>IF(TRIM(Table1[[#This Row],[PitStopLaps]])="",0,
LEN(Table1[[#This Row],[PitStopLaps]])-LEN(SUBSTITUTE(Table1[[#This Row],[PitStopLaps]],",",""))+1)</f>
        <v>3</v>
      </c>
      <c r="U1500">
        <f>Table1[[#This Row],[StartPosition]]-Table1[[#This Row],[FinishPosition]]</f>
        <v>-8</v>
      </c>
    </row>
    <row r="1501" spans="1:21" x14ac:dyDescent="0.3">
      <c r="A1501">
        <v>2021</v>
      </c>
      <c r="B1501">
        <v>17</v>
      </c>
      <c r="C1501" t="s">
        <v>214</v>
      </c>
      <c r="D1501" t="s">
        <v>73</v>
      </c>
      <c r="E1501" t="s">
        <v>74</v>
      </c>
      <c r="F1501" t="s">
        <v>438</v>
      </c>
      <c r="G1501">
        <v>8</v>
      </c>
      <c r="H1501">
        <v>20</v>
      </c>
      <c r="I1501">
        <v>0</v>
      </c>
      <c r="J1501" t="s">
        <v>34</v>
      </c>
      <c r="K1501" t="s">
        <v>187</v>
      </c>
      <c r="L1501">
        <v>14</v>
      </c>
      <c r="M1501">
        <v>102.015</v>
      </c>
      <c r="N1501">
        <v>104.2052</v>
      </c>
      <c r="O1501">
        <v>27.45</v>
      </c>
      <c r="P1501">
        <v>40.911000000000001</v>
      </c>
      <c r="Q1501">
        <v>33.654000000000003</v>
      </c>
      <c r="R1501" t="s">
        <v>735</v>
      </c>
      <c r="S1501" t="s">
        <v>83</v>
      </c>
      <c r="T1501">
        <f>IF(TRIM(Table1[[#This Row],[PitStopLaps]])="",0,
LEN(Table1[[#This Row],[PitStopLaps]])-LEN(SUBSTITUTE(Table1[[#This Row],[PitStopLaps]],",",""))+1)</f>
        <v>2</v>
      </c>
      <c r="U1501">
        <f>Table1[[#This Row],[StartPosition]]-Table1[[#This Row],[FinishPosition]]</f>
        <v>-12</v>
      </c>
    </row>
    <row r="1502" spans="1:21" x14ac:dyDescent="0.3">
      <c r="A1502">
        <v>2021</v>
      </c>
      <c r="B1502">
        <v>18</v>
      </c>
      <c r="C1502" t="s">
        <v>736</v>
      </c>
      <c r="D1502" t="s">
        <v>38</v>
      </c>
      <c r="E1502" t="s">
        <v>39</v>
      </c>
      <c r="F1502" t="s">
        <v>33</v>
      </c>
      <c r="G1502">
        <v>3</v>
      </c>
      <c r="H1502">
        <v>1</v>
      </c>
      <c r="I1502">
        <v>25</v>
      </c>
      <c r="J1502" t="s">
        <v>23</v>
      </c>
      <c r="K1502" t="s">
        <v>24</v>
      </c>
      <c r="L1502">
        <v>71</v>
      </c>
      <c r="M1502">
        <v>78.998999999999995</v>
      </c>
      <c r="N1502">
        <v>80.695691999999994</v>
      </c>
      <c r="O1502">
        <v>27.95</v>
      </c>
      <c r="P1502">
        <v>30.318999999999999</v>
      </c>
      <c r="Q1502">
        <v>20.387</v>
      </c>
      <c r="R1502">
        <v>33</v>
      </c>
      <c r="S1502" t="s">
        <v>83</v>
      </c>
      <c r="T1502">
        <f>IF(TRIM(Table1[[#This Row],[PitStopLaps]])="",0,
LEN(Table1[[#This Row],[PitStopLaps]])-LEN(SUBSTITUTE(Table1[[#This Row],[PitStopLaps]],",",""))+1)</f>
        <v>1</v>
      </c>
      <c r="U1502">
        <f>Table1[[#This Row],[StartPosition]]-Table1[[#This Row],[FinishPosition]]</f>
        <v>2</v>
      </c>
    </row>
    <row r="1503" spans="1:21" x14ac:dyDescent="0.3">
      <c r="A1503">
        <v>2021</v>
      </c>
      <c r="B1503">
        <v>18</v>
      </c>
      <c r="C1503" t="s">
        <v>736</v>
      </c>
      <c r="D1503" t="s">
        <v>26</v>
      </c>
      <c r="E1503" t="s">
        <v>27</v>
      </c>
      <c r="F1503" t="s">
        <v>28</v>
      </c>
      <c r="G1503">
        <v>2</v>
      </c>
      <c r="H1503">
        <v>2</v>
      </c>
      <c r="I1503">
        <v>18</v>
      </c>
      <c r="J1503" t="s">
        <v>23</v>
      </c>
      <c r="K1503" t="s">
        <v>24</v>
      </c>
      <c r="L1503">
        <v>71</v>
      </c>
      <c r="M1503">
        <v>79.819999999999993</v>
      </c>
      <c r="N1503">
        <v>80.893523000000002</v>
      </c>
      <c r="O1503">
        <v>27.937999999999999</v>
      </c>
      <c r="P1503">
        <v>30.774999999999999</v>
      </c>
      <c r="Q1503">
        <v>20.675000000000001</v>
      </c>
      <c r="R1503">
        <v>29</v>
      </c>
      <c r="S1503" t="s">
        <v>83</v>
      </c>
      <c r="T1503">
        <f>IF(TRIM(Table1[[#This Row],[PitStopLaps]])="",0,
LEN(Table1[[#This Row],[PitStopLaps]])-LEN(SUBSTITUTE(Table1[[#This Row],[PitStopLaps]],",",""))+1)</f>
        <v>1</v>
      </c>
      <c r="U1503">
        <f>Table1[[#This Row],[StartPosition]]-Table1[[#This Row],[FinishPosition]]</f>
        <v>0</v>
      </c>
    </row>
    <row r="1504" spans="1:21" x14ac:dyDescent="0.3">
      <c r="A1504">
        <v>2021</v>
      </c>
      <c r="B1504">
        <v>18</v>
      </c>
      <c r="C1504" t="s">
        <v>736</v>
      </c>
      <c r="D1504" t="s">
        <v>49</v>
      </c>
      <c r="E1504" t="s">
        <v>50</v>
      </c>
      <c r="F1504" t="s">
        <v>33</v>
      </c>
      <c r="G1504">
        <v>4</v>
      </c>
      <c r="H1504">
        <v>3</v>
      </c>
      <c r="I1504">
        <v>15</v>
      </c>
      <c r="J1504" t="s">
        <v>23</v>
      </c>
      <c r="K1504" t="s">
        <v>24</v>
      </c>
      <c r="L1504">
        <v>71</v>
      </c>
      <c r="M1504">
        <v>79.468000000000004</v>
      </c>
      <c r="N1504">
        <v>80.941368999999995</v>
      </c>
      <c r="O1504">
        <v>28.08</v>
      </c>
      <c r="P1504">
        <v>30.489000000000001</v>
      </c>
      <c r="Q1504">
        <v>20.46</v>
      </c>
      <c r="R1504">
        <v>40</v>
      </c>
      <c r="S1504" t="s">
        <v>83</v>
      </c>
      <c r="T1504">
        <f>IF(TRIM(Table1[[#This Row],[PitStopLaps]])="",0,
LEN(Table1[[#This Row],[PitStopLaps]])-LEN(SUBSTITUTE(Table1[[#This Row],[PitStopLaps]],",",""))+1)</f>
        <v>1</v>
      </c>
      <c r="U1504">
        <f>Table1[[#This Row],[StartPosition]]-Table1[[#This Row],[FinishPosition]]</f>
        <v>1</v>
      </c>
    </row>
    <row r="1505" spans="1:21" x14ac:dyDescent="0.3">
      <c r="A1505">
        <v>2021</v>
      </c>
      <c r="B1505">
        <v>18</v>
      </c>
      <c r="C1505" t="s">
        <v>736</v>
      </c>
      <c r="D1505" t="s">
        <v>73</v>
      </c>
      <c r="E1505" t="s">
        <v>74</v>
      </c>
      <c r="F1505" t="s">
        <v>438</v>
      </c>
      <c r="G1505">
        <v>5</v>
      </c>
      <c r="H1505">
        <v>4</v>
      </c>
      <c r="I1505">
        <v>12</v>
      </c>
      <c r="J1505" t="s">
        <v>34</v>
      </c>
      <c r="K1505" t="s">
        <v>24</v>
      </c>
      <c r="L1505">
        <v>71</v>
      </c>
      <c r="M1505">
        <v>80.510000000000005</v>
      </c>
      <c r="N1505">
        <v>81.60463</v>
      </c>
      <c r="O1505">
        <v>28.544</v>
      </c>
      <c r="P1505">
        <v>31.042999999999999</v>
      </c>
      <c r="Q1505">
        <v>20.777999999999999</v>
      </c>
      <c r="R1505">
        <v>31</v>
      </c>
      <c r="S1505" t="s">
        <v>83</v>
      </c>
      <c r="T1505">
        <f>IF(TRIM(Table1[[#This Row],[PitStopLaps]])="",0,
LEN(Table1[[#This Row],[PitStopLaps]])-LEN(SUBSTITUTE(Table1[[#This Row],[PitStopLaps]],",",""))+1)</f>
        <v>1</v>
      </c>
      <c r="U1505">
        <f>Table1[[#This Row],[StartPosition]]-Table1[[#This Row],[FinishPosition]]</f>
        <v>1</v>
      </c>
    </row>
    <row r="1506" spans="1:21" x14ac:dyDescent="0.3">
      <c r="A1506">
        <v>2021</v>
      </c>
      <c r="B1506">
        <v>18</v>
      </c>
      <c r="C1506" t="s">
        <v>736</v>
      </c>
      <c r="D1506" t="s">
        <v>54</v>
      </c>
      <c r="E1506" t="s">
        <v>55</v>
      </c>
      <c r="F1506" t="s">
        <v>22</v>
      </c>
      <c r="G1506">
        <v>8</v>
      </c>
      <c r="H1506">
        <v>5</v>
      </c>
      <c r="I1506">
        <v>10</v>
      </c>
      <c r="J1506" t="s">
        <v>34</v>
      </c>
      <c r="K1506" t="s">
        <v>24</v>
      </c>
      <c r="L1506">
        <v>71</v>
      </c>
      <c r="M1506">
        <v>80.665000000000006</v>
      </c>
      <c r="N1506">
        <v>81.861446000000001</v>
      </c>
      <c r="O1506">
        <v>28.093</v>
      </c>
      <c r="P1506">
        <v>31.141999999999999</v>
      </c>
      <c r="Q1506">
        <v>20.893999999999998</v>
      </c>
      <c r="R1506">
        <v>30</v>
      </c>
      <c r="S1506" t="s">
        <v>83</v>
      </c>
      <c r="T1506">
        <f>IF(TRIM(Table1[[#This Row],[PitStopLaps]])="",0,
LEN(Table1[[#This Row],[PitStopLaps]])-LEN(SUBSTITUTE(Table1[[#This Row],[PitStopLaps]],",",""))+1)</f>
        <v>1</v>
      </c>
      <c r="U1506">
        <f>Table1[[#This Row],[StartPosition]]-Table1[[#This Row],[FinishPosition]]</f>
        <v>3</v>
      </c>
    </row>
    <row r="1507" spans="1:21" x14ac:dyDescent="0.3">
      <c r="A1507">
        <v>2021</v>
      </c>
      <c r="B1507">
        <v>18</v>
      </c>
      <c r="C1507" t="s">
        <v>736</v>
      </c>
      <c r="D1507" t="s">
        <v>47</v>
      </c>
      <c r="E1507" t="s">
        <v>48</v>
      </c>
      <c r="F1507" t="s">
        <v>22</v>
      </c>
      <c r="G1507">
        <v>6</v>
      </c>
      <c r="H1507">
        <v>6</v>
      </c>
      <c r="I1507">
        <v>8</v>
      </c>
      <c r="J1507" t="s">
        <v>34</v>
      </c>
      <c r="K1507" t="s">
        <v>65</v>
      </c>
      <c r="L1507">
        <v>70</v>
      </c>
      <c r="M1507">
        <v>80.081000000000003</v>
      </c>
      <c r="N1507">
        <v>81.908843000000005</v>
      </c>
      <c r="O1507">
        <v>28.355</v>
      </c>
      <c r="P1507">
        <v>30.928000000000001</v>
      </c>
      <c r="Q1507">
        <v>20.667000000000002</v>
      </c>
      <c r="R1507">
        <v>42</v>
      </c>
      <c r="S1507" t="s">
        <v>83</v>
      </c>
      <c r="T1507">
        <f>IF(TRIM(Table1[[#This Row],[PitStopLaps]])="",0,
LEN(Table1[[#This Row],[PitStopLaps]])-LEN(SUBSTITUTE(Table1[[#This Row],[PitStopLaps]],",",""))+1)</f>
        <v>1</v>
      </c>
      <c r="U1507">
        <f>Table1[[#This Row],[StartPosition]]-Table1[[#This Row],[FinishPosition]]</f>
        <v>0</v>
      </c>
    </row>
    <row r="1508" spans="1:21" x14ac:dyDescent="0.3">
      <c r="A1508">
        <v>2021</v>
      </c>
      <c r="B1508">
        <v>18</v>
      </c>
      <c r="C1508" t="s">
        <v>736</v>
      </c>
      <c r="D1508" t="s">
        <v>20</v>
      </c>
      <c r="E1508" t="s">
        <v>21</v>
      </c>
      <c r="F1508" t="s">
        <v>603</v>
      </c>
      <c r="G1508">
        <v>9</v>
      </c>
      <c r="H1508">
        <v>7</v>
      </c>
      <c r="I1508">
        <v>6</v>
      </c>
      <c r="J1508" t="s">
        <v>34</v>
      </c>
      <c r="K1508" t="s">
        <v>65</v>
      </c>
      <c r="L1508">
        <v>70</v>
      </c>
      <c r="M1508">
        <v>80.459999999999994</v>
      </c>
      <c r="N1508">
        <v>82.022155999999995</v>
      </c>
      <c r="O1508">
        <v>28.661999999999999</v>
      </c>
      <c r="P1508">
        <v>30.991</v>
      </c>
      <c r="Q1508">
        <v>20.806999999999999</v>
      </c>
      <c r="R1508">
        <v>33</v>
      </c>
      <c r="S1508" t="s">
        <v>83</v>
      </c>
      <c r="T1508">
        <f>IF(TRIM(Table1[[#This Row],[PitStopLaps]])="",0,
LEN(Table1[[#This Row],[PitStopLaps]])-LEN(SUBSTITUTE(Table1[[#This Row],[PitStopLaps]],",",""))+1)</f>
        <v>1</v>
      </c>
      <c r="U1508">
        <f>Table1[[#This Row],[StartPosition]]-Table1[[#This Row],[FinishPosition]]</f>
        <v>2</v>
      </c>
    </row>
    <row r="1509" spans="1:21" x14ac:dyDescent="0.3">
      <c r="A1509">
        <v>2021</v>
      </c>
      <c r="B1509">
        <v>18</v>
      </c>
      <c r="C1509" t="s">
        <v>736</v>
      </c>
      <c r="D1509" t="s">
        <v>29</v>
      </c>
      <c r="E1509" t="s">
        <v>30</v>
      </c>
      <c r="F1509" t="s">
        <v>243</v>
      </c>
      <c r="G1509">
        <v>10</v>
      </c>
      <c r="H1509">
        <v>8</v>
      </c>
      <c r="I1509">
        <v>4</v>
      </c>
      <c r="J1509" t="s">
        <v>34</v>
      </c>
      <c r="K1509" t="s">
        <v>65</v>
      </c>
      <c r="L1509">
        <v>70</v>
      </c>
      <c r="M1509">
        <v>80.712999999999994</v>
      </c>
      <c r="N1509">
        <v>82.076561999999996</v>
      </c>
      <c r="O1509">
        <v>28.289000000000001</v>
      </c>
      <c r="P1509">
        <v>31.363</v>
      </c>
      <c r="Q1509">
        <v>20.896000000000001</v>
      </c>
      <c r="R1509">
        <v>32</v>
      </c>
      <c r="S1509" t="s">
        <v>83</v>
      </c>
      <c r="T1509">
        <f>IF(TRIM(Table1[[#This Row],[PitStopLaps]])="",0,
LEN(Table1[[#This Row],[PitStopLaps]])-LEN(SUBSTITUTE(Table1[[#This Row],[PitStopLaps]],",",""))+1)</f>
        <v>1</v>
      </c>
      <c r="U1509">
        <f>Table1[[#This Row],[StartPosition]]-Table1[[#This Row],[FinishPosition]]</f>
        <v>2</v>
      </c>
    </row>
    <row r="1510" spans="1:21" x14ac:dyDescent="0.3">
      <c r="A1510">
        <v>2021</v>
      </c>
      <c r="B1510">
        <v>18</v>
      </c>
      <c r="C1510" t="s">
        <v>736</v>
      </c>
      <c r="D1510" t="s">
        <v>35</v>
      </c>
      <c r="E1510" t="s">
        <v>36</v>
      </c>
      <c r="F1510" t="s">
        <v>607</v>
      </c>
      <c r="G1510">
        <v>12</v>
      </c>
      <c r="H1510">
        <v>9</v>
      </c>
      <c r="I1510">
        <v>2</v>
      </c>
      <c r="J1510" t="s">
        <v>34</v>
      </c>
      <c r="K1510" t="s">
        <v>65</v>
      </c>
      <c r="L1510">
        <v>70</v>
      </c>
      <c r="M1510">
        <v>80.710999999999999</v>
      </c>
      <c r="N1510">
        <v>82.154889999999995</v>
      </c>
      <c r="O1510">
        <v>28.280999999999999</v>
      </c>
      <c r="P1510">
        <v>30.914000000000001</v>
      </c>
      <c r="Q1510">
        <v>20.864999999999998</v>
      </c>
      <c r="R1510">
        <v>39</v>
      </c>
      <c r="S1510" t="s">
        <v>83</v>
      </c>
      <c r="T1510">
        <f>IF(TRIM(Table1[[#This Row],[PitStopLaps]])="",0,
LEN(Table1[[#This Row],[PitStopLaps]])-LEN(SUBSTITUTE(Table1[[#This Row],[PitStopLaps]],",",""))+1)</f>
        <v>1</v>
      </c>
      <c r="U1510">
        <f>Table1[[#This Row],[StartPosition]]-Table1[[#This Row],[FinishPosition]]</f>
        <v>3</v>
      </c>
    </row>
    <row r="1511" spans="1:21" x14ac:dyDescent="0.3">
      <c r="A1511">
        <v>2021</v>
      </c>
      <c r="B1511">
        <v>18</v>
      </c>
      <c r="C1511" t="s">
        <v>736</v>
      </c>
      <c r="D1511" t="s">
        <v>246</v>
      </c>
      <c r="E1511" t="s">
        <v>247</v>
      </c>
      <c r="F1511" t="s">
        <v>37</v>
      </c>
      <c r="G1511">
        <v>18</v>
      </c>
      <c r="H1511">
        <v>10</v>
      </c>
      <c r="I1511">
        <v>1</v>
      </c>
      <c r="J1511" t="s">
        <v>34</v>
      </c>
      <c r="K1511" t="s">
        <v>65</v>
      </c>
      <c r="L1511">
        <v>70</v>
      </c>
      <c r="M1511">
        <v>80.617000000000004</v>
      </c>
      <c r="N1511">
        <v>82.187640000000002</v>
      </c>
      <c r="O1511">
        <v>28.373000000000001</v>
      </c>
      <c r="P1511">
        <v>31.128</v>
      </c>
      <c r="Q1511">
        <v>20.925999999999998</v>
      </c>
      <c r="R1511">
        <v>44</v>
      </c>
      <c r="S1511" t="s">
        <v>83</v>
      </c>
      <c r="T1511">
        <f>IF(TRIM(Table1[[#This Row],[PitStopLaps]])="",0,
LEN(Table1[[#This Row],[PitStopLaps]])-LEN(SUBSTITUTE(Table1[[#This Row],[PitStopLaps]],",",""))+1)</f>
        <v>1</v>
      </c>
      <c r="U1511">
        <f>Table1[[#This Row],[StartPosition]]-Table1[[#This Row],[FinishPosition]]</f>
        <v>8</v>
      </c>
    </row>
    <row r="1512" spans="1:21" x14ac:dyDescent="0.3">
      <c r="A1512">
        <v>2021</v>
      </c>
      <c r="B1512">
        <v>18</v>
      </c>
      <c r="C1512" t="s">
        <v>736</v>
      </c>
      <c r="D1512" t="s">
        <v>250</v>
      </c>
      <c r="E1512" t="s">
        <v>251</v>
      </c>
      <c r="F1512" t="s">
        <v>243</v>
      </c>
      <c r="G1512">
        <v>11</v>
      </c>
      <c r="H1512">
        <v>11</v>
      </c>
      <c r="I1512">
        <v>0</v>
      </c>
      <c r="J1512" t="s">
        <v>34</v>
      </c>
      <c r="K1512" t="s">
        <v>65</v>
      </c>
      <c r="L1512">
        <v>70</v>
      </c>
      <c r="M1512">
        <v>81.522999999999996</v>
      </c>
      <c r="N1512">
        <v>82.764234000000002</v>
      </c>
      <c r="O1512">
        <v>28.577999999999999</v>
      </c>
      <c r="P1512">
        <v>31.702999999999999</v>
      </c>
      <c r="Q1512">
        <v>21.058</v>
      </c>
      <c r="R1512">
        <v>16</v>
      </c>
      <c r="S1512" t="s">
        <v>83</v>
      </c>
      <c r="T1512">
        <f>IF(TRIM(Table1[[#This Row],[PitStopLaps]])="",0,
LEN(Table1[[#This Row],[PitStopLaps]])-LEN(SUBSTITUTE(Table1[[#This Row],[PitStopLaps]],",",""))+1)</f>
        <v>1</v>
      </c>
      <c r="U1512">
        <f>Table1[[#This Row],[StartPosition]]-Table1[[#This Row],[FinishPosition]]</f>
        <v>0</v>
      </c>
    </row>
    <row r="1513" spans="1:21" x14ac:dyDescent="0.3">
      <c r="A1513">
        <v>2021</v>
      </c>
      <c r="B1513">
        <v>18</v>
      </c>
      <c r="C1513" t="s">
        <v>736</v>
      </c>
      <c r="D1513" t="s">
        <v>31</v>
      </c>
      <c r="E1513" t="s">
        <v>32</v>
      </c>
      <c r="F1513" t="s">
        <v>37</v>
      </c>
      <c r="G1513">
        <v>7</v>
      </c>
      <c r="H1513">
        <v>12</v>
      </c>
      <c r="I1513">
        <v>0</v>
      </c>
      <c r="J1513" t="s">
        <v>34</v>
      </c>
      <c r="K1513" t="s">
        <v>65</v>
      </c>
      <c r="L1513">
        <v>70</v>
      </c>
      <c r="M1513">
        <v>81.069000000000003</v>
      </c>
      <c r="N1513">
        <v>82.688765000000004</v>
      </c>
      <c r="O1513">
        <v>28.454999999999998</v>
      </c>
      <c r="P1513">
        <v>31.38</v>
      </c>
      <c r="Q1513">
        <v>20.905999999999999</v>
      </c>
      <c r="R1513" t="s">
        <v>737</v>
      </c>
      <c r="S1513" t="s">
        <v>83</v>
      </c>
      <c r="T1513">
        <f>IF(TRIM(Table1[[#This Row],[PitStopLaps]])="",0,
LEN(Table1[[#This Row],[PitStopLaps]])-LEN(SUBSTITUTE(Table1[[#This Row],[PitStopLaps]],",",""))+1)</f>
        <v>2</v>
      </c>
      <c r="U1513">
        <f>Table1[[#This Row],[StartPosition]]-Table1[[#This Row],[FinishPosition]]</f>
        <v>-5</v>
      </c>
    </row>
    <row r="1514" spans="1:21" x14ac:dyDescent="0.3">
      <c r="A1514">
        <v>2021</v>
      </c>
      <c r="B1514">
        <v>18</v>
      </c>
      <c r="C1514" t="s">
        <v>736</v>
      </c>
      <c r="D1514" t="s">
        <v>52</v>
      </c>
      <c r="E1514" t="s">
        <v>53</v>
      </c>
      <c r="F1514" t="s">
        <v>607</v>
      </c>
      <c r="G1514">
        <v>19</v>
      </c>
      <c r="H1514">
        <v>13</v>
      </c>
      <c r="I1514">
        <v>0</v>
      </c>
      <c r="J1514" t="s">
        <v>34</v>
      </c>
      <c r="K1514" t="s">
        <v>65</v>
      </c>
      <c r="L1514">
        <v>70</v>
      </c>
      <c r="M1514">
        <v>81.347999999999999</v>
      </c>
      <c r="N1514">
        <v>82.909280999999993</v>
      </c>
      <c r="O1514">
        <v>28.683</v>
      </c>
      <c r="P1514">
        <v>31.491</v>
      </c>
      <c r="Q1514">
        <v>21.024999999999999</v>
      </c>
      <c r="R1514">
        <v>14</v>
      </c>
      <c r="S1514" t="s">
        <v>83</v>
      </c>
      <c r="T1514">
        <f>IF(TRIM(Table1[[#This Row],[PitStopLaps]])="",0,
LEN(Table1[[#This Row],[PitStopLaps]])-LEN(SUBSTITUTE(Table1[[#This Row],[PitStopLaps]],",",""))+1)</f>
        <v>1</v>
      </c>
      <c r="U1514">
        <f>Table1[[#This Row],[StartPosition]]-Table1[[#This Row],[FinishPosition]]</f>
        <v>6</v>
      </c>
    </row>
    <row r="1515" spans="1:21" x14ac:dyDescent="0.3">
      <c r="A1515">
        <v>2021</v>
      </c>
      <c r="B1515">
        <v>18</v>
      </c>
      <c r="C1515" t="s">
        <v>736</v>
      </c>
      <c r="D1515" t="s">
        <v>58</v>
      </c>
      <c r="E1515" t="s">
        <v>59</v>
      </c>
      <c r="F1515" t="s">
        <v>603</v>
      </c>
      <c r="G1515">
        <v>20</v>
      </c>
      <c r="H1515">
        <v>14</v>
      </c>
      <c r="I1515">
        <v>0</v>
      </c>
      <c r="J1515" t="s">
        <v>34</v>
      </c>
      <c r="K1515" t="s">
        <v>127</v>
      </c>
      <c r="L1515">
        <v>69</v>
      </c>
      <c r="M1515">
        <v>80.930000000000007</v>
      </c>
      <c r="N1515">
        <v>82.695228999999998</v>
      </c>
      <c r="O1515">
        <v>28.198</v>
      </c>
      <c r="P1515">
        <v>31.305</v>
      </c>
      <c r="Q1515">
        <v>20.93</v>
      </c>
      <c r="R1515" t="s">
        <v>551</v>
      </c>
      <c r="S1515" t="s">
        <v>83</v>
      </c>
      <c r="T1515">
        <f>IF(TRIM(Table1[[#This Row],[PitStopLaps]])="",0,
LEN(Table1[[#This Row],[PitStopLaps]])-LEN(SUBSTITUTE(Table1[[#This Row],[PitStopLaps]],",",""))+1)</f>
        <v>2</v>
      </c>
      <c r="U1515">
        <f>Table1[[#This Row],[StartPosition]]-Table1[[#This Row],[FinishPosition]]</f>
        <v>6</v>
      </c>
    </row>
    <row r="1516" spans="1:21" x14ac:dyDescent="0.3">
      <c r="A1516">
        <v>2021</v>
      </c>
      <c r="B1516">
        <v>18</v>
      </c>
      <c r="C1516" t="s">
        <v>736</v>
      </c>
      <c r="D1516" t="s">
        <v>43</v>
      </c>
      <c r="E1516" t="s">
        <v>44</v>
      </c>
      <c r="F1516" t="s">
        <v>28</v>
      </c>
      <c r="G1516">
        <v>1</v>
      </c>
      <c r="H1516">
        <v>15</v>
      </c>
      <c r="I1516">
        <v>0</v>
      </c>
      <c r="J1516" t="s">
        <v>34</v>
      </c>
      <c r="K1516" t="s">
        <v>127</v>
      </c>
      <c r="L1516">
        <v>69</v>
      </c>
      <c r="M1516">
        <v>77.774000000000001</v>
      </c>
      <c r="N1516">
        <v>82.584863999999996</v>
      </c>
      <c r="O1516">
        <v>27.391999999999999</v>
      </c>
      <c r="P1516">
        <v>29.991</v>
      </c>
      <c r="Q1516">
        <v>20.390999999999998</v>
      </c>
      <c r="R1516" t="s">
        <v>738</v>
      </c>
      <c r="S1516" t="s">
        <v>83</v>
      </c>
      <c r="T1516">
        <f>IF(TRIM(Table1[[#This Row],[PitStopLaps]])="",0,
LEN(Table1[[#This Row],[PitStopLaps]])-LEN(SUBSTITUTE(Table1[[#This Row],[PitStopLaps]],",",""))+1)</f>
        <v>4</v>
      </c>
      <c r="U1516">
        <f>Table1[[#This Row],[StartPosition]]-Table1[[#This Row],[FinishPosition]]</f>
        <v>-14</v>
      </c>
    </row>
    <row r="1517" spans="1:21" x14ac:dyDescent="0.3">
      <c r="A1517">
        <v>2021</v>
      </c>
      <c r="B1517">
        <v>18</v>
      </c>
      <c r="C1517" t="s">
        <v>736</v>
      </c>
      <c r="D1517" t="s">
        <v>252</v>
      </c>
      <c r="E1517" t="s">
        <v>253</v>
      </c>
      <c r="F1517" t="s">
        <v>60</v>
      </c>
      <c r="G1517">
        <v>16</v>
      </c>
      <c r="H1517">
        <v>16</v>
      </c>
      <c r="I1517">
        <v>0</v>
      </c>
      <c r="J1517" t="s">
        <v>34</v>
      </c>
      <c r="K1517" t="s">
        <v>127</v>
      </c>
      <c r="L1517">
        <v>69</v>
      </c>
      <c r="M1517">
        <v>82.016000000000005</v>
      </c>
      <c r="N1517">
        <v>83.703840999999997</v>
      </c>
      <c r="O1517">
        <v>29.010999999999999</v>
      </c>
      <c r="P1517">
        <v>31.812000000000001</v>
      </c>
      <c r="Q1517">
        <v>21.056999999999999</v>
      </c>
      <c r="R1517">
        <v>15</v>
      </c>
      <c r="S1517" t="s">
        <v>83</v>
      </c>
      <c r="T1517">
        <f>IF(TRIM(Table1[[#This Row],[PitStopLaps]])="",0,
LEN(Table1[[#This Row],[PitStopLaps]])-LEN(SUBSTITUTE(Table1[[#This Row],[PitStopLaps]],",",""))+1)</f>
        <v>1</v>
      </c>
      <c r="U1517">
        <f>Table1[[#This Row],[StartPosition]]-Table1[[#This Row],[FinishPosition]]</f>
        <v>0</v>
      </c>
    </row>
    <row r="1518" spans="1:21" x14ac:dyDescent="0.3">
      <c r="A1518">
        <v>2021</v>
      </c>
      <c r="B1518">
        <v>18</v>
      </c>
      <c r="C1518" t="s">
        <v>736</v>
      </c>
      <c r="D1518" t="s">
        <v>440</v>
      </c>
      <c r="E1518" t="s">
        <v>441</v>
      </c>
      <c r="F1518" t="s">
        <v>60</v>
      </c>
      <c r="G1518">
        <v>13</v>
      </c>
      <c r="H1518">
        <v>17</v>
      </c>
      <c r="I1518">
        <v>0</v>
      </c>
      <c r="J1518" t="s">
        <v>34</v>
      </c>
      <c r="K1518" t="s">
        <v>127</v>
      </c>
      <c r="L1518">
        <v>69</v>
      </c>
      <c r="M1518">
        <v>81.546000000000006</v>
      </c>
      <c r="N1518">
        <v>83.509</v>
      </c>
      <c r="O1518">
        <v>28.814</v>
      </c>
      <c r="P1518">
        <v>31.210999999999999</v>
      </c>
      <c r="Q1518">
        <v>21.11</v>
      </c>
      <c r="R1518" t="s">
        <v>739</v>
      </c>
      <c r="S1518" t="s">
        <v>83</v>
      </c>
      <c r="T1518">
        <f>IF(TRIM(Table1[[#This Row],[PitStopLaps]])="",0,
LEN(Table1[[#This Row],[PitStopLaps]])-LEN(SUBSTITUTE(Table1[[#This Row],[PitStopLaps]],",",""))+1)</f>
        <v>2</v>
      </c>
      <c r="U1518">
        <f>Table1[[#This Row],[StartPosition]]-Table1[[#This Row],[FinishPosition]]</f>
        <v>-4</v>
      </c>
    </row>
    <row r="1519" spans="1:21" x14ac:dyDescent="0.3">
      <c r="A1519">
        <v>2021</v>
      </c>
      <c r="B1519">
        <v>18</v>
      </c>
      <c r="C1519" t="s">
        <v>736</v>
      </c>
      <c r="D1519" t="s">
        <v>613</v>
      </c>
      <c r="E1519" t="s">
        <v>614</v>
      </c>
      <c r="F1519" t="s">
        <v>69</v>
      </c>
      <c r="G1519">
        <v>15</v>
      </c>
      <c r="H1519">
        <v>18</v>
      </c>
      <c r="I1519">
        <v>0</v>
      </c>
      <c r="J1519" t="s">
        <v>34</v>
      </c>
      <c r="K1519" t="s">
        <v>130</v>
      </c>
      <c r="L1519">
        <v>68</v>
      </c>
      <c r="M1519">
        <v>81.402000000000001</v>
      </c>
      <c r="N1519">
        <v>84.683915999999996</v>
      </c>
      <c r="O1519">
        <v>28.722000000000001</v>
      </c>
      <c r="P1519">
        <v>31.608000000000001</v>
      </c>
      <c r="Q1519">
        <v>21.071999999999999</v>
      </c>
      <c r="R1519" t="s">
        <v>740</v>
      </c>
      <c r="S1519" t="s">
        <v>83</v>
      </c>
      <c r="T1519">
        <f>IF(TRIM(Table1[[#This Row],[PitStopLaps]])="",0,
LEN(Table1[[#This Row],[PitStopLaps]])-LEN(SUBSTITUTE(Table1[[#This Row],[PitStopLaps]],",",""))+1)</f>
        <v>2</v>
      </c>
      <c r="U1519">
        <f>Table1[[#This Row],[StartPosition]]-Table1[[#This Row],[FinishPosition]]</f>
        <v>-3</v>
      </c>
    </row>
    <row r="1520" spans="1:21" x14ac:dyDescent="0.3">
      <c r="A1520">
        <v>2021</v>
      </c>
      <c r="B1520">
        <v>18</v>
      </c>
      <c r="C1520" t="s">
        <v>736</v>
      </c>
      <c r="D1520" t="s">
        <v>608</v>
      </c>
      <c r="E1520" t="s">
        <v>609</v>
      </c>
      <c r="F1520" t="s">
        <v>69</v>
      </c>
      <c r="G1520">
        <v>14</v>
      </c>
      <c r="H1520">
        <v>19</v>
      </c>
      <c r="I1520">
        <v>0</v>
      </c>
      <c r="J1520" t="s">
        <v>34</v>
      </c>
      <c r="K1520" t="s">
        <v>124</v>
      </c>
      <c r="L1520">
        <v>1</v>
      </c>
      <c r="S1520" t="s">
        <v>83</v>
      </c>
      <c r="T1520">
        <f>IF(TRIM(Table1[[#This Row],[PitStopLaps]])="",0,
LEN(Table1[[#This Row],[PitStopLaps]])-LEN(SUBSTITUTE(Table1[[#This Row],[PitStopLaps]],",",""))+1)</f>
        <v>0</v>
      </c>
      <c r="U1520">
        <f>Table1[[#This Row],[StartPosition]]-Table1[[#This Row],[FinishPosition]]</f>
        <v>-5</v>
      </c>
    </row>
    <row r="1521" spans="1:21" x14ac:dyDescent="0.3">
      <c r="A1521">
        <v>2021</v>
      </c>
      <c r="B1521">
        <v>18</v>
      </c>
      <c r="C1521" t="s">
        <v>736</v>
      </c>
      <c r="D1521" t="s">
        <v>601</v>
      </c>
      <c r="E1521" t="s">
        <v>602</v>
      </c>
      <c r="F1521" t="s">
        <v>438</v>
      </c>
      <c r="G1521">
        <v>17</v>
      </c>
      <c r="H1521">
        <v>20</v>
      </c>
      <c r="I1521">
        <v>0</v>
      </c>
      <c r="J1521" t="s">
        <v>34</v>
      </c>
      <c r="K1521" t="s">
        <v>124</v>
      </c>
      <c r="L1521">
        <v>1</v>
      </c>
      <c r="S1521" t="s">
        <v>83</v>
      </c>
      <c r="T1521">
        <f>IF(TRIM(Table1[[#This Row],[PitStopLaps]])="",0,
LEN(Table1[[#This Row],[PitStopLaps]])-LEN(SUBSTITUTE(Table1[[#This Row],[PitStopLaps]],",",""))+1)</f>
        <v>0</v>
      </c>
      <c r="U1521">
        <f>Table1[[#This Row],[StartPosition]]-Table1[[#This Row],[FinishPosition]]</f>
        <v>-3</v>
      </c>
    </row>
    <row r="1522" spans="1:21" x14ac:dyDescent="0.3">
      <c r="A1522">
        <v>2021</v>
      </c>
      <c r="B1522">
        <v>19</v>
      </c>
      <c r="C1522" t="s">
        <v>741</v>
      </c>
      <c r="D1522" t="s">
        <v>26</v>
      </c>
      <c r="E1522" t="s">
        <v>27</v>
      </c>
      <c r="F1522" t="s">
        <v>28</v>
      </c>
      <c r="G1522">
        <v>10</v>
      </c>
      <c r="H1522">
        <v>1</v>
      </c>
      <c r="I1522">
        <v>25</v>
      </c>
      <c r="J1522" t="s">
        <v>23</v>
      </c>
      <c r="K1522" t="s">
        <v>24</v>
      </c>
      <c r="L1522">
        <v>71</v>
      </c>
      <c r="M1522">
        <v>71.981999999999999</v>
      </c>
      <c r="N1522">
        <v>73.594631000000007</v>
      </c>
      <c r="O1522">
        <v>18.280999999999999</v>
      </c>
      <c r="P1522">
        <v>36.877000000000002</v>
      </c>
      <c r="Q1522">
        <v>16.396000000000001</v>
      </c>
      <c r="R1522" t="s">
        <v>742</v>
      </c>
      <c r="S1522" t="s">
        <v>83</v>
      </c>
      <c r="T1522">
        <f>IF(TRIM(Table1[[#This Row],[PitStopLaps]])="",0,
LEN(Table1[[#This Row],[PitStopLaps]])-LEN(SUBSTITUTE(Table1[[#This Row],[PitStopLaps]],",",""))+1)</f>
        <v>4</v>
      </c>
      <c r="U1522">
        <f>Table1[[#This Row],[StartPosition]]-Table1[[#This Row],[FinishPosition]]</f>
        <v>9</v>
      </c>
    </row>
    <row r="1523" spans="1:21" x14ac:dyDescent="0.3">
      <c r="A1523">
        <v>2021</v>
      </c>
      <c r="B1523">
        <v>19</v>
      </c>
      <c r="C1523" t="s">
        <v>741</v>
      </c>
      <c r="D1523" t="s">
        <v>38</v>
      </c>
      <c r="E1523" t="s">
        <v>39</v>
      </c>
      <c r="F1523" t="s">
        <v>33</v>
      </c>
      <c r="G1523">
        <v>2</v>
      </c>
      <c r="H1523">
        <v>2</v>
      </c>
      <c r="I1523">
        <v>18</v>
      </c>
      <c r="J1523" t="s">
        <v>23</v>
      </c>
      <c r="K1523" t="s">
        <v>24</v>
      </c>
      <c r="L1523">
        <v>71</v>
      </c>
      <c r="M1523">
        <v>72.486000000000004</v>
      </c>
      <c r="N1523">
        <v>73.775981999999999</v>
      </c>
      <c r="O1523">
        <v>18.643000000000001</v>
      </c>
      <c r="P1523">
        <v>36.923000000000002</v>
      </c>
      <c r="Q1523">
        <v>16.744</v>
      </c>
      <c r="R1523" t="s">
        <v>743</v>
      </c>
      <c r="S1523" t="s">
        <v>83</v>
      </c>
      <c r="T1523">
        <f>IF(TRIM(Table1[[#This Row],[PitStopLaps]])="",0,
LEN(Table1[[#This Row],[PitStopLaps]])-LEN(SUBSTITUTE(Table1[[#This Row],[PitStopLaps]],",",""))+1)</f>
        <v>4</v>
      </c>
      <c r="U1523">
        <f>Table1[[#This Row],[StartPosition]]-Table1[[#This Row],[FinishPosition]]</f>
        <v>0</v>
      </c>
    </row>
    <row r="1524" spans="1:21" x14ac:dyDescent="0.3">
      <c r="A1524">
        <v>2021</v>
      </c>
      <c r="B1524">
        <v>19</v>
      </c>
      <c r="C1524" t="s">
        <v>741</v>
      </c>
      <c r="D1524" t="s">
        <v>43</v>
      </c>
      <c r="E1524" t="s">
        <v>44</v>
      </c>
      <c r="F1524" t="s">
        <v>28</v>
      </c>
      <c r="G1524">
        <v>1</v>
      </c>
      <c r="H1524">
        <v>3</v>
      </c>
      <c r="I1524">
        <v>15</v>
      </c>
      <c r="J1524" t="s">
        <v>23</v>
      </c>
      <c r="K1524" t="s">
        <v>24</v>
      </c>
      <c r="L1524">
        <v>71</v>
      </c>
      <c r="M1524">
        <v>72.525999999999996</v>
      </c>
      <c r="N1524">
        <v>73.986999999999995</v>
      </c>
      <c r="O1524">
        <v>18.492000000000001</v>
      </c>
      <c r="P1524">
        <v>37.177</v>
      </c>
      <c r="Q1524">
        <v>16.782</v>
      </c>
      <c r="R1524" t="s">
        <v>744</v>
      </c>
      <c r="S1524" t="s">
        <v>83</v>
      </c>
      <c r="T1524">
        <f>IF(TRIM(Table1[[#This Row],[PitStopLaps]])="",0,
LEN(Table1[[#This Row],[PitStopLaps]])-LEN(SUBSTITUTE(Table1[[#This Row],[PitStopLaps]],",",""))+1)</f>
        <v>4</v>
      </c>
      <c r="U1524">
        <f>Table1[[#This Row],[StartPosition]]-Table1[[#This Row],[FinishPosition]]</f>
        <v>-2</v>
      </c>
    </row>
    <row r="1525" spans="1:21" x14ac:dyDescent="0.3">
      <c r="A1525">
        <v>2021</v>
      </c>
      <c r="B1525">
        <v>19</v>
      </c>
      <c r="C1525" t="s">
        <v>741</v>
      </c>
      <c r="D1525" t="s">
        <v>49</v>
      </c>
      <c r="E1525" t="s">
        <v>50</v>
      </c>
      <c r="F1525" t="s">
        <v>33</v>
      </c>
      <c r="G1525">
        <v>4</v>
      </c>
      <c r="H1525">
        <v>4</v>
      </c>
      <c r="I1525">
        <v>13</v>
      </c>
      <c r="J1525" t="s">
        <v>34</v>
      </c>
      <c r="K1525" t="s">
        <v>24</v>
      </c>
      <c r="L1525">
        <v>71</v>
      </c>
      <c r="M1525">
        <v>71.010000000000005</v>
      </c>
      <c r="N1525">
        <v>73.861126999999996</v>
      </c>
      <c r="O1525">
        <v>18.367000000000001</v>
      </c>
      <c r="P1525">
        <v>36.014000000000003</v>
      </c>
      <c r="Q1525">
        <v>16.544</v>
      </c>
      <c r="R1525" t="s">
        <v>745</v>
      </c>
      <c r="S1525" t="s">
        <v>83</v>
      </c>
      <c r="T1525">
        <f>IF(TRIM(Table1[[#This Row],[PitStopLaps]])="",0,
LEN(Table1[[#This Row],[PitStopLaps]])-LEN(SUBSTITUTE(Table1[[#This Row],[PitStopLaps]],",",""))+1)</f>
        <v>5</v>
      </c>
      <c r="U1525">
        <f>Table1[[#This Row],[StartPosition]]-Table1[[#This Row],[FinishPosition]]</f>
        <v>0</v>
      </c>
    </row>
    <row r="1526" spans="1:21" x14ac:dyDescent="0.3">
      <c r="A1526">
        <v>2021</v>
      </c>
      <c r="B1526">
        <v>19</v>
      </c>
      <c r="C1526" t="s">
        <v>741</v>
      </c>
      <c r="D1526" t="s">
        <v>54</v>
      </c>
      <c r="E1526" t="s">
        <v>55</v>
      </c>
      <c r="F1526" t="s">
        <v>22</v>
      </c>
      <c r="G1526">
        <v>6</v>
      </c>
      <c r="H1526">
        <v>5</v>
      </c>
      <c r="I1526">
        <v>10</v>
      </c>
      <c r="J1526" t="s">
        <v>34</v>
      </c>
      <c r="K1526" t="s">
        <v>24</v>
      </c>
      <c r="L1526">
        <v>71</v>
      </c>
      <c r="M1526">
        <v>72.822000000000003</v>
      </c>
      <c r="N1526">
        <v>74.448016999999993</v>
      </c>
      <c r="O1526">
        <v>18.613</v>
      </c>
      <c r="P1526">
        <v>37.072000000000003</v>
      </c>
      <c r="Q1526">
        <v>16.826999999999899</v>
      </c>
      <c r="R1526" t="s">
        <v>746</v>
      </c>
      <c r="S1526" t="s">
        <v>83</v>
      </c>
      <c r="T1526">
        <f>IF(TRIM(Table1[[#This Row],[PitStopLaps]])="",0,
LEN(Table1[[#This Row],[PitStopLaps]])-LEN(SUBSTITUTE(Table1[[#This Row],[PitStopLaps]],",",""))+1)</f>
        <v>4</v>
      </c>
      <c r="U1526">
        <f>Table1[[#This Row],[StartPosition]]-Table1[[#This Row],[FinishPosition]]</f>
        <v>1</v>
      </c>
    </row>
    <row r="1527" spans="1:21" x14ac:dyDescent="0.3">
      <c r="A1527">
        <v>2021</v>
      </c>
      <c r="B1527">
        <v>19</v>
      </c>
      <c r="C1527" t="s">
        <v>741</v>
      </c>
      <c r="D1527" t="s">
        <v>47</v>
      </c>
      <c r="E1527" t="s">
        <v>48</v>
      </c>
      <c r="F1527" t="s">
        <v>22</v>
      </c>
      <c r="G1527">
        <v>3</v>
      </c>
      <c r="H1527">
        <v>6</v>
      </c>
      <c r="I1527">
        <v>8</v>
      </c>
      <c r="J1527" t="s">
        <v>34</v>
      </c>
      <c r="K1527" t="s">
        <v>24</v>
      </c>
      <c r="L1527">
        <v>71</v>
      </c>
      <c r="M1527">
        <v>72.709999999999994</v>
      </c>
      <c r="N1527">
        <v>74.467636999999996</v>
      </c>
      <c r="O1527">
        <v>18.658000000000001</v>
      </c>
      <c r="P1527">
        <v>37.1</v>
      </c>
      <c r="Q1527">
        <v>16.850000000000001</v>
      </c>
      <c r="R1527" t="s">
        <v>747</v>
      </c>
      <c r="S1527" t="s">
        <v>83</v>
      </c>
      <c r="T1527">
        <f>IF(TRIM(Table1[[#This Row],[PitStopLaps]])="",0,
LEN(Table1[[#This Row],[PitStopLaps]])-LEN(SUBSTITUTE(Table1[[#This Row],[PitStopLaps]],",",""))+1)</f>
        <v>4</v>
      </c>
      <c r="U1527">
        <f>Table1[[#This Row],[StartPosition]]-Table1[[#This Row],[FinishPosition]]</f>
        <v>-3</v>
      </c>
    </row>
    <row r="1528" spans="1:21" x14ac:dyDescent="0.3">
      <c r="A1528">
        <v>2021</v>
      </c>
      <c r="B1528">
        <v>19</v>
      </c>
      <c r="C1528" t="s">
        <v>741</v>
      </c>
      <c r="D1528" t="s">
        <v>73</v>
      </c>
      <c r="E1528" t="s">
        <v>74</v>
      </c>
      <c r="F1528" t="s">
        <v>438</v>
      </c>
      <c r="G1528">
        <v>7</v>
      </c>
      <c r="H1528">
        <v>7</v>
      </c>
      <c r="I1528">
        <v>6</v>
      </c>
      <c r="J1528" t="s">
        <v>34</v>
      </c>
      <c r="K1528" t="s">
        <v>65</v>
      </c>
      <c r="L1528">
        <v>70</v>
      </c>
      <c r="M1528">
        <v>73.227000000000004</v>
      </c>
      <c r="N1528">
        <v>74.955982000000006</v>
      </c>
      <c r="O1528">
        <v>18.695</v>
      </c>
      <c r="P1528">
        <v>37.595999999999997</v>
      </c>
      <c r="Q1528">
        <v>16.63</v>
      </c>
      <c r="R1528" t="s">
        <v>748</v>
      </c>
      <c r="S1528" t="s">
        <v>83</v>
      </c>
      <c r="T1528">
        <f>IF(TRIM(Table1[[#This Row],[PitStopLaps]])="",0,
LEN(Table1[[#This Row],[PitStopLaps]])-LEN(SUBSTITUTE(Table1[[#This Row],[PitStopLaps]],",",""))+1)</f>
        <v>4</v>
      </c>
      <c r="U1528">
        <f>Table1[[#This Row],[StartPosition]]-Table1[[#This Row],[FinishPosition]]</f>
        <v>0</v>
      </c>
    </row>
    <row r="1529" spans="1:21" x14ac:dyDescent="0.3">
      <c r="A1529">
        <v>2021</v>
      </c>
      <c r="B1529">
        <v>19</v>
      </c>
      <c r="C1529" t="s">
        <v>741</v>
      </c>
      <c r="D1529" t="s">
        <v>52</v>
      </c>
      <c r="E1529" t="s">
        <v>53</v>
      </c>
      <c r="F1529" t="s">
        <v>607</v>
      </c>
      <c r="G1529">
        <v>8</v>
      </c>
      <c r="H1529">
        <v>8</v>
      </c>
      <c r="I1529">
        <v>4</v>
      </c>
      <c r="J1529" t="s">
        <v>34</v>
      </c>
      <c r="K1529" t="s">
        <v>65</v>
      </c>
      <c r="L1529">
        <v>70</v>
      </c>
      <c r="M1529">
        <v>74.430000000000007</v>
      </c>
      <c r="N1529">
        <v>75.579333000000005</v>
      </c>
      <c r="O1529">
        <v>18.907</v>
      </c>
      <c r="P1529">
        <v>38.206000000000003</v>
      </c>
      <c r="Q1529">
        <v>16.922999999999998</v>
      </c>
      <c r="R1529" t="s">
        <v>514</v>
      </c>
      <c r="S1529" t="s">
        <v>83</v>
      </c>
      <c r="T1529">
        <f>IF(TRIM(Table1[[#This Row],[PitStopLaps]])="",0,
LEN(Table1[[#This Row],[PitStopLaps]])-LEN(SUBSTITUTE(Table1[[#This Row],[PitStopLaps]],",",""))+1)</f>
        <v>3</v>
      </c>
      <c r="U1529">
        <f>Table1[[#This Row],[StartPosition]]-Table1[[#This Row],[FinishPosition]]</f>
        <v>0</v>
      </c>
    </row>
    <row r="1530" spans="1:21" x14ac:dyDescent="0.3">
      <c r="A1530">
        <v>2021</v>
      </c>
      <c r="B1530">
        <v>19</v>
      </c>
      <c r="C1530" t="s">
        <v>741</v>
      </c>
      <c r="D1530" t="s">
        <v>35</v>
      </c>
      <c r="E1530" t="s">
        <v>36</v>
      </c>
      <c r="F1530" t="s">
        <v>607</v>
      </c>
      <c r="G1530">
        <v>12</v>
      </c>
      <c r="H1530">
        <v>9</v>
      </c>
      <c r="I1530">
        <v>2</v>
      </c>
      <c r="J1530" t="s">
        <v>34</v>
      </c>
      <c r="K1530" t="s">
        <v>65</v>
      </c>
      <c r="L1530">
        <v>70</v>
      </c>
      <c r="M1530">
        <v>73.921999999999997</v>
      </c>
      <c r="N1530">
        <v>75.549745000000001</v>
      </c>
      <c r="O1530">
        <v>18.763999999999999</v>
      </c>
      <c r="P1530">
        <v>37.959000000000003</v>
      </c>
      <c r="Q1530">
        <v>16.777000000000001</v>
      </c>
      <c r="R1530" t="s">
        <v>749</v>
      </c>
      <c r="S1530" t="s">
        <v>83</v>
      </c>
      <c r="T1530">
        <f>IF(TRIM(Table1[[#This Row],[PitStopLaps]])="",0,
LEN(Table1[[#This Row],[PitStopLaps]])-LEN(SUBSTITUTE(Table1[[#This Row],[PitStopLaps]],",",""))+1)</f>
        <v>3</v>
      </c>
      <c r="U1530">
        <f>Table1[[#This Row],[StartPosition]]-Table1[[#This Row],[FinishPosition]]</f>
        <v>3</v>
      </c>
    </row>
    <row r="1531" spans="1:21" x14ac:dyDescent="0.3">
      <c r="A1531">
        <v>2021</v>
      </c>
      <c r="B1531">
        <v>19</v>
      </c>
      <c r="C1531" t="s">
        <v>741</v>
      </c>
      <c r="D1531" t="s">
        <v>246</v>
      </c>
      <c r="E1531" t="s">
        <v>247</v>
      </c>
      <c r="F1531" t="s">
        <v>37</v>
      </c>
      <c r="G1531">
        <v>5</v>
      </c>
      <c r="H1531">
        <v>10</v>
      </c>
      <c r="I1531">
        <v>1</v>
      </c>
      <c r="J1531" t="s">
        <v>34</v>
      </c>
      <c r="K1531" t="s">
        <v>65</v>
      </c>
      <c r="L1531">
        <v>70</v>
      </c>
      <c r="M1531">
        <v>73.760999999999996</v>
      </c>
      <c r="N1531">
        <v>75.458245000000005</v>
      </c>
      <c r="O1531">
        <v>18.853000000000002</v>
      </c>
      <c r="P1531">
        <v>38.015999999999998</v>
      </c>
      <c r="Q1531">
        <v>16.751000000000001</v>
      </c>
      <c r="R1531" t="s">
        <v>750</v>
      </c>
      <c r="S1531" t="s">
        <v>83</v>
      </c>
      <c r="T1531">
        <f>IF(TRIM(Table1[[#This Row],[PitStopLaps]])="",0,
LEN(Table1[[#This Row],[PitStopLaps]])-LEN(SUBSTITUTE(Table1[[#This Row],[PitStopLaps]],",",""))+1)</f>
        <v>5</v>
      </c>
      <c r="U1531">
        <f>Table1[[#This Row],[StartPosition]]-Table1[[#This Row],[FinishPosition]]</f>
        <v>-5</v>
      </c>
    </row>
    <row r="1532" spans="1:21" x14ac:dyDescent="0.3">
      <c r="A1532">
        <v>2021</v>
      </c>
      <c r="B1532">
        <v>19</v>
      </c>
      <c r="C1532" t="s">
        <v>741</v>
      </c>
      <c r="D1532" t="s">
        <v>20</v>
      </c>
      <c r="E1532" t="s">
        <v>21</v>
      </c>
      <c r="F1532" t="s">
        <v>603</v>
      </c>
      <c r="G1532">
        <v>9</v>
      </c>
      <c r="H1532">
        <v>11</v>
      </c>
      <c r="I1532">
        <v>0</v>
      </c>
      <c r="J1532" t="s">
        <v>34</v>
      </c>
      <c r="K1532" t="s">
        <v>65</v>
      </c>
      <c r="L1532">
        <v>70</v>
      </c>
      <c r="M1532">
        <v>73.634</v>
      </c>
      <c r="N1532">
        <v>75.250228000000007</v>
      </c>
      <c r="O1532">
        <v>18.757000000000001</v>
      </c>
      <c r="P1532">
        <v>37.847999999999999</v>
      </c>
      <c r="Q1532">
        <v>16.817</v>
      </c>
      <c r="R1532" t="s">
        <v>751</v>
      </c>
      <c r="S1532" t="s">
        <v>83</v>
      </c>
      <c r="T1532">
        <f>IF(TRIM(Table1[[#This Row],[PitStopLaps]])="",0,
LEN(Table1[[#This Row],[PitStopLaps]])-LEN(SUBSTITUTE(Table1[[#This Row],[PitStopLaps]],",",""))+1)</f>
        <v>4</v>
      </c>
      <c r="U1532">
        <f>Table1[[#This Row],[StartPosition]]-Table1[[#This Row],[FinishPosition]]</f>
        <v>-2</v>
      </c>
    </row>
    <row r="1533" spans="1:21" x14ac:dyDescent="0.3">
      <c r="A1533">
        <v>2021</v>
      </c>
      <c r="B1533">
        <v>19</v>
      </c>
      <c r="C1533" t="s">
        <v>741</v>
      </c>
      <c r="D1533" t="s">
        <v>29</v>
      </c>
      <c r="E1533" t="s">
        <v>30</v>
      </c>
      <c r="F1533" t="s">
        <v>243</v>
      </c>
      <c r="G1533">
        <v>0</v>
      </c>
      <c r="H1533">
        <v>12</v>
      </c>
      <c r="I1533">
        <v>0</v>
      </c>
      <c r="J1533" t="s">
        <v>34</v>
      </c>
      <c r="K1533" t="s">
        <v>65</v>
      </c>
      <c r="L1533">
        <v>70</v>
      </c>
      <c r="M1533">
        <v>72.620999999999995</v>
      </c>
      <c r="N1533">
        <v>75.323876999999996</v>
      </c>
      <c r="O1533">
        <v>18.707999999999998</v>
      </c>
      <c r="P1533">
        <v>37.212000000000003</v>
      </c>
      <c r="Q1533">
        <v>16.701000000000001</v>
      </c>
      <c r="R1533" t="s">
        <v>752</v>
      </c>
      <c r="S1533" t="s">
        <v>83</v>
      </c>
      <c r="T1533">
        <f>IF(TRIM(Table1[[#This Row],[PitStopLaps]])="",0,
LEN(Table1[[#This Row],[PitStopLaps]])-LEN(SUBSTITUTE(Table1[[#This Row],[PitStopLaps]],",",""))+1)</f>
        <v>4</v>
      </c>
      <c r="U1533">
        <f>Table1[[#This Row],[StartPosition]]-Table1[[#This Row],[FinishPosition]]</f>
        <v>-12</v>
      </c>
    </row>
    <row r="1534" spans="1:21" x14ac:dyDescent="0.3">
      <c r="A1534">
        <v>2021</v>
      </c>
      <c r="B1534">
        <v>19</v>
      </c>
      <c r="C1534" t="s">
        <v>741</v>
      </c>
      <c r="D1534" t="s">
        <v>252</v>
      </c>
      <c r="E1534" t="s">
        <v>253</v>
      </c>
      <c r="F1534" t="s">
        <v>60</v>
      </c>
      <c r="G1534">
        <v>17</v>
      </c>
      <c r="H1534">
        <v>13</v>
      </c>
      <c r="I1534">
        <v>0</v>
      </c>
      <c r="J1534" t="s">
        <v>34</v>
      </c>
      <c r="K1534" t="s">
        <v>65</v>
      </c>
      <c r="L1534">
        <v>70</v>
      </c>
      <c r="M1534">
        <v>74.355000000000004</v>
      </c>
      <c r="N1534">
        <v>76.241643999999994</v>
      </c>
      <c r="O1534">
        <v>18.905999999999999</v>
      </c>
      <c r="P1534">
        <v>38.258000000000003</v>
      </c>
      <c r="Q1534">
        <v>16.997</v>
      </c>
      <c r="R1534" t="s">
        <v>753</v>
      </c>
      <c r="S1534" t="s">
        <v>83</v>
      </c>
      <c r="T1534">
        <f>IF(TRIM(Table1[[#This Row],[PitStopLaps]])="",0,
LEN(Table1[[#This Row],[PitStopLaps]])-LEN(SUBSTITUTE(Table1[[#This Row],[PitStopLaps]],",",""))+1)</f>
        <v>4</v>
      </c>
      <c r="U1534">
        <f>Table1[[#This Row],[StartPosition]]-Table1[[#This Row],[FinishPosition]]</f>
        <v>4</v>
      </c>
    </row>
    <row r="1535" spans="1:21" x14ac:dyDescent="0.3">
      <c r="A1535">
        <v>2021</v>
      </c>
      <c r="B1535">
        <v>19</v>
      </c>
      <c r="C1535" t="s">
        <v>741</v>
      </c>
      <c r="D1535" t="s">
        <v>250</v>
      </c>
      <c r="E1535" t="s">
        <v>251</v>
      </c>
      <c r="F1535" t="s">
        <v>243</v>
      </c>
      <c r="G1535">
        <v>13</v>
      </c>
      <c r="H1535">
        <v>14</v>
      </c>
      <c r="I1535">
        <v>0</v>
      </c>
      <c r="J1535" t="s">
        <v>34</v>
      </c>
      <c r="K1535" t="s">
        <v>65</v>
      </c>
      <c r="L1535">
        <v>70</v>
      </c>
      <c r="M1535">
        <v>74.227000000000004</v>
      </c>
      <c r="N1535">
        <v>75.880172000000002</v>
      </c>
      <c r="O1535">
        <v>18.878</v>
      </c>
      <c r="P1535">
        <v>38.4</v>
      </c>
      <c r="Q1535">
        <v>16.817</v>
      </c>
      <c r="R1535" t="s">
        <v>754</v>
      </c>
      <c r="S1535" t="s">
        <v>83</v>
      </c>
      <c r="T1535">
        <f>IF(TRIM(Table1[[#This Row],[PitStopLaps]])="",0,
LEN(Table1[[#This Row],[PitStopLaps]])-LEN(SUBSTITUTE(Table1[[#This Row],[PitStopLaps]],",",""))+1)</f>
        <v>4</v>
      </c>
      <c r="U1535">
        <f>Table1[[#This Row],[StartPosition]]-Table1[[#This Row],[FinishPosition]]</f>
        <v>-1</v>
      </c>
    </row>
    <row r="1536" spans="1:21" x14ac:dyDescent="0.3">
      <c r="A1536">
        <v>2021</v>
      </c>
      <c r="B1536">
        <v>19</v>
      </c>
      <c r="C1536" t="s">
        <v>741</v>
      </c>
      <c r="D1536" t="s">
        <v>601</v>
      </c>
      <c r="E1536" t="s">
        <v>602</v>
      </c>
      <c r="F1536" t="s">
        <v>438</v>
      </c>
      <c r="G1536">
        <v>15</v>
      </c>
      <c r="H1536">
        <v>15</v>
      </c>
      <c r="I1536">
        <v>0</v>
      </c>
      <c r="J1536" t="s">
        <v>34</v>
      </c>
      <c r="K1536" t="s">
        <v>65</v>
      </c>
      <c r="L1536">
        <v>70</v>
      </c>
      <c r="M1536">
        <v>74.203999999999994</v>
      </c>
      <c r="N1536">
        <v>75.936368000000002</v>
      </c>
      <c r="O1536">
        <v>19.04</v>
      </c>
      <c r="P1536">
        <v>38.100999999999999</v>
      </c>
      <c r="Q1536">
        <v>16.841999999999999</v>
      </c>
      <c r="R1536" t="s">
        <v>755</v>
      </c>
      <c r="S1536" t="s">
        <v>83</v>
      </c>
      <c r="T1536">
        <f>IF(TRIM(Table1[[#This Row],[PitStopLaps]])="",0,
LEN(Table1[[#This Row],[PitStopLaps]])-LEN(SUBSTITUTE(Table1[[#This Row],[PitStopLaps]],",",""))+1)</f>
        <v>5</v>
      </c>
      <c r="U1536">
        <f>Table1[[#This Row],[StartPosition]]-Table1[[#This Row],[FinishPosition]]</f>
        <v>0</v>
      </c>
    </row>
    <row r="1537" spans="1:21" x14ac:dyDescent="0.3">
      <c r="A1537">
        <v>2021</v>
      </c>
      <c r="B1537">
        <v>19</v>
      </c>
      <c r="C1537" t="s">
        <v>741</v>
      </c>
      <c r="D1537" t="s">
        <v>440</v>
      </c>
      <c r="E1537" t="s">
        <v>441</v>
      </c>
      <c r="F1537" t="s">
        <v>60</v>
      </c>
      <c r="G1537">
        <v>16</v>
      </c>
      <c r="H1537">
        <v>16</v>
      </c>
      <c r="I1537">
        <v>0</v>
      </c>
      <c r="J1537" t="s">
        <v>34</v>
      </c>
      <c r="K1537" t="s">
        <v>65</v>
      </c>
      <c r="L1537">
        <v>70</v>
      </c>
      <c r="M1537">
        <v>74.616</v>
      </c>
      <c r="N1537">
        <v>76.018863999999994</v>
      </c>
      <c r="O1537">
        <v>18.96</v>
      </c>
      <c r="P1537">
        <v>38.445999999999998</v>
      </c>
      <c r="Q1537">
        <v>16.951999999999899</v>
      </c>
      <c r="R1537" t="s">
        <v>756</v>
      </c>
      <c r="S1537" t="s">
        <v>83</v>
      </c>
      <c r="T1537">
        <f>IF(TRIM(Table1[[#This Row],[PitStopLaps]])="",0,
LEN(Table1[[#This Row],[PitStopLaps]])-LEN(SUBSTITUTE(Table1[[#This Row],[PitStopLaps]],",",""))+1)</f>
        <v>4</v>
      </c>
      <c r="U1537">
        <f>Table1[[#This Row],[StartPosition]]-Table1[[#This Row],[FinishPosition]]</f>
        <v>0</v>
      </c>
    </row>
    <row r="1538" spans="1:21" x14ac:dyDescent="0.3">
      <c r="A1538">
        <v>2021</v>
      </c>
      <c r="B1538">
        <v>19</v>
      </c>
      <c r="C1538" t="s">
        <v>741</v>
      </c>
      <c r="D1538" t="s">
        <v>613</v>
      </c>
      <c r="E1538" t="s">
        <v>614</v>
      </c>
      <c r="F1538" t="s">
        <v>69</v>
      </c>
      <c r="G1538">
        <v>19</v>
      </c>
      <c r="H1538">
        <v>17</v>
      </c>
      <c r="I1538">
        <v>0</v>
      </c>
      <c r="J1538" t="s">
        <v>34</v>
      </c>
      <c r="K1538" t="s">
        <v>127</v>
      </c>
      <c r="L1538">
        <v>69</v>
      </c>
      <c r="M1538">
        <v>74.953999999999994</v>
      </c>
      <c r="N1538">
        <v>77.012465000000006</v>
      </c>
      <c r="O1538">
        <v>19.177</v>
      </c>
      <c r="P1538">
        <v>38.356000000000002</v>
      </c>
      <c r="Q1538">
        <v>17.2</v>
      </c>
      <c r="R1538" t="s">
        <v>749</v>
      </c>
      <c r="S1538" t="s">
        <v>83</v>
      </c>
      <c r="T1538">
        <f>IF(TRIM(Table1[[#This Row],[PitStopLaps]])="",0,
LEN(Table1[[#This Row],[PitStopLaps]])-LEN(SUBSTITUTE(Table1[[#This Row],[PitStopLaps]],",",""))+1)</f>
        <v>3</v>
      </c>
      <c r="U1538">
        <f>Table1[[#This Row],[StartPosition]]-Table1[[#This Row],[FinishPosition]]</f>
        <v>2</v>
      </c>
    </row>
    <row r="1539" spans="1:21" x14ac:dyDescent="0.3">
      <c r="A1539">
        <v>2021</v>
      </c>
      <c r="B1539">
        <v>19</v>
      </c>
      <c r="C1539" t="s">
        <v>741</v>
      </c>
      <c r="D1539" t="s">
        <v>608</v>
      </c>
      <c r="E1539" t="s">
        <v>609</v>
      </c>
      <c r="F1539" t="s">
        <v>69</v>
      </c>
      <c r="G1539">
        <v>18</v>
      </c>
      <c r="H1539">
        <v>18</v>
      </c>
      <c r="I1539">
        <v>0</v>
      </c>
      <c r="J1539" t="s">
        <v>34</v>
      </c>
      <c r="K1539" t="s">
        <v>127</v>
      </c>
      <c r="L1539">
        <v>69</v>
      </c>
      <c r="M1539">
        <v>73.793000000000006</v>
      </c>
      <c r="N1539">
        <v>76.452859000000004</v>
      </c>
      <c r="O1539">
        <v>18.779</v>
      </c>
      <c r="P1539">
        <v>37.898000000000003</v>
      </c>
      <c r="Q1539">
        <v>17.073</v>
      </c>
      <c r="R1539" t="s">
        <v>757</v>
      </c>
      <c r="S1539" t="s">
        <v>83</v>
      </c>
      <c r="T1539">
        <f>IF(TRIM(Table1[[#This Row],[PitStopLaps]])="",0,
LEN(Table1[[#This Row],[PitStopLaps]])-LEN(SUBSTITUTE(Table1[[#This Row],[PitStopLaps]],",",""))+1)</f>
        <v>5</v>
      </c>
      <c r="U1539">
        <f>Table1[[#This Row],[StartPosition]]-Table1[[#This Row],[FinishPosition]]</f>
        <v>0</v>
      </c>
    </row>
    <row r="1540" spans="1:21" x14ac:dyDescent="0.3">
      <c r="A1540">
        <v>2021</v>
      </c>
      <c r="B1540">
        <v>19</v>
      </c>
      <c r="C1540" t="s">
        <v>741</v>
      </c>
      <c r="D1540" t="s">
        <v>31</v>
      </c>
      <c r="E1540" t="s">
        <v>32</v>
      </c>
      <c r="F1540" t="s">
        <v>37</v>
      </c>
      <c r="G1540">
        <v>11</v>
      </c>
      <c r="H1540">
        <v>19</v>
      </c>
      <c r="I1540">
        <v>0</v>
      </c>
      <c r="J1540" t="s">
        <v>34</v>
      </c>
      <c r="K1540" t="s">
        <v>186</v>
      </c>
      <c r="L1540">
        <v>49</v>
      </c>
      <c r="M1540">
        <v>74.442999999999998</v>
      </c>
      <c r="N1540">
        <v>75.534368000000001</v>
      </c>
      <c r="O1540">
        <v>18.98</v>
      </c>
      <c r="P1540">
        <v>38.344000000000001</v>
      </c>
      <c r="Q1540">
        <v>16.902000000000001</v>
      </c>
      <c r="R1540" t="s">
        <v>758</v>
      </c>
      <c r="S1540" t="s">
        <v>83</v>
      </c>
      <c r="T1540">
        <f>IF(TRIM(Table1[[#This Row],[PitStopLaps]])="",0,
LEN(Table1[[#This Row],[PitStopLaps]])-LEN(SUBSTITUTE(Table1[[#This Row],[PitStopLaps]],",",""))+1)</f>
        <v>4</v>
      </c>
      <c r="U1540">
        <f>Table1[[#This Row],[StartPosition]]-Table1[[#This Row],[FinishPosition]]</f>
        <v>-8</v>
      </c>
    </row>
    <row r="1541" spans="1:21" x14ac:dyDescent="0.3">
      <c r="A1541">
        <v>2021</v>
      </c>
      <c r="B1541">
        <v>19</v>
      </c>
      <c r="C1541" t="s">
        <v>741</v>
      </c>
      <c r="D1541" t="s">
        <v>58</v>
      </c>
      <c r="E1541" t="s">
        <v>59</v>
      </c>
      <c r="F1541" t="s">
        <v>603</v>
      </c>
      <c r="G1541">
        <v>14</v>
      </c>
      <c r="H1541">
        <v>20</v>
      </c>
      <c r="I1541">
        <v>0</v>
      </c>
      <c r="J1541" t="s">
        <v>34</v>
      </c>
      <c r="K1541" t="s">
        <v>109</v>
      </c>
      <c r="L1541">
        <v>47</v>
      </c>
      <c r="M1541">
        <v>75.343999999999994</v>
      </c>
      <c r="N1541">
        <v>76.419942000000006</v>
      </c>
      <c r="O1541">
        <v>19.103999999999999</v>
      </c>
      <c r="P1541">
        <v>38.826000000000001</v>
      </c>
      <c r="Q1541">
        <v>17.007999999999999</v>
      </c>
      <c r="R1541" t="s">
        <v>759</v>
      </c>
      <c r="S1541" t="s">
        <v>83</v>
      </c>
      <c r="T1541">
        <f>IF(TRIM(Table1[[#This Row],[PitStopLaps]])="",0,
LEN(Table1[[#This Row],[PitStopLaps]])-LEN(SUBSTITUTE(Table1[[#This Row],[PitStopLaps]],",",""))+1)</f>
        <v>4</v>
      </c>
      <c r="U1541">
        <f>Table1[[#This Row],[StartPosition]]-Table1[[#This Row],[FinishPosition]]</f>
        <v>-6</v>
      </c>
    </row>
    <row r="1542" spans="1:21" x14ac:dyDescent="0.3">
      <c r="A1542">
        <v>2021</v>
      </c>
      <c r="B1542">
        <v>20</v>
      </c>
      <c r="C1542" t="s">
        <v>760</v>
      </c>
      <c r="D1542" t="s">
        <v>26</v>
      </c>
      <c r="E1542" t="s">
        <v>27</v>
      </c>
      <c r="F1542" t="s">
        <v>28</v>
      </c>
      <c r="G1542">
        <v>1</v>
      </c>
      <c r="H1542">
        <v>1</v>
      </c>
      <c r="I1542">
        <v>25</v>
      </c>
      <c r="J1542" t="s">
        <v>23</v>
      </c>
      <c r="K1542" t="s">
        <v>24</v>
      </c>
      <c r="L1542">
        <v>57</v>
      </c>
      <c r="M1542">
        <v>85.084000000000003</v>
      </c>
      <c r="N1542">
        <v>87.248896999999999</v>
      </c>
      <c r="O1542">
        <v>27.699000000000002</v>
      </c>
      <c r="P1542">
        <v>28.199000000000002</v>
      </c>
      <c r="Q1542">
        <v>28.937999999999999</v>
      </c>
      <c r="R1542" t="s">
        <v>516</v>
      </c>
      <c r="S1542" t="s">
        <v>25</v>
      </c>
      <c r="T1542">
        <f>IF(TRIM(Table1[[#This Row],[PitStopLaps]])="",0,
LEN(Table1[[#This Row],[PitStopLaps]])-LEN(SUBSTITUTE(Table1[[#This Row],[PitStopLaps]],",",""))+1)</f>
        <v>2</v>
      </c>
      <c r="U1542">
        <f>Table1[[#This Row],[StartPosition]]-Table1[[#This Row],[FinishPosition]]</f>
        <v>0</v>
      </c>
    </row>
    <row r="1543" spans="1:21" x14ac:dyDescent="0.3">
      <c r="A1543">
        <v>2021</v>
      </c>
      <c r="B1543">
        <v>20</v>
      </c>
      <c r="C1543" t="s">
        <v>760</v>
      </c>
      <c r="D1543" t="s">
        <v>38</v>
      </c>
      <c r="E1543" t="s">
        <v>39</v>
      </c>
      <c r="F1543" t="s">
        <v>33</v>
      </c>
      <c r="G1543">
        <v>7</v>
      </c>
      <c r="H1543">
        <v>2</v>
      </c>
      <c r="I1543">
        <v>19</v>
      </c>
      <c r="J1543" t="s">
        <v>23</v>
      </c>
      <c r="K1543" t="s">
        <v>24</v>
      </c>
      <c r="L1543">
        <v>57</v>
      </c>
      <c r="M1543">
        <v>83.195999999999998</v>
      </c>
      <c r="N1543">
        <v>87.26276</v>
      </c>
      <c r="O1543">
        <v>27.402999999999999</v>
      </c>
      <c r="P1543">
        <v>27.54</v>
      </c>
      <c r="Q1543">
        <v>28.195</v>
      </c>
      <c r="R1543" t="s">
        <v>761</v>
      </c>
      <c r="S1543" t="s">
        <v>25</v>
      </c>
      <c r="T1543">
        <f>IF(TRIM(Table1[[#This Row],[PitStopLaps]])="",0,
LEN(Table1[[#This Row],[PitStopLaps]])-LEN(SUBSTITUTE(Table1[[#This Row],[PitStopLaps]],",",""))+1)</f>
        <v>3</v>
      </c>
      <c r="U1543">
        <f>Table1[[#This Row],[StartPosition]]-Table1[[#This Row],[FinishPosition]]</f>
        <v>5</v>
      </c>
    </row>
    <row r="1544" spans="1:21" x14ac:dyDescent="0.3">
      <c r="A1544">
        <v>2021</v>
      </c>
      <c r="B1544">
        <v>20</v>
      </c>
      <c r="C1544" t="s">
        <v>760</v>
      </c>
      <c r="D1544" t="s">
        <v>35</v>
      </c>
      <c r="E1544" t="s">
        <v>36</v>
      </c>
      <c r="F1544" t="s">
        <v>607</v>
      </c>
      <c r="G1544">
        <v>3</v>
      </c>
      <c r="H1544">
        <v>3</v>
      </c>
      <c r="I1544">
        <v>15</v>
      </c>
      <c r="J1544" t="s">
        <v>23</v>
      </c>
      <c r="K1544" t="s">
        <v>24</v>
      </c>
      <c r="L1544">
        <v>57</v>
      </c>
      <c r="M1544">
        <v>86.682000000000002</v>
      </c>
      <c r="N1544">
        <v>88.814705000000004</v>
      </c>
      <c r="O1544">
        <v>28.274000000000001</v>
      </c>
      <c r="P1544">
        <v>29.11</v>
      </c>
      <c r="Q1544">
        <v>29.196999999999999</v>
      </c>
      <c r="R1544">
        <v>23</v>
      </c>
      <c r="S1544" t="s">
        <v>25</v>
      </c>
      <c r="T1544">
        <f>IF(TRIM(Table1[[#This Row],[PitStopLaps]])="",0,
LEN(Table1[[#This Row],[PitStopLaps]])-LEN(SUBSTITUTE(Table1[[#This Row],[PitStopLaps]],",",""))+1)</f>
        <v>1</v>
      </c>
      <c r="U1544">
        <f>Table1[[#This Row],[StartPosition]]-Table1[[#This Row],[FinishPosition]]</f>
        <v>0</v>
      </c>
    </row>
    <row r="1545" spans="1:21" x14ac:dyDescent="0.3">
      <c r="A1545">
        <v>2021</v>
      </c>
      <c r="B1545">
        <v>20</v>
      </c>
      <c r="C1545" t="s">
        <v>760</v>
      </c>
      <c r="D1545" t="s">
        <v>49</v>
      </c>
      <c r="E1545" t="s">
        <v>50</v>
      </c>
      <c r="F1545" t="s">
        <v>33</v>
      </c>
      <c r="G1545">
        <v>11</v>
      </c>
      <c r="H1545">
        <v>4</v>
      </c>
      <c r="I1545">
        <v>12</v>
      </c>
      <c r="J1545" t="s">
        <v>34</v>
      </c>
      <c r="K1545" t="s">
        <v>24</v>
      </c>
      <c r="L1545">
        <v>57</v>
      </c>
      <c r="M1545">
        <v>85.613</v>
      </c>
      <c r="N1545">
        <v>88.423816000000002</v>
      </c>
      <c r="O1545">
        <v>28.155000000000001</v>
      </c>
      <c r="P1545">
        <v>28.343</v>
      </c>
      <c r="Q1545">
        <v>28.873000000000001</v>
      </c>
      <c r="R1545" t="s">
        <v>391</v>
      </c>
      <c r="S1545" t="s">
        <v>25</v>
      </c>
      <c r="T1545">
        <f>IF(TRIM(Table1[[#This Row],[PitStopLaps]])="",0,
LEN(Table1[[#This Row],[PitStopLaps]])-LEN(SUBSTITUTE(Table1[[#This Row],[PitStopLaps]],",",""))+1)</f>
        <v>2</v>
      </c>
      <c r="U1545">
        <f>Table1[[#This Row],[StartPosition]]-Table1[[#This Row],[FinishPosition]]</f>
        <v>7</v>
      </c>
    </row>
    <row r="1546" spans="1:21" x14ac:dyDescent="0.3">
      <c r="A1546">
        <v>2021</v>
      </c>
      <c r="B1546">
        <v>20</v>
      </c>
      <c r="C1546" t="s">
        <v>760</v>
      </c>
      <c r="D1546" t="s">
        <v>52</v>
      </c>
      <c r="E1546" t="s">
        <v>53</v>
      </c>
      <c r="F1546" t="s">
        <v>607</v>
      </c>
      <c r="G1546">
        <v>9</v>
      </c>
      <c r="H1546">
        <v>5</v>
      </c>
      <c r="I1546">
        <v>10</v>
      </c>
      <c r="J1546" t="s">
        <v>34</v>
      </c>
      <c r="K1546" t="s">
        <v>24</v>
      </c>
      <c r="L1546">
        <v>57</v>
      </c>
      <c r="M1546">
        <v>87.061000000000007</v>
      </c>
      <c r="N1546">
        <v>89.159509</v>
      </c>
      <c r="O1546">
        <v>28.433</v>
      </c>
      <c r="P1546">
        <v>29.222999999999999</v>
      </c>
      <c r="Q1546">
        <v>29.305</v>
      </c>
      <c r="R1546">
        <v>24</v>
      </c>
      <c r="S1546" t="s">
        <v>25</v>
      </c>
      <c r="T1546">
        <f>IF(TRIM(Table1[[#This Row],[PitStopLaps]])="",0,
LEN(Table1[[#This Row],[PitStopLaps]])-LEN(SUBSTITUTE(Table1[[#This Row],[PitStopLaps]],",",""))+1)</f>
        <v>1</v>
      </c>
      <c r="U1546">
        <f>Table1[[#This Row],[StartPosition]]-Table1[[#This Row],[FinishPosition]]</f>
        <v>4</v>
      </c>
    </row>
    <row r="1547" spans="1:21" x14ac:dyDescent="0.3">
      <c r="A1547">
        <v>2021</v>
      </c>
      <c r="B1547">
        <v>20</v>
      </c>
      <c r="C1547" t="s">
        <v>760</v>
      </c>
      <c r="D1547" t="s">
        <v>58</v>
      </c>
      <c r="E1547" t="s">
        <v>59</v>
      </c>
      <c r="F1547" t="s">
        <v>603</v>
      </c>
      <c r="G1547">
        <v>12</v>
      </c>
      <c r="H1547">
        <v>6</v>
      </c>
      <c r="I1547">
        <v>8</v>
      </c>
      <c r="J1547" t="s">
        <v>34</v>
      </c>
      <c r="K1547" t="s">
        <v>24</v>
      </c>
      <c r="L1547">
        <v>57</v>
      </c>
      <c r="M1547">
        <v>87.355999999999995</v>
      </c>
      <c r="N1547">
        <v>89.113470000000007</v>
      </c>
      <c r="O1547">
        <v>28.757999999999999</v>
      </c>
      <c r="P1547">
        <v>29.24</v>
      </c>
      <c r="Q1547">
        <v>29.248000000000001</v>
      </c>
      <c r="R1547">
        <v>23</v>
      </c>
      <c r="S1547" t="s">
        <v>25</v>
      </c>
      <c r="T1547">
        <f>IF(TRIM(Table1[[#This Row],[PitStopLaps]])="",0,
LEN(Table1[[#This Row],[PitStopLaps]])-LEN(SUBSTITUTE(Table1[[#This Row],[PitStopLaps]],",",""))+1)</f>
        <v>1</v>
      </c>
      <c r="U1547">
        <f>Table1[[#This Row],[StartPosition]]-Table1[[#This Row],[FinishPosition]]</f>
        <v>6</v>
      </c>
    </row>
    <row r="1548" spans="1:21" x14ac:dyDescent="0.3">
      <c r="A1548">
        <v>2021</v>
      </c>
      <c r="B1548">
        <v>20</v>
      </c>
      <c r="C1548" t="s">
        <v>760</v>
      </c>
      <c r="D1548" t="s">
        <v>47</v>
      </c>
      <c r="E1548" t="s">
        <v>48</v>
      </c>
      <c r="F1548" t="s">
        <v>22</v>
      </c>
      <c r="G1548">
        <v>5</v>
      </c>
      <c r="H1548">
        <v>7</v>
      </c>
      <c r="I1548">
        <v>6</v>
      </c>
      <c r="J1548" t="s">
        <v>34</v>
      </c>
      <c r="K1548" t="s">
        <v>24</v>
      </c>
      <c r="L1548">
        <v>57</v>
      </c>
      <c r="M1548">
        <v>86.57</v>
      </c>
      <c r="N1548">
        <v>89.154861999999994</v>
      </c>
      <c r="O1548">
        <v>28.454999999999998</v>
      </c>
      <c r="P1548">
        <v>29.109000000000002</v>
      </c>
      <c r="Q1548">
        <v>28.971</v>
      </c>
      <c r="R1548">
        <v>27</v>
      </c>
      <c r="S1548" t="s">
        <v>25</v>
      </c>
      <c r="T1548">
        <f>IF(TRIM(Table1[[#This Row],[PitStopLaps]])="",0,
LEN(Table1[[#This Row],[PitStopLaps]])-LEN(SUBSTITUTE(Table1[[#This Row],[PitStopLaps]],",",""))+1)</f>
        <v>1</v>
      </c>
      <c r="U1548">
        <f>Table1[[#This Row],[StartPosition]]-Table1[[#This Row],[FinishPosition]]</f>
        <v>-2</v>
      </c>
    </row>
    <row r="1549" spans="1:21" x14ac:dyDescent="0.3">
      <c r="A1549">
        <v>2021</v>
      </c>
      <c r="B1549">
        <v>20</v>
      </c>
      <c r="C1549" t="s">
        <v>760</v>
      </c>
      <c r="D1549" t="s">
        <v>54</v>
      </c>
      <c r="E1549" t="s">
        <v>55</v>
      </c>
      <c r="F1549" t="s">
        <v>22</v>
      </c>
      <c r="G1549">
        <v>13</v>
      </c>
      <c r="H1549">
        <v>8</v>
      </c>
      <c r="I1549">
        <v>4</v>
      </c>
      <c r="J1549" t="s">
        <v>34</v>
      </c>
      <c r="K1549" t="s">
        <v>24</v>
      </c>
      <c r="L1549">
        <v>57</v>
      </c>
      <c r="M1549">
        <v>86.555000000000007</v>
      </c>
      <c r="N1549">
        <v>89.027744999999996</v>
      </c>
      <c r="O1549">
        <v>28.526</v>
      </c>
      <c r="P1549">
        <v>29.111000000000001</v>
      </c>
      <c r="Q1549">
        <v>28.838999999999999</v>
      </c>
      <c r="R1549">
        <v>27</v>
      </c>
      <c r="S1549" t="s">
        <v>25</v>
      </c>
      <c r="T1549">
        <f>IF(TRIM(Table1[[#This Row],[PitStopLaps]])="",0,
LEN(Table1[[#This Row],[PitStopLaps]])-LEN(SUBSTITUTE(Table1[[#This Row],[PitStopLaps]],",",""))+1)</f>
        <v>1</v>
      </c>
      <c r="U1549">
        <f>Table1[[#This Row],[StartPosition]]-Table1[[#This Row],[FinishPosition]]</f>
        <v>5</v>
      </c>
    </row>
    <row r="1550" spans="1:21" x14ac:dyDescent="0.3">
      <c r="A1550">
        <v>2021</v>
      </c>
      <c r="B1550">
        <v>20</v>
      </c>
      <c r="C1550" t="s">
        <v>760</v>
      </c>
      <c r="D1550" t="s">
        <v>246</v>
      </c>
      <c r="E1550" t="s">
        <v>247</v>
      </c>
      <c r="F1550" t="s">
        <v>37</v>
      </c>
      <c r="G1550">
        <v>4</v>
      </c>
      <c r="H1550">
        <v>9</v>
      </c>
      <c r="I1550">
        <v>2</v>
      </c>
      <c r="J1550" t="s">
        <v>34</v>
      </c>
      <c r="K1550" t="s">
        <v>65</v>
      </c>
      <c r="L1550">
        <v>56</v>
      </c>
      <c r="M1550">
        <v>85.745999999999995</v>
      </c>
      <c r="N1550">
        <v>88.934875000000005</v>
      </c>
      <c r="O1550">
        <v>28.117999999999999</v>
      </c>
      <c r="P1550">
        <v>28.765999999999998</v>
      </c>
      <c r="Q1550">
        <v>28.641999999999999</v>
      </c>
      <c r="R1550" t="s">
        <v>426</v>
      </c>
      <c r="S1550" t="s">
        <v>25</v>
      </c>
      <c r="T1550">
        <f>IF(TRIM(Table1[[#This Row],[PitStopLaps]])="",0,
LEN(Table1[[#This Row],[PitStopLaps]])-LEN(SUBSTITUTE(Table1[[#This Row],[PitStopLaps]],",",""))+1)</f>
        <v>2</v>
      </c>
      <c r="U1550">
        <f>Table1[[#This Row],[StartPosition]]-Table1[[#This Row],[FinishPosition]]</f>
        <v>-5</v>
      </c>
    </row>
    <row r="1551" spans="1:21" x14ac:dyDescent="0.3">
      <c r="A1551">
        <v>2021</v>
      </c>
      <c r="B1551">
        <v>20</v>
      </c>
      <c r="C1551" t="s">
        <v>760</v>
      </c>
      <c r="D1551" t="s">
        <v>20</v>
      </c>
      <c r="E1551" t="s">
        <v>21</v>
      </c>
      <c r="F1551" t="s">
        <v>603</v>
      </c>
      <c r="G1551">
        <v>10</v>
      </c>
      <c r="H1551">
        <v>10</v>
      </c>
      <c r="I1551">
        <v>1</v>
      </c>
      <c r="J1551" t="s">
        <v>34</v>
      </c>
      <c r="K1551" t="s">
        <v>65</v>
      </c>
      <c r="L1551">
        <v>56</v>
      </c>
      <c r="M1551">
        <v>86.433999999999997</v>
      </c>
      <c r="N1551">
        <v>89.294259999999994</v>
      </c>
      <c r="O1551">
        <v>28.436</v>
      </c>
      <c r="P1551">
        <v>28.966000000000001</v>
      </c>
      <c r="Q1551">
        <v>29.010999999999999</v>
      </c>
      <c r="R1551">
        <v>26</v>
      </c>
      <c r="S1551" t="s">
        <v>25</v>
      </c>
      <c r="T1551">
        <f>IF(TRIM(Table1[[#This Row],[PitStopLaps]])="",0,
LEN(Table1[[#This Row],[PitStopLaps]])-LEN(SUBSTITUTE(Table1[[#This Row],[PitStopLaps]],",",""))+1)</f>
        <v>1</v>
      </c>
      <c r="U1551">
        <f>Table1[[#This Row],[StartPosition]]-Table1[[#This Row],[FinishPosition]]</f>
        <v>0</v>
      </c>
    </row>
    <row r="1552" spans="1:21" x14ac:dyDescent="0.3">
      <c r="A1552">
        <v>2021</v>
      </c>
      <c r="B1552">
        <v>20</v>
      </c>
      <c r="C1552" t="s">
        <v>760</v>
      </c>
      <c r="D1552" t="s">
        <v>73</v>
      </c>
      <c r="E1552" t="s">
        <v>74</v>
      </c>
      <c r="F1552" t="s">
        <v>438</v>
      </c>
      <c r="G1552">
        <v>2</v>
      </c>
      <c r="H1552">
        <v>11</v>
      </c>
      <c r="I1552">
        <v>0</v>
      </c>
      <c r="J1552" t="s">
        <v>34</v>
      </c>
      <c r="K1552" t="s">
        <v>65</v>
      </c>
      <c r="L1552">
        <v>56</v>
      </c>
      <c r="M1552">
        <v>87.019000000000005</v>
      </c>
      <c r="N1552">
        <v>88.992653000000004</v>
      </c>
      <c r="O1552">
        <v>28.681999999999999</v>
      </c>
      <c r="P1552">
        <v>29.02</v>
      </c>
      <c r="Q1552">
        <v>29.14</v>
      </c>
      <c r="R1552" t="s">
        <v>334</v>
      </c>
      <c r="S1552" t="s">
        <v>25</v>
      </c>
      <c r="T1552">
        <f>IF(TRIM(Table1[[#This Row],[PitStopLaps]])="",0,
LEN(Table1[[#This Row],[PitStopLaps]])-LEN(SUBSTITUTE(Table1[[#This Row],[PitStopLaps]],",",""))+1)</f>
        <v>2</v>
      </c>
      <c r="U1552">
        <f>Table1[[#This Row],[StartPosition]]-Table1[[#This Row],[FinishPosition]]</f>
        <v>-9</v>
      </c>
    </row>
    <row r="1553" spans="1:21" x14ac:dyDescent="0.3">
      <c r="A1553">
        <v>2021</v>
      </c>
      <c r="B1553">
        <v>20</v>
      </c>
      <c r="C1553" t="s">
        <v>760</v>
      </c>
      <c r="D1553" t="s">
        <v>31</v>
      </c>
      <c r="E1553" t="s">
        <v>32</v>
      </c>
      <c r="F1553" t="s">
        <v>37</v>
      </c>
      <c r="G1553">
        <v>14</v>
      </c>
      <c r="H1553">
        <v>12</v>
      </c>
      <c r="I1553">
        <v>0</v>
      </c>
      <c r="J1553" t="s">
        <v>34</v>
      </c>
      <c r="K1553" t="s">
        <v>65</v>
      </c>
      <c r="L1553">
        <v>56</v>
      </c>
      <c r="M1553">
        <v>87.197999999999993</v>
      </c>
      <c r="N1553">
        <v>89.831999999999994</v>
      </c>
      <c r="O1553">
        <v>28.324000000000002</v>
      </c>
      <c r="P1553">
        <v>29.416</v>
      </c>
      <c r="Q1553">
        <v>29.186</v>
      </c>
      <c r="R1553">
        <v>26</v>
      </c>
      <c r="S1553" t="s">
        <v>25</v>
      </c>
      <c r="T1553">
        <f>IF(TRIM(Table1[[#This Row],[PitStopLaps]])="",0,
LEN(Table1[[#This Row],[PitStopLaps]])-LEN(SUBSTITUTE(Table1[[#This Row],[PitStopLaps]],",",""))+1)</f>
        <v>1</v>
      </c>
      <c r="U1553">
        <f>Table1[[#This Row],[StartPosition]]-Table1[[#This Row],[FinishPosition]]</f>
        <v>2</v>
      </c>
    </row>
    <row r="1554" spans="1:21" x14ac:dyDescent="0.3">
      <c r="A1554">
        <v>2021</v>
      </c>
      <c r="B1554">
        <v>20</v>
      </c>
      <c r="C1554" t="s">
        <v>760</v>
      </c>
      <c r="D1554" t="s">
        <v>601</v>
      </c>
      <c r="E1554" t="s">
        <v>602</v>
      </c>
      <c r="F1554" t="s">
        <v>438</v>
      </c>
      <c r="G1554">
        <v>8</v>
      </c>
      <c r="H1554">
        <v>13</v>
      </c>
      <c r="I1554">
        <v>0</v>
      </c>
      <c r="J1554" t="s">
        <v>34</v>
      </c>
      <c r="K1554" t="s">
        <v>65</v>
      </c>
      <c r="L1554">
        <v>56</v>
      </c>
      <c r="M1554">
        <v>87.043000000000006</v>
      </c>
      <c r="N1554">
        <v>89.301265000000001</v>
      </c>
      <c r="O1554">
        <v>28.545999999999999</v>
      </c>
      <c r="P1554">
        <v>29.138999999999999</v>
      </c>
      <c r="Q1554">
        <v>29.231999999999999</v>
      </c>
      <c r="R1554" t="s">
        <v>762</v>
      </c>
      <c r="S1554" t="s">
        <v>25</v>
      </c>
      <c r="T1554">
        <f>IF(TRIM(Table1[[#This Row],[PitStopLaps]])="",0,
LEN(Table1[[#This Row],[PitStopLaps]])-LEN(SUBSTITUTE(Table1[[#This Row],[PitStopLaps]],",",""))+1)</f>
        <v>2</v>
      </c>
      <c r="U1554">
        <f>Table1[[#This Row],[StartPosition]]-Table1[[#This Row],[FinishPosition]]</f>
        <v>-5</v>
      </c>
    </row>
    <row r="1555" spans="1:21" x14ac:dyDescent="0.3">
      <c r="A1555">
        <v>2021</v>
      </c>
      <c r="B1555">
        <v>20</v>
      </c>
      <c r="C1555" t="s">
        <v>760</v>
      </c>
      <c r="D1555" t="s">
        <v>29</v>
      </c>
      <c r="E1555" t="s">
        <v>30</v>
      </c>
      <c r="F1555" t="s">
        <v>243</v>
      </c>
      <c r="G1555">
        <v>16</v>
      </c>
      <c r="H1555">
        <v>14</v>
      </c>
      <c r="I1555">
        <v>0</v>
      </c>
      <c r="J1555" t="s">
        <v>34</v>
      </c>
      <c r="K1555" t="s">
        <v>65</v>
      </c>
      <c r="L1555">
        <v>56</v>
      </c>
      <c r="M1555">
        <v>86.358000000000004</v>
      </c>
      <c r="N1555">
        <v>89.390243999999996</v>
      </c>
      <c r="O1555">
        <v>28.207000000000001</v>
      </c>
      <c r="P1555">
        <v>29.146999999999998</v>
      </c>
      <c r="Q1555">
        <v>28.954000000000001</v>
      </c>
      <c r="R1555" t="s">
        <v>494</v>
      </c>
      <c r="S1555" t="s">
        <v>25</v>
      </c>
      <c r="T1555">
        <f>IF(TRIM(Table1[[#This Row],[PitStopLaps]])="",0,
LEN(Table1[[#This Row],[PitStopLaps]])-LEN(SUBSTITUTE(Table1[[#This Row],[PitStopLaps]],",",""))+1)</f>
        <v>2</v>
      </c>
      <c r="U1555">
        <f>Table1[[#This Row],[StartPosition]]-Table1[[#This Row],[FinishPosition]]</f>
        <v>2</v>
      </c>
    </row>
    <row r="1556" spans="1:21" x14ac:dyDescent="0.3">
      <c r="A1556">
        <v>2021</v>
      </c>
      <c r="B1556">
        <v>20</v>
      </c>
      <c r="C1556" t="s">
        <v>760</v>
      </c>
      <c r="D1556" t="s">
        <v>250</v>
      </c>
      <c r="E1556" t="s">
        <v>251</v>
      </c>
      <c r="F1556" t="s">
        <v>243</v>
      </c>
      <c r="G1556">
        <v>18</v>
      </c>
      <c r="H1556">
        <v>15</v>
      </c>
      <c r="I1556">
        <v>0</v>
      </c>
      <c r="J1556" t="s">
        <v>34</v>
      </c>
      <c r="K1556" t="s">
        <v>65</v>
      </c>
      <c r="L1556">
        <v>56</v>
      </c>
      <c r="M1556">
        <v>87.822999999999993</v>
      </c>
      <c r="N1556">
        <v>89.848145000000002</v>
      </c>
      <c r="O1556">
        <v>28.751999999999999</v>
      </c>
      <c r="P1556">
        <v>29.51</v>
      </c>
      <c r="Q1556">
        <v>29.277000000000001</v>
      </c>
      <c r="R1556" t="s">
        <v>763</v>
      </c>
      <c r="S1556" t="s">
        <v>25</v>
      </c>
      <c r="T1556">
        <f>IF(TRIM(Table1[[#This Row],[PitStopLaps]])="",0,
LEN(Table1[[#This Row],[PitStopLaps]])-LEN(SUBSTITUTE(Table1[[#This Row],[PitStopLaps]],",",""))+1)</f>
        <v>2</v>
      </c>
      <c r="U1556">
        <f>Table1[[#This Row],[StartPosition]]-Table1[[#This Row],[FinishPosition]]</f>
        <v>3</v>
      </c>
    </row>
    <row r="1557" spans="1:21" x14ac:dyDescent="0.3">
      <c r="A1557">
        <v>2021</v>
      </c>
      <c r="B1557">
        <v>20</v>
      </c>
      <c r="C1557" t="s">
        <v>760</v>
      </c>
      <c r="D1557" t="s">
        <v>608</v>
      </c>
      <c r="E1557" t="s">
        <v>609</v>
      </c>
      <c r="F1557" t="s">
        <v>69</v>
      </c>
      <c r="G1557">
        <v>19</v>
      </c>
      <c r="H1557">
        <v>16</v>
      </c>
      <c r="I1557">
        <v>0</v>
      </c>
      <c r="J1557" t="s">
        <v>34</v>
      </c>
      <c r="K1557" t="s">
        <v>65</v>
      </c>
      <c r="L1557">
        <v>56</v>
      </c>
      <c r="M1557">
        <v>88.412000000000006</v>
      </c>
      <c r="N1557">
        <v>90.269499999999994</v>
      </c>
      <c r="O1557">
        <v>28.896000000000001</v>
      </c>
      <c r="P1557">
        <v>29.710999999999999</v>
      </c>
      <c r="Q1557">
        <v>29.454000000000001</v>
      </c>
      <c r="R1557">
        <v>22</v>
      </c>
      <c r="S1557" t="s">
        <v>25</v>
      </c>
      <c r="T1557">
        <f>IF(TRIM(Table1[[#This Row],[PitStopLaps]])="",0,
LEN(Table1[[#This Row],[PitStopLaps]])-LEN(SUBSTITUTE(Table1[[#This Row],[PitStopLaps]],",",""))+1)</f>
        <v>1</v>
      </c>
      <c r="U1557">
        <f>Table1[[#This Row],[StartPosition]]-Table1[[#This Row],[FinishPosition]]</f>
        <v>3</v>
      </c>
    </row>
    <row r="1558" spans="1:21" x14ac:dyDescent="0.3">
      <c r="A1558">
        <v>2021</v>
      </c>
      <c r="B1558">
        <v>20</v>
      </c>
      <c r="C1558" t="s">
        <v>760</v>
      </c>
      <c r="D1558" t="s">
        <v>252</v>
      </c>
      <c r="E1558" t="s">
        <v>253</v>
      </c>
      <c r="F1558" t="s">
        <v>60</v>
      </c>
      <c r="G1558">
        <v>15</v>
      </c>
      <c r="H1558">
        <v>17</v>
      </c>
      <c r="I1558">
        <v>0</v>
      </c>
      <c r="J1558" t="s">
        <v>34</v>
      </c>
      <c r="K1558" t="s">
        <v>127</v>
      </c>
      <c r="L1558">
        <v>55</v>
      </c>
      <c r="M1558">
        <v>85.768000000000001</v>
      </c>
      <c r="N1558">
        <v>90.030749999999998</v>
      </c>
      <c r="O1558">
        <v>28.247</v>
      </c>
      <c r="P1558">
        <v>28.620999999999999</v>
      </c>
      <c r="Q1558">
        <v>28.9</v>
      </c>
      <c r="R1558" t="s">
        <v>764</v>
      </c>
      <c r="S1558" t="s">
        <v>25</v>
      </c>
      <c r="T1558">
        <f>IF(TRIM(Table1[[#This Row],[PitStopLaps]])="",0,
LEN(Table1[[#This Row],[PitStopLaps]])-LEN(SUBSTITUTE(Table1[[#This Row],[PitStopLaps]],",",""))+1)</f>
        <v>2</v>
      </c>
      <c r="U1558">
        <f>Table1[[#This Row],[StartPosition]]-Table1[[#This Row],[FinishPosition]]</f>
        <v>-2</v>
      </c>
    </row>
    <row r="1559" spans="1:21" x14ac:dyDescent="0.3">
      <c r="A1559">
        <v>2021</v>
      </c>
      <c r="B1559">
        <v>20</v>
      </c>
      <c r="C1559" t="s">
        <v>760</v>
      </c>
      <c r="D1559" t="s">
        <v>613</v>
      </c>
      <c r="E1559" t="s">
        <v>614</v>
      </c>
      <c r="F1559" t="s">
        <v>69</v>
      </c>
      <c r="G1559">
        <v>20</v>
      </c>
      <c r="H1559">
        <v>18</v>
      </c>
      <c r="I1559">
        <v>0</v>
      </c>
      <c r="J1559" t="s">
        <v>34</v>
      </c>
      <c r="K1559" t="s">
        <v>127</v>
      </c>
      <c r="L1559">
        <v>55</v>
      </c>
      <c r="M1559">
        <v>87.34</v>
      </c>
      <c r="N1559">
        <v>91.520920000000004</v>
      </c>
      <c r="O1559">
        <v>28.748000000000001</v>
      </c>
      <c r="P1559">
        <v>29.312999999999999</v>
      </c>
      <c r="Q1559">
        <v>29.279</v>
      </c>
      <c r="R1559">
        <v>31</v>
      </c>
      <c r="S1559" t="s">
        <v>25</v>
      </c>
      <c r="T1559">
        <f>IF(TRIM(Table1[[#This Row],[PitStopLaps]])="",0,
LEN(Table1[[#This Row],[PitStopLaps]])-LEN(SUBSTITUTE(Table1[[#This Row],[PitStopLaps]],",",""))+1)</f>
        <v>1</v>
      </c>
      <c r="U1559">
        <f>Table1[[#This Row],[StartPosition]]-Table1[[#This Row],[FinishPosition]]</f>
        <v>2</v>
      </c>
    </row>
    <row r="1560" spans="1:21" x14ac:dyDescent="0.3">
      <c r="A1560">
        <v>2021</v>
      </c>
      <c r="B1560">
        <v>20</v>
      </c>
      <c r="C1560" t="s">
        <v>760</v>
      </c>
      <c r="D1560" t="s">
        <v>440</v>
      </c>
      <c r="E1560" t="s">
        <v>441</v>
      </c>
      <c r="F1560" t="s">
        <v>60</v>
      </c>
      <c r="G1560">
        <v>17</v>
      </c>
      <c r="H1560">
        <v>19</v>
      </c>
      <c r="I1560">
        <v>0</v>
      </c>
      <c r="J1560" t="s">
        <v>34</v>
      </c>
      <c r="K1560" t="s">
        <v>98</v>
      </c>
      <c r="L1560">
        <v>51</v>
      </c>
      <c r="M1560">
        <v>88.731999999999999</v>
      </c>
      <c r="N1560">
        <v>90.387062999999998</v>
      </c>
      <c r="O1560">
        <v>29.032</v>
      </c>
      <c r="P1560">
        <v>29.841000000000001</v>
      </c>
      <c r="Q1560">
        <v>29.550999999999998</v>
      </c>
      <c r="R1560">
        <v>18</v>
      </c>
      <c r="S1560" t="s">
        <v>25</v>
      </c>
      <c r="T1560">
        <f>IF(TRIM(Table1[[#This Row],[PitStopLaps]])="",0,
LEN(Table1[[#This Row],[PitStopLaps]])-LEN(SUBSTITUTE(Table1[[#This Row],[PitStopLaps]],",",""))+1)</f>
        <v>1</v>
      </c>
      <c r="U1560">
        <f>Table1[[#This Row],[StartPosition]]-Table1[[#This Row],[FinishPosition]]</f>
        <v>-2</v>
      </c>
    </row>
    <row r="1561" spans="1:21" x14ac:dyDescent="0.3">
      <c r="A1561">
        <v>2021</v>
      </c>
      <c r="B1561">
        <v>20</v>
      </c>
      <c r="C1561" t="s">
        <v>760</v>
      </c>
      <c r="D1561" t="s">
        <v>43</v>
      </c>
      <c r="E1561" t="s">
        <v>44</v>
      </c>
      <c r="F1561" t="s">
        <v>28</v>
      </c>
      <c r="G1561">
        <v>6</v>
      </c>
      <c r="H1561">
        <v>20</v>
      </c>
      <c r="I1561">
        <v>0</v>
      </c>
      <c r="J1561" t="s">
        <v>34</v>
      </c>
      <c r="K1561" t="s">
        <v>258</v>
      </c>
      <c r="L1561">
        <v>49</v>
      </c>
      <c r="M1561">
        <v>87.245999999999995</v>
      </c>
      <c r="N1561">
        <v>89.131287999999998</v>
      </c>
      <c r="O1561">
        <v>28.59</v>
      </c>
      <c r="P1561">
        <v>28.826999999999899</v>
      </c>
      <c r="Q1561">
        <v>29.555</v>
      </c>
      <c r="R1561" t="s">
        <v>765</v>
      </c>
      <c r="S1561" t="s">
        <v>25</v>
      </c>
      <c r="T1561">
        <f>IF(TRIM(Table1[[#This Row],[PitStopLaps]])="",0,
LEN(Table1[[#This Row],[PitStopLaps]])-LEN(SUBSTITUTE(Table1[[#This Row],[PitStopLaps]],",",""))+1)</f>
        <v>2</v>
      </c>
      <c r="U1561">
        <f>Table1[[#This Row],[StartPosition]]-Table1[[#This Row],[FinishPosition]]</f>
        <v>-14</v>
      </c>
    </row>
    <row r="1562" spans="1:21" x14ac:dyDescent="0.3">
      <c r="A1562">
        <v>2021</v>
      </c>
      <c r="B1562">
        <v>21</v>
      </c>
      <c r="C1562" t="s">
        <v>766</v>
      </c>
      <c r="D1562" t="s">
        <v>26</v>
      </c>
      <c r="E1562" t="s">
        <v>27</v>
      </c>
      <c r="F1562" t="s">
        <v>28</v>
      </c>
      <c r="G1562">
        <v>1</v>
      </c>
      <c r="H1562">
        <v>1</v>
      </c>
      <c r="I1562">
        <v>26</v>
      </c>
      <c r="J1562" t="s">
        <v>23</v>
      </c>
      <c r="K1562" t="s">
        <v>24</v>
      </c>
      <c r="L1562">
        <v>50</v>
      </c>
      <c r="M1562">
        <v>90.733999999999995</v>
      </c>
      <c r="N1562">
        <v>92.587611999999993</v>
      </c>
      <c r="O1562">
        <v>33.564</v>
      </c>
      <c r="P1562">
        <v>28.712</v>
      </c>
      <c r="Q1562">
        <v>28.337</v>
      </c>
      <c r="R1562" t="s">
        <v>767</v>
      </c>
      <c r="S1562" t="s">
        <v>83</v>
      </c>
      <c r="T1562">
        <f>IF(TRIM(Table1[[#This Row],[PitStopLaps]])="",0,
LEN(Table1[[#This Row],[PitStopLaps]])-LEN(SUBSTITUTE(Table1[[#This Row],[PitStopLaps]],",",""))+1)</f>
        <v>3</v>
      </c>
      <c r="U1562">
        <f>Table1[[#This Row],[StartPosition]]-Table1[[#This Row],[FinishPosition]]</f>
        <v>0</v>
      </c>
    </row>
    <row r="1563" spans="1:21" x14ac:dyDescent="0.3">
      <c r="A1563">
        <v>2021</v>
      </c>
      <c r="B1563">
        <v>21</v>
      </c>
      <c r="C1563" t="s">
        <v>766</v>
      </c>
      <c r="D1563" t="s">
        <v>38</v>
      </c>
      <c r="E1563" t="s">
        <v>39</v>
      </c>
      <c r="F1563" t="s">
        <v>33</v>
      </c>
      <c r="G1563">
        <v>3</v>
      </c>
      <c r="H1563">
        <v>2</v>
      </c>
      <c r="I1563">
        <v>18</v>
      </c>
      <c r="J1563" t="s">
        <v>23</v>
      </c>
      <c r="K1563" t="s">
        <v>24</v>
      </c>
      <c r="L1563">
        <v>50</v>
      </c>
      <c r="M1563">
        <v>91.488</v>
      </c>
      <c r="N1563">
        <v>92.896218000000005</v>
      </c>
      <c r="O1563">
        <v>33.664000000000001</v>
      </c>
      <c r="P1563">
        <v>29.065000000000001</v>
      </c>
      <c r="Q1563">
        <v>28.544</v>
      </c>
      <c r="R1563" t="s">
        <v>768</v>
      </c>
      <c r="S1563" t="s">
        <v>83</v>
      </c>
      <c r="T1563">
        <f>IF(TRIM(Table1[[#This Row],[PitStopLaps]])="",0,
LEN(Table1[[#This Row],[PitStopLaps]])-LEN(SUBSTITUTE(Table1[[#This Row],[PitStopLaps]],",",""))+1)</f>
        <v>2</v>
      </c>
      <c r="U1563">
        <f>Table1[[#This Row],[StartPosition]]-Table1[[#This Row],[FinishPosition]]</f>
        <v>1</v>
      </c>
    </row>
    <row r="1564" spans="1:21" x14ac:dyDescent="0.3">
      <c r="A1564">
        <v>2021</v>
      </c>
      <c r="B1564">
        <v>21</v>
      </c>
      <c r="C1564" t="s">
        <v>766</v>
      </c>
      <c r="D1564" t="s">
        <v>43</v>
      </c>
      <c r="E1564" t="s">
        <v>44</v>
      </c>
      <c r="F1564" t="s">
        <v>28</v>
      </c>
      <c r="G1564">
        <v>2</v>
      </c>
      <c r="H1564">
        <v>3</v>
      </c>
      <c r="I1564">
        <v>15</v>
      </c>
      <c r="J1564" t="s">
        <v>23</v>
      </c>
      <c r="K1564" t="s">
        <v>24</v>
      </c>
      <c r="L1564">
        <v>50</v>
      </c>
      <c r="M1564">
        <v>91.408000000000001</v>
      </c>
      <c r="N1564">
        <v>94.933966999999996</v>
      </c>
      <c r="O1564">
        <v>33.777000000000001</v>
      </c>
      <c r="P1564">
        <v>28.888999999999999</v>
      </c>
      <c r="Q1564">
        <v>28.521000000000001</v>
      </c>
      <c r="R1564" t="s">
        <v>767</v>
      </c>
      <c r="S1564" t="s">
        <v>83</v>
      </c>
      <c r="T1564">
        <f>IF(TRIM(Table1[[#This Row],[PitStopLaps]])="",0,
LEN(Table1[[#This Row],[PitStopLaps]])-LEN(SUBSTITUTE(Table1[[#This Row],[PitStopLaps]],",",""))+1)</f>
        <v>3</v>
      </c>
      <c r="U1564">
        <f>Table1[[#This Row],[StartPosition]]-Table1[[#This Row],[FinishPosition]]</f>
        <v>-1</v>
      </c>
    </row>
    <row r="1565" spans="1:21" x14ac:dyDescent="0.3">
      <c r="A1565">
        <v>2021</v>
      </c>
      <c r="B1565">
        <v>21</v>
      </c>
      <c r="C1565" t="s">
        <v>766</v>
      </c>
      <c r="D1565" t="s">
        <v>52</v>
      </c>
      <c r="E1565" t="s">
        <v>53</v>
      </c>
      <c r="F1565" t="s">
        <v>607</v>
      </c>
      <c r="G1565">
        <v>9</v>
      </c>
      <c r="H1565">
        <v>4</v>
      </c>
      <c r="I1565">
        <v>12</v>
      </c>
      <c r="J1565" t="s">
        <v>34</v>
      </c>
      <c r="K1565" t="s">
        <v>24</v>
      </c>
      <c r="L1565">
        <v>50</v>
      </c>
      <c r="M1565">
        <v>91.796999999999997</v>
      </c>
      <c r="N1565">
        <v>93.651600000000002</v>
      </c>
      <c r="O1565">
        <v>33.466999999999999</v>
      </c>
      <c r="P1565">
        <v>29.28</v>
      </c>
      <c r="Q1565">
        <v>28.856000000000002</v>
      </c>
      <c r="R1565" t="s">
        <v>768</v>
      </c>
      <c r="S1565" t="s">
        <v>83</v>
      </c>
      <c r="T1565">
        <f>IF(TRIM(Table1[[#This Row],[PitStopLaps]])="",0,
LEN(Table1[[#This Row],[PitStopLaps]])-LEN(SUBSTITUTE(Table1[[#This Row],[PitStopLaps]],",",""))+1)</f>
        <v>2</v>
      </c>
      <c r="U1565">
        <f>Table1[[#This Row],[StartPosition]]-Table1[[#This Row],[FinishPosition]]</f>
        <v>5</v>
      </c>
    </row>
    <row r="1566" spans="1:21" x14ac:dyDescent="0.3">
      <c r="A1566">
        <v>2021</v>
      </c>
      <c r="B1566">
        <v>21</v>
      </c>
      <c r="C1566" t="s">
        <v>766</v>
      </c>
      <c r="D1566" t="s">
        <v>31</v>
      </c>
      <c r="E1566" t="s">
        <v>32</v>
      </c>
      <c r="F1566" t="s">
        <v>37</v>
      </c>
      <c r="G1566">
        <v>11</v>
      </c>
      <c r="H1566">
        <v>5</v>
      </c>
      <c r="I1566">
        <v>10</v>
      </c>
      <c r="J1566" t="s">
        <v>34</v>
      </c>
      <c r="K1566" t="s">
        <v>24</v>
      </c>
      <c r="L1566">
        <v>50</v>
      </c>
      <c r="M1566">
        <v>92.715999999999994</v>
      </c>
      <c r="N1566">
        <v>94.053566000000004</v>
      </c>
      <c r="O1566">
        <v>34.237000000000002</v>
      </c>
      <c r="P1566">
        <v>29.375</v>
      </c>
      <c r="Q1566">
        <v>28.920999999999999</v>
      </c>
      <c r="R1566" t="s">
        <v>768</v>
      </c>
      <c r="S1566" t="s">
        <v>83</v>
      </c>
      <c r="T1566">
        <f>IF(TRIM(Table1[[#This Row],[PitStopLaps]])="",0,
LEN(Table1[[#This Row],[PitStopLaps]])-LEN(SUBSTITUTE(Table1[[#This Row],[PitStopLaps]],",",""))+1)</f>
        <v>2</v>
      </c>
      <c r="U1566">
        <f>Table1[[#This Row],[StartPosition]]-Table1[[#This Row],[FinishPosition]]</f>
        <v>6</v>
      </c>
    </row>
    <row r="1567" spans="1:21" x14ac:dyDescent="0.3">
      <c r="A1567">
        <v>2021</v>
      </c>
      <c r="B1567">
        <v>21</v>
      </c>
      <c r="C1567" t="s">
        <v>766</v>
      </c>
      <c r="D1567" t="s">
        <v>73</v>
      </c>
      <c r="E1567" t="s">
        <v>74</v>
      </c>
      <c r="F1567" t="s">
        <v>438</v>
      </c>
      <c r="G1567">
        <v>6</v>
      </c>
      <c r="H1567">
        <v>6</v>
      </c>
      <c r="I1567">
        <v>8</v>
      </c>
      <c r="J1567" t="s">
        <v>34</v>
      </c>
      <c r="K1567" t="s">
        <v>24</v>
      </c>
      <c r="L1567">
        <v>50</v>
      </c>
      <c r="M1567">
        <v>92.296999999999997</v>
      </c>
      <c r="N1567">
        <v>95.584874999999997</v>
      </c>
      <c r="O1567">
        <v>33.875</v>
      </c>
      <c r="P1567">
        <v>29.448</v>
      </c>
      <c r="Q1567">
        <v>28.916</v>
      </c>
      <c r="R1567" t="s">
        <v>768</v>
      </c>
      <c r="S1567" t="s">
        <v>83</v>
      </c>
      <c r="T1567">
        <f>IF(TRIM(Table1[[#This Row],[PitStopLaps]])="",0,
LEN(Table1[[#This Row],[PitStopLaps]])-LEN(SUBSTITUTE(Table1[[#This Row],[PitStopLaps]],",",""))+1)</f>
        <v>2</v>
      </c>
      <c r="U1567">
        <f>Table1[[#This Row],[StartPosition]]-Table1[[#This Row],[FinishPosition]]</f>
        <v>0</v>
      </c>
    </row>
    <row r="1568" spans="1:21" x14ac:dyDescent="0.3">
      <c r="A1568">
        <v>2021</v>
      </c>
      <c r="B1568">
        <v>21</v>
      </c>
      <c r="C1568" t="s">
        <v>766</v>
      </c>
      <c r="D1568" t="s">
        <v>54</v>
      </c>
      <c r="E1568" t="s">
        <v>55</v>
      </c>
      <c r="F1568" t="s">
        <v>22</v>
      </c>
      <c r="G1568">
        <v>4</v>
      </c>
      <c r="H1568">
        <v>7</v>
      </c>
      <c r="I1568">
        <v>6</v>
      </c>
      <c r="J1568" t="s">
        <v>34</v>
      </c>
      <c r="K1568" t="s">
        <v>24</v>
      </c>
      <c r="L1568">
        <v>50</v>
      </c>
      <c r="M1568">
        <v>91.600999999999999</v>
      </c>
      <c r="N1568">
        <v>94.929030999999995</v>
      </c>
      <c r="O1568">
        <v>33.783000000000001</v>
      </c>
      <c r="P1568">
        <v>29.138000000000002</v>
      </c>
      <c r="Q1568">
        <v>28.56</v>
      </c>
      <c r="R1568" t="s">
        <v>767</v>
      </c>
      <c r="S1568" t="s">
        <v>83</v>
      </c>
      <c r="T1568">
        <f>IF(TRIM(Table1[[#This Row],[PitStopLaps]])="",0,
LEN(Table1[[#This Row],[PitStopLaps]])-LEN(SUBSTITUTE(Table1[[#This Row],[PitStopLaps]],",",""))+1)</f>
        <v>3</v>
      </c>
      <c r="U1568">
        <f>Table1[[#This Row],[StartPosition]]-Table1[[#This Row],[FinishPosition]]</f>
        <v>-3</v>
      </c>
    </row>
    <row r="1569" spans="1:21" x14ac:dyDescent="0.3">
      <c r="A1569">
        <v>2021</v>
      </c>
      <c r="B1569">
        <v>21</v>
      </c>
      <c r="C1569" t="s">
        <v>766</v>
      </c>
      <c r="D1569" t="s">
        <v>47</v>
      </c>
      <c r="E1569" t="s">
        <v>48</v>
      </c>
      <c r="F1569" t="s">
        <v>22</v>
      </c>
      <c r="G1569">
        <v>15</v>
      </c>
      <c r="H1569">
        <v>8</v>
      </c>
      <c r="I1569">
        <v>4</v>
      </c>
      <c r="J1569" t="s">
        <v>34</v>
      </c>
      <c r="K1569" t="s">
        <v>24</v>
      </c>
      <c r="L1569">
        <v>50</v>
      </c>
      <c r="M1569">
        <v>91.850999999999999</v>
      </c>
      <c r="N1569">
        <v>95.310311999999996</v>
      </c>
      <c r="O1569">
        <v>33.694000000000003</v>
      </c>
      <c r="P1569">
        <v>28.995999999999999</v>
      </c>
      <c r="Q1569">
        <v>28.821000000000002</v>
      </c>
      <c r="R1569" t="s">
        <v>768</v>
      </c>
      <c r="S1569" t="s">
        <v>83</v>
      </c>
      <c r="T1569">
        <f>IF(TRIM(Table1[[#This Row],[PitStopLaps]])="",0,
LEN(Table1[[#This Row],[PitStopLaps]])-LEN(SUBSTITUTE(Table1[[#This Row],[PitStopLaps]],",",""))+1)</f>
        <v>2</v>
      </c>
      <c r="U1569">
        <f>Table1[[#This Row],[StartPosition]]-Table1[[#This Row],[FinishPosition]]</f>
        <v>7</v>
      </c>
    </row>
    <row r="1570" spans="1:21" x14ac:dyDescent="0.3">
      <c r="A1570">
        <v>2021</v>
      </c>
      <c r="B1570">
        <v>21</v>
      </c>
      <c r="C1570" t="s">
        <v>766</v>
      </c>
      <c r="D1570" t="s">
        <v>250</v>
      </c>
      <c r="E1570" t="s">
        <v>251</v>
      </c>
      <c r="F1570" t="s">
        <v>243</v>
      </c>
      <c r="G1570">
        <v>10</v>
      </c>
      <c r="H1570">
        <v>9</v>
      </c>
      <c r="I1570">
        <v>2</v>
      </c>
      <c r="J1570" t="s">
        <v>34</v>
      </c>
      <c r="K1570" t="s">
        <v>24</v>
      </c>
      <c r="L1570">
        <v>50</v>
      </c>
      <c r="M1570">
        <v>92.864999999999995</v>
      </c>
      <c r="N1570">
        <v>95.801030999999995</v>
      </c>
      <c r="O1570">
        <v>34.128999999999998</v>
      </c>
      <c r="P1570">
        <v>29.516999999999999</v>
      </c>
      <c r="Q1570">
        <v>29.152999999999999</v>
      </c>
      <c r="R1570" t="s">
        <v>768</v>
      </c>
      <c r="S1570" t="s">
        <v>83</v>
      </c>
      <c r="T1570">
        <f>IF(TRIM(Table1[[#This Row],[PitStopLaps]])="",0,
LEN(Table1[[#This Row],[PitStopLaps]])-LEN(SUBSTITUTE(Table1[[#This Row],[PitStopLaps]],",",""))+1)</f>
        <v>2</v>
      </c>
      <c r="U1570">
        <f>Table1[[#This Row],[StartPosition]]-Table1[[#This Row],[FinishPosition]]</f>
        <v>1</v>
      </c>
    </row>
    <row r="1571" spans="1:21" x14ac:dyDescent="0.3">
      <c r="A1571">
        <v>2021</v>
      </c>
      <c r="B1571">
        <v>21</v>
      </c>
      <c r="C1571" t="s">
        <v>766</v>
      </c>
      <c r="D1571" t="s">
        <v>246</v>
      </c>
      <c r="E1571" t="s">
        <v>247</v>
      </c>
      <c r="F1571" t="s">
        <v>37</v>
      </c>
      <c r="G1571">
        <v>7</v>
      </c>
      <c r="H1571">
        <v>10</v>
      </c>
      <c r="I1571">
        <v>1</v>
      </c>
      <c r="J1571" t="s">
        <v>34</v>
      </c>
      <c r="K1571" t="s">
        <v>24</v>
      </c>
      <c r="L1571">
        <v>50</v>
      </c>
      <c r="M1571">
        <v>91.914000000000001</v>
      </c>
      <c r="N1571">
        <v>94.728705000000005</v>
      </c>
      <c r="O1571">
        <v>33.741</v>
      </c>
      <c r="P1571">
        <v>29.216000000000001</v>
      </c>
      <c r="Q1571">
        <v>28.777000000000001</v>
      </c>
      <c r="R1571" t="s">
        <v>767</v>
      </c>
      <c r="S1571" t="s">
        <v>83</v>
      </c>
      <c r="T1571">
        <f>IF(TRIM(Table1[[#This Row],[PitStopLaps]])="",0,
LEN(Table1[[#This Row],[PitStopLaps]])-LEN(SUBSTITUTE(Table1[[#This Row],[PitStopLaps]],",",""))+1)</f>
        <v>3</v>
      </c>
      <c r="U1571">
        <f>Table1[[#This Row],[StartPosition]]-Table1[[#This Row],[FinishPosition]]</f>
        <v>-3</v>
      </c>
    </row>
    <row r="1572" spans="1:21" x14ac:dyDescent="0.3">
      <c r="A1572">
        <v>2021</v>
      </c>
      <c r="B1572">
        <v>21</v>
      </c>
      <c r="C1572" t="s">
        <v>766</v>
      </c>
      <c r="D1572" t="s">
        <v>58</v>
      </c>
      <c r="E1572" t="s">
        <v>59</v>
      </c>
      <c r="F1572" t="s">
        <v>603</v>
      </c>
      <c r="G1572">
        <v>18</v>
      </c>
      <c r="H1572">
        <v>11</v>
      </c>
      <c r="I1572">
        <v>0</v>
      </c>
      <c r="J1572" t="s">
        <v>34</v>
      </c>
      <c r="K1572" t="s">
        <v>24</v>
      </c>
      <c r="L1572">
        <v>50</v>
      </c>
      <c r="M1572">
        <v>92.804000000000002</v>
      </c>
      <c r="N1572">
        <v>95.622423999999995</v>
      </c>
      <c r="O1572">
        <v>34.048000000000002</v>
      </c>
      <c r="P1572">
        <v>29.622</v>
      </c>
      <c r="Q1572">
        <v>29.126000000000001</v>
      </c>
      <c r="R1572" t="s">
        <v>769</v>
      </c>
      <c r="S1572" t="s">
        <v>83</v>
      </c>
      <c r="T1572">
        <f>IF(TRIM(Table1[[#This Row],[PitStopLaps]])="",0,
LEN(Table1[[#This Row],[PitStopLaps]])-LEN(SUBSTITUTE(Table1[[#This Row],[PitStopLaps]],",",""))+1)</f>
        <v>3</v>
      </c>
      <c r="U1572">
        <f>Table1[[#This Row],[StartPosition]]-Table1[[#This Row],[FinishPosition]]</f>
        <v>7</v>
      </c>
    </row>
    <row r="1573" spans="1:21" x14ac:dyDescent="0.3">
      <c r="A1573">
        <v>2021</v>
      </c>
      <c r="B1573">
        <v>21</v>
      </c>
      <c r="C1573" t="s">
        <v>766</v>
      </c>
      <c r="D1573" t="s">
        <v>440</v>
      </c>
      <c r="E1573" t="s">
        <v>441</v>
      </c>
      <c r="F1573" t="s">
        <v>60</v>
      </c>
      <c r="G1573">
        <v>16</v>
      </c>
      <c r="H1573">
        <v>12</v>
      </c>
      <c r="I1573">
        <v>0</v>
      </c>
      <c r="J1573" t="s">
        <v>34</v>
      </c>
      <c r="K1573" t="s">
        <v>24</v>
      </c>
      <c r="L1573">
        <v>50</v>
      </c>
      <c r="M1573">
        <v>92.751000000000005</v>
      </c>
      <c r="N1573">
        <v>95.939818000000002</v>
      </c>
      <c r="O1573">
        <v>34.076999999999998</v>
      </c>
      <c r="P1573">
        <v>29.495000000000001</v>
      </c>
      <c r="Q1573">
        <v>29.178999999999998</v>
      </c>
      <c r="R1573" t="s">
        <v>767</v>
      </c>
      <c r="S1573" t="s">
        <v>83</v>
      </c>
      <c r="T1573">
        <f>IF(TRIM(Table1[[#This Row],[PitStopLaps]])="",0,
LEN(Table1[[#This Row],[PitStopLaps]])-LEN(SUBSTITUTE(Table1[[#This Row],[PitStopLaps]],",",""))+1)</f>
        <v>3</v>
      </c>
      <c r="U1573">
        <f>Table1[[#This Row],[StartPosition]]-Table1[[#This Row],[FinishPosition]]</f>
        <v>4</v>
      </c>
    </row>
    <row r="1574" spans="1:21" x14ac:dyDescent="0.3">
      <c r="A1574">
        <v>2021</v>
      </c>
      <c r="B1574">
        <v>21</v>
      </c>
      <c r="C1574" t="s">
        <v>766</v>
      </c>
      <c r="D1574" t="s">
        <v>35</v>
      </c>
      <c r="E1574" t="s">
        <v>36</v>
      </c>
      <c r="F1574" t="s">
        <v>607</v>
      </c>
      <c r="G1574">
        <v>13</v>
      </c>
      <c r="H1574">
        <v>13</v>
      </c>
      <c r="I1574">
        <v>0</v>
      </c>
      <c r="J1574" t="s">
        <v>34</v>
      </c>
      <c r="K1574" t="s">
        <v>65</v>
      </c>
      <c r="L1574">
        <v>49</v>
      </c>
      <c r="M1574">
        <v>91.632999999999996</v>
      </c>
      <c r="N1574">
        <v>96.423066000000006</v>
      </c>
      <c r="O1574">
        <v>33.706000000000003</v>
      </c>
      <c r="P1574">
        <v>29.163</v>
      </c>
      <c r="Q1574">
        <v>28.709</v>
      </c>
      <c r="R1574" t="s">
        <v>770</v>
      </c>
      <c r="S1574" t="s">
        <v>83</v>
      </c>
      <c r="T1574">
        <f>IF(TRIM(Table1[[#This Row],[PitStopLaps]])="",0,
LEN(Table1[[#This Row],[PitStopLaps]])-LEN(SUBSTITUTE(Table1[[#This Row],[PitStopLaps]],",",""))+1)</f>
        <v>4</v>
      </c>
      <c r="U1574">
        <f>Table1[[#This Row],[StartPosition]]-Table1[[#This Row],[FinishPosition]]</f>
        <v>0</v>
      </c>
    </row>
    <row r="1575" spans="1:21" x14ac:dyDescent="0.3">
      <c r="A1575">
        <v>2021</v>
      </c>
      <c r="B1575">
        <v>21</v>
      </c>
      <c r="C1575" t="s">
        <v>766</v>
      </c>
      <c r="D1575" t="s">
        <v>601</v>
      </c>
      <c r="E1575" t="s">
        <v>602</v>
      </c>
      <c r="F1575" t="s">
        <v>438</v>
      </c>
      <c r="G1575">
        <v>8</v>
      </c>
      <c r="H1575">
        <v>14</v>
      </c>
      <c r="I1575">
        <v>0</v>
      </c>
      <c r="J1575" t="s">
        <v>34</v>
      </c>
      <c r="K1575" t="s">
        <v>65</v>
      </c>
      <c r="L1575">
        <v>49</v>
      </c>
      <c r="M1575">
        <v>92.506</v>
      </c>
      <c r="N1575">
        <v>95.279200000000003</v>
      </c>
      <c r="O1575">
        <v>33.811999999999998</v>
      </c>
      <c r="P1575">
        <v>29.48</v>
      </c>
      <c r="Q1575">
        <v>29.053000000000001</v>
      </c>
      <c r="R1575" t="s">
        <v>771</v>
      </c>
      <c r="S1575" t="s">
        <v>83</v>
      </c>
      <c r="T1575">
        <f>IF(TRIM(Table1[[#This Row],[PitStopLaps]])="",0,
LEN(Table1[[#This Row],[PitStopLaps]])-LEN(SUBSTITUTE(Table1[[#This Row],[PitStopLaps]],",",""))+1)</f>
        <v>3</v>
      </c>
      <c r="U1575">
        <f>Table1[[#This Row],[StartPosition]]-Table1[[#This Row],[FinishPosition]]</f>
        <v>-6</v>
      </c>
    </row>
    <row r="1576" spans="1:21" x14ac:dyDescent="0.3">
      <c r="A1576">
        <v>2021</v>
      </c>
      <c r="B1576">
        <v>21</v>
      </c>
      <c r="C1576" t="s">
        <v>766</v>
      </c>
      <c r="D1576" t="s">
        <v>29</v>
      </c>
      <c r="E1576" t="s">
        <v>30</v>
      </c>
      <c r="F1576" t="s">
        <v>243</v>
      </c>
      <c r="G1576">
        <v>12</v>
      </c>
      <c r="H1576">
        <v>15</v>
      </c>
      <c r="I1576">
        <v>0</v>
      </c>
      <c r="J1576" t="s">
        <v>34</v>
      </c>
      <c r="K1576" t="s">
        <v>65</v>
      </c>
      <c r="L1576">
        <v>49</v>
      </c>
      <c r="M1576">
        <v>92.778000000000006</v>
      </c>
      <c r="N1576">
        <v>96.283600000000007</v>
      </c>
      <c r="O1576">
        <v>34.002000000000002</v>
      </c>
      <c r="P1576">
        <v>29.32</v>
      </c>
      <c r="Q1576">
        <v>29.122</v>
      </c>
      <c r="R1576" t="s">
        <v>772</v>
      </c>
      <c r="S1576" t="s">
        <v>83</v>
      </c>
      <c r="T1576">
        <f>IF(TRIM(Table1[[#This Row],[PitStopLaps]])="",0,
LEN(Table1[[#This Row],[PitStopLaps]])-LEN(SUBSTITUTE(Table1[[#This Row],[PitStopLaps]],",",""))+1)</f>
        <v>3</v>
      </c>
      <c r="U1576">
        <f>Table1[[#This Row],[StartPosition]]-Table1[[#This Row],[FinishPosition]]</f>
        <v>-3</v>
      </c>
    </row>
    <row r="1577" spans="1:21" x14ac:dyDescent="0.3">
      <c r="A1577">
        <v>2021</v>
      </c>
      <c r="B1577">
        <v>21</v>
      </c>
      <c r="C1577" t="s">
        <v>766</v>
      </c>
      <c r="D1577" t="s">
        <v>20</v>
      </c>
      <c r="E1577" t="s">
        <v>21</v>
      </c>
      <c r="F1577" t="s">
        <v>603</v>
      </c>
      <c r="G1577">
        <v>17</v>
      </c>
      <c r="H1577">
        <v>16</v>
      </c>
      <c r="I1577">
        <v>0</v>
      </c>
      <c r="J1577" t="s">
        <v>34</v>
      </c>
      <c r="K1577" t="s">
        <v>109</v>
      </c>
      <c r="L1577">
        <v>44</v>
      </c>
      <c r="M1577">
        <v>94.03</v>
      </c>
      <c r="N1577">
        <v>97.138768999999996</v>
      </c>
      <c r="O1577">
        <v>34.744</v>
      </c>
      <c r="P1577">
        <v>29.86</v>
      </c>
      <c r="Q1577">
        <v>29.282</v>
      </c>
      <c r="R1577" t="s">
        <v>773</v>
      </c>
      <c r="S1577" t="s">
        <v>83</v>
      </c>
      <c r="T1577">
        <f>IF(TRIM(Table1[[#This Row],[PitStopLaps]])="",0,
LEN(Table1[[#This Row],[PitStopLaps]])-LEN(SUBSTITUTE(Table1[[#This Row],[PitStopLaps]],",",""))+1)</f>
        <v>3</v>
      </c>
      <c r="U1577">
        <f>Table1[[#This Row],[StartPosition]]-Table1[[#This Row],[FinishPosition]]</f>
        <v>1</v>
      </c>
    </row>
    <row r="1578" spans="1:21" x14ac:dyDescent="0.3">
      <c r="A1578">
        <v>2021</v>
      </c>
      <c r="B1578">
        <v>21</v>
      </c>
      <c r="C1578" t="s">
        <v>766</v>
      </c>
      <c r="D1578" t="s">
        <v>49</v>
      </c>
      <c r="E1578" t="s">
        <v>50</v>
      </c>
      <c r="F1578" t="s">
        <v>33</v>
      </c>
      <c r="G1578">
        <v>5</v>
      </c>
      <c r="H1578">
        <v>17</v>
      </c>
      <c r="I1578">
        <v>0</v>
      </c>
      <c r="J1578" t="s">
        <v>34</v>
      </c>
      <c r="K1578" t="s">
        <v>124</v>
      </c>
      <c r="L1578">
        <v>15</v>
      </c>
      <c r="M1578">
        <v>94.138000000000005</v>
      </c>
      <c r="N1578">
        <v>94.559375000000003</v>
      </c>
      <c r="O1578">
        <v>34.886000000000003</v>
      </c>
      <c r="P1578">
        <v>29.795000000000002</v>
      </c>
      <c r="Q1578">
        <v>29.161999999999999</v>
      </c>
      <c r="R1578" t="s">
        <v>774</v>
      </c>
      <c r="S1578" t="s">
        <v>83</v>
      </c>
      <c r="T1578">
        <f>IF(TRIM(Table1[[#This Row],[PitStopLaps]])="",0,
LEN(Table1[[#This Row],[PitStopLaps]])-LEN(SUBSTITUTE(Table1[[#This Row],[PitStopLaps]],",",""))+1)</f>
        <v>2</v>
      </c>
      <c r="U1578">
        <f>Table1[[#This Row],[StartPosition]]-Table1[[#This Row],[FinishPosition]]</f>
        <v>-12</v>
      </c>
    </row>
    <row r="1579" spans="1:21" x14ac:dyDescent="0.3">
      <c r="A1579">
        <v>2021</v>
      </c>
      <c r="B1579">
        <v>21</v>
      </c>
      <c r="C1579" t="s">
        <v>766</v>
      </c>
      <c r="D1579" t="s">
        <v>613</v>
      </c>
      <c r="E1579" t="s">
        <v>614</v>
      </c>
      <c r="F1579" t="s">
        <v>69</v>
      </c>
      <c r="G1579">
        <v>20</v>
      </c>
      <c r="H1579">
        <v>18</v>
      </c>
      <c r="I1579">
        <v>0</v>
      </c>
      <c r="J1579" t="s">
        <v>34</v>
      </c>
      <c r="K1579" t="s">
        <v>124</v>
      </c>
      <c r="L1579">
        <v>15</v>
      </c>
      <c r="M1579">
        <v>97.043000000000006</v>
      </c>
      <c r="N1579">
        <v>97.983714000000006</v>
      </c>
      <c r="O1579">
        <v>36.395000000000003</v>
      </c>
      <c r="P1579">
        <v>30.617000000000001</v>
      </c>
      <c r="Q1579">
        <v>29.957000000000001</v>
      </c>
      <c r="R1579">
        <v>13</v>
      </c>
      <c r="S1579" t="s">
        <v>83</v>
      </c>
      <c r="T1579">
        <f>IF(TRIM(Table1[[#This Row],[PitStopLaps]])="",0,
LEN(Table1[[#This Row],[PitStopLaps]])-LEN(SUBSTITUTE(Table1[[#This Row],[PitStopLaps]],",",""))+1)</f>
        <v>1</v>
      </c>
      <c r="U1579">
        <f>Table1[[#This Row],[StartPosition]]-Table1[[#This Row],[FinishPosition]]</f>
        <v>2</v>
      </c>
    </row>
    <row r="1580" spans="1:21" x14ac:dyDescent="0.3">
      <c r="A1580">
        <v>2021</v>
      </c>
      <c r="B1580">
        <v>21</v>
      </c>
      <c r="C1580" t="s">
        <v>766</v>
      </c>
      <c r="D1580" t="s">
        <v>252</v>
      </c>
      <c r="E1580" t="s">
        <v>253</v>
      </c>
      <c r="F1580" t="s">
        <v>60</v>
      </c>
      <c r="G1580">
        <v>14</v>
      </c>
      <c r="H1580">
        <v>19</v>
      </c>
      <c r="I1580">
        <v>0</v>
      </c>
      <c r="J1580" t="s">
        <v>34</v>
      </c>
      <c r="K1580" t="s">
        <v>124</v>
      </c>
      <c r="L1580">
        <v>15</v>
      </c>
      <c r="M1580">
        <v>96.13</v>
      </c>
      <c r="N1580">
        <v>97.156284999999997</v>
      </c>
      <c r="O1580">
        <v>35.697000000000003</v>
      </c>
      <c r="P1580">
        <v>30.425999999999998</v>
      </c>
      <c r="Q1580">
        <v>29.774999999999999</v>
      </c>
      <c r="R1580" t="s">
        <v>775</v>
      </c>
      <c r="S1580" t="s">
        <v>83</v>
      </c>
      <c r="T1580">
        <f>IF(TRIM(Table1[[#This Row],[PitStopLaps]])="",0,
LEN(Table1[[#This Row],[PitStopLaps]])-LEN(SUBSTITUTE(Table1[[#This Row],[PitStopLaps]],",",""))+1)</f>
        <v>2</v>
      </c>
      <c r="U1580">
        <f>Table1[[#This Row],[StartPosition]]-Table1[[#This Row],[FinishPosition]]</f>
        <v>-5</v>
      </c>
    </row>
    <row r="1581" spans="1:21" x14ac:dyDescent="0.3">
      <c r="A1581">
        <v>2021</v>
      </c>
      <c r="B1581">
        <v>21</v>
      </c>
      <c r="C1581" t="s">
        <v>766</v>
      </c>
      <c r="D1581" t="s">
        <v>608</v>
      </c>
      <c r="E1581" t="s">
        <v>609</v>
      </c>
      <c r="F1581" t="s">
        <v>69</v>
      </c>
      <c r="G1581">
        <v>19</v>
      </c>
      <c r="H1581">
        <v>20</v>
      </c>
      <c r="I1581">
        <v>0</v>
      </c>
      <c r="J1581" t="s">
        <v>34</v>
      </c>
      <c r="K1581" t="s">
        <v>123</v>
      </c>
      <c r="L1581">
        <v>9</v>
      </c>
      <c r="M1581">
        <v>96.043000000000006</v>
      </c>
      <c r="N1581">
        <v>97.310570999999996</v>
      </c>
      <c r="O1581">
        <v>35.869999999999997</v>
      </c>
      <c r="P1581">
        <v>30.324999999999999</v>
      </c>
      <c r="Q1581">
        <v>29.704000000000001</v>
      </c>
      <c r="S1581" t="s">
        <v>83</v>
      </c>
      <c r="T1581">
        <f>IF(TRIM(Table1[[#This Row],[PitStopLaps]])="",0,
LEN(Table1[[#This Row],[PitStopLaps]])-LEN(SUBSTITUTE(Table1[[#This Row],[PitStopLaps]],",",""))+1)</f>
        <v>0</v>
      </c>
      <c r="U1581">
        <f>Table1[[#This Row],[StartPosition]]-Table1[[#This Row],[FinishPosition]]</f>
        <v>-1</v>
      </c>
    </row>
    <row r="1582" spans="1:21" x14ac:dyDescent="0.3">
      <c r="A1582">
        <v>2021</v>
      </c>
      <c r="B1582">
        <v>22</v>
      </c>
      <c r="C1582" t="s">
        <v>240</v>
      </c>
      <c r="D1582" t="s">
        <v>38</v>
      </c>
      <c r="E1582" t="s">
        <v>39</v>
      </c>
      <c r="F1582" t="s">
        <v>33</v>
      </c>
      <c r="G1582">
        <v>1</v>
      </c>
      <c r="H1582">
        <v>1</v>
      </c>
      <c r="I1582">
        <v>26</v>
      </c>
      <c r="J1582" t="s">
        <v>23</v>
      </c>
      <c r="K1582" t="s">
        <v>24</v>
      </c>
      <c r="L1582">
        <v>58</v>
      </c>
      <c r="M1582">
        <v>86.102999999999994</v>
      </c>
      <c r="N1582">
        <v>87.861853999999994</v>
      </c>
      <c r="O1582">
        <v>17.420000000000002</v>
      </c>
      <c r="P1582">
        <v>37.323999999999998</v>
      </c>
      <c r="Q1582">
        <v>30.687000000000001</v>
      </c>
      <c r="R1582" t="s">
        <v>776</v>
      </c>
      <c r="S1582" t="s">
        <v>83</v>
      </c>
      <c r="T1582">
        <f>IF(TRIM(Table1[[#This Row],[PitStopLaps]])="",0,
LEN(Table1[[#This Row],[PitStopLaps]])-LEN(SUBSTITUTE(Table1[[#This Row],[PitStopLaps]],",",""))+1)</f>
        <v>3</v>
      </c>
      <c r="U1582">
        <f>Table1[[#This Row],[StartPosition]]-Table1[[#This Row],[FinishPosition]]</f>
        <v>0</v>
      </c>
    </row>
    <row r="1583" spans="1:21" x14ac:dyDescent="0.3">
      <c r="A1583">
        <v>2021</v>
      </c>
      <c r="B1583">
        <v>22</v>
      </c>
      <c r="C1583" t="s">
        <v>240</v>
      </c>
      <c r="D1583" t="s">
        <v>26</v>
      </c>
      <c r="E1583" t="s">
        <v>27</v>
      </c>
      <c r="F1583" t="s">
        <v>28</v>
      </c>
      <c r="G1583">
        <v>2</v>
      </c>
      <c r="H1583">
        <v>2</v>
      </c>
      <c r="I1583">
        <v>18</v>
      </c>
      <c r="J1583" t="s">
        <v>23</v>
      </c>
      <c r="K1583" t="s">
        <v>24</v>
      </c>
      <c r="L1583">
        <v>58</v>
      </c>
      <c r="M1583">
        <v>86.614999999999995</v>
      </c>
      <c r="N1583">
        <v>87.944828999999999</v>
      </c>
      <c r="O1583">
        <v>17.600000000000001</v>
      </c>
      <c r="P1583">
        <v>37.29</v>
      </c>
      <c r="Q1583">
        <v>31.588000000000001</v>
      </c>
      <c r="R1583">
        <v>14</v>
      </c>
      <c r="S1583" t="s">
        <v>83</v>
      </c>
      <c r="T1583">
        <f>IF(TRIM(Table1[[#This Row],[PitStopLaps]])="",0,
LEN(Table1[[#This Row],[PitStopLaps]])-LEN(SUBSTITUTE(Table1[[#This Row],[PitStopLaps]],",",""))+1)</f>
        <v>1</v>
      </c>
      <c r="U1583">
        <f>Table1[[#This Row],[StartPosition]]-Table1[[#This Row],[FinishPosition]]</f>
        <v>0</v>
      </c>
    </row>
    <row r="1584" spans="1:21" x14ac:dyDescent="0.3">
      <c r="A1584">
        <v>2021</v>
      </c>
      <c r="B1584">
        <v>22</v>
      </c>
      <c r="C1584" t="s">
        <v>240</v>
      </c>
      <c r="D1584" t="s">
        <v>47</v>
      </c>
      <c r="E1584" t="s">
        <v>48</v>
      </c>
      <c r="F1584" t="s">
        <v>22</v>
      </c>
      <c r="G1584">
        <v>5</v>
      </c>
      <c r="H1584">
        <v>3</v>
      </c>
      <c r="I1584">
        <v>15</v>
      </c>
      <c r="J1584" t="s">
        <v>23</v>
      </c>
      <c r="K1584" t="s">
        <v>24</v>
      </c>
      <c r="L1584">
        <v>58</v>
      </c>
      <c r="M1584">
        <v>87.617999999999995</v>
      </c>
      <c r="N1584">
        <v>89.204892999999998</v>
      </c>
      <c r="O1584">
        <v>17.786000000000001</v>
      </c>
      <c r="P1584">
        <v>38.029000000000003</v>
      </c>
      <c r="Q1584">
        <v>31.687999999999999</v>
      </c>
      <c r="R1584">
        <v>19</v>
      </c>
      <c r="S1584" t="s">
        <v>83</v>
      </c>
      <c r="T1584">
        <f>IF(TRIM(Table1[[#This Row],[PitStopLaps]])="",0,
LEN(Table1[[#This Row],[PitStopLaps]])-LEN(SUBSTITUTE(Table1[[#This Row],[PitStopLaps]],",",""))+1)</f>
        <v>1</v>
      </c>
      <c r="U1584">
        <f>Table1[[#This Row],[StartPosition]]-Table1[[#This Row],[FinishPosition]]</f>
        <v>2</v>
      </c>
    </row>
    <row r="1585" spans="1:21" x14ac:dyDescent="0.3">
      <c r="A1585">
        <v>2021</v>
      </c>
      <c r="B1585">
        <v>22</v>
      </c>
      <c r="C1585" t="s">
        <v>240</v>
      </c>
      <c r="D1585" t="s">
        <v>601</v>
      </c>
      <c r="E1585" t="s">
        <v>602</v>
      </c>
      <c r="F1585" t="s">
        <v>438</v>
      </c>
      <c r="G1585">
        <v>8</v>
      </c>
      <c r="H1585">
        <v>4</v>
      </c>
      <c r="I1585">
        <v>12</v>
      </c>
      <c r="J1585" t="s">
        <v>34</v>
      </c>
      <c r="K1585" t="s">
        <v>24</v>
      </c>
      <c r="L1585">
        <v>58</v>
      </c>
      <c r="M1585">
        <v>87.495999999999995</v>
      </c>
      <c r="N1585">
        <v>89.322913</v>
      </c>
      <c r="O1585">
        <v>17.507999999999999</v>
      </c>
      <c r="P1585">
        <v>37.768000000000001</v>
      </c>
      <c r="Q1585">
        <v>31.913</v>
      </c>
      <c r="R1585" t="s">
        <v>642</v>
      </c>
      <c r="S1585" t="s">
        <v>83</v>
      </c>
      <c r="T1585">
        <f>IF(TRIM(Table1[[#This Row],[PitStopLaps]])="",0,
LEN(Table1[[#This Row],[PitStopLaps]])-LEN(SUBSTITUTE(Table1[[#This Row],[PitStopLaps]],",",""))+1)</f>
        <v>2</v>
      </c>
      <c r="U1585">
        <f>Table1[[#This Row],[StartPosition]]-Table1[[#This Row],[FinishPosition]]</f>
        <v>4</v>
      </c>
    </row>
    <row r="1586" spans="1:21" x14ac:dyDescent="0.3">
      <c r="A1586">
        <v>2021</v>
      </c>
      <c r="B1586">
        <v>22</v>
      </c>
      <c r="C1586" t="s">
        <v>240</v>
      </c>
      <c r="D1586" t="s">
        <v>73</v>
      </c>
      <c r="E1586" t="s">
        <v>74</v>
      </c>
      <c r="F1586" t="s">
        <v>438</v>
      </c>
      <c r="G1586">
        <v>12</v>
      </c>
      <c r="H1586">
        <v>5</v>
      </c>
      <c r="I1586">
        <v>10</v>
      </c>
      <c r="J1586" t="s">
        <v>34</v>
      </c>
      <c r="K1586" t="s">
        <v>24</v>
      </c>
      <c r="L1586">
        <v>58</v>
      </c>
      <c r="M1586">
        <v>87.341999999999999</v>
      </c>
      <c r="N1586">
        <v>89.617270000000005</v>
      </c>
      <c r="O1586">
        <v>17.629000000000001</v>
      </c>
      <c r="P1586">
        <v>37.343000000000004</v>
      </c>
      <c r="Q1586">
        <v>31.89</v>
      </c>
      <c r="R1586" t="s">
        <v>777</v>
      </c>
      <c r="S1586" t="s">
        <v>83</v>
      </c>
      <c r="T1586">
        <f>IF(TRIM(Table1[[#This Row],[PitStopLaps]])="",0,
LEN(Table1[[#This Row],[PitStopLaps]])-LEN(SUBSTITUTE(Table1[[#This Row],[PitStopLaps]],",",""))+1)</f>
        <v>2</v>
      </c>
      <c r="U1586">
        <f>Table1[[#This Row],[StartPosition]]-Table1[[#This Row],[FinishPosition]]</f>
        <v>7</v>
      </c>
    </row>
    <row r="1587" spans="1:21" x14ac:dyDescent="0.3">
      <c r="A1587">
        <v>2021</v>
      </c>
      <c r="B1587">
        <v>22</v>
      </c>
      <c r="C1587" t="s">
        <v>240</v>
      </c>
      <c r="D1587" t="s">
        <v>43</v>
      </c>
      <c r="E1587" t="s">
        <v>44</v>
      </c>
      <c r="F1587" t="s">
        <v>28</v>
      </c>
      <c r="G1587">
        <v>6</v>
      </c>
      <c r="H1587">
        <v>6</v>
      </c>
      <c r="I1587">
        <v>8</v>
      </c>
      <c r="J1587" t="s">
        <v>34</v>
      </c>
      <c r="K1587" t="s">
        <v>24</v>
      </c>
      <c r="L1587">
        <v>58</v>
      </c>
      <c r="M1587">
        <v>86.861999999999995</v>
      </c>
      <c r="N1587">
        <v>89.317913000000004</v>
      </c>
      <c r="O1587">
        <v>17.498000000000001</v>
      </c>
      <c r="P1587">
        <v>37.524000000000001</v>
      </c>
      <c r="Q1587">
        <v>31.713000000000001</v>
      </c>
      <c r="R1587">
        <v>30</v>
      </c>
      <c r="S1587" t="s">
        <v>83</v>
      </c>
      <c r="T1587">
        <f>IF(TRIM(Table1[[#This Row],[PitStopLaps]])="",0,
LEN(Table1[[#This Row],[PitStopLaps]])-LEN(SUBSTITUTE(Table1[[#This Row],[PitStopLaps]],",",""))+1)</f>
        <v>1</v>
      </c>
      <c r="U1587">
        <f>Table1[[#This Row],[StartPosition]]-Table1[[#This Row],[FinishPosition]]</f>
        <v>0</v>
      </c>
    </row>
    <row r="1588" spans="1:21" x14ac:dyDescent="0.3">
      <c r="A1588">
        <v>2021</v>
      </c>
      <c r="B1588">
        <v>22</v>
      </c>
      <c r="C1588" t="s">
        <v>240</v>
      </c>
      <c r="D1588" t="s">
        <v>246</v>
      </c>
      <c r="E1588" t="s">
        <v>247</v>
      </c>
      <c r="F1588" t="s">
        <v>37</v>
      </c>
      <c r="G1588">
        <v>3</v>
      </c>
      <c r="H1588">
        <v>7</v>
      </c>
      <c r="I1588">
        <v>6</v>
      </c>
      <c r="J1588" t="s">
        <v>34</v>
      </c>
      <c r="K1588" t="s">
        <v>24</v>
      </c>
      <c r="L1588">
        <v>58</v>
      </c>
      <c r="M1588">
        <v>86.762</v>
      </c>
      <c r="N1588">
        <v>89.275295</v>
      </c>
      <c r="O1588">
        <v>17.466999999999999</v>
      </c>
      <c r="P1588">
        <v>37.576999999999998</v>
      </c>
      <c r="Q1588">
        <v>31.495999999999999</v>
      </c>
      <c r="R1588" t="s">
        <v>778</v>
      </c>
      <c r="S1588" t="s">
        <v>83</v>
      </c>
      <c r="T1588">
        <f>IF(TRIM(Table1[[#This Row],[PitStopLaps]])="",0,
LEN(Table1[[#This Row],[PitStopLaps]])-LEN(SUBSTITUTE(Table1[[#This Row],[PitStopLaps]],",",""))+1)</f>
        <v>2</v>
      </c>
      <c r="U1588">
        <f>Table1[[#This Row],[StartPosition]]-Table1[[#This Row],[FinishPosition]]</f>
        <v>-4</v>
      </c>
    </row>
    <row r="1589" spans="1:21" x14ac:dyDescent="0.3">
      <c r="A1589">
        <v>2021</v>
      </c>
      <c r="B1589">
        <v>22</v>
      </c>
      <c r="C1589" t="s">
        <v>240</v>
      </c>
      <c r="D1589" t="s">
        <v>35</v>
      </c>
      <c r="E1589" t="s">
        <v>36</v>
      </c>
      <c r="F1589" t="s">
        <v>607</v>
      </c>
      <c r="G1589">
        <v>11</v>
      </c>
      <c r="H1589">
        <v>8</v>
      </c>
      <c r="I1589">
        <v>4</v>
      </c>
      <c r="J1589" t="s">
        <v>34</v>
      </c>
      <c r="K1589" t="s">
        <v>24</v>
      </c>
      <c r="L1589">
        <v>58</v>
      </c>
      <c r="M1589">
        <v>87.606999999999999</v>
      </c>
      <c r="N1589">
        <v>89.904894999999996</v>
      </c>
      <c r="O1589">
        <v>17.611000000000001</v>
      </c>
      <c r="P1589">
        <v>37.892000000000003</v>
      </c>
      <c r="Q1589">
        <v>32.103999999999999</v>
      </c>
      <c r="R1589">
        <v>36</v>
      </c>
      <c r="S1589" t="s">
        <v>83</v>
      </c>
      <c r="T1589">
        <f>IF(TRIM(Table1[[#This Row],[PitStopLaps]])="",0,
LEN(Table1[[#This Row],[PitStopLaps]])-LEN(SUBSTITUTE(Table1[[#This Row],[PitStopLaps]],",",""))+1)</f>
        <v>1</v>
      </c>
      <c r="U1589">
        <f>Table1[[#This Row],[StartPosition]]-Table1[[#This Row],[FinishPosition]]</f>
        <v>3</v>
      </c>
    </row>
    <row r="1590" spans="1:21" x14ac:dyDescent="0.3">
      <c r="A1590">
        <v>2021</v>
      </c>
      <c r="B1590">
        <v>22</v>
      </c>
      <c r="C1590" t="s">
        <v>240</v>
      </c>
      <c r="D1590" t="s">
        <v>52</v>
      </c>
      <c r="E1590" t="s">
        <v>53</v>
      </c>
      <c r="F1590" t="s">
        <v>607</v>
      </c>
      <c r="G1590">
        <v>9</v>
      </c>
      <c r="H1590">
        <v>9</v>
      </c>
      <c r="I1590">
        <v>2</v>
      </c>
      <c r="J1590" t="s">
        <v>34</v>
      </c>
      <c r="K1590" t="s">
        <v>24</v>
      </c>
      <c r="L1590">
        <v>58</v>
      </c>
      <c r="M1590">
        <v>88.248999999999995</v>
      </c>
      <c r="N1590">
        <v>89.760194999999996</v>
      </c>
      <c r="O1590">
        <v>17.774000000000001</v>
      </c>
      <c r="P1590">
        <v>37.807000000000002</v>
      </c>
      <c r="Q1590">
        <v>32.619999999999997</v>
      </c>
      <c r="R1590">
        <v>15</v>
      </c>
      <c r="S1590" t="s">
        <v>83</v>
      </c>
      <c r="T1590">
        <f>IF(TRIM(Table1[[#This Row],[PitStopLaps]])="",0,
LEN(Table1[[#This Row],[PitStopLaps]])-LEN(SUBSTITUTE(Table1[[#This Row],[PitStopLaps]],",",""))+1)</f>
        <v>1</v>
      </c>
      <c r="U1590">
        <f>Table1[[#This Row],[StartPosition]]-Table1[[#This Row],[FinishPosition]]</f>
        <v>0</v>
      </c>
    </row>
    <row r="1591" spans="1:21" x14ac:dyDescent="0.3">
      <c r="A1591">
        <v>2021</v>
      </c>
      <c r="B1591">
        <v>22</v>
      </c>
      <c r="C1591" t="s">
        <v>240</v>
      </c>
      <c r="D1591" t="s">
        <v>54</v>
      </c>
      <c r="E1591" t="s">
        <v>55</v>
      </c>
      <c r="F1591" t="s">
        <v>22</v>
      </c>
      <c r="G1591">
        <v>7</v>
      </c>
      <c r="H1591">
        <v>10</v>
      </c>
      <c r="I1591">
        <v>1</v>
      </c>
      <c r="J1591" t="s">
        <v>34</v>
      </c>
      <c r="K1591" t="s">
        <v>24</v>
      </c>
      <c r="L1591">
        <v>58</v>
      </c>
      <c r="M1591">
        <v>88.337999999999994</v>
      </c>
      <c r="N1591">
        <v>89.608434000000003</v>
      </c>
      <c r="O1591">
        <v>17.742000000000001</v>
      </c>
      <c r="P1591">
        <v>37.581000000000003</v>
      </c>
      <c r="Q1591">
        <v>32.404000000000003</v>
      </c>
      <c r="R1591" t="s">
        <v>89</v>
      </c>
      <c r="S1591" t="s">
        <v>83</v>
      </c>
      <c r="T1591">
        <f>IF(TRIM(Table1[[#This Row],[PitStopLaps]])="",0,
LEN(Table1[[#This Row],[PitStopLaps]])-LEN(SUBSTITUTE(Table1[[#This Row],[PitStopLaps]],",",""))+1)</f>
        <v>2</v>
      </c>
      <c r="U1591">
        <f>Table1[[#This Row],[StartPosition]]-Table1[[#This Row],[FinishPosition]]</f>
        <v>-3</v>
      </c>
    </row>
    <row r="1592" spans="1:21" x14ac:dyDescent="0.3">
      <c r="A1592">
        <v>2021</v>
      </c>
      <c r="B1592">
        <v>22</v>
      </c>
      <c r="C1592" t="s">
        <v>240</v>
      </c>
      <c r="D1592" t="s">
        <v>20</v>
      </c>
      <c r="E1592" t="s">
        <v>21</v>
      </c>
      <c r="F1592" t="s">
        <v>603</v>
      </c>
      <c r="G1592">
        <v>15</v>
      </c>
      <c r="H1592">
        <v>11</v>
      </c>
      <c r="I1592">
        <v>0</v>
      </c>
      <c r="J1592" t="s">
        <v>34</v>
      </c>
      <c r="K1592" t="s">
        <v>24</v>
      </c>
      <c r="L1592">
        <v>58</v>
      </c>
      <c r="M1592">
        <v>88.302999999999997</v>
      </c>
      <c r="N1592">
        <v>89.979804000000001</v>
      </c>
      <c r="O1592">
        <v>17.812999999999999</v>
      </c>
      <c r="P1592">
        <v>37.793999999999997</v>
      </c>
      <c r="Q1592">
        <v>32.360999999999997</v>
      </c>
      <c r="R1592">
        <v>23</v>
      </c>
      <c r="S1592" t="s">
        <v>83</v>
      </c>
      <c r="T1592">
        <f>IF(TRIM(Table1[[#This Row],[PitStopLaps]])="",0,
LEN(Table1[[#This Row],[PitStopLaps]])-LEN(SUBSTITUTE(Table1[[#This Row],[PitStopLaps]],",",""))+1)</f>
        <v>1</v>
      </c>
      <c r="U1592">
        <f>Table1[[#This Row],[StartPosition]]-Table1[[#This Row],[FinishPosition]]</f>
        <v>4</v>
      </c>
    </row>
    <row r="1593" spans="1:21" x14ac:dyDescent="0.3">
      <c r="A1593">
        <v>2021</v>
      </c>
      <c r="B1593">
        <v>22</v>
      </c>
      <c r="C1593" t="s">
        <v>240</v>
      </c>
      <c r="D1593" t="s">
        <v>31</v>
      </c>
      <c r="E1593" t="s">
        <v>32</v>
      </c>
      <c r="F1593" t="s">
        <v>37</v>
      </c>
      <c r="G1593">
        <v>10</v>
      </c>
      <c r="H1593">
        <v>12</v>
      </c>
      <c r="I1593">
        <v>0</v>
      </c>
      <c r="J1593" t="s">
        <v>34</v>
      </c>
      <c r="K1593" t="s">
        <v>65</v>
      </c>
      <c r="L1593">
        <v>57</v>
      </c>
      <c r="M1593">
        <v>88.722999999999999</v>
      </c>
      <c r="N1593">
        <v>89.825999999999993</v>
      </c>
      <c r="O1593">
        <v>17.79</v>
      </c>
      <c r="P1593">
        <v>37.640999999999998</v>
      </c>
      <c r="Q1593">
        <v>32.545999999999999</v>
      </c>
      <c r="R1593" t="s">
        <v>779</v>
      </c>
      <c r="S1593" t="s">
        <v>83</v>
      </c>
      <c r="T1593">
        <f>IF(TRIM(Table1[[#This Row],[PitStopLaps]])="",0,
LEN(Table1[[#This Row],[PitStopLaps]])-LEN(SUBSTITUTE(Table1[[#This Row],[PitStopLaps]],",",""))+1)</f>
        <v>2</v>
      </c>
      <c r="U1593">
        <f>Table1[[#This Row],[StartPosition]]-Table1[[#This Row],[FinishPosition]]</f>
        <v>-2</v>
      </c>
    </row>
    <row r="1594" spans="1:21" x14ac:dyDescent="0.3">
      <c r="A1594">
        <v>2021</v>
      </c>
      <c r="B1594">
        <v>22</v>
      </c>
      <c r="C1594" t="s">
        <v>240</v>
      </c>
      <c r="D1594" t="s">
        <v>58</v>
      </c>
      <c r="E1594" t="s">
        <v>59</v>
      </c>
      <c r="F1594" t="s">
        <v>603</v>
      </c>
      <c r="G1594">
        <v>13</v>
      </c>
      <c r="H1594">
        <v>13</v>
      </c>
      <c r="I1594">
        <v>0</v>
      </c>
      <c r="J1594" t="s">
        <v>34</v>
      </c>
      <c r="K1594" t="s">
        <v>65</v>
      </c>
      <c r="L1594">
        <v>57</v>
      </c>
      <c r="M1594">
        <v>88.566999999999993</v>
      </c>
      <c r="N1594">
        <v>90.174260000000004</v>
      </c>
      <c r="O1594">
        <v>17.802</v>
      </c>
      <c r="P1594">
        <v>38.286999999999999</v>
      </c>
      <c r="Q1594">
        <v>32.244</v>
      </c>
      <c r="R1594" t="s">
        <v>780</v>
      </c>
      <c r="S1594" t="s">
        <v>83</v>
      </c>
      <c r="T1594">
        <f>IF(TRIM(Table1[[#This Row],[PitStopLaps]])="",0,
LEN(Table1[[#This Row],[PitStopLaps]])-LEN(SUBSTITUTE(Table1[[#This Row],[PitStopLaps]],",",""))+1)</f>
        <v>2</v>
      </c>
      <c r="U1594">
        <f>Table1[[#This Row],[StartPosition]]-Table1[[#This Row],[FinishPosition]]</f>
        <v>0</v>
      </c>
    </row>
    <row r="1595" spans="1:21" x14ac:dyDescent="0.3">
      <c r="A1595">
        <v>2021</v>
      </c>
      <c r="B1595">
        <v>22</v>
      </c>
      <c r="C1595" t="s">
        <v>240</v>
      </c>
      <c r="D1595" t="s">
        <v>608</v>
      </c>
      <c r="E1595" t="s">
        <v>609</v>
      </c>
      <c r="F1595" t="s">
        <v>69</v>
      </c>
      <c r="G1595">
        <v>19</v>
      </c>
      <c r="H1595">
        <v>14</v>
      </c>
      <c r="I1595">
        <v>0</v>
      </c>
      <c r="J1595" t="s">
        <v>34</v>
      </c>
      <c r="K1595" t="s">
        <v>65</v>
      </c>
      <c r="L1595">
        <v>57</v>
      </c>
      <c r="M1595">
        <v>89.456999999999994</v>
      </c>
      <c r="N1595">
        <v>90.816211999999993</v>
      </c>
      <c r="O1595">
        <v>18.079000000000001</v>
      </c>
      <c r="P1595">
        <v>37.859000000000002</v>
      </c>
      <c r="Q1595">
        <v>32.747</v>
      </c>
      <c r="R1595" t="s">
        <v>781</v>
      </c>
      <c r="S1595" t="s">
        <v>83</v>
      </c>
      <c r="T1595">
        <f>IF(TRIM(Table1[[#This Row],[PitStopLaps]])="",0,
LEN(Table1[[#This Row],[PitStopLaps]])-LEN(SUBSTITUTE(Table1[[#This Row],[PitStopLaps]],",",""))+1)</f>
        <v>2</v>
      </c>
      <c r="U1595">
        <f>Table1[[#This Row],[StartPosition]]-Table1[[#This Row],[FinishPosition]]</f>
        <v>5</v>
      </c>
    </row>
    <row r="1596" spans="1:21" x14ac:dyDescent="0.3">
      <c r="A1596">
        <v>2021</v>
      </c>
      <c r="B1596">
        <v>22</v>
      </c>
      <c r="C1596" t="s">
        <v>240</v>
      </c>
      <c r="D1596" t="s">
        <v>49</v>
      </c>
      <c r="E1596" t="s">
        <v>50</v>
      </c>
      <c r="F1596" t="s">
        <v>33</v>
      </c>
      <c r="G1596">
        <v>4</v>
      </c>
      <c r="H1596">
        <v>15</v>
      </c>
      <c r="I1596">
        <v>0</v>
      </c>
      <c r="J1596" t="s">
        <v>34</v>
      </c>
      <c r="K1596" t="s">
        <v>75</v>
      </c>
      <c r="L1596">
        <v>55</v>
      </c>
      <c r="M1596">
        <v>86.418999999999997</v>
      </c>
      <c r="N1596">
        <v>88.284723</v>
      </c>
      <c r="O1596">
        <v>17.434999999999999</v>
      </c>
      <c r="P1596">
        <v>37.414999999999999</v>
      </c>
      <c r="Q1596">
        <v>31.472999999999999</v>
      </c>
      <c r="R1596" t="s">
        <v>782</v>
      </c>
      <c r="S1596" t="s">
        <v>83</v>
      </c>
      <c r="T1596">
        <f>IF(TRIM(Table1[[#This Row],[PitStopLaps]])="",0,
LEN(Table1[[#This Row],[PitStopLaps]])-LEN(SUBSTITUTE(Table1[[#This Row],[PitStopLaps]],",",""))+1)</f>
        <v>4</v>
      </c>
      <c r="U1596">
        <f>Table1[[#This Row],[StartPosition]]-Table1[[#This Row],[FinishPosition]]</f>
        <v>-11</v>
      </c>
    </row>
    <row r="1597" spans="1:21" x14ac:dyDescent="0.3">
      <c r="A1597">
        <v>2021</v>
      </c>
      <c r="B1597">
        <v>22</v>
      </c>
      <c r="C1597" t="s">
        <v>240</v>
      </c>
      <c r="D1597" t="s">
        <v>440</v>
      </c>
      <c r="E1597" t="s">
        <v>441</v>
      </c>
      <c r="F1597" t="s">
        <v>60</v>
      </c>
      <c r="G1597">
        <v>16</v>
      </c>
      <c r="H1597">
        <v>16</v>
      </c>
      <c r="I1597">
        <v>0</v>
      </c>
      <c r="J1597" t="s">
        <v>34</v>
      </c>
      <c r="K1597" t="s">
        <v>123</v>
      </c>
      <c r="L1597">
        <v>51</v>
      </c>
      <c r="M1597">
        <v>89.293000000000006</v>
      </c>
      <c r="N1597">
        <v>90.871666000000005</v>
      </c>
      <c r="O1597">
        <v>17.837</v>
      </c>
      <c r="P1597">
        <v>38.078000000000003</v>
      </c>
      <c r="Q1597">
        <v>32.844999999999999</v>
      </c>
      <c r="R1597">
        <v>28</v>
      </c>
      <c r="S1597" t="s">
        <v>83</v>
      </c>
      <c r="T1597">
        <f>IF(TRIM(Table1[[#This Row],[PitStopLaps]])="",0,
LEN(Table1[[#This Row],[PitStopLaps]])-LEN(SUBSTITUTE(Table1[[#This Row],[PitStopLaps]],",",""))+1)</f>
        <v>1</v>
      </c>
      <c r="U1597">
        <f>Table1[[#This Row],[StartPosition]]-Table1[[#This Row],[FinishPosition]]</f>
        <v>0</v>
      </c>
    </row>
    <row r="1598" spans="1:21" x14ac:dyDescent="0.3">
      <c r="A1598">
        <v>2021</v>
      </c>
      <c r="B1598">
        <v>22</v>
      </c>
      <c r="C1598" t="s">
        <v>240</v>
      </c>
      <c r="D1598" t="s">
        <v>250</v>
      </c>
      <c r="E1598" t="s">
        <v>251</v>
      </c>
      <c r="F1598" t="s">
        <v>243</v>
      </c>
      <c r="G1598">
        <v>14</v>
      </c>
      <c r="H1598">
        <v>17</v>
      </c>
      <c r="I1598">
        <v>0</v>
      </c>
      <c r="J1598" t="s">
        <v>34</v>
      </c>
      <c r="K1598" t="s">
        <v>132</v>
      </c>
      <c r="L1598">
        <v>34</v>
      </c>
      <c r="M1598">
        <v>89.441999999999993</v>
      </c>
      <c r="N1598">
        <v>90.554965999999993</v>
      </c>
      <c r="O1598">
        <v>17.989000000000001</v>
      </c>
      <c r="P1598">
        <v>38.036000000000001</v>
      </c>
      <c r="Q1598">
        <v>32.844999999999999</v>
      </c>
      <c r="R1598">
        <v>17</v>
      </c>
      <c r="S1598" t="s">
        <v>83</v>
      </c>
      <c r="T1598">
        <f>IF(TRIM(Table1[[#This Row],[PitStopLaps]])="",0,
LEN(Table1[[#This Row],[PitStopLaps]])-LEN(SUBSTITUTE(Table1[[#This Row],[PitStopLaps]],",",""))+1)</f>
        <v>1</v>
      </c>
      <c r="U1598">
        <f>Table1[[#This Row],[StartPosition]]-Table1[[#This Row],[FinishPosition]]</f>
        <v>-3</v>
      </c>
    </row>
    <row r="1599" spans="1:21" x14ac:dyDescent="0.3">
      <c r="A1599">
        <v>2021</v>
      </c>
      <c r="B1599">
        <v>22</v>
      </c>
      <c r="C1599" t="s">
        <v>240</v>
      </c>
      <c r="D1599" t="s">
        <v>252</v>
      </c>
      <c r="E1599" t="s">
        <v>253</v>
      </c>
      <c r="F1599" t="s">
        <v>60</v>
      </c>
      <c r="G1599">
        <v>17</v>
      </c>
      <c r="H1599">
        <v>18</v>
      </c>
      <c r="I1599">
        <v>0</v>
      </c>
      <c r="J1599" t="s">
        <v>34</v>
      </c>
      <c r="K1599" t="s">
        <v>132</v>
      </c>
      <c r="L1599">
        <v>26</v>
      </c>
      <c r="M1599">
        <v>90.647000000000006</v>
      </c>
      <c r="N1599">
        <v>91.747874999999993</v>
      </c>
      <c r="O1599">
        <v>18.204999999999998</v>
      </c>
      <c r="P1599">
        <v>38.401000000000003</v>
      </c>
      <c r="Q1599">
        <v>33.771999999999998</v>
      </c>
      <c r="R1599">
        <v>26</v>
      </c>
      <c r="S1599" t="s">
        <v>83</v>
      </c>
      <c r="T1599">
        <f>IF(TRIM(Table1[[#This Row],[PitStopLaps]])="",0,
LEN(Table1[[#This Row],[PitStopLaps]])-LEN(SUBSTITUTE(Table1[[#This Row],[PitStopLaps]],",",""))+1)</f>
        <v>1</v>
      </c>
      <c r="U1599">
        <f>Table1[[#This Row],[StartPosition]]-Table1[[#This Row],[FinishPosition]]</f>
        <v>-1</v>
      </c>
    </row>
    <row r="1600" spans="1:21" x14ac:dyDescent="0.3">
      <c r="A1600">
        <v>2021</v>
      </c>
      <c r="B1600">
        <v>22</v>
      </c>
      <c r="C1600" t="s">
        <v>240</v>
      </c>
      <c r="D1600" t="s">
        <v>29</v>
      </c>
      <c r="E1600" t="s">
        <v>30</v>
      </c>
      <c r="F1600" t="s">
        <v>243</v>
      </c>
      <c r="G1600">
        <v>18</v>
      </c>
      <c r="H1600">
        <v>19</v>
      </c>
      <c r="I1600">
        <v>0</v>
      </c>
      <c r="J1600" t="s">
        <v>34</v>
      </c>
      <c r="K1600" t="s">
        <v>81</v>
      </c>
      <c r="L1600">
        <v>25</v>
      </c>
      <c r="M1600">
        <v>89.697999999999993</v>
      </c>
      <c r="N1600">
        <v>91.162428000000006</v>
      </c>
      <c r="O1600">
        <v>18.175000000000001</v>
      </c>
      <c r="P1600">
        <v>38.276000000000003</v>
      </c>
      <c r="Q1600">
        <v>33.026000000000003</v>
      </c>
      <c r="R1600" t="s">
        <v>783</v>
      </c>
      <c r="S1600" t="s">
        <v>83</v>
      </c>
      <c r="T1600">
        <f>IF(TRIM(Table1[[#This Row],[PitStopLaps]])="",0,
LEN(Table1[[#This Row],[PitStopLaps]])-LEN(SUBSTITUTE(Table1[[#This Row],[PitStopLaps]],",",""))+1)</f>
        <v>2</v>
      </c>
      <c r="U1600">
        <f>Table1[[#This Row],[StartPosition]]-Table1[[#This Row],[FinishPosition]]</f>
        <v>-1</v>
      </c>
    </row>
    <row r="1601" spans="1:21" x14ac:dyDescent="0.3">
      <c r="A1601">
        <v>2021</v>
      </c>
      <c r="B1601">
        <v>22</v>
      </c>
      <c r="C1601" t="s">
        <v>240</v>
      </c>
      <c r="D1601" t="s">
        <v>613</v>
      </c>
      <c r="E1601" t="s">
        <v>614</v>
      </c>
      <c r="F1601" t="s">
        <v>69</v>
      </c>
      <c r="I1601">
        <v>0</v>
      </c>
      <c r="J1601" t="s">
        <v>34</v>
      </c>
      <c r="K1601" t="s">
        <v>546</v>
      </c>
      <c r="S1601" t="s">
        <v>83</v>
      </c>
      <c r="T1601">
        <f>IF(TRIM(Table1[[#This Row],[PitStopLaps]])="",0,
LEN(Table1[[#This Row],[PitStopLaps]])-LEN(SUBSTITUTE(Table1[[#This Row],[PitStopLaps]],",",""))+1)</f>
        <v>0</v>
      </c>
      <c r="U1601">
        <f>Table1[[#This Row],[StartPosition]]-Table1[[#This Row],[FinishPosition]]</f>
        <v>0</v>
      </c>
    </row>
    <row r="1602" spans="1:21" x14ac:dyDescent="0.3">
      <c r="A1602">
        <v>2022</v>
      </c>
      <c r="B1602">
        <v>1</v>
      </c>
      <c r="C1602" t="s">
        <v>82</v>
      </c>
      <c r="D1602" t="s">
        <v>54</v>
      </c>
      <c r="E1602" t="s">
        <v>55</v>
      </c>
      <c r="F1602" t="s">
        <v>22</v>
      </c>
      <c r="G1602">
        <v>1</v>
      </c>
      <c r="H1602">
        <v>1</v>
      </c>
      <c r="I1602">
        <v>26</v>
      </c>
      <c r="J1602" t="s">
        <v>23</v>
      </c>
      <c r="K1602" t="s">
        <v>24</v>
      </c>
      <c r="L1602">
        <v>57</v>
      </c>
      <c r="M1602">
        <v>94.57</v>
      </c>
      <c r="N1602">
        <v>97.573020999999997</v>
      </c>
      <c r="O1602">
        <v>30.439</v>
      </c>
      <c r="P1602">
        <v>40.731999999999999</v>
      </c>
      <c r="Q1602">
        <v>23.399000000000001</v>
      </c>
      <c r="R1602" t="s">
        <v>784</v>
      </c>
      <c r="S1602" t="s">
        <v>83</v>
      </c>
      <c r="T1602">
        <f>IF(TRIM(Table1[[#This Row],[PitStopLaps]])="",0,
LEN(Table1[[#This Row],[PitStopLaps]])-LEN(SUBSTITUTE(Table1[[#This Row],[PitStopLaps]],",",""))+1)</f>
        <v>3</v>
      </c>
      <c r="U1602">
        <f>Table1[[#This Row],[StartPosition]]-Table1[[#This Row],[FinishPosition]]</f>
        <v>0</v>
      </c>
    </row>
    <row r="1603" spans="1:21" x14ac:dyDescent="0.3">
      <c r="A1603">
        <v>2022</v>
      </c>
      <c r="B1603">
        <v>1</v>
      </c>
      <c r="C1603" t="s">
        <v>82</v>
      </c>
      <c r="D1603" t="s">
        <v>47</v>
      </c>
      <c r="E1603" t="s">
        <v>48</v>
      </c>
      <c r="F1603" t="s">
        <v>22</v>
      </c>
      <c r="G1603">
        <v>3</v>
      </c>
      <c r="H1603">
        <v>2</v>
      </c>
      <c r="I1603">
        <v>18</v>
      </c>
      <c r="J1603" t="s">
        <v>23</v>
      </c>
      <c r="K1603" t="s">
        <v>24</v>
      </c>
      <c r="L1603">
        <v>57</v>
      </c>
      <c r="M1603">
        <v>95.74</v>
      </c>
      <c r="N1603">
        <v>97.978954999999999</v>
      </c>
      <c r="O1603">
        <v>30.754000000000001</v>
      </c>
      <c r="P1603">
        <v>41.222000000000001</v>
      </c>
      <c r="Q1603">
        <v>23.654</v>
      </c>
      <c r="R1603" t="s">
        <v>785</v>
      </c>
      <c r="S1603" t="s">
        <v>83</v>
      </c>
      <c r="T1603">
        <f>IF(TRIM(Table1[[#This Row],[PitStopLaps]])="",0,
LEN(Table1[[#This Row],[PitStopLaps]])-LEN(SUBSTITUTE(Table1[[#This Row],[PitStopLaps]],",",""))+1)</f>
        <v>3</v>
      </c>
      <c r="U1603">
        <f>Table1[[#This Row],[StartPosition]]-Table1[[#This Row],[FinishPosition]]</f>
        <v>1</v>
      </c>
    </row>
    <row r="1604" spans="1:21" x14ac:dyDescent="0.3">
      <c r="A1604">
        <v>2022</v>
      </c>
      <c r="B1604">
        <v>1</v>
      </c>
      <c r="C1604" t="s">
        <v>82</v>
      </c>
      <c r="D1604" t="s">
        <v>26</v>
      </c>
      <c r="E1604" t="s">
        <v>27</v>
      </c>
      <c r="F1604" t="s">
        <v>28</v>
      </c>
      <c r="G1604">
        <v>5</v>
      </c>
      <c r="H1604">
        <v>3</v>
      </c>
      <c r="I1604">
        <v>15</v>
      </c>
      <c r="J1604" t="s">
        <v>23</v>
      </c>
      <c r="K1604" t="s">
        <v>24</v>
      </c>
      <c r="L1604">
        <v>57</v>
      </c>
      <c r="M1604">
        <v>96.227999999999994</v>
      </c>
      <c r="N1604">
        <v>98.278999999999996</v>
      </c>
      <c r="O1604">
        <v>30.629000000000001</v>
      </c>
      <c r="P1604">
        <v>41.576000000000001</v>
      </c>
      <c r="Q1604">
        <v>23.617999999999999</v>
      </c>
      <c r="R1604" t="s">
        <v>786</v>
      </c>
      <c r="S1604" t="s">
        <v>83</v>
      </c>
      <c r="T1604">
        <f>IF(TRIM(Table1[[#This Row],[PitStopLaps]])="",0,
LEN(Table1[[#This Row],[PitStopLaps]])-LEN(SUBSTITUTE(Table1[[#This Row],[PitStopLaps]],",",""))+1)</f>
        <v>3</v>
      </c>
      <c r="U1604">
        <f>Table1[[#This Row],[StartPosition]]-Table1[[#This Row],[FinishPosition]]</f>
        <v>2</v>
      </c>
    </row>
    <row r="1605" spans="1:21" x14ac:dyDescent="0.3">
      <c r="A1605">
        <v>2022</v>
      </c>
      <c r="B1605">
        <v>1</v>
      </c>
      <c r="C1605" t="s">
        <v>82</v>
      </c>
      <c r="D1605" t="s">
        <v>252</v>
      </c>
      <c r="E1605" t="s">
        <v>253</v>
      </c>
      <c r="F1605" t="s">
        <v>28</v>
      </c>
      <c r="G1605">
        <v>9</v>
      </c>
      <c r="H1605">
        <v>4</v>
      </c>
      <c r="I1605">
        <v>12</v>
      </c>
      <c r="J1605" t="s">
        <v>34</v>
      </c>
      <c r="K1605" t="s">
        <v>24</v>
      </c>
      <c r="L1605">
        <v>57</v>
      </c>
      <c r="M1605">
        <v>96.302000000000007</v>
      </c>
      <c r="N1605">
        <v>98.639021</v>
      </c>
      <c r="O1605">
        <v>30.808</v>
      </c>
      <c r="P1605">
        <v>41.554000000000002</v>
      </c>
      <c r="Q1605">
        <v>23.608000000000001</v>
      </c>
      <c r="R1605" t="s">
        <v>787</v>
      </c>
      <c r="S1605" t="s">
        <v>83</v>
      </c>
      <c r="T1605">
        <f>IF(TRIM(Table1[[#This Row],[PitStopLaps]])="",0,
LEN(Table1[[#This Row],[PitStopLaps]])-LEN(SUBSTITUTE(Table1[[#This Row],[PitStopLaps]],",",""))+1)</f>
        <v>3</v>
      </c>
      <c r="U1605">
        <f>Table1[[#This Row],[StartPosition]]-Table1[[#This Row],[FinishPosition]]</f>
        <v>5</v>
      </c>
    </row>
    <row r="1606" spans="1:21" x14ac:dyDescent="0.3">
      <c r="A1606">
        <v>2022</v>
      </c>
      <c r="B1606">
        <v>1</v>
      </c>
      <c r="C1606" t="s">
        <v>82</v>
      </c>
      <c r="D1606" t="s">
        <v>71</v>
      </c>
      <c r="E1606" t="s">
        <v>72</v>
      </c>
      <c r="F1606" t="s">
        <v>69</v>
      </c>
      <c r="G1606">
        <v>7</v>
      </c>
      <c r="H1606">
        <v>5</v>
      </c>
      <c r="I1606">
        <v>10</v>
      </c>
      <c r="J1606" t="s">
        <v>34</v>
      </c>
      <c r="K1606" t="s">
        <v>24</v>
      </c>
      <c r="L1606">
        <v>57</v>
      </c>
      <c r="M1606">
        <v>96.623000000000005</v>
      </c>
      <c r="N1606">
        <v>99.062847000000005</v>
      </c>
      <c r="O1606">
        <v>30.85</v>
      </c>
      <c r="P1606">
        <v>41.902999999999999</v>
      </c>
      <c r="Q1606">
        <v>23.786999999999999</v>
      </c>
      <c r="R1606" t="s">
        <v>788</v>
      </c>
      <c r="S1606" t="s">
        <v>83</v>
      </c>
      <c r="T1606">
        <f>IF(TRIM(Table1[[#This Row],[PitStopLaps]])="",0,
LEN(Table1[[#This Row],[PitStopLaps]])-LEN(SUBSTITUTE(Table1[[#This Row],[PitStopLaps]],",",""))+1)</f>
        <v>3</v>
      </c>
      <c r="U1606">
        <f>Table1[[#This Row],[StartPosition]]-Table1[[#This Row],[FinishPosition]]</f>
        <v>2</v>
      </c>
    </row>
    <row r="1607" spans="1:21" x14ac:dyDescent="0.3">
      <c r="A1607">
        <v>2022</v>
      </c>
      <c r="B1607">
        <v>1</v>
      </c>
      <c r="C1607" t="s">
        <v>82</v>
      </c>
      <c r="D1607" t="s">
        <v>43</v>
      </c>
      <c r="E1607" t="s">
        <v>44</v>
      </c>
      <c r="F1607" t="s">
        <v>789</v>
      </c>
      <c r="G1607">
        <v>6</v>
      </c>
      <c r="H1607">
        <v>6</v>
      </c>
      <c r="I1607">
        <v>8</v>
      </c>
      <c r="J1607" t="s">
        <v>34</v>
      </c>
      <c r="K1607" t="s">
        <v>24</v>
      </c>
      <c r="L1607">
        <v>57</v>
      </c>
      <c r="M1607">
        <v>96.599000000000004</v>
      </c>
      <c r="N1607">
        <v>99.373542999999998</v>
      </c>
      <c r="O1607">
        <v>30.675999999999998</v>
      </c>
      <c r="P1607">
        <v>41.82</v>
      </c>
      <c r="Q1607">
        <v>23.744</v>
      </c>
      <c r="R1607" t="s">
        <v>790</v>
      </c>
      <c r="S1607" t="s">
        <v>83</v>
      </c>
      <c r="T1607">
        <f>IF(TRIM(Table1[[#This Row],[PitStopLaps]])="",0,
LEN(Table1[[#This Row],[PitStopLaps]])-LEN(SUBSTITUTE(Table1[[#This Row],[PitStopLaps]],",",""))+1)</f>
        <v>3</v>
      </c>
      <c r="U1607">
        <f>Table1[[#This Row],[StartPosition]]-Table1[[#This Row],[FinishPosition]]</f>
        <v>0</v>
      </c>
    </row>
    <row r="1608" spans="1:21" x14ac:dyDescent="0.3">
      <c r="A1608">
        <v>2022</v>
      </c>
      <c r="B1608">
        <v>1</v>
      </c>
      <c r="C1608" t="s">
        <v>82</v>
      </c>
      <c r="D1608" t="s">
        <v>52</v>
      </c>
      <c r="E1608" t="s">
        <v>53</v>
      </c>
      <c r="F1608" t="s">
        <v>607</v>
      </c>
      <c r="G1608">
        <v>11</v>
      </c>
      <c r="H1608">
        <v>7</v>
      </c>
      <c r="I1608">
        <v>6</v>
      </c>
      <c r="J1608" t="s">
        <v>34</v>
      </c>
      <c r="K1608" t="s">
        <v>24</v>
      </c>
      <c r="L1608">
        <v>57</v>
      </c>
      <c r="M1608">
        <v>97.11</v>
      </c>
      <c r="N1608">
        <v>99.275886</v>
      </c>
      <c r="O1608">
        <v>31.004999999999999</v>
      </c>
      <c r="P1608">
        <v>42.134999999999998</v>
      </c>
      <c r="Q1608">
        <v>23.901</v>
      </c>
      <c r="R1608" t="s">
        <v>791</v>
      </c>
      <c r="S1608" t="s">
        <v>83</v>
      </c>
      <c r="T1608">
        <f>IF(TRIM(Table1[[#This Row],[PitStopLaps]])="",0,
LEN(Table1[[#This Row],[PitStopLaps]])-LEN(SUBSTITUTE(Table1[[#This Row],[PitStopLaps]],",",""))+1)</f>
        <v>3</v>
      </c>
      <c r="U1608">
        <f>Table1[[#This Row],[StartPosition]]-Table1[[#This Row],[FinishPosition]]</f>
        <v>4</v>
      </c>
    </row>
    <row r="1609" spans="1:21" x14ac:dyDescent="0.3">
      <c r="A1609">
        <v>2022</v>
      </c>
      <c r="B1609">
        <v>1</v>
      </c>
      <c r="C1609" t="s">
        <v>82</v>
      </c>
      <c r="D1609" t="s">
        <v>601</v>
      </c>
      <c r="E1609" t="s">
        <v>602</v>
      </c>
      <c r="F1609" t="s">
        <v>438</v>
      </c>
      <c r="G1609">
        <v>16</v>
      </c>
      <c r="H1609">
        <v>8</v>
      </c>
      <c r="I1609">
        <v>4</v>
      </c>
      <c r="J1609" t="s">
        <v>34</v>
      </c>
      <c r="K1609" t="s">
        <v>24</v>
      </c>
      <c r="L1609">
        <v>57</v>
      </c>
      <c r="M1609">
        <v>97.103999999999999</v>
      </c>
      <c r="N1609">
        <v>99.411287999999999</v>
      </c>
      <c r="O1609">
        <v>30.710999999999999</v>
      </c>
      <c r="P1609">
        <v>42.241999999999997</v>
      </c>
      <c r="Q1609">
        <v>23.837</v>
      </c>
      <c r="R1609" t="s">
        <v>792</v>
      </c>
      <c r="S1609" t="s">
        <v>83</v>
      </c>
      <c r="T1609">
        <f>IF(TRIM(Table1[[#This Row],[PitStopLaps]])="",0,
LEN(Table1[[#This Row],[PitStopLaps]])-LEN(SUBSTITUTE(Table1[[#This Row],[PitStopLaps]],",",""))+1)</f>
        <v>3</v>
      </c>
      <c r="U1609">
        <f>Table1[[#This Row],[StartPosition]]-Table1[[#This Row],[FinishPosition]]</f>
        <v>8</v>
      </c>
    </row>
    <row r="1610" spans="1:21" x14ac:dyDescent="0.3">
      <c r="A1610">
        <v>2022</v>
      </c>
      <c r="B1610">
        <v>1</v>
      </c>
      <c r="C1610" t="s">
        <v>82</v>
      </c>
      <c r="D1610" t="s">
        <v>35</v>
      </c>
      <c r="E1610" t="s">
        <v>36</v>
      </c>
      <c r="F1610" t="s">
        <v>607</v>
      </c>
      <c r="G1610">
        <v>8</v>
      </c>
      <c r="H1610">
        <v>9</v>
      </c>
      <c r="I1610">
        <v>2</v>
      </c>
      <c r="J1610" t="s">
        <v>34</v>
      </c>
      <c r="K1610" t="s">
        <v>24</v>
      </c>
      <c r="L1610">
        <v>57</v>
      </c>
      <c r="M1610">
        <v>96.733000000000004</v>
      </c>
      <c r="N1610">
        <v>99.535839999999993</v>
      </c>
      <c r="O1610">
        <v>31.065000000000001</v>
      </c>
      <c r="P1610">
        <v>41.854999999999997</v>
      </c>
      <c r="Q1610">
        <v>23.812999999999999</v>
      </c>
      <c r="R1610" t="s">
        <v>793</v>
      </c>
      <c r="S1610" t="s">
        <v>83</v>
      </c>
      <c r="T1610">
        <f>IF(TRIM(Table1[[#This Row],[PitStopLaps]])="",0,
LEN(Table1[[#This Row],[PitStopLaps]])-LEN(SUBSTITUTE(Table1[[#This Row],[PitStopLaps]],",",""))+1)</f>
        <v>3</v>
      </c>
      <c r="U1610">
        <f>Table1[[#This Row],[StartPosition]]-Table1[[#This Row],[FinishPosition]]</f>
        <v>-1</v>
      </c>
    </row>
    <row r="1611" spans="1:21" x14ac:dyDescent="0.3">
      <c r="A1611">
        <v>2022</v>
      </c>
      <c r="B1611">
        <v>1</v>
      </c>
      <c r="C1611" t="s">
        <v>82</v>
      </c>
      <c r="D1611" t="s">
        <v>794</v>
      </c>
      <c r="E1611" t="s">
        <v>795</v>
      </c>
      <c r="F1611" t="s">
        <v>789</v>
      </c>
      <c r="G1611">
        <v>15</v>
      </c>
      <c r="H1611">
        <v>10</v>
      </c>
      <c r="I1611">
        <v>1</v>
      </c>
      <c r="J1611" t="s">
        <v>34</v>
      </c>
      <c r="K1611" t="s">
        <v>24</v>
      </c>
      <c r="L1611">
        <v>57</v>
      </c>
      <c r="M1611">
        <v>96.685000000000002</v>
      </c>
      <c r="N1611">
        <v>99.505347</v>
      </c>
      <c r="O1611">
        <v>30.908000000000001</v>
      </c>
      <c r="P1611">
        <v>41.863999999999997</v>
      </c>
      <c r="Q1611">
        <v>23.762</v>
      </c>
      <c r="R1611" t="s">
        <v>796</v>
      </c>
      <c r="S1611" t="s">
        <v>83</v>
      </c>
      <c r="T1611">
        <f>IF(TRIM(Table1[[#This Row],[PitStopLaps]])="",0,
LEN(Table1[[#This Row],[PitStopLaps]])-LEN(SUBSTITUTE(Table1[[#This Row],[PitStopLaps]],",",""))+1)</f>
        <v>3</v>
      </c>
      <c r="U1611">
        <f>Table1[[#This Row],[StartPosition]]-Table1[[#This Row],[FinishPosition]]</f>
        <v>5</v>
      </c>
    </row>
    <row r="1612" spans="1:21" x14ac:dyDescent="0.3">
      <c r="A1612">
        <v>2022</v>
      </c>
      <c r="B1612">
        <v>1</v>
      </c>
      <c r="C1612" t="s">
        <v>82</v>
      </c>
      <c r="D1612" t="s">
        <v>608</v>
      </c>
      <c r="E1612" t="s">
        <v>609</v>
      </c>
      <c r="F1612" t="s">
        <v>69</v>
      </c>
      <c r="G1612">
        <v>12</v>
      </c>
      <c r="H1612">
        <v>11</v>
      </c>
      <c r="I1612">
        <v>0</v>
      </c>
      <c r="J1612" t="s">
        <v>34</v>
      </c>
      <c r="K1612" t="s">
        <v>24</v>
      </c>
      <c r="L1612">
        <v>57</v>
      </c>
      <c r="M1612">
        <v>96.956000000000003</v>
      </c>
      <c r="N1612">
        <v>100.128152</v>
      </c>
      <c r="O1612">
        <v>31.047999999999998</v>
      </c>
      <c r="P1612">
        <v>41.911999999999999</v>
      </c>
      <c r="Q1612">
        <v>23.995999999999999</v>
      </c>
      <c r="R1612" t="s">
        <v>797</v>
      </c>
      <c r="S1612" t="s">
        <v>83</v>
      </c>
      <c r="T1612">
        <f>IF(TRIM(Table1[[#This Row],[PitStopLaps]])="",0,
LEN(Table1[[#This Row],[PitStopLaps]])-LEN(SUBSTITUTE(Table1[[#This Row],[PitStopLaps]],",",""))+1)</f>
        <v>2</v>
      </c>
      <c r="U1612">
        <f>Table1[[#This Row],[StartPosition]]-Table1[[#This Row],[FinishPosition]]</f>
        <v>1</v>
      </c>
    </row>
    <row r="1613" spans="1:21" x14ac:dyDescent="0.3">
      <c r="A1613">
        <v>2022</v>
      </c>
      <c r="B1613">
        <v>1</v>
      </c>
      <c r="C1613" t="s">
        <v>82</v>
      </c>
      <c r="D1613" t="s">
        <v>58</v>
      </c>
      <c r="E1613" t="s">
        <v>59</v>
      </c>
      <c r="F1613" t="s">
        <v>603</v>
      </c>
      <c r="G1613">
        <v>19</v>
      </c>
      <c r="H1613">
        <v>12</v>
      </c>
      <c r="I1613">
        <v>0</v>
      </c>
      <c r="J1613" t="s">
        <v>34</v>
      </c>
      <c r="K1613" t="s">
        <v>24</v>
      </c>
      <c r="L1613">
        <v>57</v>
      </c>
      <c r="M1613">
        <v>97.274000000000001</v>
      </c>
      <c r="N1613">
        <v>100.334377</v>
      </c>
      <c r="O1613">
        <v>31.143000000000001</v>
      </c>
      <c r="P1613">
        <v>42.101999999999997</v>
      </c>
      <c r="Q1613">
        <v>24.007999999999999</v>
      </c>
      <c r="R1613" t="s">
        <v>798</v>
      </c>
      <c r="S1613" t="s">
        <v>83</v>
      </c>
      <c r="T1613">
        <f>IF(TRIM(Table1[[#This Row],[PitStopLaps]])="",0,
LEN(Table1[[#This Row],[PitStopLaps]])-LEN(SUBSTITUTE(Table1[[#This Row],[PitStopLaps]],",",""))+1)</f>
        <v>3</v>
      </c>
      <c r="U1613">
        <f>Table1[[#This Row],[StartPosition]]-Table1[[#This Row],[FinishPosition]]</f>
        <v>7</v>
      </c>
    </row>
    <row r="1614" spans="1:21" x14ac:dyDescent="0.3">
      <c r="A1614">
        <v>2022</v>
      </c>
      <c r="B1614">
        <v>1</v>
      </c>
      <c r="C1614" t="s">
        <v>82</v>
      </c>
      <c r="D1614" t="s">
        <v>248</v>
      </c>
      <c r="E1614" t="s">
        <v>249</v>
      </c>
      <c r="F1614" t="s">
        <v>60</v>
      </c>
      <c r="G1614">
        <v>14</v>
      </c>
      <c r="H1614">
        <v>13</v>
      </c>
      <c r="I1614">
        <v>0</v>
      </c>
      <c r="J1614" t="s">
        <v>34</v>
      </c>
      <c r="K1614" t="s">
        <v>24</v>
      </c>
      <c r="L1614">
        <v>57</v>
      </c>
      <c r="M1614">
        <v>97.701999999999998</v>
      </c>
      <c r="N1614">
        <v>100.529355</v>
      </c>
      <c r="O1614">
        <v>31.140999999999998</v>
      </c>
      <c r="P1614">
        <v>42.411000000000001</v>
      </c>
      <c r="Q1614">
        <v>24.05</v>
      </c>
      <c r="R1614" t="s">
        <v>799</v>
      </c>
      <c r="S1614" t="s">
        <v>83</v>
      </c>
      <c r="T1614">
        <f>IF(TRIM(Table1[[#This Row],[PitStopLaps]])="",0,
LEN(Table1[[#This Row],[PitStopLaps]])-LEN(SUBSTITUTE(Table1[[#This Row],[PitStopLaps]],",",""))+1)</f>
        <v>3</v>
      </c>
      <c r="U1614">
        <f>Table1[[#This Row],[StartPosition]]-Table1[[#This Row],[FinishPosition]]</f>
        <v>1</v>
      </c>
    </row>
    <row r="1615" spans="1:21" x14ac:dyDescent="0.3">
      <c r="A1615">
        <v>2022</v>
      </c>
      <c r="B1615">
        <v>1</v>
      </c>
      <c r="C1615" t="s">
        <v>82</v>
      </c>
      <c r="D1615" t="s">
        <v>31</v>
      </c>
      <c r="E1615" t="s">
        <v>32</v>
      </c>
      <c r="F1615" t="s">
        <v>37</v>
      </c>
      <c r="G1615">
        <v>18</v>
      </c>
      <c r="H1615">
        <v>14</v>
      </c>
      <c r="I1615">
        <v>0</v>
      </c>
      <c r="J1615" t="s">
        <v>34</v>
      </c>
      <c r="K1615" t="s">
        <v>24</v>
      </c>
      <c r="L1615">
        <v>57</v>
      </c>
      <c r="M1615">
        <v>97.58</v>
      </c>
      <c r="N1615">
        <v>100.51815499999999</v>
      </c>
      <c r="O1615">
        <v>31.184000000000001</v>
      </c>
      <c r="P1615">
        <v>42.192</v>
      </c>
      <c r="Q1615">
        <v>24.076000000000001</v>
      </c>
      <c r="R1615" t="s">
        <v>800</v>
      </c>
      <c r="S1615" t="s">
        <v>83</v>
      </c>
      <c r="T1615">
        <f>IF(TRIM(Table1[[#This Row],[PitStopLaps]])="",0,
LEN(Table1[[#This Row],[PitStopLaps]])-LEN(SUBSTITUTE(Table1[[#This Row],[PitStopLaps]],",",""))+1)</f>
        <v>3</v>
      </c>
      <c r="U1615">
        <f>Table1[[#This Row],[StartPosition]]-Table1[[#This Row],[FinishPosition]]</f>
        <v>4</v>
      </c>
    </row>
    <row r="1616" spans="1:21" x14ac:dyDescent="0.3">
      <c r="A1616">
        <v>2022</v>
      </c>
      <c r="B1616">
        <v>1</v>
      </c>
      <c r="C1616" t="s">
        <v>82</v>
      </c>
      <c r="D1616" t="s">
        <v>246</v>
      </c>
      <c r="E1616" t="s">
        <v>247</v>
      </c>
      <c r="F1616" t="s">
        <v>37</v>
      </c>
      <c r="G1616">
        <v>13</v>
      </c>
      <c r="H1616">
        <v>15</v>
      </c>
      <c r="I1616">
        <v>0</v>
      </c>
      <c r="J1616" t="s">
        <v>34</v>
      </c>
      <c r="K1616" t="s">
        <v>24</v>
      </c>
      <c r="L1616">
        <v>57</v>
      </c>
      <c r="M1616">
        <v>96.988</v>
      </c>
      <c r="N1616">
        <v>100.784066</v>
      </c>
      <c r="O1616">
        <v>30.991</v>
      </c>
      <c r="P1616">
        <v>41.954000000000001</v>
      </c>
      <c r="Q1616">
        <v>23.72</v>
      </c>
      <c r="R1616" t="s">
        <v>801</v>
      </c>
      <c r="S1616" t="s">
        <v>83</v>
      </c>
      <c r="T1616">
        <f>IF(TRIM(Table1[[#This Row],[PitStopLaps]])="",0,
LEN(Table1[[#This Row],[PitStopLaps]])-LEN(SUBSTITUTE(Table1[[#This Row],[PitStopLaps]],",",""))+1)</f>
        <v>3</v>
      </c>
      <c r="U1616">
        <f>Table1[[#This Row],[StartPosition]]-Table1[[#This Row],[FinishPosition]]</f>
        <v>-2</v>
      </c>
    </row>
    <row r="1617" spans="1:21" x14ac:dyDescent="0.3">
      <c r="A1617">
        <v>2022</v>
      </c>
      <c r="B1617">
        <v>1</v>
      </c>
      <c r="C1617" t="s">
        <v>82</v>
      </c>
      <c r="D1617" t="s">
        <v>440</v>
      </c>
      <c r="E1617" t="s">
        <v>441</v>
      </c>
      <c r="F1617" t="s">
        <v>60</v>
      </c>
      <c r="G1617">
        <v>20</v>
      </c>
      <c r="H1617">
        <v>16</v>
      </c>
      <c r="I1617">
        <v>0</v>
      </c>
      <c r="J1617" t="s">
        <v>34</v>
      </c>
      <c r="K1617" t="s">
        <v>24</v>
      </c>
      <c r="L1617">
        <v>57</v>
      </c>
      <c r="M1617">
        <v>98.251000000000005</v>
      </c>
      <c r="N1617">
        <v>100.890755</v>
      </c>
      <c r="O1617">
        <v>31.140999999999998</v>
      </c>
      <c r="P1617">
        <v>42.973999999999997</v>
      </c>
      <c r="Q1617">
        <v>24.036000000000001</v>
      </c>
      <c r="R1617" t="s">
        <v>802</v>
      </c>
      <c r="S1617" t="s">
        <v>83</v>
      </c>
      <c r="T1617">
        <f>IF(TRIM(Table1[[#This Row],[PitStopLaps]])="",0,
LEN(Table1[[#This Row],[PitStopLaps]])-LEN(SUBSTITUTE(Table1[[#This Row],[PitStopLaps]],",",""))+1)</f>
        <v>3</v>
      </c>
      <c r="U1617">
        <f>Table1[[#This Row],[StartPosition]]-Table1[[#This Row],[FinishPosition]]</f>
        <v>4</v>
      </c>
    </row>
    <row r="1618" spans="1:21" x14ac:dyDescent="0.3">
      <c r="A1618">
        <v>2022</v>
      </c>
      <c r="B1618">
        <v>1</v>
      </c>
      <c r="C1618" t="s">
        <v>82</v>
      </c>
      <c r="D1618" t="s">
        <v>40</v>
      </c>
      <c r="E1618" t="s">
        <v>41</v>
      </c>
      <c r="F1618" t="s">
        <v>603</v>
      </c>
      <c r="G1618">
        <v>17</v>
      </c>
      <c r="H1618">
        <v>17</v>
      </c>
      <c r="I1618">
        <v>0</v>
      </c>
      <c r="J1618" t="s">
        <v>34</v>
      </c>
      <c r="K1618" t="s">
        <v>24</v>
      </c>
      <c r="L1618">
        <v>57</v>
      </c>
      <c r="M1618">
        <v>98.242999999999995</v>
      </c>
      <c r="N1618">
        <v>100.91626599999999</v>
      </c>
      <c r="O1618">
        <v>31.114000000000001</v>
      </c>
      <c r="P1618">
        <v>42.491</v>
      </c>
      <c r="Q1618">
        <v>24.245999999999999</v>
      </c>
      <c r="R1618" t="s">
        <v>803</v>
      </c>
      <c r="S1618" t="s">
        <v>83</v>
      </c>
      <c r="T1618">
        <f>IF(TRIM(Table1[[#This Row],[PitStopLaps]])="",0,
LEN(Table1[[#This Row],[PitStopLaps]])-LEN(SUBSTITUTE(Table1[[#This Row],[PitStopLaps]],",",""))+1)</f>
        <v>3</v>
      </c>
      <c r="U1618">
        <f>Table1[[#This Row],[StartPosition]]-Table1[[#This Row],[FinishPosition]]</f>
        <v>0</v>
      </c>
    </row>
    <row r="1619" spans="1:21" x14ac:dyDescent="0.3">
      <c r="A1619">
        <v>2022</v>
      </c>
      <c r="B1619">
        <v>1</v>
      </c>
      <c r="C1619" t="s">
        <v>82</v>
      </c>
      <c r="D1619" t="s">
        <v>49</v>
      </c>
      <c r="E1619" t="s">
        <v>50</v>
      </c>
      <c r="F1619" t="s">
        <v>33</v>
      </c>
      <c r="G1619">
        <v>4</v>
      </c>
      <c r="H1619">
        <v>18</v>
      </c>
      <c r="I1619">
        <v>0</v>
      </c>
      <c r="J1619" t="s">
        <v>34</v>
      </c>
      <c r="K1619" t="s">
        <v>153</v>
      </c>
      <c r="L1619">
        <v>57</v>
      </c>
      <c r="M1619">
        <v>96.088999999999999</v>
      </c>
      <c r="N1619">
        <v>98.107302000000004</v>
      </c>
      <c r="O1619">
        <v>30.794</v>
      </c>
      <c r="P1619">
        <v>41.518999999999998</v>
      </c>
      <c r="Q1619">
        <v>23.745000000000001</v>
      </c>
      <c r="R1619" t="s">
        <v>804</v>
      </c>
      <c r="S1619" t="s">
        <v>83</v>
      </c>
      <c r="T1619">
        <f>IF(TRIM(Table1[[#This Row],[PitStopLaps]])="",0,
LEN(Table1[[#This Row],[PitStopLaps]])-LEN(SUBSTITUTE(Table1[[#This Row],[PitStopLaps]],",",""))+1)</f>
        <v>3</v>
      </c>
      <c r="U1619">
        <f>Table1[[#This Row],[StartPosition]]-Table1[[#This Row],[FinishPosition]]</f>
        <v>-14</v>
      </c>
    </row>
    <row r="1620" spans="1:21" x14ac:dyDescent="0.3">
      <c r="A1620">
        <v>2022</v>
      </c>
      <c r="B1620">
        <v>1</v>
      </c>
      <c r="C1620" t="s">
        <v>82</v>
      </c>
      <c r="D1620" t="s">
        <v>38</v>
      </c>
      <c r="E1620" t="s">
        <v>39</v>
      </c>
      <c r="F1620" t="s">
        <v>33</v>
      </c>
      <c r="G1620">
        <v>2</v>
      </c>
      <c r="H1620">
        <v>19</v>
      </c>
      <c r="I1620">
        <v>0</v>
      </c>
      <c r="J1620" t="s">
        <v>34</v>
      </c>
      <c r="K1620" t="s">
        <v>153</v>
      </c>
      <c r="L1620">
        <v>54</v>
      </c>
      <c r="M1620">
        <v>95.44</v>
      </c>
      <c r="N1620">
        <v>97.847145999999995</v>
      </c>
      <c r="O1620">
        <v>30.516999999999999</v>
      </c>
      <c r="P1620">
        <v>41.27</v>
      </c>
      <c r="Q1620">
        <v>23.565000000000001</v>
      </c>
      <c r="R1620" t="s">
        <v>805</v>
      </c>
      <c r="S1620" t="s">
        <v>83</v>
      </c>
      <c r="T1620">
        <f>IF(TRIM(Table1[[#This Row],[PitStopLaps]])="",0,
LEN(Table1[[#This Row],[PitStopLaps]])-LEN(SUBSTITUTE(Table1[[#This Row],[PitStopLaps]],",",""))+1)</f>
        <v>4</v>
      </c>
      <c r="U1620">
        <f>Table1[[#This Row],[StartPosition]]-Table1[[#This Row],[FinishPosition]]</f>
        <v>-17</v>
      </c>
    </row>
    <row r="1621" spans="1:21" x14ac:dyDescent="0.3">
      <c r="A1621">
        <v>2022</v>
      </c>
      <c r="B1621">
        <v>1</v>
      </c>
      <c r="C1621" t="s">
        <v>82</v>
      </c>
      <c r="D1621" t="s">
        <v>73</v>
      </c>
      <c r="E1621" t="s">
        <v>74</v>
      </c>
      <c r="F1621" t="s">
        <v>438</v>
      </c>
      <c r="G1621">
        <v>10</v>
      </c>
      <c r="H1621">
        <v>20</v>
      </c>
      <c r="I1621">
        <v>0</v>
      </c>
      <c r="J1621" t="s">
        <v>34</v>
      </c>
      <c r="K1621" t="s">
        <v>167</v>
      </c>
      <c r="L1621">
        <v>45</v>
      </c>
      <c r="M1621">
        <v>97.323999999999998</v>
      </c>
      <c r="N1621">
        <v>99.527692000000002</v>
      </c>
      <c r="O1621">
        <v>31.029</v>
      </c>
      <c r="P1621">
        <v>42.223999999999997</v>
      </c>
      <c r="Q1621">
        <v>23.928000000000001</v>
      </c>
      <c r="R1621" t="s">
        <v>806</v>
      </c>
      <c r="S1621" t="s">
        <v>83</v>
      </c>
      <c r="T1621">
        <f>IF(TRIM(Table1[[#This Row],[PitStopLaps]])="",0,
LEN(Table1[[#This Row],[PitStopLaps]])-LEN(SUBSTITUTE(Table1[[#This Row],[PitStopLaps]],",",""))+1)</f>
        <v>2</v>
      </c>
      <c r="U1621">
        <f>Table1[[#This Row],[StartPosition]]-Table1[[#This Row],[FinishPosition]]</f>
        <v>-10</v>
      </c>
    </row>
    <row r="1622" spans="1:21" x14ac:dyDescent="0.3">
      <c r="A1622">
        <v>2022</v>
      </c>
      <c r="B1622">
        <v>2</v>
      </c>
      <c r="C1622" t="s">
        <v>766</v>
      </c>
      <c r="D1622" t="s">
        <v>38</v>
      </c>
      <c r="E1622" t="s">
        <v>39</v>
      </c>
      <c r="F1622" t="s">
        <v>33</v>
      </c>
      <c r="G1622">
        <v>4</v>
      </c>
      <c r="H1622">
        <v>1</v>
      </c>
      <c r="I1622">
        <v>25</v>
      </c>
      <c r="J1622" t="s">
        <v>23</v>
      </c>
      <c r="K1622" t="s">
        <v>24</v>
      </c>
      <c r="L1622">
        <v>50</v>
      </c>
      <c r="M1622">
        <v>91.772000000000006</v>
      </c>
      <c r="N1622">
        <v>93.654399999999995</v>
      </c>
      <c r="O1622">
        <v>33.738</v>
      </c>
      <c r="P1622">
        <v>29.113</v>
      </c>
      <c r="Q1622">
        <v>28.486999999999998</v>
      </c>
      <c r="R1622">
        <v>16</v>
      </c>
      <c r="S1622" t="s">
        <v>83</v>
      </c>
      <c r="T1622">
        <f>IF(TRIM(Table1[[#This Row],[PitStopLaps]])="",0,
LEN(Table1[[#This Row],[PitStopLaps]])-LEN(SUBSTITUTE(Table1[[#This Row],[PitStopLaps]],",",""))+1)</f>
        <v>1</v>
      </c>
      <c r="U1622">
        <f>Table1[[#This Row],[StartPosition]]-Table1[[#This Row],[FinishPosition]]</f>
        <v>3</v>
      </c>
    </row>
    <row r="1623" spans="1:21" x14ac:dyDescent="0.3">
      <c r="A1623">
        <v>2022</v>
      </c>
      <c r="B1623">
        <v>2</v>
      </c>
      <c r="C1623" t="s">
        <v>766</v>
      </c>
      <c r="D1623" t="s">
        <v>54</v>
      </c>
      <c r="E1623" t="s">
        <v>55</v>
      </c>
      <c r="F1623" t="s">
        <v>22</v>
      </c>
      <c r="G1623">
        <v>2</v>
      </c>
      <c r="H1623">
        <v>2</v>
      </c>
      <c r="I1623">
        <v>19</v>
      </c>
      <c r="J1623" t="s">
        <v>23</v>
      </c>
      <c r="K1623" t="s">
        <v>24</v>
      </c>
      <c r="L1623">
        <v>50</v>
      </c>
      <c r="M1623">
        <v>91.634</v>
      </c>
      <c r="N1623">
        <v>93.608074999999999</v>
      </c>
      <c r="O1623">
        <v>33.720999999999997</v>
      </c>
      <c r="P1623">
        <v>29.148</v>
      </c>
      <c r="Q1623">
        <v>28.504999999999999</v>
      </c>
      <c r="R1623">
        <v>16</v>
      </c>
      <c r="S1623" t="s">
        <v>83</v>
      </c>
      <c r="T1623">
        <f>IF(TRIM(Table1[[#This Row],[PitStopLaps]])="",0,
LEN(Table1[[#This Row],[PitStopLaps]])-LEN(SUBSTITUTE(Table1[[#This Row],[PitStopLaps]],",",""))+1)</f>
        <v>1</v>
      </c>
      <c r="U1623">
        <f>Table1[[#This Row],[StartPosition]]-Table1[[#This Row],[FinishPosition]]</f>
        <v>0</v>
      </c>
    </row>
    <row r="1624" spans="1:21" x14ac:dyDescent="0.3">
      <c r="A1624">
        <v>2022</v>
      </c>
      <c r="B1624">
        <v>2</v>
      </c>
      <c r="C1624" t="s">
        <v>766</v>
      </c>
      <c r="D1624" t="s">
        <v>47</v>
      </c>
      <c r="E1624" t="s">
        <v>48</v>
      </c>
      <c r="F1624" t="s">
        <v>22</v>
      </c>
      <c r="G1624">
        <v>3</v>
      </c>
      <c r="H1624">
        <v>3</v>
      </c>
      <c r="I1624">
        <v>15</v>
      </c>
      <c r="J1624" t="s">
        <v>23</v>
      </c>
      <c r="K1624" t="s">
        <v>24</v>
      </c>
      <c r="L1624">
        <v>50</v>
      </c>
      <c r="M1624">
        <v>91.905000000000001</v>
      </c>
      <c r="N1624">
        <v>93.794674999999998</v>
      </c>
      <c r="O1624">
        <v>33.759</v>
      </c>
      <c r="P1624">
        <v>29.262</v>
      </c>
      <c r="Q1624">
        <v>28.805</v>
      </c>
      <c r="R1624">
        <v>16</v>
      </c>
      <c r="S1624" t="s">
        <v>83</v>
      </c>
      <c r="T1624">
        <f>IF(TRIM(Table1[[#This Row],[PitStopLaps]])="",0,
LEN(Table1[[#This Row],[PitStopLaps]])-LEN(SUBSTITUTE(Table1[[#This Row],[PitStopLaps]],",",""))+1)</f>
        <v>1</v>
      </c>
      <c r="U1624">
        <f>Table1[[#This Row],[StartPosition]]-Table1[[#This Row],[FinishPosition]]</f>
        <v>0</v>
      </c>
    </row>
    <row r="1625" spans="1:21" x14ac:dyDescent="0.3">
      <c r="A1625">
        <v>2022</v>
      </c>
      <c r="B1625">
        <v>2</v>
      </c>
      <c r="C1625" t="s">
        <v>766</v>
      </c>
      <c r="D1625" t="s">
        <v>49</v>
      </c>
      <c r="E1625" t="s">
        <v>50</v>
      </c>
      <c r="F1625" t="s">
        <v>33</v>
      </c>
      <c r="G1625">
        <v>1</v>
      </c>
      <c r="H1625">
        <v>4</v>
      </c>
      <c r="I1625">
        <v>12</v>
      </c>
      <c r="J1625" t="s">
        <v>34</v>
      </c>
      <c r="K1625" t="s">
        <v>24</v>
      </c>
      <c r="L1625">
        <v>50</v>
      </c>
      <c r="M1625">
        <v>92.042000000000002</v>
      </c>
      <c r="N1625">
        <v>93.710205000000002</v>
      </c>
      <c r="O1625">
        <v>34.030999999999999</v>
      </c>
      <c r="P1625">
        <v>29.239000000000001</v>
      </c>
      <c r="Q1625">
        <v>28.7</v>
      </c>
      <c r="R1625">
        <v>15</v>
      </c>
      <c r="S1625" t="s">
        <v>83</v>
      </c>
      <c r="T1625">
        <f>IF(TRIM(Table1[[#This Row],[PitStopLaps]])="",0,
LEN(Table1[[#This Row],[PitStopLaps]])-LEN(SUBSTITUTE(Table1[[#This Row],[PitStopLaps]],",",""))+1)</f>
        <v>1</v>
      </c>
      <c r="U1625">
        <f>Table1[[#This Row],[StartPosition]]-Table1[[#This Row],[FinishPosition]]</f>
        <v>-3</v>
      </c>
    </row>
    <row r="1626" spans="1:21" x14ac:dyDescent="0.3">
      <c r="A1626">
        <v>2022</v>
      </c>
      <c r="B1626">
        <v>2</v>
      </c>
      <c r="C1626" t="s">
        <v>766</v>
      </c>
      <c r="D1626" t="s">
        <v>252</v>
      </c>
      <c r="E1626" t="s">
        <v>253</v>
      </c>
      <c r="F1626" t="s">
        <v>28</v>
      </c>
      <c r="G1626">
        <v>6</v>
      </c>
      <c r="H1626">
        <v>5</v>
      </c>
      <c r="I1626">
        <v>10</v>
      </c>
      <c r="J1626" t="s">
        <v>34</v>
      </c>
      <c r="K1626" t="s">
        <v>24</v>
      </c>
      <c r="L1626">
        <v>50</v>
      </c>
      <c r="M1626">
        <v>92.820999999999998</v>
      </c>
      <c r="N1626">
        <v>94.608633999999995</v>
      </c>
      <c r="O1626">
        <v>34.119</v>
      </c>
      <c r="P1626">
        <v>29.42</v>
      </c>
      <c r="Q1626">
        <v>29.210999999999999</v>
      </c>
      <c r="R1626">
        <v>16</v>
      </c>
      <c r="S1626" t="s">
        <v>83</v>
      </c>
      <c r="T1626">
        <f>IF(TRIM(Table1[[#This Row],[PitStopLaps]])="",0,
LEN(Table1[[#This Row],[PitStopLaps]])-LEN(SUBSTITUTE(Table1[[#This Row],[PitStopLaps]],",",""))+1)</f>
        <v>1</v>
      </c>
      <c r="U1626">
        <f>Table1[[#This Row],[StartPosition]]-Table1[[#This Row],[FinishPosition]]</f>
        <v>1</v>
      </c>
    </row>
    <row r="1627" spans="1:21" x14ac:dyDescent="0.3">
      <c r="A1627">
        <v>2022</v>
      </c>
      <c r="B1627">
        <v>2</v>
      </c>
      <c r="C1627" t="s">
        <v>766</v>
      </c>
      <c r="D1627" t="s">
        <v>52</v>
      </c>
      <c r="E1627" t="s">
        <v>53</v>
      </c>
      <c r="F1627" t="s">
        <v>607</v>
      </c>
      <c r="G1627">
        <v>5</v>
      </c>
      <c r="H1627">
        <v>6</v>
      </c>
      <c r="I1627">
        <v>8</v>
      </c>
      <c r="J1627" t="s">
        <v>34</v>
      </c>
      <c r="K1627" t="s">
        <v>24</v>
      </c>
      <c r="L1627">
        <v>50</v>
      </c>
      <c r="M1627">
        <v>93.102999999999994</v>
      </c>
      <c r="N1627">
        <v>95.508902000000006</v>
      </c>
      <c r="O1627">
        <v>34.165999999999997</v>
      </c>
      <c r="P1627">
        <v>29.707999999999998</v>
      </c>
      <c r="Q1627">
        <v>29.161000000000001</v>
      </c>
      <c r="R1627">
        <v>16</v>
      </c>
      <c r="S1627" t="s">
        <v>83</v>
      </c>
      <c r="T1627">
        <f>IF(TRIM(Table1[[#This Row],[PitStopLaps]])="",0,
LEN(Table1[[#This Row],[PitStopLaps]])-LEN(SUBSTITUTE(Table1[[#This Row],[PitStopLaps]],",",""))+1)</f>
        <v>1</v>
      </c>
      <c r="U1627">
        <f>Table1[[#This Row],[StartPosition]]-Table1[[#This Row],[FinishPosition]]</f>
        <v>-1</v>
      </c>
    </row>
    <row r="1628" spans="1:21" x14ac:dyDescent="0.3">
      <c r="A1628">
        <v>2022</v>
      </c>
      <c r="B1628">
        <v>2</v>
      </c>
      <c r="C1628" t="s">
        <v>766</v>
      </c>
      <c r="D1628" t="s">
        <v>246</v>
      </c>
      <c r="E1628" t="s">
        <v>247</v>
      </c>
      <c r="F1628" t="s">
        <v>37</v>
      </c>
      <c r="G1628">
        <v>11</v>
      </c>
      <c r="H1628">
        <v>7</v>
      </c>
      <c r="I1628">
        <v>6</v>
      </c>
      <c r="J1628" t="s">
        <v>34</v>
      </c>
      <c r="K1628" t="s">
        <v>24</v>
      </c>
      <c r="L1628">
        <v>50</v>
      </c>
      <c r="M1628">
        <v>92.753</v>
      </c>
      <c r="N1628">
        <v>95.659194999999997</v>
      </c>
      <c r="O1628">
        <v>34.204000000000001</v>
      </c>
      <c r="P1628">
        <v>29.478999999999999</v>
      </c>
      <c r="Q1628">
        <v>29.04</v>
      </c>
      <c r="R1628">
        <v>16</v>
      </c>
      <c r="S1628" t="s">
        <v>83</v>
      </c>
      <c r="T1628">
        <f>IF(TRIM(Table1[[#This Row],[PitStopLaps]])="",0,
LEN(Table1[[#This Row],[PitStopLaps]])-LEN(SUBSTITUTE(Table1[[#This Row],[PitStopLaps]],",",""))+1)</f>
        <v>1</v>
      </c>
      <c r="U1628">
        <f>Table1[[#This Row],[StartPosition]]-Table1[[#This Row],[FinishPosition]]</f>
        <v>4</v>
      </c>
    </row>
    <row r="1629" spans="1:21" x14ac:dyDescent="0.3">
      <c r="A1629">
        <v>2022</v>
      </c>
      <c r="B1629">
        <v>2</v>
      </c>
      <c r="C1629" t="s">
        <v>766</v>
      </c>
      <c r="D1629" t="s">
        <v>73</v>
      </c>
      <c r="E1629" t="s">
        <v>74</v>
      </c>
      <c r="F1629" t="s">
        <v>438</v>
      </c>
      <c r="G1629">
        <v>9</v>
      </c>
      <c r="H1629">
        <v>8</v>
      </c>
      <c r="I1629">
        <v>4</v>
      </c>
      <c r="J1629" t="s">
        <v>34</v>
      </c>
      <c r="K1629" t="s">
        <v>24</v>
      </c>
      <c r="L1629">
        <v>50</v>
      </c>
      <c r="M1629">
        <v>93.468000000000004</v>
      </c>
      <c r="N1629">
        <v>95.729174999999998</v>
      </c>
      <c r="O1629">
        <v>34.551000000000002</v>
      </c>
      <c r="P1629">
        <v>29.672000000000001</v>
      </c>
      <c r="Q1629">
        <v>29.062999999999999</v>
      </c>
      <c r="R1629">
        <v>15</v>
      </c>
      <c r="S1629" t="s">
        <v>83</v>
      </c>
      <c r="T1629">
        <f>IF(TRIM(Table1[[#This Row],[PitStopLaps]])="",0,
LEN(Table1[[#This Row],[PitStopLaps]])-LEN(SUBSTITUTE(Table1[[#This Row],[PitStopLaps]],",",""))+1)</f>
        <v>1</v>
      </c>
      <c r="U1629">
        <f>Table1[[#This Row],[StartPosition]]-Table1[[#This Row],[FinishPosition]]</f>
        <v>1</v>
      </c>
    </row>
    <row r="1630" spans="1:21" x14ac:dyDescent="0.3">
      <c r="A1630">
        <v>2022</v>
      </c>
      <c r="B1630">
        <v>2</v>
      </c>
      <c r="C1630" t="s">
        <v>766</v>
      </c>
      <c r="D1630" t="s">
        <v>71</v>
      </c>
      <c r="E1630" t="s">
        <v>72</v>
      </c>
      <c r="F1630" t="s">
        <v>69</v>
      </c>
      <c r="G1630">
        <v>10</v>
      </c>
      <c r="H1630">
        <v>9</v>
      </c>
      <c r="I1630">
        <v>2</v>
      </c>
      <c r="J1630" t="s">
        <v>34</v>
      </c>
      <c r="K1630" t="s">
        <v>24</v>
      </c>
      <c r="L1630">
        <v>50</v>
      </c>
      <c r="M1630">
        <v>92.778999999999996</v>
      </c>
      <c r="N1630">
        <v>95.266400000000004</v>
      </c>
      <c r="O1630">
        <v>34.091000000000001</v>
      </c>
      <c r="P1630">
        <v>29.507000000000001</v>
      </c>
      <c r="Q1630">
        <v>29.068000000000001</v>
      </c>
      <c r="R1630">
        <v>37</v>
      </c>
      <c r="S1630" t="s">
        <v>83</v>
      </c>
      <c r="T1630">
        <f>IF(TRIM(Table1[[#This Row],[PitStopLaps]])="",0,
LEN(Table1[[#This Row],[PitStopLaps]])-LEN(SUBSTITUTE(Table1[[#This Row],[PitStopLaps]],",",""))+1)</f>
        <v>1</v>
      </c>
      <c r="U1630">
        <f>Table1[[#This Row],[StartPosition]]-Table1[[#This Row],[FinishPosition]]</f>
        <v>1</v>
      </c>
    </row>
    <row r="1631" spans="1:21" x14ac:dyDescent="0.3">
      <c r="A1631">
        <v>2022</v>
      </c>
      <c r="B1631">
        <v>2</v>
      </c>
      <c r="C1631" t="s">
        <v>766</v>
      </c>
      <c r="D1631" t="s">
        <v>26</v>
      </c>
      <c r="E1631" t="s">
        <v>27</v>
      </c>
      <c r="F1631" t="s">
        <v>28</v>
      </c>
      <c r="G1631">
        <v>15</v>
      </c>
      <c r="H1631">
        <v>10</v>
      </c>
      <c r="I1631">
        <v>1</v>
      </c>
      <c r="J1631" t="s">
        <v>34</v>
      </c>
      <c r="K1631" t="s">
        <v>24</v>
      </c>
      <c r="L1631">
        <v>50</v>
      </c>
      <c r="M1631">
        <v>92.997</v>
      </c>
      <c r="N1631">
        <v>95.390349999999998</v>
      </c>
      <c r="O1631">
        <v>34.264000000000003</v>
      </c>
      <c r="P1631">
        <v>29.527999999999999</v>
      </c>
      <c r="Q1631">
        <v>29.14</v>
      </c>
      <c r="R1631">
        <v>40</v>
      </c>
      <c r="S1631" t="s">
        <v>83</v>
      </c>
      <c r="T1631">
        <f>IF(TRIM(Table1[[#This Row],[PitStopLaps]])="",0,
LEN(Table1[[#This Row],[PitStopLaps]])-LEN(SUBSTITUTE(Table1[[#This Row],[PitStopLaps]],",",""))+1)</f>
        <v>1</v>
      </c>
      <c r="U1631">
        <f>Table1[[#This Row],[StartPosition]]-Table1[[#This Row],[FinishPosition]]</f>
        <v>5</v>
      </c>
    </row>
    <row r="1632" spans="1:21" x14ac:dyDescent="0.3">
      <c r="A1632">
        <v>2022</v>
      </c>
      <c r="B1632">
        <v>2</v>
      </c>
      <c r="C1632" t="s">
        <v>766</v>
      </c>
      <c r="D1632" t="s">
        <v>794</v>
      </c>
      <c r="E1632" t="s">
        <v>795</v>
      </c>
      <c r="F1632" t="s">
        <v>789</v>
      </c>
      <c r="G1632">
        <v>12</v>
      </c>
      <c r="H1632">
        <v>11</v>
      </c>
      <c r="I1632">
        <v>0</v>
      </c>
      <c r="J1632" t="s">
        <v>34</v>
      </c>
      <c r="K1632" t="s">
        <v>24</v>
      </c>
      <c r="L1632">
        <v>50</v>
      </c>
      <c r="M1632">
        <v>93.924000000000007</v>
      </c>
      <c r="N1632">
        <v>95.913842000000002</v>
      </c>
      <c r="O1632">
        <v>34.823</v>
      </c>
      <c r="P1632">
        <v>29.798999999999999</v>
      </c>
      <c r="Q1632">
        <v>29.204999999999998</v>
      </c>
      <c r="R1632" t="s">
        <v>807</v>
      </c>
      <c r="S1632" t="s">
        <v>83</v>
      </c>
      <c r="T1632">
        <f>IF(TRIM(Table1[[#This Row],[PitStopLaps]])="",0,
LEN(Table1[[#This Row],[PitStopLaps]])-LEN(SUBSTITUTE(Table1[[#This Row],[PitStopLaps]],",",""))+1)</f>
        <v>2</v>
      </c>
      <c r="U1632">
        <f>Table1[[#This Row],[StartPosition]]-Table1[[#This Row],[FinishPosition]]</f>
        <v>1</v>
      </c>
    </row>
    <row r="1633" spans="1:21" x14ac:dyDescent="0.3">
      <c r="A1633">
        <v>2022</v>
      </c>
      <c r="B1633">
        <v>2</v>
      </c>
      <c r="C1633" t="s">
        <v>766</v>
      </c>
      <c r="D1633" t="s">
        <v>40</v>
      </c>
      <c r="E1633" t="s">
        <v>41</v>
      </c>
      <c r="F1633" t="s">
        <v>603</v>
      </c>
      <c r="G1633">
        <v>17</v>
      </c>
      <c r="H1633">
        <v>12</v>
      </c>
      <c r="I1633">
        <v>0</v>
      </c>
      <c r="J1633" t="s">
        <v>34</v>
      </c>
      <c r="K1633" t="s">
        <v>24</v>
      </c>
      <c r="L1633">
        <v>50</v>
      </c>
      <c r="M1633">
        <v>93.650999999999996</v>
      </c>
      <c r="N1633">
        <v>96.268150000000006</v>
      </c>
      <c r="O1633">
        <v>34.488999999999997</v>
      </c>
      <c r="P1633">
        <v>29.806999999999999</v>
      </c>
      <c r="Q1633">
        <v>29.355</v>
      </c>
      <c r="R1633">
        <v>37</v>
      </c>
      <c r="S1633" t="s">
        <v>83</v>
      </c>
      <c r="T1633">
        <f>IF(TRIM(Table1[[#This Row],[PitStopLaps]])="",0,
LEN(Table1[[#This Row],[PitStopLaps]])-LEN(SUBSTITUTE(Table1[[#This Row],[PitStopLaps]],",",""))+1)</f>
        <v>1</v>
      </c>
      <c r="U1633">
        <f>Table1[[#This Row],[StartPosition]]-Table1[[#This Row],[FinishPosition]]</f>
        <v>5</v>
      </c>
    </row>
    <row r="1634" spans="1:21" x14ac:dyDescent="0.3">
      <c r="A1634">
        <v>2022</v>
      </c>
      <c r="B1634">
        <v>2</v>
      </c>
      <c r="C1634" t="s">
        <v>766</v>
      </c>
      <c r="D1634" t="s">
        <v>58</v>
      </c>
      <c r="E1634" t="s">
        <v>59</v>
      </c>
      <c r="F1634" t="s">
        <v>603</v>
      </c>
      <c r="G1634">
        <v>13</v>
      </c>
      <c r="H1634">
        <v>13</v>
      </c>
      <c r="I1634">
        <v>0</v>
      </c>
      <c r="J1634" t="s">
        <v>34</v>
      </c>
      <c r="K1634" t="s">
        <v>65</v>
      </c>
      <c r="L1634">
        <v>49</v>
      </c>
      <c r="M1634">
        <v>94.445999999999998</v>
      </c>
      <c r="N1634">
        <v>97.219577999999998</v>
      </c>
      <c r="O1634">
        <v>34.875999999999998</v>
      </c>
      <c r="P1634">
        <v>30.042000000000002</v>
      </c>
      <c r="Q1634">
        <v>29.338999999999999</v>
      </c>
      <c r="R1634">
        <v>13</v>
      </c>
      <c r="S1634" t="s">
        <v>83</v>
      </c>
      <c r="T1634">
        <f>IF(TRIM(Table1[[#This Row],[PitStopLaps]])="",0,
LEN(Table1[[#This Row],[PitStopLaps]])-LEN(SUBSTITUTE(Table1[[#This Row],[PitStopLaps]],",",""))+1)</f>
        <v>1</v>
      </c>
      <c r="U1634">
        <f>Table1[[#This Row],[StartPosition]]-Table1[[#This Row],[FinishPosition]]</f>
        <v>0</v>
      </c>
    </row>
    <row r="1635" spans="1:21" x14ac:dyDescent="0.3">
      <c r="A1635">
        <v>2022</v>
      </c>
      <c r="B1635">
        <v>2</v>
      </c>
      <c r="C1635" t="s">
        <v>766</v>
      </c>
      <c r="D1635" t="s">
        <v>248</v>
      </c>
      <c r="E1635" t="s">
        <v>249</v>
      </c>
      <c r="F1635" t="s">
        <v>60</v>
      </c>
      <c r="G1635">
        <v>16</v>
      </c>
      <c r="H1635">
        <v>14</v>
      </c>
      <c r="I1635">
        <v>0</v>
      </c>
      <c r="J1635" t="s">
        <v>34</v>
      </c>
      <c r="K1635" t="s">
        <v>109</v>
      </c>
      <c r="L1635">
        <v>48</v>
      </c>
      <c r="M1635">
        <v>94.367999999999995</v>
      </c>
      <c r="N1635">
        <v>96.590472000000005</v>
      </c>
      <c r="O1635">
        <v>34.89</v>
      </c>
      <c r="P1635">
        <v>29.882000000000001</v>
      </c>
      <c r="Q1635">
        <v>29.117999999999999</v>
      </c>
      <c r="R1635">
        <v>13</v>
      </c>
      <c r="S1635" t="s">
        <v>83</v>
      </c>
      <c r="T1635">
        <f>IF(TRIM(Table1[[#This Row],[PitStopLaps]])="",0,
LEN(Table1[[#This Row],[PitStopLaps]])-LEN(SUBSTITUTE(Table1[[#This Row],[PitStopLaps]],",",""))+1)</f>
        <v>1</v>
      </c>
      <c r="U1635">
        <f>Table1[[#This Row],[StartPosition]]-Table1[[#This Row],[FinishPosition]]</f>
        <v>2</v>
      </c>
    </row>
    <row r="1636" spans="1:21" x14ac:dyDescent="0.3">
      <c r="A1636">
        <v>2022</v>
      </c>
      <c r="B1636">
        <v>2</v>
      </c>
      <c r="C1636" t="s">
        <v>766</v>
      </c>
      <c r="D1636" t="s">
        <v>43</v>
      </c>
      <c r="E1636" t="s">
        <v>44</v>
      </c>
      <c r="F1636" t="s">
        <v>789</v>
      </c>
      <c r="G1636">
        <v>8</v>
      </c>
      <c r="H1636">
        <v>15</v>
      </c>
      <c r="I1636">
        <v>0</v>
      </c>
      <c r="J1636" t="s">
        <v>34</v>
      </c>
      <c r="K1636" t="s">
        <v>808</v>
      </c>
      <c r="L1636">
        <v>36</v>
      </c>
      <c r="M1636">
        <v>93.978999999999999</v>
      </c>
      <c r="N1636">
        <v>95.998463999999998</v>
      </c>
      <c r="O1636">
        <v>34.753</v>
      </c>
      <c r="P1636">
        <v>29.747</v>
      </c>
      <c r="Q1636">
        <v>29.105</v>
      </c>
      <c r="R1636" t="s">
        <v>809</v>
      </c>
      <c r="S1636" t="s">
        <v>83</v>
      </c>
      <c r="T1636">
        <f>IF(TRIM(Table1[[#This Row],[PitStopLaps]])="",0,
LEN(Table1[[#This Row],[PitStopLaps]])-LEN(SUBSTITUTE(Table1[[#This Row],[PitStopLaps]],",",""))+1)</f>
        <v>3</v>
      </c>
      <c r="U1636">
        <f>Table1[[#This Row],[StartPosition]]-Table1[[#This Row],[FinishPosition]]</f>
        <v>-7</v>
      </c>
    </row>
    <row r="1637" spans="1:21" x14ac:dyDescent="0.3">
      <c r="A1637">
        <v>2022</v>
      </c>
      <c r="B1637">
        <v>2</v>
      </c>
      <c r="C1637" t="s">
        <v>766</v>
      </c>
      <c r="D1637" t="s">
        <v>35</v>
      </c>
      <c r="E1637" t="s">
        <v>36</v>
      </c>
      <c r="F1637" t="s">
        <v>607</v>
      </c>
      <c r="G1637">
        <v>7</v>
      </c>
      <c r="H1637">
        <v>16</v>
      </c>
      <c r="I1637">
        <v>0</v>
      </c>
      <c r="J1637" t="s">
        <v>34</v>
      </c>
      <c r="K1637" t="s">
        <v>810</v>
      </c>
      <c r="L1637">
        <v>36</v>
      </c>
      <c r="M1637">
        <v>93.831000000000003</v>
      </c>
      <c r="N1637">
        <v>95.873862000000003</v>
      </c>
      <c r="O1637">
        <v>34.905999999999999</v>
      </c>
      <c r="P1637">
        <v>29.803000000000001</v>
      </c>
      <c r="Q1637">
        <v>28.99</v>
      </c>
      <c r="R1637">
        <v>16</v>
      </c>
      <c r="S1637" t="s">
        <v>83</v>
      </c>
      <c r="T1637">
        <f>IF(TRIM(Table1[[#This Row],[PitStopLaps]])="",0,
LEN(Table1[[#This Row],[PitStopLaps]])-LEN(SUBSTITUTE(Table1[[#This Row],[PitStopLaps]],",",""))+1)</f>
        <v>1</v>
      </c>
      <c r="U1637">
        <f>Table1[[#This Row],[StartPosition]]-Table1[[#This Row],[FinishPosition]]</f>
        <v>-9</v>
      </c>
    </row>
    <row r="1638" spans="1:21" x14ac:dyDescent="0.3">
      <c r="A1638">
        <v>2022</v>
      </c>
      <c r="B1638">
        <v>2</v>
      </c>
      <c r="C1638" t="s">
        <v>766</v>
      </c>
      <c r="D1638" t="s">
        <v>31</v>
      </c>
      <c r="E1638" t="s">
        <v>32</v>
      </c>
      <c r="F1638" t="s">
        <v>37</v>
      </c>
      <c r="G1638">
        <v>14</v>
      </c>
      <c r="H1638">
        <v>17</v>
      </c>
      <c r="I1638">
        <v>0</v>
      </c>
      <c r="J1638" t="s">
        <v>34</v>
      </c>
      <c r="K1638" t="s">
        <v>132</v>
      </c>
      <c r="L1638">
        <v>36</v>
      </c>
      <c r="M1638">
        <v>94.486999999999995</v>
      </c>
      <c r="N1638">
        <v>96.121776999999994</v>
      </c>
      <c r="O1638">
        <v>34.747</v>
      </c>
      <c r="P1638">
        <v>30.071999999999999</v>
      </c>
      <c r="Q1638">
        <v>29.318000000000001</v>
      </c>
      <c r="R1638" t="s">
        <v>811</v>
      </c>
      <c r="S1638" t="s">
        <v>83</v>
      </c>
      <c r="T1638">
        <f>IF(TRIM(Table1[[#This Row],[PitStopLaps]])="",0,
LEN(Table1[[#This Row],[PitStopLaps]])-LEN(SUBSTITUTE(Table1[[#This Row],[PitStopLaps]],",",""))+1)</f>
        <v>2</v>
      </c>
      <c r="U1638">
        <f>Table1[[#This Row],[StartPosition]]-Table1[[#This Row],[FinishPosition]]</f>
        <v>-3</v>
      </c>
    </row>
    <row r="1639" spans="1:21" x14ac:dyDescent="0.3">
      <c r="A1639">
        <v>2022</v>
      </c>
      <c r="B1639">
        <v>2</v>
      </c>
      <c r="C1639" t="s">
        <v>766</v>
      </c>
      <c r="D1639" t="s">
        <v>440</v>
      </c>
      <c r="E1639" t="s">
        <v>441</v>
      </c>
      <c r="F1639" t="s">
        <v>60</v>
      </c>
      <c r="G1639">
        <v>18</v>
      </c>
      <c r="H1639">
        <v>18</v>
      </c>
      <c r="I1639">
        <v>0</v>
      </c>
      <c r="J1639" t="s">
        <v>34</v>
      </c>
      <c r="K1639" t="s">
        <v>123</v>
      </c>
      <c r="L1639">
        <v>15</v>
      </c>
      <c r="M1639">
        <v>97.53</v>
      </c>
      <c r="N1639">
        <v>98.299153000000004</v>
      </c>
      <c r="O1639">
        <v>36.445999999999998</v>
      </c>
      <c r="P1639">
        <v>30.931999999999999</v>
      </c>
      <c r="Q1639">
        <v>30.122</v>
      </c>
      <c r="S1639" t="s">
        <v>83</v>
      </c>
      <c r="T1639">
        <f>IF(TRIM(Table1[[#This Row],[PitStopLaps]])="",0,
LEN(Table1[[#This Row],[PitStopLaps]])-LEN(SUBSTITUTE(Table1[[#This Row],[PitStopLaps]],",",""))+1)</f>
        <v>0</v>
      </c>
      <c r="U1639">
        <f>Table1[[#This Row],[StartPosition]]-Table1[[#This Row],[FinishPosition]]</f>
        <v>0</v>
      </c>
    </row>
    <row r="1640" spans="1:21" x14ac:dyDescent="0.3">
      <c r="A1640">
        <v>2022</v>
      </c>
      <c r="B1640">
        <v>2</v>
      </c>
      <c r="C1640" t="s">
        <v>766</v>
      </c>
      <c r="D1640" t="s">
        <v>601</v>
      </c>
      <c r="E1640" t="s">
        <v>602</v>
      </c>
      <c r="F1640" t="s">
        <v>438</v>
      </c>
      <c r="G1640">
        <v>19</v>
      </c>
      <c r="H1640">
        <v>19</v>
      </c>
      <c r="I1640">
        <v>0</v>
      </c>
      <c r="J1640" t="s">
        <v>34</v>
      </c>
      <c r="K1640" t="s">
        <v>167</v>
      </c>
      <c r="S1640" t="s">
        <v>83</v>
      </c>
      <c r="T1640">
        <f>IF(TRIM(Table1[[#This Row],[PitStopLaps]])="",0,
LEN(Table1[[#This Row],[PitStopLaps]])-LEN(SUBSTITUTE(Table1[[#This Row],[PitStopLaps]],",",""))+1)</f>
        <v>0</v>
      </c>
      <c r="U1640">
        <f>Table1[[#This Row],[StartPosition]]-Table1[[#This Row],[FinishPosition]]</f>
        <v>0</v>
      </c>
    </row>
    <row r="1641" spans="1:21" x14ac:dyDescent="0.3">
      <c r="A1641">
        <v>2022</v>
      </c>
      <c r="B1641">
        <v>2</v>
      </c>
      <c r="C1641" t="s">
        <v>766</v>
      </c>
      <c r="D1641" t="s">
        <v>608</v>
      </c>
      <c r="E1641" t="s">
        <v>609</v>
      </c>
      <c r="F1641" t="s">
        <v>69</v>
      </c>
      <c r="I1641">
        <v>0</v>
      </c>
      <c r="J1641" t="s">
        <v>34</v>
      </c>
      <c r="K1641" t="s">
        <v>402</v>
      </c>
      <c r="S1641" t="s">
        <v>83</v>
      </c>
      <c r="T1641">
        <f>IF(TRIM(Table1[[#This Row],[PitStopLaps]])="",0,
LEN(Table1[[#This Row],[PitStopLaps]])-LEN(SUBSTITUTE(Table1[[#This Row],[PitStopLaps]],",",""))+1)</f>
        <v>0</v>
      </c>
      <c r="U1641">
        <f>Table1[[#This Row],[StartPosition]]-Table1[[#This Row],[FinishPosition]]</f>
        <v>0</v>
      </c>
    </row>
    <row r="1642" spans="1:21" x14ac:dyDescent="0.3">
      <c r="A1642">
        <v>2022</v>
      </c>
      <c r="B1642">
        <v>3</v>
      </c>
      <c r="C1642" t="s">
        <v>19</v>
      </c>
      <c r="D1642" t="s">
        <v>54</v>
      </c>
      <c r="E1642" t="s">
        <v>55</v>
      </c>
      <c r="F1642" t="s">
        <v>22</v>
      </c>
      <c r="G1642">
        <v>1</v>
      </c>
      <c r="H1642">
        <v>1</v>
      </c>
      <c r="I1642">
        <v>26</v>
      </c>
      <c r="J1642" t="s">
        <v>23</v>
      </c>
      <c r="K1642" t="s">
        <v>24</v>
      </c>
      <c r="L1642">
        <v>58</v>
      </c>
      <c r="M1642">
        <v>80.260000000000005</v>
      </c>
      <c r="N1642">
        <v>82.594543000000002</v>
      </c>
      <c r="O1642">
        <v>28.044</v>
      </c>
      <c r="P1642">
        <v>17.878</v>
      </c>
      <c r="Q1642">
        <v>34.338000000000001</v>
      </c>
      <c r="R1642">
        <v>22</v>
      </c>
      <c r="S1642" t="s">
        <v>83</v>
      </c>
      <c r="T1642">
        <f>IF(TRIM(Table1[[#This Row],[PitStopLaps]])="",0,
LEN(Table1[[#This Row],[PitStopLaps]])-LEN(SUBSTITUTE(Table1[[#This Row],[PitStopLaps]],",",""))+1)</f>
        <v>1</v>
      </c>
      <c r="U1642">
        <f>Table1[[#This Row],[StartPosition]]-Table1[[#This Row],[FinishPosition]]</f>
        <v>0</v>
      </c>
    </row>
    <row r="1643" spans="1:21" x14ac:dyDescent="0.3">
      <c r="A1643">
        <v>2022</v>
      </c>
      <c r="B1643">
        <v>3</v>
      </c>
      <c r="C1643" t="s">
        <v>19</v>
      </c>
      <c r="D1643" t="s">
        <v>49</v>
      </c>
      <c r="E1643" t="s">
        <v>50</v>
      </c>
      <c r="F1643" t="s">
        <v>33</v>
      </c>
      <c r="G1643">
        <v>3</v>
      </c>
      <c r="H1643">
        <v>2</v>
      </c>
      <c r="I1643">
        <v>18</v>
      </c>
      <c r="J1643" t="s">
        <v>23</v>
      </c>
      <c r="K1643" t="s">
        <v>24</v>
      </c>
      <c r="L1643">
        <v>58</v>
      </c>
      <c r="M1643">
        <v>81.093999999999994</v>
      </c>
      <c r="N1643">
        <v>83.319355000000002</v>
      </c>
      <c r="O1643">
        <v>28.213999999999999</v>
      </c>
      <c r="P1643">
        <v>17.981000000000002</v>
      </c>
      <c r="Q1643">
        <v>34.899000000000001</v>
      </c>
      <c r="R1643">
        <v>20</v>
      </c>
      <c r="S1643" t="s">
        <v>83</v>
      </c>
      <c r="T1643">
        <f>IF(TRIM(Table1[[#This Row],[PitStopLaps]])="",0,
LEN(Table1[[#This Row],[PitStopLaps]])-LEN(SUBSTITUTE(Table1[[#This Row],[PitStopLaps]],",",""))+1)</f>
        <v>1</v>
      </c>
      <c r="U1643">
        <f>Table1[[#This Row],[StartPosition]]-Table1[[#This Row],[FinishPosition]]</f>
        <v>1</v>
      </c>
    </row>
    <row r="1644" spans="1:21" x14ac:dyDescent="0.3">
      <c r="A1644">
        <v>2022</v>
      </c>
      <c r="B1644">
        <v>3</v>
      </c>
      <c r="C1644" t="s">
        <v>19</v>
      </c>
      <c r="D1644" t="s">
        <v>252</v>
      </c>
      <c r="E1644" t="s">
        <v>253</v>
      </c>
      <c r="F1644" t="s">
        <v>28</v>
      </c>
      <c r="G1644">
        <v>6</v>
      </c>
      <c r="H1644">
        <v>3</v>
      </c>
      <c r="I1644">
        <v>15</v>
      </c>
      <c r="J1644" t="s">
        <v>23</v>
      </c>
      <c r="K1644" t="s">
        <v>24</v>
      </c>
      <c r="L1644">
        <v>58</v>
      </c>
      <c r="M1644">
        <v>81.495000000000005</v>
      </c>
      <c r="N1644">
        <v>83.571254999999994</v>
      </c>
      <c r="O1644">
        <v>28.206</v>
      </c>
      <c r="P1644">
        <v>18.106999999999999</v>
      </c>
      <c r="Q1644">
        <v>35.182000000000002</v>
      </c>
      <c r="R1644">
        <v>23</v>
      </c>
      <c r="S1644" t="s">
        <v>83</v>
      </c>
      <c r="T1644">
        <f>IF(TRIM(Table1[[#This Row],[PitStopLaps]])="",0,
LEN(Table1[[#This Row],[PitStopLaps]])-LEN(SUBSTITUTE(Table1[[#This Row],[PitStopLaps]],",",""))+1)</f>
        <v>1</v>
      </c>
      <c r="U1644">
        <f>Table1[[#This Row],[StartPosition]]-Table1[[#This Row],[FinishPosition]]</f>
        <v>3</v>
      </c>
    </row>
    <row r="1645" spans="1:21" x14ac:dyDescent="0.3">
      <c r="A1645">
        <v>2022</v>
      </c>
      <c r="B1645">
        <v>3</v>
      </c>
      <c r="C1645" t="s">
        <v>19</v>
      </c>
      <c r="D1645" t="s">
        <v>26</v>
      </c>
      <c r="E1645" t="s">
        <v>27</v>
      </c>
      <c r="F1645" t="s">
        <v>28</v>
      </c>
      <c r="G1645">
        <v>5</v>
      </c>
      <c r="H1645">
        <v>4</v>
      </c>
      <c r="I1645">
        <v>12</v>
      </c>
      <c r="J1645" t="s">
        <v>34</v>
      </c>
      <c r="K1645" t="s">
        <v>24</v>
      </c>
      <c r="L1645">
        <v>58</v>
      </c>
      <c r="M1645">
        <v>81.885999999999996</v>
      </c>
      <c r="N1645">
        <v>83.558520999999999</v>
      </c>
      <c r="O1645">
        <v>28.257000000000001</v>
      </c>
      <c r="P1645">
        <v>18.056999999999999</v>
      </c>
      <c r="Q1645">
        <v>35.201000000000001</v>
      </c>
      <c r="R1645">
        <v>22</v>
      </c>
      <c r="S1645" t="s">
        <v>83</v>
      </c>
      <c r="T1645">
        <f>IF(TRIM(Table1[[#This Row],[PitStopLaps]])="",0,
LEN(Table1[[#This Row],[PitStopLaps]])-LEN(SUBSTITUTE(Table1[[#This Row],[PitStopLaps]],",",""))+1)</f>
        <v>1</v>
      </c>
      <c r="U1645">
        <f>Table1[[#This Row],[StartPosition]]-Table1[[#This Row],[FinishPosition]]</f>
        <v>1</v>
      </c>
    </row>
    <row r="1646" spans="1:21" x14ac:dyDescent="0.3">
      <c r="A1646">
        <v>2022</v>
      </c>
      <c r="B1646">
        <v>3</v>
      </c>
      <c r="C1646" t="s">
        <v>19</v>
      </c>
      <c r="D1646" t="s">
        <v>246</v>
      </c>
      <c r="E1646" t="s">
        <v>247</v>
      </c>
      <c r="F1646" t="s">
        <v>37</v>
      </c>
      <c r="G1646">
        <v>4</v>
      </c>
      <c r="H1646">
        <v>5</v>
      </c>
      <c r="I1646">
        <v>10</v>
      </c>
      <c r="J1646" t="s">
        <v>34</v>
      </c>
      <c r="K1646" t="s">
        <v>24</v>
      </c>
      <c r="L1646">
        <v>58</v>
      </c>
      <c r="M1646">
        <v>82.248000000000005</v>
      </c>
      <c r="N1646">
        <v>84.170933000000005</v>
      </c>
      <c r="O1646">
        <v>28.582999999999998</v>
      </c>
      <c r="P1646">
        <v>18.393000000000001</v>
      </c>
      <c r="Q1646">
        <v>35.18</v>
      </c>
      <c r="R1646">
        <v>20</v>
      </c>
      <c r="S1646" t="s">
        <v>83</v>
      </c>
      <c r="T1646">
        <f>IF(TRIM(Table1[[#This Row],[PitStopLaps]])="",0,
LEN(Table1[[#This Row],[PitStopLaps]])-LEN(SUBSTITUTE(Table1[[#This Row],[PitStopLaps]],",",""))+1)</f>
        <v>1</v>
      </c>
      <c r="U1646">
        <f>Table1[[#This Row],[StartPosition]]-Table1[[#This Row],[FinishPosition]]</f>
        <v>-1</v>
      </c>
    </row>
    <row r="1647" spans="1:21" x14ac:dyDescent="0.3">
      <c r="A1647">
        <v>2022</v>
      </c>
      <c r="B1647">
        <v>3</v>
      </c>
      <c r="C1647" t="s">
        <v>19</v>
      </c>
      <c r="D1647" t="s">
        <v>31</v>
      </c>
      <c r="E1647" t="s">
        <v>32</v>
      </c>
      <c r="F1647" t="s">
        <v>37</v>
      </c>
      <c r="G1647">
        <v>7</v>
      </c>
      <c r="H1647">
        <v>6</v>
      </c>
      <c r="I1647">
        <v>8</v>
      </c>
      <c r="J1647" t="s">
        <v>34</v>
      </c>
      <c r="K1647" t="s">
        <v>24</v>
      </c>
      <c r="L1647">
        <v>58</v>
      </c>
      <c r="M1647">
        <v>82.450999999999993</v>
      </c>
      <c r="N1647">
        <v>84.189222000000001</v>
      </c>
      <c r="O1647">
        <v>28.603000000000002</v>
      </c>
      <c r="P1647">
        <v>18.318000000000001</v>
      </c>
      <c r="Q1647">
        <v>35.497999999999998</v>
      </c>
      <c r="R1647">
        <v>21</v>
      </c>
      <c r="S1647" t="s">
        <v>83</v>
      </c>
      <c r="T1647">
        <f>IF(TRIM(Table1[[#This Row],[PitStopLaps]])="",0,
LEN(Table1[[#This Row],[PitStopLaps]])-LEN(SUBSTITUTE(Table1[[#This Row],[PitStopLaps]],",",""))+1)</f>
        <v>1</v>
      </c>
      <c r="U1647">
        <f>Table1[[#This Row],[StartPosition]]-Table1[[#This Row],[FinishPosition]]</f>
        <v>1</v>
      </c>
    </row>
    <row r="1648" spans="1:21" x14ac:dyDescent="0.3">
      <c r="A1648">
        <v>2022</v>
      </c>
      <c r="B1648">
        <v>3</v>
      </c>
      <c r="C1648" t="s">
        <v>19</v>
      </c>
      <c r="D1648" t="s">
        <v>52</v>
      </c>
      <c r="E1648" t="s">
        <v>53</v>
      </c>
      <c r="F1648" t="s">
        <v>607</v>
      </c>
      <c r="G1648">
        <v>8</v>
      </c>
      <c r="H1648">
        <v>7</v>
      </c>
      <c r="I1648">
        <v>6</v>
      </c>
      <c r="J1648" t="s">
        <v>34</v>
      </c>
      <c r="K1648" t="s">
        <v>24</v>
      </c>
      <c r="L1648">
        <v>58</v>
      </c>
      <c r="M1648">
        <v>82.468999999999994</v>
      </c>
      <c r="N1648">
        <v>84.381354999999999</v>
      </c>
      <c r="O1648">
        <v>28.617000000000001</v>
      </c>
      <c r="P1648">
        <v>18.146999999999998</v>
      </c>
      <c r="Q1648">
        <v>35.47</v>
      </c>
      <c r="R1648">
        <v>17</v>
      </c>
      <c r="S1648" t="s">
        <v>83</v>
      </c>
      <c r="T1648">
        <f>IF(TRIM(Table1[[#This Row],[PitStopLaps]])="",0,
LEN(Table1[[#This Row],[PitStopLaps]])-LEN(SUBSTITUTE(Table1[[#This Row],[PitStopLaps]],",",""))+1)</f>
        <v>1</v>
      </c>
      <c r="U1648">
        <f>Table1[[#This Row],[StartPosition]]-Table1[[#This Row],[FinishPosition]]</f>
        <v>1</v>
      </c>
    </row>
    <row r="1649" spans="1:21" x14ac:dyDescent="0.3">
      <c r="A1649">
        <v>2022</v>
      </c>
      <c r="B1649">
        <v>3</v>
      </c>
      <c r="C1649" t="s">
        <v>19</v>
      </c>
      <c r="D1649" t="s">
        <v>43</v>
      </c>
      <c r="E1649" t="s">
        <v>44</v>
      </c>
      <c r="F1649" t="s">
        <v>789</v>
      </c>
      <c r="G1649">
        <v>12</v>
      </c>
      <c r="H1649">
        <v>8</v>
      </c>
      <c r="I1649">
        <v>4</v>
      </c>
      <c r="J1649" t="s">
        <v>34</v>
      </c>
      <c r="K1649" t="s">
        <v>24</v>
      </c>
      <c r="L1649">
        <v>58</v>
      </c>
      <c r="M1649">
        <v>81.650999999999996</v>
      </c>
      <c r="N1649">
        <v>84.618129999999994</v>
      </c>
      <c r="O1649">
        <v>28.143999999999998</v>
      </c>
      <c r="P1649">
        <v>18.047999999999998</v>
      </c>
      <c r="Q1649">
        <v>35.241</v>
      </c>
      <c r="R1649">
        <v>22</v>
      </c>
      <c r="S1649" t="s">
        <v>83</v>
      </c>
      <c r="T1649">
        <f>IF(TRIM(Table1[[#This Row],[PitStopLaps]])="",0,
LEN(Table1[[#This Row],[PitStopLaps]])-LEN(SUBSTITUTE(Table1[[#This Row],[PitStopLaps]],",",""))+1)</f>
        <v>1</v>
      </c>
      <c r="U1649">
        <f>Table1[[#This Row],[StartPosition]]-Table1[[#This Row],[FinishPosition]]</f>
        <v>4</v>
      </c>
    </row>
    <row r="1650" spans="1:21" x14ac:dyDescent="0.3">
      <c r="A1650">
        <v>2022</v>
      </c>
      <c r="B1650">
        <v>3</v>
      </c>
      <c r="C1650" t="s">
        <v>19</v>
      </c>
      <c r="D1650" t="s">
        <v>73</v>
      </c>
      <c r="E1650" t="s">
        <v>74</v>
      </c>
      <c r="F1650" t="s">
        <v>438</v>
      </c>
      <c r="G1650">
        <v>11</v>
      </c>
      <c r="H1650">
        <v>9</v>
      </c>
      <c r="I1650">
        <v>2</v>
      </c>
      <c r="J1650" t="s">
        <v>34</v>
      </c>
      <c r="K1650" t="s">
        <v>24</v>
      </c>
      <c r="L1650">
        <v>58</v>
      </c>
      <c r="M1650">
        <v>82.730999999999995</v>
      </c>
      <c r="N1650">
        <v>84.770977000000002</v>
      </c>
      <c r="O1650">
        <v>28.695</v>
      </c>
      <c r="P1650">
        <v>18.379000000000001</v>
      </c>
      <c r="Q1650">
        <v>35.512999999999998</v>
      </c>
      <c r="R1650">
        <v>21</v>
      </c>
      <c r="S1650" t="s">
        <v>83</v>
      </c>
      <c r="T1650">
        <f>IF(TRIM(Table1[[#This Row],[PitStopLaps]])="",0,
LEN(Table1[[#This Row],[PitStopLaps]])-LEN(SUBSTITUTE(Table1[[#This Row],[PitStopLaps]],",",""))+1)</f>
        <v>1</v>
      </c>
      <c r="U1650">
        <f>Table1[[#This Row],[StartPosition]]-Table1[[#This Row],[FinishPosition]]</f>
        <v>2</v>
      </c>
    </row>
    <row r="1651" spans="1:21" x14ac:dyDescent="0.3">
      <c r="A1651">
        <v>2022</v>
      </c>
      <c r="B1651">
        <v>3</v>
      </c>
      <c r="C1651" t="s">
        <v>19</v>
      </c>
      <c r="D1651" t="s">
        <v>248</v>
      </c>
      <c r="E1651" t="s">
        <v>249</v>
      </c>
      <c r="F1651" t="s">
        <v>60</v>
      </c>
      <c r="G1651">
        <v>20</v>
      </c>
      <c r="H1651">
        <v>10</v>
      </c>
      <c r="I1651">
        <v>1</v>
      </c>
      <c r="J1651" t="s">
        <v>34</v>
      </c>
      <c r="K1651" t="s">
        <v>24</v>
      </c>
      <c r="L1651">
        <v>58</v>
      </c>
      <c r="M1651">
        <v>82.588999999999999</v>
      </c>
      <c r="N1651">
        <v>84.873688000000001</v>
      </c>
      <c r="O1651">
        <v>28.523</v>
      </c>
      <c r="P1651">
        <v>18.187999999999999</v>
      </c>
      <c r="Q1651">
        <v>35.764000000000003</v>
      </c>
      <c r="R1651">
        <v>57</v>
      </c>
      <c r="S1651" t="s">
        <v>83</v>
      </c>
      <c r="T1651">
        <f>IF(TRIM(Table1[[#This Row],[PitStopLaps]])="",0,
LEN(Table1[[#This Row],[PitStopLaps]])-LEN(SUBSTITUTE(Table1[[#This Row],[PitStopLaps]],",",""))+1)</f>
        <v>1</v>
      </c>
      <c r="U1651">
        <f>Table1[[#This Row],[StartPosition]]-Table1[[#This Row],[FinishPosition]]</f>
        <v>10</v>
      </c>
    </row>
    <row r="1652" spans="1:21" x14ac:dyDescent="0.3">
      <c r="A1652">
        <v>2022</v>
      </c>
      <c r="B1652">
        <v>3</v>
      </c>
      <c r="C1652" t="s">
        <v>19</v>
      </c>
      <c r="D1652" t="s">
        <v>794</v>
      </c>
      <c r="E1652" t="s">
        <v>795</v>
      </c>
      <c r="F1652" t="s">
        <v>789</v>
      </c>
      <c r="G1652">
        <v>14</v>
      </c>
      <c r="H1652">
        <v>11</v>
      </c>
      <c r="I1652">
        <v>0</v>
      </c>
      <c r="J1652" t="s">
        <v>34</v>
      </c>
      <c r="K1652" t="s">
        <v>24</v>
      </c>
      <c r="L1652">
        <v>58</v>
      </c>
      <c r="M1652">
        <v>82.540999999999997</v>
      </c>
      <c r="N1652">
        <v>84.942910999999995</v>
      </c>
      <c r="O1652">
        <v>28.658999999999999</v>
      </c>
      <c r="P1652">
        <v>18.256</v>
      </c>
      <c r="Q1652">
        <v>35.316000000000003</v>
      </c>
      <c r="R1652">
        <v>21</v>
      </c>
      <c r="S1652" t="s">
        <v>83</v>
      </c>
      <c r="T1652">
        <f>IF(TRIM(Table1[[#This Row],[PitStopLaps]])="",0,
LEN(Table1[[#This Row],[PitStopLaps]])-LEN(SUBSTITUTE(Table1[[#This Row],[PitStopLaps]],",",""))+1)</f>
        <v>1</v>
      </c>
      <c r="U1652">
        <f>Table1[[#This Row],[StartPosition]]-Table1[[#This Row],[FinishPosition]]</f>
        <v>3</v>
      </c>
    </row>
    <row r="1653" spans="1:21" x14ac:dyDescent="0.3">
      <c r="A1653">
        <v>2022</v>
      </c>
      <c r="B1653">
        <v>3</v>
      </c>
      <c r="C1653" t="s">
        <v>19</v>
      </c>
      <c r="D1653" t="s">
        <v>58</v>
      </c>
      <c r="E1653" t="s">
        <v>59</v>
      </c>
      <c r="F1653" t="s">
        <v>603</v>
      </c>
      <c r="G1653">
        <v>19</v>
      </c>
      <c r="H1653">
        <v>12</v>
      </c>
      <c r="I1653">
        <v>0</v>
      </c>
      <c r="J1653" t="s">
        <v>34</v>
      </c>
      <c r="K1653" t="s">
        <v>24</v>
      </c>
      <c r="L1653">
        <v>58</v>
      </c>
      <c r="M1653">
        <v>83.591999999999999</v>
      </c>
      <c r="N1653">
        <v>85.199828999999994</v>
      </c>
      <c r="O1653">
        <v>28.829000000000001</v>
      </c>
      <c r="P1653">
        <v>18.344999999999999</v>
      </c>
      <c r="Q1653">
        <v>36.125</v>
      </c>
      <c r="R1653" t="s">
        <v>812</v>
      </c>
      <c r="S1653" t="s">
        <v>83</v>
      </c>
      <c r="T1653">
        <f>IF(TRIM(Table1[[#This Row],[PitStopLaps]])="",0,
LEN(Table1[[#This Row],[PitStopLaps]])-LEN(SUBSTITUTE(Table1[[#This Row],[PitStopLaps]],",",""))+1)</f>
        <v>3</v>
      </c>
      <c r="U1653">
        <f>Table1[[#This Row],[StartPosition]]-Table1[[#This Row],[FinishPosition]]</f>
        <v>7</v>
      </c>
    </row>
    <row r="1654" spans="1:21" x14ac:dyDescent="0.3">
      <c r="A1654">
        <v>2022</v>
      </c>
      <c r="B1654">
        <v>3</v>
      </c>
      <c r="C1654" t="s">
        <v>19</v>
      </c>
      <c r="D1654" t="s">
        <v>608</v>
      </c>
      <c r="E1654" t="s">
        <v>609</v>
      </c>
      <c r="F1654" t="s">
        <v>69</v>
      </c>
      <c r="G1654">
        <v>15</v>
      </c>
      <c r="H1654">
        <v>13</v>
      </c>
      <c r="I1654">
        <v>0</v>
      </c>
      <c r="J1654" t="s">
        <v>34</v>
      </c>
      <c r="K1654" t="s">
        <v>65</v>
      </c>
      <c r="L1654">
        <v>57</v>
      </c>
      <c r="M1654">
        <v>83.006</v>
      </c>
      <c r="N1654">
        <v>84.972250000000003</v>
      </c>
      <c r="O1654">
        <v>28.66</v>
      </c>
      <c r="P1654">
        <v>18.411000000000001</v>
      </c>
      <c r="Q1654">
        <v>35.744</v>
      </c>
      <c r="R1654">
        <v>14</v>
      </c>
      <c r="S1654" t="s">
        <v>83</v>
      </c>
      <c r="T1654">
        <f>IF(TRIM(Table1[[#This Row],[PitStopLaps]])="",0,
LEN(Table1[[#This Row],[PitStopLaps]])-LEN(SUBSTITUTE(Table1[[#This Row],[PitStopLaps]],",",""))+1)</f>
        <v>1</v>
      </c>
      <c r="U1654">
        <f>Table1[[#This Row],[StartPosition]]-Table1[[#This Row],[FinishPosition]]</f>
        <v>2</v>
      </c>
    </row>
    <row r="1655" spans="1:21" x14ac:dyDescent="0.3">
      <c r="A1655">
        <v>2022</v>
      </c>
      <c r="B1655">
        <v>3</v>
      </c>
      <c r="C1655" t="s">
        <v>19</v>
      </c>
      <c r="D1655" t="s">
        <v>71</v>
      </c>
      <c r="E1655" t="s">
        <v>72</v>
      </c>
      <c r="F1655" t="s">
        <v>69</v>
      </c>
      <c r="G1655">
        <v>16</v>
      </c>
      <c r="H1655">
        <v>14</v>
      </c>
      <c r="I1655">
        <v>0</v>
      </c>
      <c r="J1655" t="s">
        <v>34</v>
      </c>
      <c r="K1655" t="s">
        <v>65</v>
      </c>
      <c r="L1655">
        <v>57</v>
      </c>
      <c r="M1655">
        <v>83.070999999999998</v>
      </c>
      <c r="N1655">
        <v>84.966847000000001</v>
      </c>
      <c r="O1655">
        <v>28.896999999999998</v>
      </c>
      <c r="P1655">
        <v>18.407</v>
      </c>
      <c r="Q1655">
        <v>35.701999999999998</v>
      </c>
      <c r="R1655">
        <v>39</v>
      </c>
      <c r="S1655" t="s">
        <v>83</v>
      </c>
      <c r="T1655">
        <f>IF(TRIM(Table1[[#This Row],[PitStopLaps]])="",0,
LEN(Table1[[#This Row],[PitStopLaps]])-LEN(SUBSTITUTE(Table1[[#This Row],[PitStopLaps]],",",""))+1)</f>
        <v>1</v>
      </c>
      <c r="U1655">
        <f>Table1[[#This Row],[StartPosition]]-Table1[[#This Row],[FinishPosition]]</f>
        <v>2</v>
      </c>
    </row>
    <row r="1656" spans="1:21" x14ac:dyDescent="0.3">
      <c r="A1656">
        <v>2022</v>
      </c>
      <c r="B1656">
        <v>3</v>
      </c>
      <c r="C1656" t="s">
        <v>19</v>
      </c>
      <c r="D1656" t="s">
        <v>601</v>
      </c>
      <c r="E1656" t="s">
        <v>602</v>
      </c>
      <c r="F1656" t="s">
        <v>438</v>
      </c>
      <c r="G1656">
        <v>13</v>
      </c>
      <c r="H1656">
        <v>15</v>
      </c>
      <c r="I1656">
        <v>0</v>
      </c>
      <c r="J1656" t="s">
        <v>34</v>
      </c>
      <c r="K1656" t="s">
        <v>65</v>
      </c>
      <c r="L1656">
        <v>57</v>
      </c>
      <c r="M1656">
        <v>83.341999999999999</v>
      </c>
      <c r="N1656">
        <v>85.114249999999998</v>
      </c>
      <c r="O1656">
        <v>28.806999999999999</v>
      </c>
      <c r="P1656">
        <v>18.419</v>
      </c>
      <c r="Q1656">
        <v>35.976999999999997</v>
      </c>
      <c r="R1656">
        <v>18</v>
      </c>
      <c r="S1656" t="s">
        <v>83</v>
      </c>
      <c r="T1656">
        <f>IF(TRIM(Table1[[#This Row],[PitStopLaps]])="",0,
LEN(Table1[[#This Row],[PitStopLaps]])-LEN(SUBSTITUTE(Table1[[#This Row],[PitStopLaps]],",",""))+1)</f>
        <v>1</v>
      </c>
      <c r="U1656">
        <f>Table1[[#This Row],[StartPosition]]-Table1[[#This Row],[FinishPosition]]</f>
        <v>-2</v>
      </c>
    </row>
    <row r="1657" spans="1:21" x14ac:dyDescent="0.3">
      <c r="A1657">
        <v>2022</v>
      </c>
      <c r="B1657">
        <v>3</v>
      </c>
      <c r="C1657" t="s">
        <v>19</v>
      </c>
      <c r="D1657" t="s">
        <v>440</v>
      </c>
      <c r="E1657" t="s">
        <v>441</v>
      </c>
      <c r="F1657" t="s">
        <v>60</v>
      </c>
      <c r="G1657">
        <v>18</v>
      </c>
      <c r="H1657">
        <v>16</v>
      </c>
      <c r="I1657">
        <v>0</v>
      </c>
      <c r="J1657" t="s">
        <v>34</v>
      </c>
      <c r="K1657" t="s">
        <v>65</v>
      </c>
      <c r="L1657">
        <v>57</v>
      </c>
      <c r="M1657">
        <v>83.882000000000005</v>
      </c>
      <c r="N1657">
        <v>85.288658999999996</v>
      </c>
      <c r="O1657">
        <v>28.893000000000001</v>
      </c>
      <c r="P1657">
        <v>18.324999999999999</v>
      </c>
      <c r="Q1657">
        <v>36.415999999999997</v>
      </c>
      <c r="R1657" t="s">
        <v>813</v>
      </c>
      <c r="S1657" t="s">
        <v>83</v>
      </c>
      <c r="T1657">
        <f>IF(TRIM(Table1[[#This Row],[PitStopLaps]])="",0,
LEN(Table1[[#This Row],[PitStopLaps]])-LEN(SUBSTITUTE(Table1[[#This Row],[PitStopLaps]],",",""))+1)</f>
        <v>2</v>
      </c>
      <c r="U1657">
        <f>Table1[[#This Row],[StartPosition]]-Table1[[#This Row],[FinishPosition]]</f>
        <v>2</v>
      </c>
    </row>
    <row r="1658" spans="1:21" x14ac:dyDescent="0.3">
      <c r="A1658">
        <v>2022</v>
      </c>
      <c r="B1658">
        <v>3</v>
      </c>
      <c r="C1658" t="s">
        <v>19</v>
      </c>
      <c r="D1658" t="s">
        <v>35</v>
      </c>
      <c r="E1658" t="s">
        <v>36</v>
      </c>
      <c r="F1658" t="s">
        <v>607</v>
      </c>
      <c r="G1658">
        <v>10</v>
      </c>
      <c r="H1658">
        <v>17</v>
      </c>
      <c r="I1658">
        <v>0</v>
      </c>
      <c r="J1658" t="s">
        <v>34</v>
      </c>
      <c r="K1658" t="s">
        <v>65</v>
      </c>
      <c r="L1658">
        <v>57</v>
      </c>
      <c r="M1658">
        <v>80.846000000000004</v>
      </c>
      <c r="N1658">
        <v>84.920113000000001</v>
      </c>
      <c r="O1658">
        <v>28.013999999999999</v>
      </c>
      <c r="P1658">
        <v>18.047000000000001</v>
      </c>
      <c r="Q1658">
        <v>34.784999999999997</v>
      </c>
      <c r="R1658" t="s">
        <v>814</v>
      </c>
      <c r="S1658" t="s">
        <v>83</v>
      </c>
      <c r="T1658">
        <f>IF(TRIM(Table1[[#This Row],[PitStopLaps]])="",0,
LEN(Table1[[#This Row],[PitStopLaps]])-LEN(SUBSTITUTE(Table1[[#This Row],[PitStopLaps]],",",""))+1)</f>
        <v>2</v>
      </c>
      <c r="U1658">
        <f>Table1[[#This Row],[StartPosition]]-Table1[[#This Row],[FinishPosition]]</f>
        <v>-7</v>
      </c>
    </row>
    <row r="1659" spans="1:21" x14ac:dyDescent="0.3">
      <c r="A1659">
        <v>2022</v>
      </c>
      <c r="B1659">
        <v>3</v>
      </c>
      <c r="C1659" t="s">
        <v>19</v>
      </c>
      <c r="D1659" t="s">
        <v>38</v>
      </c>
      <c r="E1659" t="s">
        <v>39</v>
      </c>
      <c r="F1659" t="s">
        <v>33</v>
      </c>
      <c r="G1659">
        <v>2</v>
      </c>
      <c r="H1659">
        <v>18</v>
      </c>
      <c r="I1659">
        <v>0</v>
      </c>
      <c r="J1659" t="s">
        <v>34</v>
      </c>
      <c r="K1659" t="s">
        <v>815</v>
      </c>
      <c r="L1659">
        <v>39</v>
      </c>
      <c r="M1659">
        <v>81.677000000000007</v>
      </c>
      <c r="N1659">
        <v>83.684776999999997</v>
      </c>
      <c r="O1659">
        <v>28.416</v>
      </c>
      <c r="P1659">
        <v>18.141999999999999</v>
      </c>
      <c r="Q1659">
        <v>35.119</v>
      </c>
      <c r="R1659">
        <v>18</v>
      </c>
      <c r="S1659" t="s">
        <v>83</v>
      </c>
      <c r="T1659">
        <f>IF(TRIM(Table1[[#This Row],[PitStopLaps]])="",0,
LEN(Table1[[#This Row],[PitStopLaps]])-LEN(SUBSTITUTE(Table1[[#This Row],[PitStopLaps]],",",""))+1)</f>
        <v>1</v>
      </c>
      <c r="U1659">
        <f>Table1[[#This Row],[StartPosition]]-Table1[[#This Row],[FinishPosition]]</f>
        <v>-16</v>
      </c>
    </row>
    <row r="1660" spans="1:21" x14ac:dyDescent="0.3">
      <c r="A1660">
        <v>2022</v>
      </c>
      <c r="B1660">
        <v>3</v>
      </c>
      <c r="C1660" t="s">
        <v>19</v>
      </c>
      <c r="D1660" t="s">
        <v>20</v>
      </c>
      <c r="E1660" t="s">
        <v>21</v>
      </c>
      <c r="F1660" t="s">
        <v>603</v>
      </c>
      <c r="G1660">
        <v>17</v>
      </c>
      <c r="H1660">
        <v>19</v>
      </c>
      <c r="I1660">
        <v>0</v>
      </c>
      <c r="J1660" t="s">
        <v>34</v>
      </c>
      <c r="K1660" t="s">
        <v>123</v>
      </c>
      <c r="L1660">
        <v>23</v>
      </c>
      <c r="M1660">
        <v>85.188999999999993</v>
      </c>
      <c r="N1660">
        <v>86.562175999999994</v>
      </c>
      <c r="O1660">
        <v>29.359000000000002</v>
      </c>
      <c r="P1660">
        <v>18.562000000000001</v>
      </c>
      <c r="Q1660">
        <v>36.968000000000004</v>
      </c>
      <c r="S1660" t="s">
        <v>83</v>
      </c>
      <c r="T1660">
        <f>IF(TRIM(Table1[[#This Row],[PitStopLaps]])="",0,
LEN(Table1[[#This Row],[PitStopLaps]])-LEN(SUBSTITUTE(Table1[[#This Row],[PitStopLaps]],",",""))+1)</f>
        <v>0</v>
      </c>
      <c r="U1660">
        <f>Table1[[#This Row],[StartPosition]]-Table1[[#This Row],[FinishPosition]]</f>
        <v>-2</v>
      </c>
    </row>
    <row r="1661" spans="1:21" x14ac:dyDescent="0.3">
      <c r="A1661">
        <v>2022</v>
      </c>
      <c r="B1661">
        <v>3</v>
      </c>
      <c r="C1661" t="s">
        <v>19</v>
      </c>
      <c r="D1661" t="s">
        <v>47</v>
      </c>
      <c r="E1661" t="s">
        <v>48</v>
      </c>
      <c r="F1661" t="s">
        <v>22</v>
      </c>
      <c r="G1661">
        <v>9</v>
      </c>
      <c r="H1661">
        <v>20</v>
      </c>
      <c r="I1661">
        <v>0</v>
      </c>
      <c r="J1661" t="s">
        <v>34</v>
      </c>
      <c r="K1661" t="s">
        <v>338</v>
      </c>
      <c r="L1661">
        <v>2</v>
      </c>
      <c r="S1661" t="s">
        <v>83</v>
      </c>
      <c r="T1661">
        <f>IF(TRIM(Table1[[#This Row],[PitStopLaps]])="",0,
LEN(Table1[[#This Row],[PitStopLaps]])-LEN(SUBSTITUTE(Table1[[#This Row],[PitStopLaps]],",",""))+1)</f>
        <v>0</v>
      </c>
      <c r="U1661">
        <f>Table1[[#This Row],[StartPosition]]-Table1[[#This Row],[FinishPosition]]</f>
        <v>-11</v>
      </c>
    </row>
    <row r="1662" spans="1:21" x14ac:dyDescent="0.3">
      <c r="A1662">
        <v>2022</v>
      </c>
      <c r="B1662">
        <v>4</v>
      </c>
      <c r="C1662" t="s">
        <v>535</v>
      </c>
      <c r="D1662" t="s">
        <v>38</v>
      </c>
      <c r="E1662" t="s">
        <v>39</v>
      </c>
      <c r="F1662" t="s">
        <v>33</v>
      </c>
      <c r="G1662">
        <v>1</v>
      </c>
      <c r="H1662">
        <v>1</v>
      </c>
      <c r="I1662">
        <v>26</v>
      </c>
      <c r="J1662" t="s">
        <v>23</v>
      </c>
      <c r="K1662" t="s">
        <v>24</v>
      </c>
      <c r="L1662">
        <v>63</v>
      </c>
      <c r="M1662">
        <v>78.445999999999998</v>
      </c>
      <c r="N1662">
        <v>83.397000000000006</v>
      </c>
      <c r="O1662">
        <v>25.088000000000001</v>
      </c>
      <c r="P1662">
        <v>27.016999999999999</v>
      </c>
      <c r="Q1662">
        <v>26.341000000000001</v>
      </c>
      <c r="R1662" t="s">
        <v>537</v>
      </c>
      <c r="S1662" t="s">
        <v>83</v>
      </c>
      <c r="T1662">
        <f>IF(TRIM(Table1[[#This Row],[PitStopLaps]])="",0,
LEN(Table1[[#This Row],[PitStopLaps]])-LEN(SUBSTITUTE(Table1[[#This Row],[PitStopLaps]],",",""))+1)</f>
        <v>2</v>
      </c>
      <c r="U1662">
        <f>Table1[[#This Row],[StartPosition]]-Table1[[#This Row],[FinishPosition]]</f>
        <v>0</v>
      </c>
    </row>
    <row r="1663" spans="1:21" x14ac:dyDescent="0.3">
      <c r="A1663">
        <v>2022</v>
      </c>
      <c r="B1663">
        <v>4</v>
      </c>
      <c r="C1663" t="s">
        <v>535</v>
      </c>
      <c r="D1663" t="s">
        <v>49</v>
      </c>
      <c r="E1663" t="s">
        <v>50</v>
      </c>
      <c r="F1663" t="s">
        <v>33</v>
      </c>
      <c r="G1663">
        <v>3</v>
      </c>
      <c r="H1663">
        <v>2</v>
      </c>
      <c r="I1663">
        <v>18</v>
      </c>
      <c r="J1663" t="s">
        <v>23</v>
      </c>
      <c r="K1663" t="s">
        <v>24</v>
      </c>
      <c r="L1663">
        <v>63</v>
      </c>
      <c r="M1663">
        <v>78.948999999999998</v>
      </c>
      <c r="N1663">
        <v>83.597981000000004</v>
      </c>
      <c r="O1663">
        <v>25.222999999999999</v>
      </c>
      <c r="P1663">
        <v>27.082999999999998</v>
      </c>
      <c r="Q1663">
        <v>26.545999999999999</v>
      </c>
      <c r="R1663" t="s">
        <v>816</v>
      </c>
      <c r="S1663" t="s">
        <v>83</v>
      </c>
      <c r="T1663">
        <f>IF(TRIM(Table1[[#This Row],[PitStopLaps]])="",0,
LEN(Table1[[#This Row],[PitStopLaps]])-LEN(SUBSTITUTE(Table1[[#This Row],[PitStopLaps]],",",""))+1)</f>
        <v>2</v>
      </c>
      <c r="U1663">
        <f>Table1[[#This Row],[StartPosition]]-Table1[[#This Row],[FinishPosition]]</f>
        <v>1</v>
      </c>
    </row>
    <row r="1664" spans="1:21" x14ac:dyDescent="0.3">
      <c r="A1664">
        <v>2022</v>
      </c>
      <c r="B1664">
        <v>4</v>
      </c>
      <c r="C1664" t="s">
        <v>535</v>
      </c>
      <c r="D1664" t="s">
        <v>246</v>
      </c>
      <c r="E1664" t="s">
        <v>247</v>
      </c>
      <c r="F1664" t="s">
        <v>37</v>
      </c>
      <c r="G1664">
        <v>5</v>
      </c>
      <c r="H1664">
        <v>3</v>
      </c>
      <c r="I1664">
        <v>15</v>
      </c>
      <c r="J1664" t="s">
        <v>23</v>
      </c>
      <c r="K1664" t="s">
        <v>24</v>
      </c>
      <c r="L1664">
        <v>63</v>
      </c>
      <c r="M1664">
        <v>80.903000000000006</v>
      </c>
      <c r="N1664">
        <v>84.379614000000004</v>
      </c>
      <c r="O1664">
        <v>25.690999999999999</v>
      </c>
      <c r="P1664">
        <v>27.826000000000001</v>
      </c>
      <c r="Q1664">
        <v>27.216000000000001</v>
      </c>
      <c r="R1664">
        <v>19</v>
      </c>
      <c r="S1664" t="s">
        <v>83</v>
      </c>
      <c r="T1664">
        <f>IF(TRIM(Table1[[#This Row],[PitStopLaps]])="",0,
LEN(Table1[[#This Row],[PitStopLaps]])-LEN(SUBSTITUTE(Table1[[#This Row],[PitStopLaps]],",",""))+1)</f>
        <v>1</v>
      </c>
      <c r="U1664">
        <f>Table1[[#This Row],[StartPosition]]-Table1[[#This Row],[FinishPosition]]</f>
        <v>2</v>
      </c>
    </row>
    <row r="1665" spans="1:21" x14ac:dyDescent="0.3">
      <c r="A1665">
        <v>2022</v>
      </c>
      <c r="B1665">
        <v>4</v>
      </c>
      <c r="C1665" t="s">
        <v>535</v>
      </c>
      <c r="D1665" t="s">
        <v>252</v>
      </c>
      <c r="E1665" t="s">
        <v>253</v>
      </c>
      <c r="F1665" t="s">
        <v>28</v>
      </c>
      <c r="G1665">
        <v>11</v>
      </c>
      <c r="H1665">
        <v>4</v>
      </c>
      <c r="I1665">
        <v>12</v>
      </c>
      <c r="J1665" t="s">
        <v>34</v>
      </c>
      <c r="K1665" t="s">
        <v>24</v>
      </c>
      <c r="L1665">
        <v>63</v>
      </c>
      <c r="M1665">
        <v>80.962000000000003</v>
      </c>
      <c r="N1665">
        <v>84.441104999999993</v>
      </c>
      <c r="O1665">
        <v>25.795000000000002</v>
      </c>
      <c r="P1665">
        <v>27.875</v>
      </c>
      <c r="Q1665">
        <v>26.96</v>
      </c>
      <c r="R1665">
        <v>18</v>
      </c>
      <c r="S1665" t="s">
        <v>83</v>
      </c>
      <c r="T1665">
        <f>IF(TRIM(Table1[[#This Row],[PitStopLaps]])="",0,
LEN(Table1[[#This Row],[PitStopLaps]])-LEN(SUBSTITUTE(Table1[[#This Row],[PitStopLaps]],",",""))+1)</f>
        <v>1</v>
      </c>
      <c r="U1665">
        <f>Table1[[#This Row],[StartPosition]]-Table1[[#This Row],[FinishPosition]]</f>
        <v>7</v>
      </c>
    </row>
    <row r="1666" spans="1:21" x14ac:dyDescent="0.3">
      <c r="A1666">
        <v>2022</v>
      </c>
      <c r="B1666">
        <v>4</v>
      </c>
      <c r="C1666" t="s">
        <v>535</v>
      </c>
      <c r="D1666" t="s">
        <v>43</v>
      </c>
      <c r="E1666" t="s">
        <v>44</v>
      </c>
      <c r="F1666" t="s">
        <v>789</v>
      </c>
      <c r="G1666">
        <v>7</v>
      </c>
      <c r="H1666">
        <v>5</v>
      </c>
      <c r="I1666">
        <v>10</v>
      </c>
      <c r="J1666" t="s">
        <v>34</v>
      </c>
      <c r="K1666" t="s">
        <v>24</v>
      </c>
      <c r="L1666">
        <v>63</v>
      </c>
      <c r="M1666">
        <v>80.757999999999996</v>
      </c>
      <c r="N1666">
        <v>84.278298000000007</v>
      </c>
      <c r="O1666">
        <v>25.704999999999998</v>
      </c>
      <c r="P1666">
        <v>27.757000000000001</v>
      </c>
      <c r="Q1666">
        <v>26.937000000000001</v>
      </c>
      <c r="R1666">
        <v>18</v>
      </c>
      <c r="S1666" t="s">
        <v>83</v>
      </c>
      <c r="T1666">
        <f>IF(TRIM(Table1[[#This Row],[PitStopLaps]])="",0,
LEN(Table1[[#This Row],[PitStopLaps]])-LEN(SUBSTITUTE(Table1[[#This Row],[PitStopLaps]],",",""))+1)</f>
        <v>1</v>
      </c>
      <c r="U1666">
        <f>Table1[[#This Row],[StartPosition]]-Table1[[#This Row],[FinishPosition]]</f>
        <v>2</v>
      </c>
    </row>
    <row r="1667" spans="1:21" x14ac:dyDescent="0.3">
      <c r="A1667">
        <v>2022</v>
      </c>
      <c r="B1667">
        <v>4</v>
      </c>
      <c r="C1667" t="s">
        <v>535</v>
      </c>
      <c r="D1667" t="s">
        <v>54</v>
      </c>
      <c r="E1667" t="s">
        <v>55</v>
      </c>
      <c r="F1667" t="s">
        <v>22</v>
      </c>
      <c r="G1667">
        <v>2</v>
      </c>
      <c r="H1667">
        <v>6</v>
      </c>
      <c r="I1667">
        <v>8</v>
      </c>
      <c r="J1667" t="s">
        <v>34</v>
      </c>
      <c r="K1667" t="s">
        <v>24</v>
      </c>
      <c r="L1667">
        <v>63</v>
      </c>
      <c r="M1667">
        <v>78.573999999999998</v>
      </c>
      <c r="N1667">
        <v>83.627225999999993</v>
      </c>
      <c r="O1667">
        <v>24.853000000000002</v>
      </c>
      <c r="P1667">
        <v>27.084</v>
      </c>
      <c r="Q1667">
        <v>26.251999999999999</v>
      </c>
      <c r="R1667" t="s">
        <v>817</v>
      </c>
      <c r="S1667" t="s">
        <v>83</v>
      </c>
      <c r="T1667">
        <f>IF(TRIM(Table1[[#This Row],[PitStopLaps]])="",0,
LEN(Table1[[#This Row],[PitStopLaps]])-LEN(SUBSTITUTE(Table1[[#This Row],[PitStopLaps]],",",""))+1)</f>
        <v>3</v>
      </c>
      <c r="U1667">
        <f>Table1[[#This Row],[StartPosition]]-Table1[[#This Row],[FinishPosition]]</f>
        <v>-4</v>
      </c>
    </row>
    <row r="1668" spans="1:21" x14ac:dyDescent="0.3">
      <c r="A1668">
        <v>2022</v>
      </c>
      <c r="B1668">
        <v>4</v>
      </c>
      <c r="C1668" t="s">
        <v>535</v>
      </c>
      <c r="D1668" t="s">
        <v>601</v>
      </c>
      <c r="E1668" t="s">
        <v>602</v>
      </c>
      <c r="F1668" t="s">
        <v>438</v>
      </c>
      <c r="G1668">
        <v>12</v>
      </c>
      <c r="H1668">
        <v>7</v>
      </c>
      <c r="I1668">
        <v>6</v>
      </c>
      <c r="J1668" t="s">
        <v>34</v>
      </c>
      <c r="K1668" t="s">
        <v>24</v>
      </c>
      <c r="L1668">
        <v>63</v>
      </c>
      <c r="M1668">
        <v>80.543999999999997</v>
      </c>
      <c r="N1668">
        <v>84.666421</v>
      </c>
      <c r="O1668">
        <v>25.477</v>
      </c>
      <c r="P1668">
        <v>27.742000000000001</v>
      </c>
      <c r="Q1668">
        <v>26.940999999999999</v>
      </c>
      <c r="R1668">
        <v>18</v>
      </c>
      <c r="S1668" t="s">
        <v>83</v>
      </c>
      <c r="T1668">
        <f>IF(TRIM(Table1[[#This Row],[PitStopLaps]])="",0,
LEN(Table1[[#This Row],[PitStopLaps]])-LEN(SUBSTITUTE(Table1[[#This Row],[PitStopLaps]],",",""))+1)</f>
        <v>1</v>
      </c>
      <c r="U1668">
        <f>Table1[[#This Row],[StartPosition]]-Table1[[#This Row],[FinishPosition]]</f>
        <v>5</v>
      </c>
    </row>
    <row r="1669" spans="1:21" x14ac:dyDescent="0.3">
      <c r="A1669">
        <v>2022</v>
      </c>
      <c r="B1669">
        <v>4</v>
      </c>
      <c r="C1669" t="s">
        <v>535</v>
      </c>
      <c r="D1669" t="s">
        <v>20</v>
      </c>
      <c r="E1669" t="s">
        <v>21</v>
      </c>
      <c r="F1669" t="s">
        <v>603</v>
      </c>
      <c r="G1669">
        <v>13</v>
      </c>
      <c r="H1669">
        <v>8</v>
      </c>
      <c r="I1669">
        <v>4</v>
      </c>
      <c r="J1669" t="s">
        <v>34</v>
      </c>
      <c r="K1669" t="s">
        <v>24</v>
      </c>
      <c r="L1669">
        <v>63</v>
      </c>
      <c r="M1669">
        <v>81.210999999999999</v>
      </c>
      <c r="N1669">
        <v>84.861718999999994</v>
      </c>
      <c r="O1669">
        <v>25.893000000000001</v>
      </c>
      <c r="P1669">
        <v>27.956</v>
      </c>
      <c r="Q1669">
        <v>27.236000000000001</v>
      </c>
      <c r="R1669">
        <v>17</v>
      </c>
      <c r="S1669" t="s">
        <v>83</v>
      </c>
      <c r="T1669">
        <f>IF(TRIM(Table1[[#This Row],[PitStopLaps]])="",0,
LEN(Table1[[#This Row],[PitStopLaps]])-LEN(SUBSTITUTE(Table1[[#This Row],[PitStopLaps]],",",""))+1)</f>
        <v>1</v>
      </c>
      <c r="U1669">
        <f>Table1[[#This Row],[StartPosition]]-Table1[[#This Row],[FinishPosition]]</f>
        <v>5</v>
      </c>
    </row>
    <row r="1670" spans="1:21" x14ac:dyDescent="0.3">
      <c r="A1670">
        <v>2022</v>
      </c>
      <c r="B1670">
        <v>4</v>
      </c>
      <c r="C1670" t="s">
        <v>535</v>
      </c>
      <c r="D1670" t="s">
        <v>71</v>
      </c>
      <c r="E1670" t="s">
        <v>72</v>
      </c>
      <c r="F1670" t="s">
        <v>69</v>
      </c>
      <c r="G1670">
        <v>8</v>
      </c>
      <c r="H1670">
        <v>9</v>
      </c>
      <c r="I1670">
        <v>2</v>
      </c>
      <c r="J1670" t="s">
        <v>34</v>
      </c>
      <c r="K1670" t="s">
        <v>24</v>
      </c>
      <c r="L1670">
        <v>63</v>
      </c>
      <c r="M1670">
        <v>81.238</v>
      </c>
      <c r="N1670">
        <v>84.887227999999993</v>
      </c>
      <c r="O1670">
        <v>25.879000000000001</v>
      </c>
      <c r="P1670">
        <v>27.981999999999999</v>
      </c>
      <c r="Q1670">
        <v>27.148</v>
      </c>
      <c r="R1670">
        <v>18</v>
      </c>
      <c r="S1670" t="s">
        <v>83</v>
      </c>
      <c r="T1670">
        <f>IF(TRIM(Table1[[#This Row],[PitStopLaps]])="",0,
LEN(Table1[[#This Row],[PitStopLaps]])-LEN(SUBSTITUTE(Table1[[#This Row],[PitStopLaps]],",",""))+1)</f>
        <v>1</v>
      </c>
      <c r="U1670">
        <f>Table1[[#This Row],[StartPosition]]-Table1[[#This Row],[FinishPosition]]</f>
        <v>-1</v>
      </c>
    </row>
    <row r="1671" spans="1:21" x14ac:dyDescent="0.3">
      <c r="A1671">
        <v>2022</v>
      </c>
      <c r="B1671">
        <v>4</v>
      </c>
      <c r="C1671" t="s">
        <v>535</v>
      </c>
      <c r="D1671" t="s">
        <v>58</v>
      </c>
      <c r="E1671" t="s">
        <v>59</v>
      </c>
      <c r="F1671" t="s">
        <v>603</v>
      </c>
      <c r="G1671">
        <v>15</v>
      </c>
      <c r="H1671">
        <v>10</v>
      </c>
      <c r="I1671">
        <v>1</v>
      </c>
      <c r="J1671" t="s">
        <v>34</v>
      </c>
      <c r="K1671" t="s">
        <v>65</v>
      </c>
      <c r="L1671">
        <v>62</v>
      </c>
      <c r="M1671">
        <v>81.75</v>
      </c>
      <c r="N1671">
        <v>85.238124999999997</v>
      </c>
      <c r="O1671">
        <v>26.073</v>
      </c>
      <c r="P1671">
        <v>28.14</v>
      </c>
      <c r="Q1671">
        <v>27.379000000000001</v>
      </c>
      <c r="R1671">
        <v>18</v>
      </c>
      <c r="S1671" t="s">
        <v>83</v>
      </c>
      <c r="T1671">
        <f>IF(TRIM(Table1[[#This Row],[PitStopLaps]])="",0,
LEN(Table1[[#This Row],[PitStopLaps]])-LEN(SUBSTITUTE(Table1[[#This Row],[PitStopLaps]],",",""))+1)</f>
        <v>1</v>
      </c>
      <c r="U1671">
        <f>Table1[[#This Row],[StartPosition]]-Table1[[#This Row],[FinishPosition]]</f>
        <v>5</v>
      </c>
    </row>
    <row r="1672" spans="1:21" x14ac:dyDescent="0.3">
      <c r="A1672">
        <v>2022</v>
      </c>
      <c r="B1672">
        <v>4</v>
      </c>
      <c r="C1672" t="s">
        <v>535</v>
      </c>
      <c r="D1672" t="s">
        <v>248</v>
      </c>
      <c r="E1672" t="s">
        <v>249</v>
      </c>
      <c r="F1672" t="s">
        <v>60</v>
      </c>
      <c r="G1672">
        <v>18</v>
      </c>
      <c r="H1672">
        <v>11</v>
      </c>
      <c r="I1672">
        <v>0</v>
      </c>
      <c r="J1672" t="s">
        <v>34</v>
      </c>
      <c r="K1672" t="s">
        <v>65</v>
      </c>
      <c r="L1672">
        <v>62</v>
      </c>
      <c r="M1672">
        <v>81.757000000000005</v>
      </c>
      <c r="N1672">
        <v>85.334446</v>
      </c>
      <c r="O1672">
        <v>25.827999999999999</v>
      </c>
      <c r="P1672">
        <v>28.408000000000001</v>
      </c>
      <c r="Q1672">
        <v>27.393999999999998</v>
      </c>
      <c r="R1672">
        <v>17</v>
      </c>
      <c r="S1672" t="s">
        <v>83</v>
      </c>
      <c r="T1672">
        <f>IF(TRIM(Table1[[#This Row],[PitStopLaps]])="",0,
LEN(Table1[[#This Row],[PitStopLaps]])-LEN(SUBSTITUTE(Table1[[#This Row],[PitStopLaps]],",",""))+1)</f>
        <v>1</v>
      </c>
      <c r="U1672">
        <f>Table1[[#This Row],[StartPosition]]-Table1[[#This Row],[FinishPosition]]</f>
        <v>7</v>
      </c>
    </row>
    <row r="1673" spans="1:21" x14ac:dyDescent="0.3">
      <c r="A1673">
        <v>2022</v>
      </c>
      <c r="B1673">
        <v>4</v>
      </c>
      <c r="C1673" t="s">
        <v>535</v>
      </c>
      <c r="D1673" t="s">
        <v>73</v>
      </c>
      <c r="E1673" t="s">
        <v>74</v>
      </c>
      <c r="F1673" t="s">
        <v>438</v>
      </c>
      <c r="G1673">
        <v>17</v>
      </c>
      <c r="H1673">
        <v>12</v>
      </c>
      <c r="I1673">
        <v>0</v>
      </c>
      <c r="J1673" t="s">
        <v>34</v>
      </c>
      <c r="K1673" t="s">
        <v>65</v>
      </c>
      <c r="L1673">
        <v>62</v>
      </c>
      <c r="M1673">
        <v>81.712999999999994</v>
      </c>
      <c r="N1673">
        <v>85.355339000000001</v>
      </c>
      <c r="O1673">
        <v>25.626999999999999</v>
      </c>
      <c r="P1673">
        <v>28.216999999999999</v>
      </c>
      <c r="Q1673">
        <v>27.257000000000001</v>
      </c>
      <c r="R1673">
        <v>17</v>
      </c>
      <c r="S1673" t="s">
        <v>83</v>
      </c>
      <c r="T1673">
        <f>IF(TRIM(Table1[[#This Row],[PitStopLaps]])="",0,
LEN(Table1[[#This Row],[PitStopLaps]])-LEN(SUBSTITUTE(Table1[[#This Row],[PitStopLaps]],",",""))+1)</f>
        <v>1</v>
      </c>
      <c r="U1673">
        <f>Table1[[#This Row],[StartPosition]]-Table1[[#This Row],[FinishPosition]]</f>
        <v>5</v>
      </c>
    </row>
    <row r="1674" spans="1:21" x14ac:dyDescent="0.3">
      <c r="A1674">
        <v>2022</v>
      </c>
      <c r="B1674">
        <v>4</v>
      </c>
      <c r="C1674" t="s">
        <v>535</v>
      </c>
      <c r="D1674" t="s">
        <v>26</v>
      </c>
      <c r="E1674" t="s">
        <v>27</v>
      </c>
      <c r="F1674" t="s">
        <v>28</v>
      </c>
      <c r="G1674">
        <v>14</v>
      </c>
      <c r="H1674">
        <v>13</v>
      </c>
      <c r="I1674">
        <v>0</v>
      </c>
      <c r="J1674" t="s">
        <v>34</v>
      </c>
      <c r="K1674" t="s">
        <v>65</v>
      </c>
      <c r="L1674">
        <v>62</v>
      </c>
      <c r="M1674">
        <v>81.418999999999997</v>
      </c>
      <c r="N1674">
        <v>85.280445999999998</v>
      </c>
      <c r="O1674">
        <v>25.605</v>
      </c>
      <c r="P1674">
        <v>28.187000000000001</v>
      </c>
      <c r="Q1674">
        <v>27.373000000000001</v>
      </c>
      <c r="R1674">
        <v>18</v>
      </c>
      <c r="S1674" t="s">
        <v>83</v>
      </c>
      <c r="T1674">
        <f>IF(TRIM(Table1[[#This Row],[PitStopLaps]])="",0,
LEN(Table1[[#This Row],[PitStopLaps]])-LEN(SUBSTITUTE(Table1[[#This Row],[PitStopLaps]],",",""))+1)</f>
        <v>1</v>
      </c>
      <c r="U1674">
        <f>Table1[[#This Row],[StartPosition]]-Table1[[#This Row],[FinishPosition]]</f>
        <v>1</v>
      </c>
    </row>
    <row r="1675" spans="1:21" x14ac:dyDescent="0.3">
      <c r="A1675">
        <v>2022</v>
      </c>
      <c r="B1675">
        <v>4</v>
      </c>
      <c r="C1675" t="s">
        <v>535</v>
      </c>
      <c r="D1675" t="s">
        <v>52</v>
      </c>
      <c r="E1675" t="s">
        <v>53</v>
      </c>
      <c r="F1675" t="s">
        <v>607</v>
      </c>
      <c r="G1675">
        <v>16</v>
      </c>
      <c r="H1675">
        <v>14</v>
      </c>
      <c r="I1675">
        <v>0</v>
      </c>
      <c r="J1675" t="s">
        <v>34</v>
      </c>
      <c r="K1675" t="s">
        <v>65</v>
      </c>
      <c r="L1675">
        <v>62</v>
      </c>
      <c r="M1675">
        <v>81.887</v>
      </c>
      <c r="N1675">
        <v>85.287321000000006</v>
      </c>
      <c r="O1675">
        <v>26.113</v>
      </c>
      <c r="P1675">
        <v>28.21</v>
      </c>
      <c r="Q1675">
        <v>27.349</v>
      </c>
      <c r="R1675">
        <v>18</v>
      </c>
      <c r="S1675" t="s">
        <v>83</v>
      </c>
      <c r="T1675">
        <f>IF(TRIM(Table1[[#This Row],[PitStopLaps]])="",0,
LEN(Table1[[#This Row],[PitStopLaps]])-LEN(SUBSTITUTE(Table1[[#This Row],[PitStopLaps]],",",""))+1)</f>
        <v>1</v>
      </c>
      <c r="U1675">
        <f>Table1[[#This Row],[StartPosition]]-Table1[[#This Row],[FinishPosition]]</f>
        <v>2</v>
      </c>
    </row>
    <row r="1676" spans="1:21" x14ac:dyDescent="0.3">
      <c r="A1676">
        <v>2022</v>
      </c>
      <c r="B1676">
        <v>4</v>
      </c>
      <c r="C1676" t="s">
        <v>535</v>
      </c>
      <c r="D1676" t="s">
        <v>794</v>
      </c>
      <c r="E1676" t="s">
        <v>795</v>
      </c>
      <c r="F1676" t="s">
        <v>789</v>
      </c>
      <c r="G1676">
        <v>0</v>
      </c>
      <c r="H1676">
        <v>15</v>
      </c>
      <c r="I1676">
        <v>0</v>
      </c>
      <c r="J1676" t="s">
        <v>34</v>
      </c>
      <c r="K1676" t="s">
        <v>65</v>
      </c>
      <c r="L1676">
        <v>62</v>
      </c>
      <c r="M1676">
        <v>81.286000000000001</v>
      </c>
      <c r="N1676">
        <v>85.364695999999995</v>
      </c>
      <c r="O1676">
        <v>25.7</v>
      </c>
      <c r="P1676">
        <v>28.064</v>
      </c>
      <c r="Q1676">
        <v>27.236999999999998</v>
      </c>
      <c r="R1676">
        <v>18</v>
      </c>
      <c r="S1676" t="s">
        <v>83</v>
      </c>
      <c r="T1676">
        <f>IF(TRIM(Table1[[#This Row],[PitStopLaps]])="",0,
LEN(Table1[[#This Row],[PitStopLaps]])-LEN(SUBSTITUTE(Table1[[#This Row],[PitStopLaps]],",",""))+1)</f>
        <v>1</v>
      </c>
      <c r="U1676">
        <f>Table1[[#This Row],[StartPosition]]-Table1[[#This Row],[FinishPosition]]</f>
        <v>-15</v>
      </c>
    </row>
    <row r="1677" spans="1:21" x14ac:dyDescent="0.3">
      <c r="A1677">
        <v>2022</v>
      </c>
      <c r="B1677">
        <v>4</v>
      </c>
      <c r="C1677" t="s">
        <v>535</v>
      </c>
      <c r="D1677" t="s">
        <v>440</v>
      </c>
      <c r="E1677" t="s">
        <v>441</v>
      </c>
      <c r="F1677" t="s">
        <v>60</v>
      </c>
      <c r="G1677">
        <v>19</v>
      </c>
      <c r="H1677">
        <v>16</v>
      </c>
      <c r="I1677">
        <v>0</v>
      </c>
      <c r="J1677" t="s">
        <v>34</v>
      </c>
      <c r="K1677" t="s">
        <v>65</v>
      </c>
      <c r="L1677">
        <v>62</v>
      </c>
      <c r="M1677">
        <v>81.337999999999994</v>
      </c>
      <c r="N1677">
        <v>85.456142</v>
      </c>
      <c r="O1677">
        <v>25.837</v>
      </c>
      <c r="P1677">
        <v>28.085999999999999</v>
      </c>
      <c r="Q1677">
        <v>27.082999999999998</v>
      </c>
      <c r="R1677">
        <v>18</v>
      </c>
      <c r="S1677" t="s">
        <v>83</v>
      </c>
      <c r="T1677">
        <f>IF(TRIM(Table1[[#This Row],[PitStopLaps]])="",0,
LEN(Table1[[#This Row],[PitStopLaps]])-LEN(SUBSTITUTE(Table1[[#This Row],[PitStopLaps]],",",""))+1)</f>
        <v>1</v>
      </c>
      <c r="U1677">
        <f>Table1[[#This Row],[StartPosition]]-Table1[[#This Row],[FinishPosition]]</f>
        <v>3</v>
      </c>
    </row>
    <row r="1678" spans="1:21" x14ac:dyDescent="0.3">
      <c r="A1678">
        <v>2022</v>
      </c>
      <c r="B1678">
        <v>4</v>
      </c>
      <c r="C1678" t="s">
        <v>535</v>
      </c>
      <c r="D1678" t="s">
        <v>608</v>
      </c>
      <c r="E1678" t="s">
        <v>609</v>
      </c>
      <c r="F1678" t="s">
        <v>69</v>
      </c>
      <c r="G1678">
        <v>10</v>
      </c>
      <c r="H1678">
        <v>17</v>
      </c>
      <c r="I1678">
        <v>0</v>
      </c>
      <c r="J1678" t="s">
        <v>34</v>
      </c>
      <c r="K1678" t="s">
        <v>65</v>
      </c>
      <c r="L1678">
        <v>62</v>
      </c>
      <c r="M1678">
        <v>78.998999999999995</v>
      </c>
      <c r="N1678">
        <v>85.414129000000003</v>
      </c>
      <c r="O1678">
        <v>25.091000000000001</v>
      </c>
      <c r="P1678">
        <v>27.331</v>
      </c>
      <c r="Q1678">
        <v>26.42</v>
      </c>
      <c r="R1678" t="s">
        <v>779</v>
      </c>
      <c r="S1678" t="s">
        <v>83</v>
      </c>
      <c r="T1678">
        <f>IF(TRIM(Table1[[#This Row],[PitStopLaps]])="",0,
LEN(Table1[[#This Row],[PitStopLaps]])-LEN(SUBSTITUTE(Table1[[#This Row],[PitStopLaps]],",",""))+1)</f>
        <v>2</v>
      </c>
      <c r="U1678">
        <f>Table1[[#This Row],[StartPosition]]-Table1[[#This Row],[FinishPosition]]</f>
        <v>-7</v>
      </c>
    </row>
    <row r="1679" spans="1:21" x14ac:dyDescent="0.3">
      <c r="A1679">
        <v>2022</v>
      </c>
      <c r="B1679">
        <v>4</v>
      </c>
      <c r="C1679" t="s">
        <v>535</v>
      </c>
      <c r="D1679" t="s">
        <v>31</v>
      </c>
      <c r="E1679" t="s">
        <v>32</v>
      </c>
      <c r="F1679" t="s">
        <v>37</v>
      </c>
      <c r="G1679">
        <v>6</v>
      </c>
      <c r="H1679">
        <v>18</v>
      </c>
      <c r="I1679">
        <v>0</v>
      </c>
      <c r="J1679" t="s">
        <v>34</v>
      </c>
      <c r="K1679" t="s">
        <v>65</v>
      </c>
      <c r="L1679">
        <v>62</v>
      </c>
      <c r="M1679">
        <v>81.576999999999998</v>
      </c>
      <c r="N1679">
        <v>85.625240000000005</v>
      </c>
      <c r="O1679">
        <v>25.939</v>
      </c>
      <c r="P1679">
        <v>28.199000000000002</v>
      </c>
      <c r="Q1679">
        <v>27.385000000000002</v>
      </c>
      <c r="R1679" t="s">
        <v>818</v>
      </c>
      <c r="S1679" t="s">
        <v>83</v>
      </c>
      <c r="T1679">
        <f>IF(TRIM(Table1[[#This Row],[PitStopLaps]])="",0,
LEN(Table1[[#This Row],[PitStopLaps]])-LEN(SUBSTITUTE(Table1[[#This Row],[PitStopLaps]],",",""))+1)</f>
        <v>3</v>
      </c>
      <c r="U1679">
        <f>Table1[[#This Row],[StartPosition]]-Table1[[#This Row],[FinishPosition]]</f>
        <v>-12</v>
      </c>
    </row>
    <row r="1680" spans="1:21" x14ac:dyDescent="0.3">
      <c r="A1680">
        <v>2022</v>
      </c>
      <c r="B1680">
        <v>4</v>
      </c>
      <c r="C1680" t="s">
        <v>535</v>
      </c>
      <c r="D1680" t="s">
        <v>35</v>
      </c>
      <c r="E1680" t="s">
        <v>36</v>
      </c>
      <c r="F1680" t="s">
        <v>607</v>
      </c>
      <c r="G1680">
        <v>9</v>
      </c>
      <c r="H1680">
        <v>19</v>
      </c>
      <c r="I1680">
        <v>0</v>
      </c>
      <c r="J1680" t="s">
        <v>34</v>
      </c>
      <c r="K1680" t="s">
        <v>109</v>
      </c>
      <c r="L1680">
        <v>6</v>
      </c>
      <c r="M1680">
        <v>99.685000000000002</v>
      </c>
      <c r="N1680">
        <v>99.685000000000002</v>
      </c>
      <c r="O1680">
        <v>32.192</v>
      </c>
      <c r="P1680">
        <v>34.052999999999997</v>
      </c>
      <c r="Q1680">
        <v>33.44</v>
      </c>
      <c r="R1680">
        <v>6</v>
      </c>
      <c r="S1680" t="s">
        <v>83</v>
      </c>
      <c r="T1680">
        <f>IF(TRIM(Table1[[#This Row],[PitStopLaps]])="",0,
LEN(Table1[[#This Row],[PitStopLaps]])-LEN(SUBSTITUTE(Table1[[#This Row],[PitStopLaps]],",",""))+1)</f>
        <v>1</v>
      </c>
      <c r="U1680">
        <f>Table1[[#This Row],[StartPosition]]-Table1[[#This Row],[FinishPosition]]</f>
        <v>-10</v>
      </c>
    </row>
    <row r="1681" spans="1:21" x14ac:dyDescent="0.3">
      <c r="A1681">
        <v>2022</v>
      </c>
      <c r="B1681">
        <v>4</v>
      </c>
      <c r="C1681" t="s">
        <v>535</v>
      </c>
      <c r="D1681" t="s">
        <v>47</v>
      </c>
      <c r="E1681" t="s">
        <v>48</v>
      </c>
      <c r="F1681" t="s">
        <v>22</v>
      </c>
      <c r="G1681">
        <v>4</v>
      </c>
      <c r="H1681">
        <v>20</v>
      </c>
      <c r="I1681">
        <v>0</v>
      </c>
      <c r="J1681" t="s">
        <v>34</v>
      </c>
      <c r="K1681" t="s">
        <v>124</v>
      </c>
      <c r="L1681">
        <v>1</v>
      </c>
      <c r="S1681" t="s">
        <v>83</v>
      </c>
      <c r="T1681">
        <f>IF(TRIM(Table1[[#This Row],[PitStopLaps]])="",0,
LEN(Table1[[#This Row],[PitStopLaps]])-LEN(SUBSTITUTE(Table1[[#This Row],[PitStopLaps]],",",""))+1)</f>
        <v>0</v>
      </c>
      <c r="U1681">
        <f>Table1[[#This Row],[StartPosition]]-Table1[[#This Row],[FinishPosition]]</f>
        <v>-16</v>
      </c>
    </row>
    <row r="1682" spans="1:21" x14ac:dyDescent="0.3">
      <c r="A1682">
        <v>2022</v>
      </c>
      <c r="B1682">
        <v>5</v>
      </c>
      <c r="C1682" t="s">
        <v>819</v>
      </c>
      <c r="D1682" t="s">
        <v>38</v>
      </c>
      <c r="E1682" t="s">
        <v>39</v>
      </c>
      <c r="F1682" t="s">
        <v>33</v>
      </c>
      <c r="G1682">
        <v>3</v>
      </c>
      <c r="H1682">
        <v>1</v>
      </c>
      <c r="I1682">
        <v>26</v>
      </c>
      <c r="J1682" t="s">
        <v>23</v>
      </c>
      <c r="K1682" t="s">
        <v>24</v>
      </c>
      <c r="L1682">
        <v>57</v>
      </c>
      <c r="M1682">
        <v>91.361000000000004</v>
      </c>
      <c r="N1682">
        <v>93.189436999999998</v>
      </c>
      <c r="O1682">
        <v>30.364000000000001</v>
      </c>
      <c r="P1682">
        <v>35.137999999999998</v>
      </c>
      <c r="Q1682">
        <v>25.757000000000001</v>
      </c>
      <c r="R1682">
        <v>26</v>
      </c>
      <c r="S1682" t="s">
        <v>25</v>
      </c>
      <c r="T1682">
        <f>IF(TRIM(Table1[[#This Row],[PitStopLaps]])="",0,
LEN(Table1[[#This Row],[PitStopLaps]])-LEN(SUBSTITUTE(Table1[[#This Row],[PitStopLaps]],",",""))+1)</f>
        <v>1</v>
      </c>
      <c r="U1682">
        <f>Table1[[#This Row],[StartPosition]]-Table1[[#This Row],[FinishPosition]]</f>
        <v>2</v>
      </c>
    </row>
    <row r="1683" spans="1:21" x14ac:dyDescent="0.3">
      <c r="A1683">
        <v>2022</v>
      </c>
      <c r="B1683">
        <v>5</v>
      </c>
      <c r="C1683" t="s">
        <v>819</v>
      </c>
      <c r="D1683" t="s">
        <v>54</v>
      </c>
      <c r="E1683" t="s">
        <v>55</v>
      </c>
      <c r="F1683" t="s">
        <v>22</v>
      </c>
      <c r="G1683">
        <v>1</v>
      </c>
      <c r="H1683">
        <v>2</v>
      </c>
      <c r="I1683">
        <v>18</v>
      </c>
      <c r="J1683" t="s">
        <v>23</v>
      </c>
      <c r="K1683" t="s">
        <v>24</v>
      </c>
      <c r="L1683">
        <v>57</v>
      </c>
      <c r="M1683">
        <v>91.488</v>
      </c>
      <c r="N1683">
        <v>93.358144999999993</v>
      </c>
      <c r="O1683">
        <v>30.462</v>
      </c>
      <c r="P1683">
        <v>35.329000000000001</v>
      </c>
      <c r="Q1683">
        <v>25.62</v>
      </c>
      <c r="R1683">
        <v>24</v>
      </c>
      <c r="S1683" t="s">
        <v>25</v>
      </c>
      <c r="T1683">
        <f>IF(TRIM(Table1[[#This Row],[PitStopLaps]])="",0,
LEN(Table1[[#This Row],[PitStopLaps]])-LEN(SUBSTITUTE(Table1[[#This Row],[PitStopLaps]],",",""))+1)</f>
        <v>1</v>
      </c>
      <c r="U1683">
        <f>Table1[[#This Row],[StartPosition]]-Table1[[#This Row],[FinishPosition]]</f>
        <v>-1</v>
      </c>
    </row>
    <row r="1684" spans="1:21" x14ac:dyDescent="0.3">
      <c r="A1684">
        <v>2022</v>
      </c>
      <c r="B1684">
        <v>5</v>
      </c>
      <c r="C1684" t="s">
        <v>819</v>
      </c>
      <c r="D1684" t="s">
        <v>47</v>
      </c>
      <c r="E1684" t="s">
        <v>48</v>
      </c>
      <c r="F1684" t="s">
        <v>22</v>
      </c>
      <c r="G1684">
        <v>2</v>
      </c>
      <c r="H1684">
        <v>3</v>
      </c>
      <c r="I1684">
        <v>15</v>
      </c>
      <c r="J1684" t="s">
        <v>23</v>
      </c>
      <c r="K1684" t="s">
        <v>24</v>
      </c>
      <c r="L1684">
        <v>57</v>
      </c>
      <c r="M1684">
        <v>91.79</v>
      </c>
      <c r="N1684">
        <v>93.726229000000004</v>
      </c>
      <c r="O1684">
        <v>30.414000000000001</v>
      </c>
      <c r="P1684">
        <v>35.317</v>
      </c>
      <c r="Q1684">
        <v>25.841000000000001</v>
      </c>
      <c r="R1684">
        <v>27</v>
      </c>
      <c r="S1684" t="s">
        <v>25</v>
      </c>
      <c r="T1684">
        <f>IF(TRIM(Table1[[#This Row],[PitStopLaps]])="",0,
LEN(Table1[[#This Row],[PitStopLaps]])-LEN(SUBSTITUTE(Table1[[#This Row],[PitStopLaps]],",",""))+1)</f>
        <v>1</v>
      </c>
      <c r="U1684">
        <f>Table1[[#This Row],[StartPosition]]-Table1[[#This Row],[FinishPosition]]</f>
        <v>-1</v>
      </c>
    </row>
    <row r="1685" spans="1:21" x14ac:dyDescent="0.3">
      <c r="A1685">
        <v>2022</v>
      </c>
      <c r="B1685">
        <v>5</v>
      </c>
      <c r="C1685" t="s">
        <v>819</v>
      </c>
      <c r="D1685" t="s">
        <v>49</v>
      </c>
      <c r="E1685" t="s">
        <v>50</v>
      </c>
      <c r="F1685" t="s">
        <v>33</v>
      </c>
      <c r="G1685">
        <v>4</v>
      </c>
      <c r="H1685">
        <v>4</v>
      </c>
      <c r="I1685">
        <v>12</v>
      </c>
      <c r="J1685" t="s">
        <v>34</v>
      </c>
      <c r="K1685" t="s">
        <v>24</v>
      </c>
      <c r="L1685">
        <v>57</v>
      </c>
      <c r="M1685">
        <v>91.819000000000003</v>
      </c>
      <c r="N1685">
        <v>94.000893000000005</v>
      </c>
      <c r="O1685">
        <v>30.57</v>
      </c>
      <c r="P1685">
        <v>35.268999999999998</v>
      </c>
      <c r="Q1685">
        <v>25.728999999999999</v>
      </c>
      <c r="R1685" t="s">
        <v>820</v>
      </c>
      <c r="S1685" t="s">
        <v>25</v>
      </c>
      <c r="T1685">
        <f>IF(TRIM(Table1[[#This Row],[PitStopLaps]])="",0,
LEN(Table1[[#This Row],[PitStopLaps]])-LEN(SUBSTITUTE(Table1[[#This Row],[PitStopLaps]],",",""))+1)</f>
        <v>2</v>
      </c>
      <c r="U1685">
        <f>Table1[[#This Row],[StartPosition]]-Table1[[#This Row],[FinishPosition]]</f>
        <v>0</v>
      </c>
    </row>
    <row r="1686" spans="1:21" x14ac:dyDescent="0.3">
      <c r="A1686">
        <v>2022</v>
      </c>
      <c r="B1686">
        <v>5</v>
      </c>
      <c r="C1686" t="s">
        <v>819</v>
      </c>
      <c r="D1686" t="s">
        <v>252</v>
      </c>
      <c r="E1686" t="s">
        <v>253</v>
      </c>
      <c r="F1686" t="s">
        <v>28</v>
      </c>
      <c r="G1686">
        <v>12</v>
      </c>
      <c r="H1686">
        <v>5</v>
      </c>
      <c r="I1686">
        <v>10</v>
      </c>
      <c r="J1686" t="s">
        <v>34</v>
      </c>
      <c r="K1686" t="s">
        <v>24</v>
      </c>
      <c r="L1686">
        <v>57</v>
      </c>
      <c r="M1686">
        <v>92.194999999999993</v>
      </c>
      <c r="N1686">
        <v>94.652265</v>
      </c>
      <c r="O1686">
        <v>30.654</v>
      </c>
      <c r="P1686">
        <v>35.057000000000002</v>
      </c>
      <c r="Q1686">
        <v>25.957000000000001</v>
      </c>
      <c r="R1686">
        <v>40</v>
      </c>
      <c r="S1686" t="s">
        <v>25</v>
      </c>
      <c r="T1686">
        <f>IF(TRIM(Table1[[#This Row],[PitStopLaps]])="",0,
LEN(Table1[[#This Row],[PitStopLaps]])-LEN(SUBSTITUTE(Table1[[#This Row],[PitStopLaps]],",",""))+1)</f>
        <v>1</v>
      </c>
      <c r="U1686">
        <f>Table1[[#This Row],[StartPosition]]-Table1[[#This Row],[FinishPosition]]</f>
        <v>7</v>
      </c>
    </row>
    <row r="1687" spans="1:21" x14ac:dyDescent="0.3">
      <c r="A1687">
        <v>2022</v>
      </c>
      <c r="B1687">
        <v>5</v>
      </c>
      <c r="C1687" t="s">
        <v>819</v>
      </c>
      <c r="D1687" t="s">
        <v>26</v>
      </c>
      <c r="E1687" t="s">
        <v>27</v>
      </c>
      <c r="F1687" t="s">
        <v>28</v>
      </c>
      <c r="G1687">
        <v>6</v>
      </c>
      <c r="H1687">
        <v>6</v>
      </c>
      <c r="I1687">
        <v>8</v>
      </c>
      <c r="J1687" t="s">
        <v>34</v>
      </c>
      <c r="K1687" t="s">
        <v>24</v>
      </c>
      <c r="L1687">
        <v>57</v>
      </c>
      <c r="M1687">
        <v>92.941000000000003</v>
      </c>
      <c r="N1687">
        <v>94.450957000000002</v>
      </c>
      <c r="O1687">
        <v>30.928000000000001</v>
      </c>
      <c r="P1687">
        <v>35.734000000000002</v>
      </c>
      <c r="Q1687">
        <v>25.805</v>
      </c>
      <c r="R1687">
        <v>22</v>
      </c>
      <c r="S1687" t="s">
        <v>25</v>
      </c>
      <c r="T1687">
        <f>IF(TRIM(Table1[[#This Row],[PitStopLaps]])="",0,
LEN(Table1[[#This Row],[PitStopLaps]])-LEN(SUBSTITUTE(Table1[[#This Row],[PitStopLaps]],",",""))+1)</f>
        <v>1</v>
      </c>
      <c r="U1687">
        <f>Table1[[#This Row],[StartPosition]]-Table1[[#This Row],[FinishPosition]]</f>
        <v>0</v>
      </c>
    </row>
    <row r="1688" spans="1:21" x14ac:dyDescent="0.3">
      <c r="A1688">
        <v>2022</v>
      </c>
      <c r="B1688">
        <v>5</v>
      </c>
      <c r="C1688" t="s">
        <v>819</v>
      </c>
      <c r="D1688" t="s">
        <v>43</v>
      </c>
      <c r="E1688" t="s">
        <v>44</v>
      </c>
      <c r="F1688" t="s">
        <v>789</v>
      </c>
      <c r="G1688">
        <v>5</v>
      </c>
      <c r="H1688">
        <v>7</v>
      </c>
      <c r="I1688">
        <v>6</v>
      </c>
      <c r="J1688" t="s">
        <v>34</v>
      </c>
      <c r="K1688" t="s">
        <v>24</v>
      </c>
      <c r="L1688">
        <v>57</v>
      </c>
      <c r="M1688">
        <v>93.183999999999997</v>
      </c>
      <c r="N1688">
        <v>94.535467999999995</v>
      </c>
      <c r="O1688">
        <v>31.116</v>
      </c>
      <c r="P1688">
        <v>35.591999999999999</v>
      </c>
      <c r="Q1688">
        <v>26.036000000000001</v>
      </c>
      <c r="R1688">
        <v>26</v>
      </c>
      <c r="S1688" t="s">
        <v>25</v>
      </c>
      <c r="T1688">
        <f>IF(TRIM(Table1[[#This Row],[PitStopLaps]])="",0,
LEN(Table1[[#This Row],[PitStopLaps]])-LEN(SUBSTITUTE(Table1[[#This Row],[PitStopLaps]],",",""))+1)</f>
        <v>1</v>
      </c>
      <c r="U1688">
        <f>Table1[[#This Row],[StartPosition]]-Table1[[#This Row],[FinishPosition]]</f>
        <v>-2</v>
      </c>
    </row>
    <row r="1689" spans="1:21" x14ac:dyDescent="0.3">
      <c r="A1689">
        <v>2022</v>
      </c>
      <c r="B1689">
        <v>5</v>
      </c>
      <c r="C1689" t="s">
        <v>819</v>
      </c>
      <c r="D1689" t="s">
        <v>52</v>
      </c>
      <c r="E1689" t="s">
        <v>53</v>
      </c>
      <c r="F1689" t="s">
        <v>607</v>
      </c>
      <c r="G1689">
        <v>20</v>
      </c>
      <c r="H1689">
        <v>8</v>
      </c>
      <c r="I1689">
        <v>4</v>
      </c>
      <c r="J1689" t="s">
        <v>34</v>
      </c>
      <c r="K1689" t="s">
        <v>24</v>
      </c>
      <c r="L1689">
        <v>57</v>
      </c>
      <c r="M1689">
        <v>93.162999999999997</v>
      </c>
      <c r="N1689">
        <v>95.254509999999996</v>
      </c>
      <c r="O1689">
        <v>31.594999999999999</v>
      </c>
      <c r="P1689">
        <v>35.457999999999998</v>
      </c>
      <c r="Q1689">
        <v>25.908000000000001</v>
      </c>
      <c r="R1689">
        <v>41</v>
      </c>
      <c r="S1689" t="s">
        <v>25</v>
      </c>
      <c r="T1689">
        <f>IF(TRIM(Table1[[#This Row],[PitStopLaps]])="",0,
LEN(Table1[[#This Row],[PitStopLaps]])-LEN(SUBSTITUTE(Table1[[#This Row],[PitStopLaps]],",",""))+1)</f>
        <v>1</v>
      </c>
      <c r="U1689">
        <f>Table1[[#This Row],[StartPosition]]-Table1[[#This Row],[FinishPosition]]</f>
        <v>12</v>
      </c>
    </row>
    <row r="1690" spans="1:21" x14ac:dyDescent="0.3">
      <c r="A1690">
        <v>2022</v>
      </c>
      <c r="B1690">
        <v>5</v>
      </c>
      <c r="C1690" t="s">
        <v>819</v>
      </c>
      <c r="D1690" t="s">
        <v>248</v>
      </c>
      <c r="E1690" t="s">
        <v>249</v>
      </c>
      <c r="F1690" t="s">
        <v>60</v>
      </c>
      <c r="G1690">
        <v>18</v>
      </c>
      <c r="H1690">
        <v>9</v>
      </c>
      <c r="I1690">
        <v>2</v>
      </c>
      <c r="J1690" t="s">
        <v>34</v>
      </c>
      <c r="K1690" t="s">
        <v>24</v>
      </c>
      <c r="L1690">
        <v>57</v>
      </c>
      <c r="M1690">
        <v>93.447000000000003</v>
      </c>
      <c r="N1690">
        <v>95.221041999999997</v>
      </c>
      <c r="O1690">
        <v>31.652000000000001</v>
      </c>
      <c r="P1690">
        <v>35.567</v>
      </c>
      <c r="Q1690">
        <v>25.989000000000001</v>
      </c>
      <c r="R1690">
        <v>16</v>
      </c>
      <c r="S1690" t="s">
        <v>25</v>
      </c>
      <c r="T1690">
        <f>IF(TRIM(Table1[[#This Row],[PitStopLaps]])="",0,
LEN(Table1[[#This Row],[PitStopLaps]])-LEN(SUBSTITUTE(Table1[[#This Row],[PitStopLaps]],",",""))+1)</f>
        <v>1</v>
      </c>
      <c r="U1690">
        <f>Table1[[#This Row],[StartPosition]]-Table1[[#This Row],[FinishPosition]]</f>
        <v>9</v>
      </c>
    </row>
    <row r="1691" spans="1:21" x14ac:dyDescent="0.3">
      <c r="A1691">
        <v>2022</v>
      </c>
      <c r="B1691">
        <v>5</v>
      </c>
      <c r="C1691" t="s">
        <v>819</v>
      </c>
      <c r="D1691" t="s">
        <v>58</v>
      </c>
      <c r="E1691" t="s">
        <v>59</v>
      </c>
      <c r="F1691" t="s">
        <v>603</v>
      </c>
      <c r="G1691">
        <v>0</v>
      </c>
      <c r="H1691">
        <v>10</v>
      </c>
      <c r="I1691">
        <v>1</v>
      </c>
      <c r="J1691" t="s">
        <v>34</v>
      </c>
      <c r="K1691" t="s">
        <v>24</v>
      </c>
      <c r="L1691">
        <v>57</v>
      </c>
      <c r="M1691">
        <v>93.311999999999998</v>
      </c>
      <c r="N1691">
        <v>95.421937999999997</v>
      </c>
      <c r="O1691">
        <v>31.834</v>
      </c>
      <c r="P1691">
        <v>35.658000000000001</v>
      </c>
      <c r="Q1691">
        <v>25.82</v>
      </c>
      <c r="R1691">
        <v>40</v>
      </c>
      <c r="S1691" t="s">
        <v>25</v>
      </c>
      <c r="T1691">
        <f>IF(TRIM(Table1[[#This Row],[PitStopLaps]])="",0,
LEN(Table1[[#This Row],[PitStopLaps]])-LEN(SUBSTITUTE(Table1[[#This Row],[PitStopLaps]],",",""))+1)</f>
        <v>1</v>
      </c>
      <c r="U1691">
        <f>Table1[[#This Row],[StartPosition]]-Table1[[#This Row],[FinishPosition]]</f>
        <v>-10</v>
      </c>
    </row>
    <row r="1692" spans="1:21" x14ac:dyDescent="0.3">
      <c r="A1692">
        <v>2022</v>
      </c>
      <c r="B1692">
        <v>5</v>
      </c>
      <c r="C1692" t="s">
        <v>819</v>
      </c>
      <c r="D1692" t="s">
        <v>35</v>
      </c>
      <c r="E1692" t="s">
        <v>36</v>
      </c>
      <c r="F1692" t="s">
        <v>607</v>
      </c>
      <c r="G1692">
        <v>11</v>
      </c>
      <c r="H1692">
        <v>11</v>
      </c>
      <c r="I1692">
        <v>0</v>
      </c>
      <c r="J1692" t="s">
        <v>34</v>
      </c>
      <c r="K1692" t="s">
        <v>24</v>
      </c>
      <c r="L1692">
        <v>57</v>
      </c>
      <c r="M1692">
        <v>93.331000000000003</v>
      </c>
      <c r="N1692">
        <v>94.974404000000007</v>
      </c>
      <c r="O1692">
        <v>31.376999999999999</v>
      </c>
      <c r="P1692">
        <v>35.118000000000002</v>
      </c>
      <c r="Q1692">
        <v>26.067</v>
      </c>
      <c r="R1692">
        <v>15</v>
      </c>
      <c r="S1692" t="s">
        <v>25</v>
      </c>
      <c r="T1692">
        <f>IF(TRIM(Table1[[#This Row],[PitStopLaps]])="",0,
LEN(Table1[[#This Row],[PitStopLaps]])-LEN(SUBSTITUTE(Table1[[#This Row],[PitStopLaps]],",",""))+1)</f>
        <v>1</v>
      </c>
      <c r="U1692">
        <f>Table1[[#This Row],[StartPosition]]-Table1[[#This Row],[FinishPosition]]</f>
        <v>0</v>
      </c>
    </row>
    <row r="1693" spans="1:21" x14ac:dyDescent="0.3">
      <c r="A1693">
        <v>2022</v>
      </c>
      <c r="B1693">
        <v>5</v>
      </c>
      <c r="C1693" t="s">
        <v>819</v>
      </c>
      <c r="D1693" t="s">
        <v>601</v>
      </c>
      <c r="E1693" t="s">
        <v>602</v>
      </c>
      <c r="F1693" t="s">
        <v>438</v>
      </c>
      <c r="G1693">
        <v>9</v>
      </c>
      <c r="H1693">
        <v>12</v>
      </c>
      <c r="I1693">
        <v>0</v>
      </c>
      <c r="J1693" t="s">
        <v>34</v>
      </c>
      <c r="K1693" t="s">
        <v>24</v>
      </c>
      <c r="L1693">
        <v>57</v>
      </c>
      <c r="M1693">
        <v>93.034999999999997</v>
      </c>
      <c r="N1693">
        <v>95.393913999999995</v>
      </c>
      <c r="O1693">
        <v>31.329000000000001</v>
      </c>
      <c r="P1693">
        <v>35.606999999999999</v>
      </c>
      <c r="Q1693">
        <v>25.86</v>
      </c>
      <c r="R1693" t="s">
        <v>524</v>
      </c>
      <c r="S1693" t="s">
        <v>25</v>
      </c>
      <c r="T1693">
        <f>IF(TRIM(Table1[[#This Row],[PitStopLaps]])="",0,
LEN(Table1[[#This Row],[PitStopLaps]])-LEN(SUBSTITUTE(Table1[[#This Row],[PitStopLaps]],",",""))+1)</f>
        <v>2</v>
      </c>
      <c r="U1693">
        <f>Table1[[#This Row],[StartPosition]]-Table1[[#This Row],[FinishPosition]]</f>
        <v>-3</v>
      </c>
    </row>
    <row r="1694" spans="1:21" x14ac:dyDescent="0.3">
      <c r="A1694">
        <v>2022</v>
      </c>
      <c r="B1694">
        <v>5</v>
      </c>
      <c r="C1694" t="s">
        <v>819</v>
      </c>
      <c r="D1694" t="s">
        <v>31</v>
      </c>
      <c r="E1694" t="s">
        <v>32</v>
      </c>
      <c r="F1694" t="s">
        <v>37</v>
      </c>
      <c r="G1694">
        <v>14</v>
      </c>
      <c r="H1694">
        <v>13</v>
      </c>
      <c r="I1694">
        <v>0</v>
      </c>
      <c r="J1694" t="s">
        <v>34</v>
      </c>
      <c r="K1694" t="s">
        <v>24</v>
      </c>
      <c r="L1694">
        <v>57</v>
      </c>
      <c r="M1694">
        <v>93.265000000000001</v>
      </c>
      <c r="N1694">
        <v>95.422723000000005</v>
      </c>
      <c r="O1694">
        <v>31.047000000000001</v>
      </c>
      <c r="P1694">
        <v>35.198</v>
      </c>
      <c r="Q1694">
        <v>25.98</v>
      </c>
      <c r="R1694" t="s">
        <v>821</v>
      </c>
      <c r="S1694" t="s">
        <v>25</v>
      </c>
      <c r="T1694">
        <f>IF(TRIM(Table1[[#This Row],[PitStopLaps]])="",0,
LEN(Table1[[#This Row],[PitStopLaps]])-LEN(SUBSTITUTE(Table1[[#This Row],[PitStopLaps]],",",""))+1)</f>
        <v>2</v>
      </c>
      <c r="U1694">
        <f>Table1[[#This Row],[StartPosition]]-Table1[[#This Row],[FinishPosition]]</f>
        <v>1</v>
      </c>
    </row>
    <row r="1695" spans="1:21" x14ac:dyDescent="0.3">
      <c r="A1695">
        <v>2022</v>
      </c>
      <c r="B1695">
        <v>5</v>
      </c>
      <c r="C1695" t="s">
        <v>819</v>
      </c>
      <c r="D1695" t="s">
        <v>440</v>
      </c>
      <c r="E1695" t="s">
        <v>441</v>
      </c>
      <c r="F1695" t="s">
        <v>60</v>
      </c>
      <c r="G1695">
        <v>19</v>
      </c>
      <c r="H1695">
        <v>14</v>
      </c>
      <c r="I1695">
        <v>0</v>
      </c>
      <c r="J1695" t="s">
        <v>34</v>
      </c>
      <c r="K1695" t="s">
        <v>24</v>
      </c>
      <c r="L1695">
        <v>57</v>
      </c>
      <c r="M1695">
        <v>94.168999999999997</v>
      </c>
      <c r="N1695">
        <v>96.298978000000005</v>
      </c>
      <c r="O1695">
        <v>31.609000000000002</v>
      </c>
      <c r="P1695">
        <v>35.908000000000001</v>
      </c>
      <c r="Q1695">
        <v>26.16</v>
      </c>
      <c r="R1695">
        <v>34</v>
      </c>
      <c r="S1695" t="s">
        <v>25</v>
      </c>
      <c r="T1695">
        <f>IF(TRIM(Table1[[#This Row],[PitStopLaps]])="",0,
LEN(Table1[[#This Row],[PitStopLaps]])-LEN(SUBSTITUTE(Table1[[#This Row],[PitStopLaps]],",",""))+1)</f>
        <v>1</v>
      </c>
      <c r="U1695">
        <f>Table1[[#This Row],[StartPosition]]-Table1[[#This Row],[FinishPosition]]</f>
        <v>5</v>
      </c>
    </row>
    <row r="1696" spans="1:21" x14ac:dyDescent="0.3">
      <c r="A1696">
        <v>2022</v>
      </c>
      <c r="B1696">
        <v>5</v>
      </c>
      <c r="C1696" t="s">
        <v>819</v>
      </c>
      <c r="D1696" t="s">
        <v>608</v>
      </c>
      <c r="E1696" t="s">
        <v>609</v>
      </c>
      <c r="F1696" t="s">
        <v>69</v>
      </c>
      <c r="G1696">
        <v>15</v>
      </c>
      <c r="H1696">
        <v>15</v>
      </c>
      <c r="I1696">
        <v>0</v>
      </c>
      <c r="J1696" t="s">
        <v>34</v>
      </c>
      <c r="K1696" t="s">
        <v>24</v>
      </c>
      <c r="L1696">
        <v>57</v>
      </c>
      <c r="M1696">
        <v>92.528000000000006</v>
      </c>
      <c r="N1696">
        <v>95.095444000000001</v>
      </c>
      <c r="O1696">
        <v>31.178999999999998</v>
      </c>
      <c r="P1696">
        <v>35.451000000000001</v>
      </c>
      <c r="Q1696">
        <v>25.898</v>
      </c>
      <c r="R1696" t="s">
        <v>822</v>
      </c>
      <c r="S1696" t="s">
        <v>25</v>
      </c>
      <c r="T1696">
        <f>IF(TRIM(Table1[[#This Row],[PitStopLaps]])="",0,
LEN(Table1[[#This Row],[PitStopLaps]])-LEN(SUBSTITUTE(Table1[[#This Row],[PitStopLaps]],",",""))+1)</f>
        <v>2</v>
      </c>
      <c r="U1696">
        <f>Table1[[#This Row],[StartPosition]]-Table1[[#This Row],[FinishPosition]]</f>
        <v>0</v>
      </c>
    </row>
    <row r="1697" spans="1:21" x14ac:dyDescent="0.3">
      <c r="A1697">
        <v>2022</v>
      </c>
      <c r="B1697">
        <v>5</v>
      </c>
      <c r="C1697" t="s">
        <v>819</v>
      </c>
      <c r="D1697" t="s">
        <v>71</v>
      </c>
      <c r="E1697" t="s">
        <v>72</v>
      </c>
      <c r="F1697" t="s">
        <v>69</v>
      </c>
      <c r="G1697">
        <v>16</v>
      </c>
      <c r="H1697">
        <v>16</v>
      </c>
      <c r="I1697">
        <v>0</v>
      </c>
      <c r="J1697" t="s">
        <v>34</v>
      </c>
      <c r="K1697" t="s">
        <v>823</v>
      </c>
      <c r="L1697">
        <v>57</v>
      </c>
      <c r="M1697">
        <v>93.510999999999996</v>
      </c>
      <c r="N1697">
        <v>95.292021000000005</v>
      </c>
      <c r="O1697">
        <v>31.584</v>
      </c>
      <c r="P1697">
        <v>35.773000000000003</v>
      </c>
      <c r="Q1697">
        <v>25.923999999999999</v>
      </c>
      <c r="R1697" t="s">
        <v>824</v>
      </c>
      <c r="S1697" t="s">
        <v>25</v>
      </c>
      <c r="T1697">
        <f>IF(TRIM(Table1[[#This Row],[PitStopLaps]])="",0,
LEN(Table1[[#This Row],[PitStopLaps]])-LEN(SUBSTITUTE(Table1[[#This Row],[PitStopLaps]],",",""))+1)</f>
        <v>3</v>
      </c>
      <c r="U1697">
        <f>Table1[[#This Row],[StartPosition]]-Table1[[#This Row],[FinishPosition]]</f>
        <v>0</v>
      </c>
    </row>
    <row r="1698" spans="1:21" x14ac:dyDescent="0.3">
      <c r="A1698">
        <v>2022</v>
      </c>
      <c r="B1698">
        <v>5</v>
      </c>
      <c r="C1698" t="s">
        <v>819</v>
      </c>
      <c r="D1698" t="s">
        <v>20</v>
      </c>
      <c r="E1698" t="s">
        <v>21</v>
      </c>
      <c r="F1698" t="s">
        <v>603</v>
      </c>
      <c r="G1698">
        <v>0</v>
      </c>
      <c r="H1698">
        <v>17</v>
      </c>
      <c r="I1698">
        <v>0</v>
      </c>
      <c r="J1698" t="s">
        <v>34</v>
      </c>
      <c r="K1698" t="s">
        <v>124</v>
      </c>
      <c r="L1698">
        <v>54</v>
      </c>
      <c r="M1698">
        <v>93.478999999999999</v>
      </c>
      <c r="N1698">
        <v>95.507176999999999</v>
      </c>
      <c r="O1698">
        <v>31.582999999999998</v>
      </c>
      <c r="P1698">
        <v>35.624000000000002</v>
      </c>
      <c r="Q1698">
        <v>25.891999999999999</v>
      </c>
      <c r="R1698" t="s">
        <v>825</v>
      </c>
      <c r="S1698" t="s">
        <v>25</v>
      </c>
      <c r="T1698">
        <f>IF(TRIM(Table1[[#This Row],[PitStopLaps]])="",0,
LEN(Table1[[#This Row],[PitStopLaps]])-LEN(SUBSTITUTE(Table1[[#This Row],[PitStopLaps]],",",""))+1)</f>
        <v>2</v>
      </c>
      <c r="U1698">
        <f>Table1[[#This Row],[StartPosition]]-Table1[[#This Row],[FinishPosition]]</f>
        <v>-17</v>
      </c>
    </row>
    <row r="1699" spans="1:21" x14ac:dyDescent="0.3">
      <c r="A1699">
        <v>2022</v>
      </c>
      <c r="B1699">
        <v>5</v>
      </c>
      <c r="C1699" t="s">
        <v>819</v>
      </c>
      <c r="D1699" t="s">
        <v>73</v>
      </c>
      <c r="E1699" t="s">
        <v>74</v>
      </c>
      <c r="F1699" t="s">
        <v>438</v>
      </c>
      <c r="G1699">
        <v>7</v>
      </c>
      <c r="H1699">
        <v>18</v>
      </c>
      <c r="I1699">
        <v>0</v>
      </c>
      <c r="J1699" t="s">
        <v>34</v>
      </c>
      <c r="K1699" t="s">
        <v>187</v>
      </c>
      <c r="L1699">
        <v>45</v>
      </c>
      <c r="M1699">
        <v>94.486999999999995</v>
      </c>
      <c r="N1699">
        <v>95.421750000000003</v>
      </c>
      <c r="O1699">
        <v>31.882000000000001</v>
      </c>
      <c r="P1699">
        <v>36.039000000000001</v>
      </c>
      <c r="Q1699">
        <v>26.167999999999999</v>
      </c>
      <c r="R1699" t="s">
        <v>826</v>
      </c>
      <c r="S1699" t="s">
        <v>25</v>
      </c>
      <c r="T1699">
        <f>IF(TRIM(Table1[[#This Row],[PitStopLaps]])="",0,
LEN(Table1[[#This Row],[PitStopLaps]])-LEN(SUBSTITUTE(Table1[[#This Row],[PitStopLaps]],",",""))+1)</f>
        <v>3</v>
      </c>
      <c r="U1699">
        <f>Table1[[#This Row],[StartPosition]]-Table1[[#This Row],[FinishPosition]]</f>
        <v>-11</v>
      </c>
    </row>
    <row r="1700" spans="1:21" x14ac:dyDescent="0.3">
      <c r="A1700">
        <v>2022</v>
      </c>
      <c r="B1700">
        <v>5</v>
      </c>
      <c r="C1700" t="s">
        <v>819</v>
      </c>
      <c r="D1700" t="s">
        <v>246</v>
      </c>
      <c r="E1700" t="s">
        <v>247</v>
      </c>
      <c r="F1700" t="s">
        <v>37</v>
      </c>
      <c r="G1700">
        <v>8</v>
      </c>
      <c r="H1700">
        <v>19</v>
      </c>
      <c r="I1700">
        <v>0</v>
      </c>
      <c r="J1700" t="s">
        <v>34</v>
      </c>
      <c r="K1700" t="s">
        <v>124</v>
      </c>
      <c r="L1700">
        <v>40</v>
      </c>
      <c r="M1700">
        <v>93.411000000000001</v>
      </c>
      <c r="N1700">
        <v>95.327972000000003</v>
      </c>
      <c r="O1700">
        <v>31.638000000000002</v>
      </c>
      <c r="P1700">
        <v>35.884</v>
      </c>
      <c r="Q1700">
        <v>25.818999999999999</v>
      </c>
      <c r="R1700">
        <v>18</v>
      </c>
      <c r="S1700" t="s">
        <v>25</v>
      </c>
      <c r="T1700">
        <f>IF(TRIM(Table1[[#This Row],[PitStopLaps]])="",0,
LEN(Table1[[#This Row],[PitStopLaps]])-LEN(SUBSTITUTE(Table1[[#This Row],[PitStopLaps]],",",""))+1)</f>
        <v>1</v>
      </c>
      <c r="U1700">
        <f>Table1[[#This Row],[StartPosition]]-Table1[[#This Row],[FinishPosition]]</f>
        <v>-11</v>
      </c>
    </row>
    <row r="1701" spans="1:21" x14ac:dyDescent="0.3">
      <c r="A1701">
        <v>2022</v>
      </c>
      <c r="B1701">
        <v>5</v>
      </c>
      <c r="C1701" t="s">
        <v>819</v>
      </c>
      <c r="D1701" t="s">
        <v>794</v>
      </c>
      <c r="E1701" t="s">
        <v>795</v>
      </c>
      <c r="F1701" t="s">
        <v>789</v>
      </c>
      <c r="G1701">
        <v>17</v>
      </c>
      <c r="H1701">
        <v>20</v>
      </c>
      <c r="I1701">
        <v>0</v>
      </c>
      <c r="J1701" t="s">
        <v>34</v>
      </c>
      <c r="K1701" t="s">
        <v>827</v>
      </c>
      <c r="L1701">
        <v>6</v>
      </c>
      <c r="M1701">
        <v>95.730999999999995</v>
      </c>
      <c r="N1701">
        <v>96.456999999999994</v>
      </c>
      <c r="O1701">
        <v>32.737000000000002</v>
      </c>
      <c r="P1701">
        <v>36.503</v>
      </c>
      <c r="Q1701">
        <v>26.475999999999999</v>
      </c>
      <c r="R1701">
        <v>6</v>
      </c>
      <c r="S1701" t="s">
        <v>25</v>
      </c>
      <c r="T1701">
        <f>IF(TRIM(Table1[[#This Row],[PitStopLaps]])="",0,
LEN(Table1[[#This Row],[PitStopLaps]])-LEN(SUBSTITUTE(Table1[[#This Row],[PitStopLaps]],",",""))+1)</f>
        <v>1</v>
      </c>
      <c r="U1701">
        <f>Table1[[#This Row],[StartPosition]]-Table1[[#This Row],[FinishPosition]]</f>
        <v>-3</v>
      </c>
    </row>
    <row r="1702" spans="1:21" x14ac:dyDescent="0.3">
      <c r="A1702">
        <v>2022</v>
      </c>
      <c r="B1702">
        <v>6</v>
      </c>
      <c r="C1702" t="s">
        <v>125</v>
      </c>
      <c r="D1702" t="s">
        <v>38</v>
      </c>
      <c r="E1702" t="s">
        <v>39</v>
      </c>
      <c r="F1702" t="s">
        <v>33</v>
      </c>
      <c r="G1702">
        <v>2</v>
      </c>
      <c r="H1702">
        <v>1</v>
      </c>
      <c r="I1702">
        <v>25</v>
      </c>
      <c r="J1702" t="s">
        <v>23</v>
      </c>
      <c r="K1702" t="s">
        <v>24</v>
      </c>
      <c r="L1702">
        <v>66</v>
      </c>
      <c r="M1702">
        <v>85.456000000000003</v>
      </c>
      <c r="N1702">
        <v>87.505236999999994</v>
      </c>
      <c r="O1702">
        <v>23.876999999999999</v>
      </c>
      <c r="P1702">
        <v>32.119999999999997</v>
      </c>
      <c r="Q1702">
        <v>29.324999999999999</v>
      </c>
      <c r="R1702" t="s">
        <v>828</v>
      </c>
      <c r="S1702" t="s">
        <v>83</v>
      </c>
      <c r="T1702">
        <f>IF(TRIM(Table1[[#This Row],[PitStopLaps]])="",0,
LEN(Table1[[#This Row],[PitStopLaps]])-LEN(SUBSTITUTE(Table1[[#This Row],[PitStopLaps]],",",""))+1)</f>
        <v>3</v>
      </c>
      <c r="U1702">
        <f>Table1[[#This Row],[StartPosition]]-Table1[[#This Row],[FinishPosition]]</f>
        <v>1</v>
      </c>
    </row>
    <row r="1703" spans="1:21" x14ac:dyDescent="0.3">
      <c r="A1703">
        <v>2022</v>
      </c>
      <c r="B1703">
        <v>6</v>
      </c>
      <c r="C1703" t="s">
        <v>125</v>
      </c>
      <c r="D1703" t="s">
        <v>49</v>
      </c>
      <c r="E1703" t="s">
        <v>50</v>
      </c>
      <c r="F1703" t="s">
        <v>33</v>
      </c>
      <c r="G1703">
        <v>5</v>
      </c>
      <c r="H1703">
        <v>2</v>
      </c>
      <c r="I1703">
        <v>19</v>
      </c>
      <c r="J1703" t="s">
        <v>23</v>
      </c>
      <c r="K1703" t="s">
        <v>24</v>
      </c>
      <c r="L1703">
        <v>66</v>
      </c>
      <c r="M1703">
        <v>84.108000000000004</v>
      </c>
      <c r="N1703">
        <v>87.626254000000003</v>
      </c>
      <c r="O1703">
        <v>23.486000000000001</v>
      </c>
      <c r="P1703">
        <v>31.649000000000001</v>
      </c>
      <c r="Q1703">
        <v>28.972999999999999</v>
      </c>
      <c r="R1703" t="s">
        <v>829</v>
      </c>
      <c r="S1703" t="s">
        <v>83</v>
      </c>
      <c r="T1703">
        <f>IF(TRIM(Table1[[#This Row],[PitStopLaps]])="",0,
LEN(Table1[[#This Row],[PitStopLaps]])-LEN(SUBSTITUTE(Table1[[#This Row],[PitStopLaps]],",",""))+1)</f>
        <v>3</v>
      </c>
      <c r="U1703">
        <f>Table1[[#This Row],[StartPosition]]-Table1[[#This Row],[FinishPosition]]</f>
        <v>3</v>
      </c>
    </row>
    <row r="1704" spans="1:21" x14ac:dyDescent="0.3">
      <c r="A1704">
        <v>2022</v>
      </c>
      <c r="B1704">
        <v>6</v>
      </c>
      <c r="C1704" t="s">
        <v>125</v>
      </c>
      <c r="D1704" t="s">
        <v>252</v>
      </c>
      <c r="E1704" t="s">
        <v>253</v>
      </c>
      <c r="F1704" t="s">
        <v>28</v>
      </c>
      <c r="G1704">
        <v>4</v>
      </c>
      <c r="H1704">
        <v>3</v>
      </c>
      <c r="I1704">
        <v>15</v>
      </c>
      <c r="J1704" t="s">
        <v>23</v>
      </c>
      <c r="K1704" t="s">
        <v>24</v>
      </c>
      <c r="L1704">
        <v>66</v>
      </c>
      <c r="M1704">
        <v>84.635999999999996</v>
      </c>
      <c r="N1704">
        <v>88.018812999999994</v>
      </c>
      <c r="O1704">
        <v>23.405000000000001</v>
      </c>
      <c r="P1704">
        <v>32.127000000000002</v>
      </c>
      <c r="Q1704">
        <v>29.103999999999999</v>
      </c>
      <c r="R1704" t="s">
        <v>830</v>
      </c>
      <c r="S1704" t="s">
        <v>83</v>
      </c>
      <c r="T1704">
        <f>IF(TRIM(Table1[[#This Row],[PitStopLaps]])="",0,
LEN(Table1[[#This Row],[PitStopLaps]])-LEN(SUBSTITUTE(Table1[[#This Row],[PitStopLaps]],",",""))+1)</f>
        <v>3</v>
      </c>
      <c r="U1704">
        <f>Table1[[#This Row],[StartPosition]]-Table1[[#This Row],[FinishPosition]]</f>
        <v>1</v>
      </c>
    </row>
    <row r="1705" spans="1:21" x14ac:dyDescent="0.3">
      <c r="A1705">
        <v>2022</v>
      </c>
      <c r="B1705">
        <v>6</v>
      </c>
      <c r="C1705" t="s">
        <v>125</v>
      </c>
      <c r="D1705" t="s">
        <v>47</v>
      </c>
      <c r="E1705" t="s">
        <v>48</v>
      </c>
      <c r="F1705" t="s">
        <v>22</v>
      </c>
      <c r="G1705">
        <v>3</v>
      </c>
      <c r="H1705">
        <v>4</v>
      </c>
      <c r="I1705">
        <v>12</v>
      </c>
      <c r="J1705" t="s">
        <v>34</v>
      </c>
      <c r="K1705" t="s">
        <v>24</v>
      </c>
      <c r="L1705">
        <v>66</v>
      </c>
      <c r="M1705">
        <v>85.984999999999999</v>
      </c>
      <c r="N1705">
        <v>88.089253999999997</v>
      </c>
      <c r="O1705">
        <v>23.318999999999999</v>
      </c>
      <c r="P1705">
        <v>32.402000000000001</v>
      </c>
      <c r="Q1705">
        <v>29.753</v>
      </c>
      <c r="R1705" t="s">
        <v>831</v>
      </c>
      <c r="S1705" t="s">
        <v>83</v>
      </c>
      <c r="T1705">
        <f>IF(TRIM(Table1[[#This Row],[PitStopLaps]])="",0,
LEN(Table1[[#This Row],[PitStopLaps]])-LEN(SUBSTITUTE(Table1[[#This Row],[PitStopLaps]],",",""))+1)</f>
        <v>3</v>
      </c>
      <c r="U1705">
        <f>Table1[[#This Row],[StartPosition]]-Table1[[#This Row],[FinishPosition]]</f>
        <v>-1</v>
      </c>
    </row>
    <row r="1706" spans="1:21" x14ac:dyDescent="0.3">
      <c r="A1706">
        <v>2022</v>
      </c>
      <c r="B1706">
        <v>6</v>
      </c>
      <c r="C1706" t="s">
        <v>125</v>
      </c>
      <c r="D1706" t="s">
        <v>26</v>
      </c>
      <c r="E1706" t="s">
        <v>27</v>
      </c>
      <c r="F1706" t="s">
        <v>28</v>
      </c>
      <c r="G1706">
        <v>6</v>
      </c>
      <c r="H1706">
        <v>5</v>
      </c>
      <c r="I1706">
        <v>10</v>
      </c>
      <c r="J1706" t="s">
        <v>34</v>
      </c>
      <c r="K1706" t="s">
        <v>24</v>
      </c>
      <c r="L1706">
        <v>66</v>
      </c>
      <c r="M1706">
        <v>84.253</v>
      </c>
      <c r="N1706">
        <v>87.835482999999996</v>
      </c>
      <c r="O1706">
        <v>23.123000000000001</v>
      </c>
      <c r="P1706">
        <v>31.960999999999999</v>
      </c>
      <c r="Q1706">
        <v>29.047999999999998</v>
      </c>
      <c r="R1706" t="s">
        <v>832</v>
      </c>
      <c r="S1706" t="s">
        <v>83</v>
      </c>
      <c r="T1706">
        <f>IF(TRIM(Table1[[#This Row],[PitStopLaps]])="",0,
LEN(Table1[[#This Row],[PitStopLaps]])-LEN(SUBSTITUTE(Table1[[#This Row],[PitStopLaps]],",",""))+1)</f>
        <v>3</v>
      </c>
      <c r="U1706">
        <f>Table1[[#This Row],[StartPosition]]-Table1[[#This Row],[FinishPosition]]</f>
        <v>1</v>
      </c>
    </row>
    <row r="1707" spans="1:21" x14ac:dyDescent="0.3">
      <c r="A1707">
        <v>2022</v>
      </c>
      <c r="B1707">
        <v>6</v>
      </c>
      <c r="C1707" t="s">
        <v>125</v>
      </c>
      <c r="D1707" t="s">
        <v>43</v>
      </c>
      <c r="E1707" t="s">
        <v>44</v>
      </c>
      <c r="F1707" t="s">
        <v>789</v>
      </c>
      <c r="G1707">
        <v>7</v>
      </c>
      <c r="H1707">
        <v>6</v>
      </c>
      <c r="I1707">
        <v>8</v>
      </c>
      <c r="J1707" t="s">
        <v>34</v>
      </c>
      <c r="K1707" t="s">
        <v>24</v>
      </c>
      <c r="L1707">
        <v>66</v>
      </c>
      <c r="M1707">
        <v>86.394999999999996</v>
      </c>
      <c r="N1707">
        <v>88.626163000000005</v>
      </c>
      <c r="O1707">
        <v>23.591999999999999</v>
      </c>
      <c r="P1707">
        <v>32.814</v>
      </c>
      <c r="Q1707">
        <v>29.951000000000001</v>
      </c>
      <c r="R1707" t="s">
        <v>525</v>
      </c>
      <c r="S1707" t="s">
        <v>83</v>
      </c>
      <c r="T1707">
        <f>IF(TRIM(Table1[[#This Row],[PitStopLaps]])="",0,
LEN(Table1[[#This Row],[PitStopLaps]])-LEN(SUBSTITUTE(Table1[[#This Row],[PitStopLaps]],",",""))+1)</f>
        <v>2</v>
      </c>
      <c r="U1707">
        <f>Table1[[#This Row],[StartPosition]]-Table1[[#This Row],[FinishPosition]]</f>
        <v>1</v>
      </c>
    </row>
    <row r="1708" spans="1:21" x14ac:dyDescent="0.3">
      <c r="A1708">
        <v>2022</v>
      </c>
      <c r="B1708">
        <v>6</v>
      </c>
      <c r="C1708" t="s">
        <v>125</v>
      </c>
      <c r="D1708" t="s">
        <v>52</v>
      </c>
      <c r="E1708" t="s">
        <v>53</v>
      </c>
      <c r="F1708" t="s">
        <v>607</v>
      </c>
      <c r="G1708">
        <v>12</v>
      </c>
      <c r="H1708">
        <v>7</v>
      </c>
      <c r="I1708">
        <v>6</v>
      </c>
      <c r="J1708" t="s">
        <v>34</v>
      </c>
      <c r="K1708" t="s">
        <v>24</v>
      </c>
      <c r="L1708">
        <v>66</v>
      </c>
      <c r="M1708">
        <v>85.935000000000002</v>
      </c>
      <c r="N1708">
        <v>88.531694000000002</v>
      </c>
      <c r="O1708">
        <v>23.878</v>
      </c>
      <c r="P1708">
        <v>32.432000000000002</v>
      </c>
      <c r="Q1708">
        <v>29.553999999999998</v>
      </c>
      <c r="R1708" t="s">
        <v>833</v>
      </c>
      <c r="S1708" t="s">
        <v>83</v>
      </c>
      <c r="T1708">
        <f>IF(TRIM(Table1[[#This Row],[PitStopLaps]])="",0,
LEN(Table1[[#This Row],[PitStopLaps]])-LEN(SUBSTITUTE(Table1[[#This Row],[PitStopLaps]],",",""))+1)</f>
        <v>3</v>
      </c>
      <c r="U1708">
        <f>Table1[[#This Row],[StartPosition]]-Table1[[#This Row],[FinishPosition]]</f>
        <v>5</v>
      </c>
    </row>
    <row r="1709" spans="1:21" x14ac:dyDescent="0.3">
      <c r="A1709">
        <v>2022</v>
      </c>
      <c r="B1709">
        <v>6</v>
      </c>
      <c r="C1709" t="s">
        <v>125</v>
      </c>
      <c r="D1709" t="s">
        <v>246</v>
      </c>
      <c r="E1709" t="s">
        <v>247</v>
      </c>
      <c r="F1709" t="s">
        <v>37</v>
      </c>
      <c r="G1709">
        <v>11</v>
      </c>
      <c r="H1709">
        <v>8</v>
      </c>
      <c r="I1709">
        <v>4</v>
      </c>
      <c r="J1709" t="s">
        <v>34</v>
      </c>
      <c r="K1709" t="s">
        <v>24</v>
      </c>
      <c r="L1709">
        <v>66</v>
      </c>
      <c r="M1709">
        <v>85.619</v>
      </c>
      <c r="N1709">
        <v>88.632305000000002</v>
      </c>
      <c r="O1709">
        <v>23.626999999999999</v>
      </c>
      <c r="P1709">
        <v>32.408999999999999</v>
      </c>
      <c r="Q1709">
        <v>29.478999999999999</v>
      </c>
      <c r="R1709" t="s">
        <v>834</v>
      </c>
      <c r="S1709" t="s">
        <v>83</v>
      </c>
      <c r="T1709">
        <f>IF(TRIM(Table1[[#This Row],[PitStopLaps]])="",0,
LEN(Table1[[#This Row],[PitStopLaps]])-LEN(SUBSTITUTE(Table1[[#This Row],[PitStopLaps]],",",""))+1)</f>
        <v>3</v>
      </c>
      <c r="U1709">
        <f>Table1[[#This Row],[StartPosition]]-Table1[[#This Row],[FinishPosition]]</f>
        <v>3</v>
      </c>
    </row>
    <row r="1710" spans="1:21" x14ac:dyDescent="0.3">
      <c r="A1710">
        <v>2022</v>
      </c>
      <c r="B1710">
        <v>6</v>
      </c>
      <c r="C1710" t="s">
        <v>125</v>
      </c>
      <c r="D1710" t="s">
        <v>35</v>
      </c>
      <c r="E1710" t="s">
        <v>36</v>
      </c>
      <c r="F1710" t="s">
        <v>607</v>
      </c>
      <c r="G1710">
        <v>20</v>
      </c>
      <c r="H1710">
        <v>9</v>
      </c>
      <c r="I1710">
        <v>2</v>
      </c>
      <c r="J1710" t="s">
        <v>34</v>
      </c>
      <c r="K1710" t="s">
        <v>65</v>
      </c>
      <c r="L1710">
        <v>65</v>
      </c>
      <c r="M1710">
        <v>86.599000000000004</v>
      </c>
      <c r="N1710">
        <v>88.741189000000006</v>
      </c>
      <c r="O1710">
        <v>23.821999999999999</v>
      </c>
      <c r="P1710">
        <v>32.656999999999996</v>
      </c>
      <c r="Q1710">
        <v>29.719000000000001</v>
      </c>
      <c r="R1710" t="s">
        <v>835</v>
      </c>
      <c r="S1710" t="s">
        <v>83</v>
      </c>
      <c r="T1710">
        <f>IF(TRIM(Table1[[#This Row],[PitStopLaps]])="",0,
LEN(Table1[[#This Row],[PitStopLaps]])-LEN(SUBSTITUTE(Table1[[#This Row],[PitStopLaps]],",",""))+1)</f>
        <v>3</v>
      </c>
      <c r="U1710">
        <f>Table1[[#This Row],[StartPosition]]-Table1[[#This Row],[FinishPosition]]</f>
        <v>11</v>
      </c>
    </row>
    <row r="1711" spans="1:21" x14ac:dyDescent="0.3">
      <c r="A1711">
        <v>2022</v>
      </c>
      <c r="B1711">
        <v>6</v>
      </c>
      <c r="C1711" t="s">
        <v>125</v>
      </c>
      <c r="D1711" t="s">
        <v>601</v>
      </c>
      <c r="E1711" t="s">
        <v>602</v>
      </c>
      <c r="F1711" t="s">
        <v>438</v>
      </c>
      <c r="G1711">
        <v>13</v>
      </c>
      <c r="H1711">
        <v>10</v>
      </c>
      <c r="I1711">
        <v>1</v>
      </c>
      <c r="J1711" t="s">
        <v>34</v>
      </c>
      <c r="K1711" t="s">
        <v>65</v>
      </c>
      <c r="L1711">
        <v>65</v>
      </c>
      <c r="M1711">
        <v>86.828000000000003</v>
      </c>
      <c r="N1711">
        <v>88.838499999999996</v>
      </c>
      <c r="O1711">
        <v>24.149000000000001</v>
      </c>
      <c r="P1711">
        <v>32.531999999999996</v>
      </c>
      <c r="Q1711">
        <v>29.72</v>
      </c>
      <c r="R1711" t="s">
        <v>836</v>
      </c>
      <c r="S1711" t="s">
        <v>83</v>
      </c>
      <c r="T1711">
        <f>IF(TRIM(Table1[[#This Row],[PitStopLaps]])="",0,
LEN(Table1[[#This Row],[PitStopLaps]])-LEN(SUBSTITUTE(Table1[[#This Row],[PitStopLaps]],",",""))+1)</f>
        <v>3</v>
      </c>
      <c r="U1711">
        <f>Table1[[#This Row],[StartPosition]]-Table1[[#This Row],[FinishPosition]]</f>
        <v>3</v>
      </c>
    </row>
    <row r="1712" spans="1:21" x14ac:dyDescent="0.3">
      <c r="A1712">
        <v>2022</v>
      </c>
      <c r="B1712">
        <v>6</v>
      </c>
      <c r="C1712" t="s">
        <v>125</v>
      </c>
      <c r="D1712" t="s">
        <v>20</v>
      </c>
      <c r="E1712" t="s">
        <v>21</v>
      </c>
      <c r="F1712" t="s">
        <v>603</v>
      </c>
      <c r="G1712">
        <v>16</v>
      </c>
      <c r="H1712">
        <v>11</v>
      </c>
      <c r="I1712">
        <v>0</v>
      </c>
      <c r="J1712" t="s">
        <v>34</v>
      </c>
      <c r="K1712" t="s">
        <v>65</v>
      </c>
      <c r="L1712">
        <v>65</v>
      </c>
      <c r="M1712">
        <v>87.629000000000005</v>
      </c>
      <c r="N1712">
        <v>89.440732999999994</v>
      </c>
      <c r="O1712">
        <v>24.114999999999998</v>
      </c>
      <c r="P1712">
        <v>33.139000000000003</v>
      </c>
      <c r="Q1712">
        <v>29.957000000000001</v>
      </c>
      <c r="R1712" t="s">
        <v>389</v>
      </c>
      <c r="S1712" t="s">
        <v>83</v>
      </c>
      <c r="T1712">
        <f>IF(TRIM(Table1[[#This Row],[PitStopLaps]])="",0,
LEN(Table1[[#This Row],[PitStopLaps]])-LEN(SUBSTITUTE(Table1[[#This Row],[PitStopLaps]],",",""))+1)</f>
        <v>2</v>
      </c>
      <c r="U1712">
        <f>Table1[[#This Row],[StartPosition]]-Table1[[#This Row],[FinishPosition]]</f>
        <v>5</v>
      </c>
    </row>
    <row r="1713" spans="1:21" x14ac:dyDescent="0.3">
      <c r="A1713">
        <v>2022</v>
      </c>
      <c r="B1713">
        <v>6</v>
      </c>
      <c r="C1713" t="s">
        <v>125</v>
      </c>
      <c r="D1713" t="s">
        <v>31</v>
      </c>
      <c r="E1713" t="s">
        <v>32</v>
      </c>
      <c r="F1713" t="s">
        <v>37</v>
      </c>
      <c r="G1713">
        <v>9</v>
      </c>
      <c r="H1713">
        <v>12</v>
      </c>
      <c r="I1713">
        <v>0</v>
      </c>
      <c r="J1713" t="s">
        <v>34</v>
      </c>
      <c r="K1713" t="s">
        <v>65</v>
      </c>
      <c r="L1713">
        <v>65</v>
      </c>
      <c r="M1713">
        <v>87.284999999999997</v>
      </c>
      <c r="N1713">
        <v>89.311965000000001</v>
      </c>
      <c r="O1713">
        <v>24.100999999999999</v>
      </c>
      <c r="P1713">
        <v>32.756999999999998</v>
      </c>
      <c r="Q1713">
        <v>30.262</v>
      </c>
      <c r="R1713" t="s">
        <v>837</v>
      </c>
      <c r="S1713" t="s">
        <v>83</v>
      </c>
      <c r="T1713">
        <f>IF(TRIM(Table1[[#This Row],[PitStopLaps]])="",0,
LEN(Table1[[#This Row],[PitStopLaps]])-LEN(SUBSTITUTE(Table1[[#This Row],[PitStopLaps]],",",""))+1)</f>
        <v>3</v>
      </c>
      <c r="U1713">
        <f>Table1[[#This Row],[StartPosition]]-Table1[[#This Row],[FinishPosition]]</f>
        <v>-3</v>
      </c>
    </row>
    <row r="1714" spans="1:21" x14ac:dyDescent="0.3">
      <c r="A1714">
        <v>2022</v>
      </c>
      <c r="B1714">
        <v>6</v>
      </c>
      <c r="C1714" t="s">
        <v>125</v>
      </c>
      <c r="D1714" t="s">
        <v>73</v>
      </c>
      <c r="E1714" t="s">
        <v>74</v>
      </c>
      <c r="F1714" t="s">
        <v>438</v>
      </c>
      <c r="G1714">
        <v>14</v>
      </c>
      <c r="H1714">
        <v>13</v>
      </c>
      <c r="I1714">
        <v>0</v>
      </c>
      <c r="J1714" t="s">
        <v>34</v>
      </c>
      <c r="K1714" t="s">
        <v>65</v>
      </c>
      <c r="L1714">
        <v>65</v>
      </c>
      <c r="M1714">
        <v>86.986999999999995</v>
      </c>
      <c r="N1714">
        <v>89.230620000000002</v>
      </c>
      <c r="O1714">
        <v>23.978000000000002</v>
      </c>
      <c r="P1714">
        <v>32.832000000000001</v>
      </c>
      <c r="Q1714">
        <v>29.861999999999998</v>
      </c>
      <c r="R1714" t="s">
        <v>838</v>
      </c>
      <c r="S1714" t="s">
        <v>83</v>
      </c>
      <c r="T1714">
        <f>IF(TRIM(Table1[[#This Row],[PitStopLaps]])="",0,
LEN(Table1[[#This Row],[PitStopLaps]])-LEN(SUBSTITUTE(Table1[[#This Row],[PitStopLaps]],",",""))+1)</f>
        <v>3</v>
      </c>
      <c r="U1714">
        <f>Table1[[#This Row],[StartPosition]]-Table1[[#This Row],[FinishPosition]]</f>
        <v>1</v>
      </c>
    </row>
    <row r="1715" spans="1:21" x14ac:dyDescent="0.3">
      <c r="A1715">
        <v>2022</v>
      </c>
      <c r="B1715">
        <v>6</v>
      </c>
      <c r="C1715" t="s">
        <v>125</v>
      </c>
      <c r="D1715" t="s">
        <v>608</v>
      </c>
      <c r="E1715" t="s">
        <v>609</v>
      </c>
      <c r="F1715" t="s">
        <v>69</v>
      </c>
      <c r="G1715">
        <v>10</v>
      </c>
      <c r="H1715">
        <v>14</v>
      </c>
      <c r="I1715">
        <v>0</v>
      </c>
      <c r="J1715" t="s">
        <v>34</v>
      </c>
      <c r="K1715" t="s">
        <v>65</v>
      </c>
      <c r="L1715">
        <v>65</v>
      </c>
      <c r="M1715">
        <v>87.447000000000003</v>
      </c>
      <c r="N1715">
        <v>89.746099999999998</v>
      </c>
      <c r="O1715">
        <v>24.241</v>
      </c>
      <c r="P1715">
        <v>33.006</v>
      </c>
      <c r="Q1715">
        <v>29.940999999999999</v>
      </c>
      <c r="R1715" t="s">
        <v>606</v>
      </c>
      <c r="S1715" t="s">
        <v>83</v>
      </c>
      <c r="T1715">
        <f>IF(TRIM(Table1[[#This Row],[PitStopLaps]])="",0,
LEN(Table1[[#This Row],[PitStopLaps]])-LEN(SUBSTITUTE(Table1[[#This Row],[PitStopLaps]],",",""))+1)</f>
        <v>2</v>
      </c>
      <c r="U1715">
        <f>Table1[[#This Row],[StartPosition]]-Table1[[#This Row],[FinishPosition]]</f>
        <v>-4</v>
      </c>
    </row>
    <row r="1716" spans="1:21" x14ac:dyDescent="0.3">
      <c r="A1716">
        <v>2022</v>
      </c>
      <c r="B1716">
        <v>6</v>
      </c>
      <c r="C1716" t="s">
        <v>125</v>
      </c>
      <c r="D1716" t="s">
        <v>58</v>
      </c>
      <c r="E1716" t="s">
        <v>59</v>
      </c>
      <c r="F1716" t="s">
        <v>603</v>
      </c>
      <c r="G1716">
        <v>17</v>
      </c>
      <c r="H1716">
        <v>15</v>
      </c>
      <c r="I1716">
        <v>0</v>
      </c>
      <c r="J1716" t="s">
        <v>34</v>
      </c>
      <c r="K1716" t="s">
        <v>65</v>
      </c>
      <c r="L1716">
        <v>65</v>
      </c>
      <c r="M1716">
        <v>86.876000000000005</v>
      </c>
      <c r="N1716">
        <v>89.377826999999996</v>
      </c>
      <c r="O1716">
        <v>24.071000000000002</v>
      </c>
      <c r="P1716">
        <v>32.802</v>
      </c>
      <c r="Q1716">
        <v>29.875</v>
      </c>
      <c r="R1716" t="s">
        <v>839</v>
      </c>
      <c r="S1716" t="s">
        <v>83</v>
      </c>
      <c r="T1716">
        <f>IF(TRIM(Table1[[#This Row],[PitStopLaps]])="",0,
LEN(Table1[[#This Row],[PitStopLaps]])-LEN(SUBSTITUTE(Table1[[#This Row],[PitStopLaps]],",",""))+1)</f>
        <v>3</v>
      </c>
      <c r="U1716">
        <f>Table1[[#This Row],[StartPosition]]-Table1[[#This Row],[FinishPosition]]</f>
        <v>2</v>
      </c>
    </row>
    <row r="1717" spans="1:21" x14ac:dyDescent="0.3">
      <c r="A1717">
        <v>2022</v>
      </c>
      <c r="B1717">
        <v>6</v>
      </c>
      <c r="C1717" t="s">
        <v>125</v>
      </c>
      <c r="D1717" t="s">
        <v>440</v>
      </c>
      <c r="E1717" t="s">
        <v>441</v>
      </c>
      <c r="F1717" t="s">
        <v>60</v>
      </c>
      <c r="G1717">
        <v>19</v>
      </c>
      <c r="H1717">
        <v>16</v>
      </c>
      <c r="I1717">
        <v>0</v>
      </c>
      <c r="J1717" t="s">
        <v>34</v>
      </c>
      <c r="K1717" t="s">
        <v>127</v>
      </c>
      <c r="L1717">
        <v>64</v>
      </c>
      <c r="M1717">
        <v>87.245999999999995</v>
      </c>
      <c r="N1717">
        <v>90.092490999999995</v>
      </c>
      <c r="O1717">
        <v>24.026</v>
      </c>
      <c r="P1717">
        <v>32.911999999999999</v>
      </c>
      <c r="Q1717">
        <v>30.161999999999999</v>
      </c>
      <c r="R1717" t="s">
        <v>840</v>
      </c>
      <c r="S1717" t="s">
        <v>83</v>
      </c>
      <c r="T1717">
        <f>IF(TRIM(Table1[[#This Row],[PitStopLaps]])="",0,
LEN(Table1[[#This Row],[PitStopLaps]])-LEN(SUBSTITUTE(Table1[[#This Row],[PitStopLaps]],",",""))+1)</f>
        <v>3</v>
      </c>
      <c r="U1717">
        <f>Table1[[#This Row],[StartPosition]]-Table1[[#This Row],[FinishPosition]]</f>
        <v>3</v>
      </c>
    </row>
    <row r="1718" spans="1:21" x14ac:dyDescent="0.3">
      <c r="A1718">
        <v>2022</v>
      </c>
      <c r="B1718">
        <v>6</v>
      </c>
      <c r="C1718" t="s">
        <v>125</v>
      </c>
      <c r="D1718" t="s">
        <v>71</v>
      </c>
      <c r="E1718" t="s">
        <v>72</v>
      </c>
      <c r="F1718" t="s">
        <v>69</v>
      </c>
      <c r="G1718">
        <v>8</v>
      </c>
      <c r="H1718">
        <v>17</v>
      </c>
      <c r="I1718">
        <v>0</v>
      </c>
      <c r="J1718" t="s">
        <v>34</v>
      </c>
      <c r="K1718" t="s">
        <v>127</v>
      </c>
      <c r="L1718">
        <v>64</v>
      </c>
      <c r="M1718">
        <v>87.537000000000006</v>
      </c>
      <c r="N1718">
        <v>89.901283000000006</v>
      </c>
      <c r="O1718">
        <v>24.238</v>
      </c>
      <c r="P1718">
        <v>32.850999999999999</v>
      </c>
      <c r="Q1718">
        <v>30.161999999999999</v>
      </c>
      <c r="R1718" t="s">
        <v>259</v>
      </c>
      <c r="S1718" t="s">
        <v>83</v>
      </c>
      <c r="T1718">
        <f>IF(TRIM(Table1[[#This Row],[PitStopLaps]])="",0,
LEN(Table1[[#This Row],[PitStopLaps]])-LEN(SUBSTITUTE(Table1[[#This Row],[PitStopLaps]],",",""))+1)</f>
        <v>2</v>
      </c>
      <c r="U1718">
        <f>Table1[[#This Row],[StartPosition]]-Table1[[#This Row],[FinishPosition]]</f>
        <v>-9</v>
      </c>
    </row>
    <row r="1719" spans="1:21" x14ac:dyDescent="0.3">
      <c r="A1719">
        <v>2022</v>
      </c>
      <c r="B1719">
        <v>6</v>
      </c>
      <c r="C1719" t="s">
        <v>125</v>
      </c>
      <c r="D1719" t="s">
        <v>248</v>
      </c>
      <c r="E1719" t="s">
        <v>249</v>
      </c>
      <c r="F1719" t="s">
        <v>60</v>
      </c>
      <c r="G1719">
        <v>18</v>
      </c>
      <c r="H1719">
        <v>18</v>
      </c>
      <c r="I1719">
        <v>0</v>
      </c>
      <c r="J1719" t="s">
        <v>34</v>
      </c>
      <c r="K1719" t="s">
        <v>127</v>
      </c>
      <c r="L1719">
        <v>64</v>
      </c>
      <c r="M1719">
        <v>88.281000000000006</v>
      </c>
      <c r="N1719">
        <v>90.467454000000004</v>
      </c>
      <c r="O1719">
        <v>24.498000000000001</v>
      </c>
      <c r="P1719">
        <v>33.503999999999998</v>
      </c>
      <c r="Q1719">
        <v>30.175999999999998</v>
      </c>
      <c r="R1719" t="s">
        <v>841</v>
      </c>
      <c r="S1719" t="s">
        <v>83</v>
      </c>
      <c r="T1719">
        <f>IF(TRIM(Table1[[#This Row],[PitStopLaps]])="",0,
LEN(Table1[[#This Row],[PitStopLaps]])-LEN(SUBSTITUTE(Table1[[#This Row],[PitStopLaps]],",",""))+1)</f>
        <v>4</v>
      </c>
      <c r="U1719">
        <f>Table1[[#This Row],[StartPosition]]-Table1[[#This Row],[FinishPosition]]</f>
        <v>0</v>
      </c>
    </row>
    <row r="1720" spans="1:21" x14ac:dyDescent="0.3">
      <c r="A1720">
        <v>2022</v>
      </c>
      <c r="B1720">
        <v>6</v>
      </c>
      <c r="C1720" t="s">
        <v>125</v>
      </c>
      <c r="D1720" t="s">
        <v>794</v>
      </c>
      <c r="E1720" t="s">
        <v>795</v>
      </c>
      <c r="F1720" t="s">
        <v>789</v>
      </c>
      <c r="G1720">
        <v>15</v>
      </c>
      <c r="H1720">
        <v>19</v>
      </c>
      <c r="I1720">
        <v>0</v>
      </c>
      <c r="J1720" t="s">
        <v>34</v>
      </c>
      <c r="K1720" t="s">
        <v>186</v>
      </c>
      <c r="L1720">
        <v>28</v>
      </c>
      <c r="M1720">
        <v>88.415000000000006</v>
      </c>
      <c r="N1720">
        <v>90.085125000000005</v>
      </c>
      <c r="O1720">
        <v>24.302</v>
      </c>
      <c r="P1720">
        <v>33.374000000000002</v>
      </c>
      <c r="Q1720">
        <v>30.335999999999999</v>
      </c>
      <c r="R1720" t="s">
        <v>88</v>
      </c>
      <c r="S1720" t="s">
        <v>83</v>
      </c>
      <c r="T1720">
        <f>IF(TRIM(Table1[[#This Row],[PitStopLaps]])="",0,
LEN(Table1[[#This Row],[PitStopLaps]])-LEN(SUBSTITUTE(Table1[[#This Row],[PitStopLaps]],",",""))+1)</f>
        <v>2</v>
      </c>
      <c r="U1720">
        <f>Table1[[#This Row],[StartPosition]]-Table1[[#This Row],[FinishPosition]]</f>
        <v>-4</v>
      </c>
    </row>
    <row r="1721" spans="1:21" x14ac:dyDescent="0.3">
      <c r="A1721">
        <v>2022</v>
      </c>
      <c r="B1721">
        <v>6</v>
      </c>
      <c r="C1721" t="s">
        <v>125</v>
      </c>
      <c r="D1721" t="s">
        <v>54</v>
      </c>
      <c r="E1721" t="s">
        <v>55</v>
      </c>
      <c r="F1721" t="s">
        <v>22</v>
      </c>
      <c r="G1721">
        <v>1</v>
      </c>
      <c r="H1721">
        <v>20</v>
      </c>
      <c r="I1721">
        <v>0</v>
      </c>
      <c r="J1721" t="s">
        <v>34</v>
      </c>
      <c r="K1721" t="s">
        <v>135</v>
      </c>
      <c r="L1721">
        <v>27</v>
      </c>
      <c r="M1721">
        <v>87.03</v>
      </c>
      <c r="N1721">
        <v>88.038651999999999</v>
      </c>
      <c r="O1721">
        <v>24.119</v>
      </c>
      <c r="P1721">
        <v>32.649000000000001</v>
      </c>
      <c r="Q1721">
        <v>29.853000000000002</v>
      </c>
      <c r="R1721" t="s">
        <v>842</v>
      </c>
      <c r="S1721" t="s">
        <v>83</v>
      </c>
      <c r="T1721">
        <f>IF(TRIM(Table1[[#This Row],[PitStopLaps]])="",0,
LEN(Table1[[#This Row],[PitStopLaps]])-LEN(SUBSTITUTE(Table1[[#This Row],[PitStopLaps]],",",""))+1)</f>
        <v>2</v>
      </c>
      <c r="U1721">
        <f>Table1[[#This Row],[StartPosition]]-Table1[[#This Row],[FinishPosition]]</f>
        <v>-19</v>
      </c>
    </row>
    <row r="1722" spans="1:21" x14ac:dyDescent="0.3">
      <c r="A1722">
        <v>2022</v>
      </c>
      <c r="B1722">
        <v>7</v>
      </c>
      <c r="C1722" t="s">
        <v>136</v>
      </c>
      <c r="D1722" t="s">
        <v>49</v>
      </c>
      <c r="E1722" t="s">
        <v>50</v>
      </c>
      <c r="F1722" t="s">
        <v>33</v>
      </c>
      <c r="G1722">
        <v>3</v>
      </c>
      <c r="H1722">
        <v>1</v>
      </c>
      <c r="I1722">
        <v>25</v>
      </c>
      <c r="J1722" t="s">
        <v>23</v>
      </c>
      <c r="K1722" t="s">
        <v>24</v>
      </c>
      <c r="L1722">
        <v>64</v>
      </c>
      <c r="M1722">
        <v>76.028000000000006</v>
      </c>
      <c r="N1722">
        <v>84.679395999999997</v>
      </c>
      <c r="O1722">
        <v>20.163</v>
      </c>
      <c r="P1722">
        <v>35.664999999999999</v>
      </c>
      <c r="Q1722">
        <v>20.067</v>
      </c>
      <c r="R1722" t="s">
        <v>843</v>
      </c>
      <c r="S1722" t="s">
        <v>25</v>
      </c>
      <c r="T1722">
        <f>IF(TRIM(Table1[[#This Row],[PitStopLaps]])="",0,
LEN(Table1[[#This Row],[PitStopLaps]])-LEN(SUBSTITUTE(Table1[[#This Row],[PitStopLaps]],",",""))+1)</f>
        <v>3</v>
      </c>
      <c r="U1722">
        <f>Table1[[#This Row],[StartPosition]]-Table1[[#This Row],[FinishPosition]]</f>
        <v>2</v>
      </c>
    </row>
    <row r="1723" spans="1:21" x14ac:dyDescent="0.3">
      <c r="A1723">
        <v>2022</v>
      </c>
      <c r="B1723">
        <v>7</v>
      </c>
      <c r="C1723" t="s">
        <v>136</v>
      </c>
      <c r="D1723" t="s">
        <v>47</v>
      </c>
      <c r="E1723" t="s">
        <v>48</v>
      </c>
      <c r="F1723" t="s">
        <v>22</v>
      </c>
      <c r="G1723">
        <v>2</v>
      </c>
      <c r="H1723">
        <v>2</v>
      </c>
      <c r="I1723">
        <v>18</v>
      </c>
      <c r="J1723" t="s">
        <v>23</v>
      </c>
      <c r="K1723" t="s">
        <v>24</v>
      </c>
      <c r="L1723">
        <v>64</v>
      </c>
      <c r="M1723">
        <v>76.421000000000006</v>
      </c>
      <c r="N1723">
        <v>85.237387999999996</v>
      </c>
      <c r="O1723">
        <v>20.103000000000002</v>
      </c>
      <c r="P1723">
        <v>35.764000000000003</v>
      </c>
      <c r="Q1723">
        <v>20.315999999999999</v>
      </c>
      <c r="R1723" t="s">
        <v>844</v>
      </c>
      <c r="S1723" t="s">
        <v>25</v>
      </c>
      <c r="T1723">
        <f>IF(TRIM(Table1[[#This Row],[PitStopLaps]])="",0,
LEN(Table1[[#This Row],[PitStopLaps]])-LEN(SUBSTITUTE(Table1[[#This Row],[PitStopLaps]],",",""))+1)</f>
        <v>2</v>
      </c>
      <c r="U1723">
        <f>Table1[[#This Row],[StartPosition]]-Table1[[#This Row],[FinishPosition]]</f>
        <v>0</v>
      </c>
    </row>
    <row r="1724" spans="1:21" x14ac:dyDescent="0.3">
      <c r="A1724">
        <v>2022</v>
      </c>
      <c r="B1724">
        <v>7</v>
      </c>
      <c r="C1724" t="s">
        <v>136</v>
      </c>
      <c r="D1724" t="s">
        <v>38</v>
      </c>
      <c r="E1724" t="s">
        <v>39</v>
      </c>
      <c r="F1724" t="s">
        <v>33</v>
      </c>
      <c r="G1724">
        <v>4</v>
      </c>
      <c r="H1724">
        <v>3</v>
      </c>
      <c r="I1724">
        <v>15</v>
      </c>
      <c r="J1724" t="s">
        <v>23</v>
      </c>
      <c r="K1724" t="s">
        <v>24</v>
      </c>
      <c r="L1724">
        <v>64</v>
      </c>
      <c r="M1724">
        <v>76.052000000000007</v>
      </c>
      <c r="N1724">
        <v>84.798402999999993</v>
      </c>
      <c r="O1724">
        <v>20.071999999999999</v>
      </c>
      <c r="P1724">
        <v>35.723999999999997</v>
      </c>
      <c r="Q1724">
        <v>20.114999999999998</v>
      </c>
      <c r="R1724" t="s">
        <v>845</v>
      </c>
      <c r="S1724" t="s">
        <v>25</v>
      </c>
      <c r="T1724">
        <f>IF(TRIM(Table1[[#This Row],[PitStopLaps]])="",0,
LEN(Table1[[#This Row],[PitStopLaps]])-LEN(SUBSTITUTE(Table1[[#This Row],[PitStopLaps]],",",""))+1)</f>
        <v>3</v>
      </c>
      <c r="U1724">
        <f>Table1[[#This Row],[StartPosition]]-Table1[[#This Row],[FinishPosition]]</f>
        <v>1</v>
      </c>
    </row>
    <row r="1725" spans="1:21" x14ac:dyDescent="0.3">
      <c r="A1725">
        <v>2022</v>
      </c>
      <c r="B1725">
        <v>7</v>
      </c>
      <c r="C1725" t="s">
        <v>136</v>
      </c>
      <c r="D1725" t="s">
        <v>54</v>
      </c>
      <c r="E1725" t="s">
        <v>55</v>
      </c>
      <c r="F1725" t="s">
        <v>22</v>
      </c>
      <c r="G1725">
        <v>1</v>
      </c>
      <c r="H1725">
        <v>4</v>
      </c>
      <c r="I1725">
        <v>12</v>
      </c>
      <c r="J1725" t="s">
        <v>34</v>
      </c>
      <c r="K1725" t="s">
        <v>24</v>
      </c>
      <c r="L1725">
        <v>64</v>
      </c>
      <c r="M1725">
        <v>76.248999999999995</v>
      </c>
      <c r="N1725">
        <v>84.704288000000005</v>
      </c>
      <c r="O1725">
        <v>20.113</v>
      </c>
      <c r="P1725">
        <v>35.789000000000001</v>
      </c>
      <c r="Q1725">
        <v>20.329999999999998</v>
      </c>
      <c r="R1725" t="s">
        <v>846</v>
      </c>
      <c r="S1725" t="s">
        <v>25</v>
      </c>
      <c r="T1725">
        <f>IF(TRIM(Table1[[#This Row],[PitStopLaps]])="",0,
LEN(Table1[[#This Row],[PitStopLaps]])-LEN(SUBSTITUTE(Table1[[#This Row],[PitStopLaps]],",",""))+1)</f>
        <v>3</v>
      </c>
      <c r="U1725">
        <f>Table1[[#This Row],[StartPosition]]-Table1[[#This Row],[FinishPosition]]</f>
        <v>-3</v>
      </c>
    </row>
    <row r="1726" spans="1:21" x14ac:dyDescent="0.3">
      <c r="A1726">
        <v>2022</v>
      </c>
      <c r="B1726">
        <v>7</v>
      </c>
      <c r="C1726" t="s">
        <v>136</v>
      </c>
      <c r="D1726" t="s">
        <v>252</v>
      </c>
      <c r="E1726" t="s">
        <v>253</v>
      </c>
      <c r="F1726" t="s">
        <v>28</v>
      </c>
      <c r="G1726">
        <v>6</v>
      </c>
      <c r="H1726">
        <v>5</v>
      </c>
      <c r="I1726">
        <v>10</v>
      </c>
      <c r="J1726" t="s">
        <v>34</v>
      </c>
      <c r="K1726" t="s">
        <v>24</v>
      </c>
      <c r="L1726">
        <v>64</v>
      </c>
      <c r="M1726">
        <v>76.83</v>
      </c>
      <c r="N1726">
        <v>85.498462000000004</v>
      </c>
      <c r="O1726">
        <v>20.420000000000002</v>
      </c>
      <c r="P1726">
        <v>35.837000000000003</v>
      </c>
      <c r="Q1726">
        <v>20.492000000000001</v>
      </c>
      <c r="R1726" t="s">
        <v>844</v>
      </c>
      <c r="S1726" t="s">
        <v>25</v>
      </c>
      <c r="T1726">
        <f>IF(TRIM(Table1[[#This Row],[PitStopLaps]])="",0,
LEN(Table1[[#This Row],[PitStopLaps]])-LEN(SUBSTITUTE(Table1[[#This Row],[PitStopLaps]],",",""))+1)</f>
        <v>2</v>
      </c>
      <c r="U1726">
        <f>Table1[[#This Row],[StartPosition]]-Table1[[#This Row],[FinishPosition]]</f>
        <v>1</v>
      </c>
    </row>
    <row r="1727" spans="1:21" x14ac:dyDescent="0.3">
      <c r="A1727">
        <v>2022</v>
      </c>
      <c r="B1727">
        <v>7</v>
      </c>
      <c r="C1727" t="s">
        <v>136</v>
      </c>
      <c r="D1727" t="s">
        <v>246</v>
      </c>
      <c r="E1727" t="s">
        <v>247</v>
      </c>
      <c r="F1727" t="s">
        <v>37</v>
      </c>
      <c r="G1727">
        <v>5</v>
      </c>
      <c r="H1727">
        <v>6</v>
      </c>
      <c r="I1727">
        <v>9</v>
      </c>
      <c r="J1727" t="s">
        <v>34</v>
      </c>
      <c r="K1727" t="s">
        <v>24</v>
      </c>
      <c r="L1727">
        <v>64</v>
      </c>
      <c r="M1727">
        <v>74.692999999999998</v>
      </c>
      <c r="N1727">
        <v>84.894859999999994</v>
      </c>
      <c r="O1727">
        <v>19.686</v>
      </c>
      <c r="P1727">
        <v>35.136000000000003</v>
      </c>
      <c r="Q1727">
        <v>19.733000000000001</v>
      </c>
      <c r="R1727" t="s">
        <v>847</v>
      </c>
      <c r="S1727" t="s">
        <v>25</v>
      </c>
      <c r="T1727">
        <f>IF(TRIM(Table1[[#This Row],[PitStopLaps]])="",0,
LEN(Table1[[#This Row],[PitStopLaps]])-LEN(SUBSTITUTE(Table1[[#This Row],[PitStopLaps]],",",""))+1)</f>
        <v>4</v>
      </c>
      <c r="U1727">
        <f>Table1[[#This Row],[StartPosition]]-Table1[[#This Row],[FinishPosition]]</f>
        <v>-1</v>
      </c>
    </row>
    <row r="1728" spans="1:21" x14ac:dyDescent="0.3">
      <c r="A1728">
        <v>2022</v>
      </c>
      <c r="B1728">
        <v>7</v>
      </c>
      <c r="C1728" t="s">
        <v>136</v>
      </c>
      <c r="D1728" t="s">
        <v>35</v>
      </c>
      <c r="E1728" t="s">
        <v>36</v>
      </c>
      <c r="F1728" t="s">
        <v>607</v>
      </c>
      <c r="G1728">
        <v>7</v>
      </c>
      <c r="H1728">
        <v>7</v>
      </c>
      <c r="I1728">
        <v>6</v>
      </c>
      <c r="J1728" t="s">
        <v>34</v>
      </c>
      <c r="K1728" t="s">
        <v>24</v>
      </c>
      <c r="L1728">
        <v>64</v>
      </c>
      <c r="M1728">
        <v>75.882000000000005</v>
      </c>
      <c r="N1728">
        <v>86.249887999999999</v>
      </c>
      <c r="O1728">
        <v>20.204999999999998</v>
      </c>
      <c r="P1728">
        <v>35.520000000000003</v>
      </c>
      <c r="Q1728">
        <v>20.027000000000001</v>
      </c>
      <c r="R1728" t="s">
        <v>844</v>
      </c>
      <c r="S1728" t="s">
        <v>25</v>
      </c>
      <c r="T1728">
        <f>IF(TRIM(Table1[[#This Row],[PitStopLaps]])="",0,
LEN(Table1[[#This Row],[PitStopLaps]])-LEN(SUBSTITUTE(Table1[[#This Row],[PitStopLaps]],",",""))+1)</f>
        <v>2</v>
      </c>
      <c r="U1728">
        <f>Table1[[#This Row],[StartPosition]]-Table1[[#This Row],[FinishPosition]]</f>
        <v>0</v>
      </c>
    </row>
    <row r="1729" spans="1:21" x14ac:dyDescent="0.3">
      <c r="A1729">
        <v>2022</v>
      </c>
      <c r="B1729">
        <v>7</v>
      </c>
      <c r="C1729" t="s">
        <v>136</v>
      </c>
      <c r="D1729" t="s">
        <v>26</v>
      </c>
      <c r="E1729" t="s">
        <v>27</v>
      </c>
      <c r="F1729" t="s">
        <v>28</v>
      </c>
      <c r="G1729">
        <v>8</v>
      </c>
      <c r="H1729">
        <v>8</v>
      </c>
      <c r="I1729">
        <v>4</v>
      </c>
      <c r="J1729" t="s">
        <v>34</v>
      </c>
      <c r="K1729" t="s">
        <v>24</v>
      </c>
      <c r="L1729">
        <v>64</v>
      </c>
      <c r="M1729">
        <v>77.203000000000003</v>
      </c>
      <c r="N1729">
        <v>85.992018999999999</v>
      </c>
      <c r="O1729">
        <v>20.231999999999999</v>
      </c>
      <c r="P1729">
        <v>36.195999999999998</v>
      </c>
      <c r="Q1729">
        <v>20.56</v>
      </c>
      <c r="R1729" t="s">
        <v>848</v>
      </c>
      <c r="S1729" t="s">
        <v>25</v>
      </c>
      <c r="T1729">
        <f>IF(TRIM(Table1[[#This Row],[PitStopLaps]])="",0,
LEN(Table1[[#This Row],[PitStopLaps]])-LEN(SUBSTITUTE(Table1[[#This Row],[PitStopLaps]],",",""))+1)</f>
        <v>3</v>
      </c>
      <c r="U1729">
        <f>Table1[[#This Row],[StartPosition]]-Table1[[#This Row],[FinishPosition]]</f>
        <v>0</v>
      </c>
    </row>
    <row r="1730" spans="1:21" x14ac:dyDescent="0.3">
      <c r="A1730">
        <v>2022</v>
      </c>
      <c r="B1730">
        <v>7</v>
      </c>
      <c r="C1730" t="s">
        <v>136</v>
      </c>
      <c r="D1730" t="s">
        <v>43</v>
      </c>
      <c r="E1730" t="s">
        <v>44</v>
      </c>
      <c r="F1730" t="s">
        <v>789</v>
      </c>
      <c r="G1730">
        <v>12</v>
      </c>
      <c r="H1730">
        <v>9</v>
      </c>
      <c r="I1730">
        <v>2</v>
      </c>
      <c r="J1730" t="s">
        <v>34</v>
      </c>
      <c r="K1730" t="s">
        <v>24</v>
      </c>
      <c r="L1730">
        <v>64</v>
      </c>
      <c r="M1730">
        <v>77.599999999999994</v>
      </c>
      <c r="N1730">
        <v>86.716184999999996</v>
      </c>
      <c r="O1730">
        <v>20.593</v>
      </c>
      <c r="P1730">
        <v>36.234000000000002</v>
      </c>
      <c r="Q1730">
        <v>20.61</v>
      </c>
      <c r="R1730" t="s">
        <v>849</v>
      </c>
      <c r="S1730" t="s">
        <v>25</v>
      </c>
      <c r="T1730">
        <f>IF(TRIM(Table1[[#This Row],[PitStopLaps]])="",0,
LEN(Table1[[#This Row],[PitStopLaps]])-LEN(SUBSTITUTE(Table1[[#This Row],[PitStopLaps]],",",""))+1)</f>
        <v>2</v>
      </c>
      <c r="U1730">
        <f>Table1[[#This Row],[StartPosition]]-Table1[[#This Row],[FinishPosition]]</f>
        <v>3</v>
      </c>
    </row>
    <row r="1731" spans="1:21" x14ac:dyDescent="0.3">
      <c r="A1731">
        <v>2022</v>
      </c>
      <c r="B1731">
        <v>7</v>
      </c>
      <c r="C1731" t="s">
        <v>136</v>
      </c>
      <c r="D1731" t="s">
        <v>20</v>
      </c>
      <c r="E1731" t="s">
        <v>21</v>
      </c>
      <c r="F1731" t="s">
        <v>603</v>
      </c>
      <c r="G1731">
        <v>9</v>
      </c>
      <c r="H1731">
        <v>10</v>
      </c>
      <c r="I1731">
        <v>1</v>
      </c>
      <c r="J1731" t="s">
        <v>34</v>
      </c>
      <c r="K1731" t="s">
        <v>24</v>
      </c>
      <c r="L1731">
        <v>64</v>
      </c>
      <c r="M1731">
        <v>77.558000000000007</v>
      </c>
      <c r="N1731">
        <v>86.004846000000001</v>
      </c>
      <c r="O1731">
        <v>20.640999999999998</v>
      </c>
      <c r="P1731">
        <v>36.128</v>
      </c>
      <c r="Q1731">
        <v>20.629000000000001</v>
      </c>
      <c r="R1731" t="s">
        <v>850</v>
      </c>
      <c r="S1731" t="s">
        <v>25</v>
      </c>
      <c r="T1731">
        <f>IF(TRIM(Table1[[#This Row],[PitStopLaps]])="",0,
LEN(Table1[[#This Row],[PitStopLaps]])-LEN(SUBSTITUTE(Table1[[#This Row],[PitStopLaps]],",",""))+1)</f>
        <v>3</v>
      </c>
      <c r="U1731">
        <f>Table1[[#This Row],[StartPosition]]-Table1[[#This Row],[FinishPosition]]</f>
        <v>-1</v>
      </c>
    </row>
    <row r="1732" spans="1:21" x14ac:dyDescent="0.3">
      <c r="A1732">
        <v>2022</v>
      </c>
      <c r="B1732">
        <v>7</v>
      </c>
      <c r="C1732" t="s">
        <v>136</v>
      </c>
      <c r="D1732" t="s">
        <v>73</v>
      </c>
      <c r="E1732" t="s">
        <v>74</v>
      </c>
      <c r="F1732" t="s">
        <v>438</v>
      </c>
      <c r="G1732">
        <v>17</v>
      </c>
      <c r="H1732">
        <v>11</v>
      </c>
      <c r="I1732">
        <v>0</v>
      </c>
      <c r="J1732" t="s">
        <v>34</v>
      </c>
      <c r="K1732" t="s">
        <v>24</v>
      </c>
      <c r="L1732">
        <v>64</v>
      </c>
      <c r="M1732">
        <v>77.343999999999994</v>
      </c>
      <c r="N1732">
        <v>85.913697999999997</v>
      </c>
      <c r="O1732">
        <v>20.547999999999998</v>
      </c>
      <c r="P1732">
        <v>36.338999999999999</v>
      </c>
      <c r="Q1732">
        <v>20.457000000000001</v>
      </c>
      <c r="R1732" t="s">
        <v>851</v>
      </c>
      <c r="S1732" t="s">
        <v>25</v>
      </c>
      <c r="T1732">
        <f>IF(TRIM(Table1[[#This Row],[PitStopLaps]])="",0,
LEN(Table1[[#This Row],[PitStopLaps]])-LEN(SUBSTITUTE(Table1[[#This Row],[PitStopLaps]],",",""))+1)</f>
        <v>3</v>
      </c>
      <c r="U1732">
        <f>Table1[[#This Row],[StartPosition]]-Table1[[#This Row],[FinishPosition]]</f>
        <v>6</v>
      </c>
    </row>
    <row r="1733" spans="1:21" x14ac:dyDescent="0.3">
      <c r="A1733">
        <v>2022</v>
      </c>
      <c r="B1733">
        <v>7</v>
      </c>
      <c r="C1733" t="s">
        <v>136</v>
      </c>
      <c r="D1733" t="s">
        <v>52</v>
      </c>
      <c r="E1733" t="s">
        <v>53</v>
      </c>
      <c r="F1733" t="s">
        <v>607</v>
      </c>
      <c r="G1733">
        <v>10</v>
      </c>
      <c r="H1733">
        <v>12</v>
      </c>
      <c r="I1733">
        <v>0</v>
      </c>
      <c r="J1733" t="s">
        <v>34</v>
      </c>
      <c r="K1733" t="s">
        <v>24</v>
      </c>
      <c r="L1733">
        <v>64</v>
      </c>
      <c r="M1733">
        <v>77.570999999999998</v>
      </c>
      <c r="N1733">
        <v>86.558684999999997</v>
      </c>
      <c r="O1733">
        <v>20.428999999999998</v>
      </c>
      <c r="P1733">
        <v>36.247999999999998</v>
      </c>
      <c r="Q1733">
        <v>20.712</v>
      </c>
      <c r="R1733" t="s">
        <v>844</v>
      </c>
      <c r="S1733" t="s">
        <v>25</v>
      </c>
      <c r="T1733">
        <f>IF(TRIM(Table1[[#This Row],[PitStopLaps]])="",0,
LEN(Table1[[#This Row],[PitStopLaps]])-LEN(SUBSTITUTE(Table1[[#This Row],[PitStopLaps]],",",""))+1)</f>
        <v>2</v>
      </c>
      <c r="U1733">
        <f>Table1[[#This Row],[StartPosition]]-Table1[[#This Row],[FinishPosition]]</f>
        <v>-2</v>
      </c>
    </row>
    <row r="1734" spans="1:21" x14ac:dyDescent="0.3">
      <c r="A1734">
        <v>2022</v>
      </c>
      <c r="B1734">
        <v>7</v>
      </c>
      <c r="C1734" t="s">
        <v>136</v>
      </c>
      <c r="D1734" t="s">
        <v>31</v>
      </c>
      <c r="E1734" t="s">
        <v>32</v>
      </c>
      <c r="F1734" t="s">
        <v>37</v>
      </c>
      <c r="G1734">
        <v>14</v>
      </c>
      <c r="H1734">
        <v>13</v>
      </c>
      <c r="I1734">
        <v>0</v>
      </c>
      <c r="J1734" t="s">
        <v>34</v>
      </c>
      <c r="K1734" t="s">
        <v>24</v>
      </c>
      <c r="L1734">
        <v>64</v>
      </c>
      <c r="M1734">
        <v>77.531999999999996</v>
      </c>
      <c r="N1734">
        <v>86.754165999999998</v>
      </c>
      <c r="O1734">
        <v>20.486999999999998</v>
      </c>
      <c r="P1734">
        <v>36.401000000000003</v>
      </c>
      <c r="Q1734">
        <v>20.556999999999999</v>
      </c>
      <c r="R1734" t="s">
        <v>852</v>
      </c>
      <c r="S1734" t="s">
        <v>25</v>
      </c>
      <c r="T1734">
        <f>IF(TRIM(Table1[[#This Row],[PitStopLaps]])="",0,
LEN(Table1[[#This Row],[PitStopLaps]])-LEN(SUBSTITUTE(Table1[[#This Row],[PitStopLaps]],",",""))+1)</f>
        <v>2</v>
      </c>
      <c r="U1734">
        <f>Table1[[#This Row],[StartPosition]]-Table1[[#This Row],[FinishPosition]]</f>
        <v>1</v>
      </c>
    </row>
    <row r="1735" spans="1:21" x14ac:dyDescent="0.3">
      <c r="A1735">
        <v>2022</v>
      </c>
      <c r="B1735">
        <v>7</v>
      </c>
      <c r="C1735" t="s">
        <v>136</v>
      </c>
      <c r="D1735" t="s">
        <v>58</v>
      </c>
      <c r="E1735" t="s">
        <v>59</v>
      </c>
      <c r="F1735" t="s">
        <v>603</v>
      </c>
      <c r="G1735">
        <v>18</v>
      </c>
      <c r="H1735">
        <v>14</v>
      </c>
      <c r="I1735">
        <v>0</v>
      </c>
      <c r="J1735" t="s">
        <v>34</v>
      </c>
      <c r="K1735" t="s">
        <v>24</v>
      </c>
      <c r="L1735">
        <v>64</v>
      </c>
      <c r="M1735">
        <v>77.671999999999997</v>
      </c>
      <c r="N1735">
        <v>85.948648000000006</v>
      </c>
      <c r="O1735">
        <v>20.571999999999999</v>
      </c>
      <c r="P1735">
        <v>36.335999999999999</v>
      </c>
      <c r="Q1735">
        <v>20.693000000000001</v>
      </c>
      <c r="R1735" t="s">
        <v>853</v>
      </c>
      <c r="S1735" t="s">
        <v>25</v>
      </c>
      <c r="T1735">
        <f>IF(TRIM(Table1[[#This Row],[PitStopLaps]])="",0,
LEN(Table1[[#This Row],[PitStopLaps]])-LEN(SUBSTITUTE(Table1[[#This Row],[PitStopLaps]],",",""))+1)</f>
        <v>4</v>
      </c>
      <c r="U1735">
        <f>Table1[[#This Row],[StartPosition]]-Table1[[#This Row],[FinishPosition]]</f>
        <v>4</v>
      </c>
    </row>
    <row r="1736" spans="1:21" x14ac:dyDescent="0.3">
      <c r="A1736">
        <v>2022</v>
      </c>
      <c r="B1736">
        <v>7</v>
      </c>
      <c r="C1736" t="s">
        <v>136</v>
      </c>
      <c r="D1736" t="s">
        <v>440</v>
      </c>
      <c r="E1736" t="s">
        <v>441</v>
      </c>
      <c r="F1736" t="s">
        <v>60</v>
      </c>
      <c r="G1736">
        <v>19</v>
      </c>
      <c r="H1736">
        <v>15</v>
      </c>
      <c r="I1736">
        <v>0</v>
      </c>
      <c r="J1736" t="s">
        <v>34</v>
      </c>
      <c r="K1736" t="s">
        <v>65</v>
      </c>
      <c r="L1736">
        <v>63</v>
      </c>
      <c r="M1736">
        <v>78.578999999999994</v>
      </c>
      <c r="N1736">
        <v>86.316269000000005</v>
      </c>
      <c r="O1736">
        <v>20.626999999999999</v>
      </c>
      <c r="P1736">
        <v>36.652999999999999</v>
      </c>
      <c r="Q1736">
        <v>20.745000000000001</v>
      </c>
      <c r="R1736" t="s">
        <v>854</v>
      </c>
      <c r="S1736" t="s">
        <v>25</v>
      </c>
      <c r="T1736">
        <f>IF(TRIM(Table1[[#This Row],[PitStopLaps]])="",0,
LEN(Table1[[#This Row],[PitStopLaps]])-LEN(SUBSTITUTE(Table1[[#This Row],[PitStopLaps]],",",""))+1)</f>
        <v>4</v>
      </c>
      <c r="U1736">
        <f>Table1[[#This Row],[StartPosition]]-Table1[[#This Row],[FinishPosition]]</f>
        <v>4</v>
      </c>
    </row>
    <row r="1737" spans="1:21" x14ac:dyDescent="0.3">
      <c r="A1737">
        <v>2022</v>
      </c>
      <c r="B1737">
        <v>7</v>
      </c>
      <c r="C1737" t="s">
        <v>136</v>
      </c>
      <c r="D1737" t="s">
        <v>794</v>
      </c>
      <c r="E1737" t="s">
        <v>795</v>
      </c>
      <c r="F1737" t="s">
        <v>789</v>
      </c>
      <c r="G1737">
        <v>20</v>
      </c>
      <c r="H1737">
        <v>16</v>
      </c>
      <c r="I1737">
        <v>0</v>
      </c>
      <c r="J1737" t="s">
        <v>34</v>
      </c>
      <c r="K1737" t="s">
        <v>65</v>
      </c>
      <c r="L1737">
        <v>63</v>
      </c>
      <c r="M1737">
        <v>78.2</v>
      </c>
      <c r="N1737">
        <v>87.372112999999999</v>
      </c>
      <c r="O1737">
        <v>20.64</v>
      </c>
      <c r="P1737">
        <v>36.796999999999997</v>
      </c>
      <c r="Q1737">
        <v>20.748000000000001</v>
      </c>
      <c r="R1737" t="s">
        <v>855</v>
      </c>
      <c r="S1737" t="s">
        <v>25</v>
      </c>
      <c r="T1737">
        <f>IF(TRIM(Table1[[#This Row],[PitStopLaps]])="",0,
LEN(Table1[[#This Row],[PitStopLaps]])-LEN(SUBSTITUTE(Table1[[#This Row],[PitStopLaps]],",",""))+1)</f>
        <v>2</v>
      </c>
      <c r="U1737">
        <f>Table1[[#This Row],[StartPosition]]-Table1[[#This Row],[FinishPosition]]</f>
        <v>4</v>
      </c>
    </row>
    <row r="1738" spans="1:21" x14ac:dyDescent="0.3">
      <c r="A1738">
        <v>2022</v>
      </c>
      <c r="B1738">
        <v>7</v>
      </c>
      <c r="C1738" t="s">
        <v>136</v>
      </c>
      <c r="D1738" t="s">
        <v>601</v>
      </c>
      <c r="E1738" t="s">
        <v>602</v>
      </c>
      <c r="F1738" t="s">
        <v>438</v>
      </c>
      <c r="G1738">
        <v>11</v>
      </c>
      <c r="H1738">
        <v>17</v>
      </c>
      <c r="I1738">
        <v>0</v>
      </c>
      <c r="J1738" t="s">
        <v>34</v>
      </c>
      <c r="K1738" t="s">
        <v>65</v>
      </c>
      <c r="L1738">
        <v>63</v>
      </c>
      <c r="M1738">
        <v>75.334000000000003</v>
      </c>
      <c r="N1738">
        <v>86.664243999999997</v>
      </c>
      <c r="O1738">
        <v>20.001000000000001</v>
      </c>
      <c r="P1738">
        <v>35.197000000000003</v>
      </c>
      <c r="Q1738">
        <v>20.135999999999999</v>
      </c>
      <c r="R1738" t="s">
        <v>856</v>
      </c>
      <c r="S1738" t="s">
        <v>25</v>
      </c>
      <c r="T1738">
        <f>IF(TRIM(Table1[[#This Row],[PitStopLaps]])="",0,
LEN(Table1[[#This Row],[PitStopLaps]])-LEN(SUBSTITUTE(Table1[[#This Row],[PitStopLaps]],",",""))+1)</f>
        <v>4</v>
      </c>
      <c r="U1738">
        <f>Table1[[#This Row],[StartPosition]]-Table1[[#This Row],[FinishPosition]]</f>
        <v>-6</v>
      </c>
    </row>
    <row r="1739" spans="1:21" x14ac:dyDescent="0.3">
      <c r="A1739">
        <v>2022</v>
      </c>
      <c r="B1739">
        <v>7</v>
      </c>
      <c r="C1739" t="s">
        <v>136</v>
      </c>
      <c r="D1739" t="s">
        <v>248</v>
      </c>
      <c r="E1739" t="s">
        <v>249</v>
      </c>
      <c r="F1739" t="s">
        <v>60</v>
      </c>
      <c r="G1739">
        <v>16</v>
      </c>
      <c r="H1739">
        <v>18</v>
      </c>
      <c r="I1739">
        <v>0</v>
      </c>
      <c r="J1739" t="s">
        <v>34</v>
      </c>
      <c r="K1739" t="s">
        <v>210</v>
      </c>
      <c r="L1739">
        <v>49</v>
      </c>
      <c r="M1739">
        <v>78.022999999999996</v>
      </c>
      <c r="N1739">
        <v>89.530637999999996</v>
      </c>
      <c r="O1739">
        <v>20.847999999999999</v>
      </c>
      <c r="P1739">
        <v>36.412999999999997</v>
      </c>
      <c r="Q1739">
        <v>20.629000000000001</v>
      </c>
      <c r="R1739" t="s">
        <v>857</v>
      </c>
      <c r="S1739" t="s">
        <v>25</v>
      </c>
      <c r="T1739">
        <f>IF(TRIM(Table1[[#This Row],[PitStopLaps]])="",0,
LEN(Table1[[#This Row],[PitStopLaps]])-LEN(SUBSTITUTE(Table1[[#This Row],[PitStopLaps]],",",""))+1)</f>
        <v>4</v>
      </c>
      <c r="U1739">
        <f>Table1[[#This Row],[StartPosition]]-Table1[[#This Row],[FinishPosition]]</f>
        <v>-2</v>
      </c>
    </row>
    <row r="1740" spans="1:21" x14ac:dyDescent="0.3">
      <c r="A1740">
        <v>2022</v>
      </c>
      <c r="B1740">
        <v>7</v>
      </c>
      <c r="C1740" t="s">
        <v>136</v>
      </c>
      <c r="D1740" t="s">
        <v>608</v>
      </c>
      <c r="E1740" t="s">
        <v>609</v>
      </c>
      <c r="F1740" t="s">
        <v>69</v>
      </c>
      <c r="G1740">
        <v>15</v>
      </c>
      <c r="H1740">
        <v>19</v>
      </c>
      <c r="I1740">
        <v>0</v>
      </c>
      <c r="J1740" t="s">
        <v>34</v>
      </c>
      <c r="K1740" t="s">
        <v>123</v>
      </c>
      <c r="L1740">
        <v>25</v>
      </c>
      <c r="M1740">
        <v>84.778000000000006</v>
      </c>
      <c r="N1740">
        <v>95.942443999999995</v>
      </c>
      <c r="O1740">
        <v>22.254999999999999</v>
      </c>
      <c r="P1740">
        <v>39.607999999999997</v>
      </c>
      <c r="Q1740">
        <v>22.376000000000001</v>
      </c>
      <c r="R1740" t="s">
        <v>858</v>
      </c>
      <c r="S1740" t="s">
        <v>25</v>
      </c>
      <c r="T1740">
        <f>IF(TRIM(Table1[[#This Row],[PitStopLaps]])="",0,
LEN(Table1[[#This Row],[PitStopLaps]])-LEN(SUBSTITUTE(Table1[[#This Row],[PitStopLaps]],",",""))+1)</f>
        <v>2</v>
      </c>
      <c r="U1740">
        <f>Table1[[#This Row],[StartPosition]]-Table1[[#This Row],[FinishPosition]]</f>
        <v>-4</v>
      </c>
    </row>
    <row r="1741" spans="1:21" x14ac:dyDescent="0.3">
      <c r="A1741">
        <v>2022</v>
      </c>
      <c r="B1741">
        <v>7</v>
      </c>
      <c r="C1741" t="s">
        <v>136</v>
      </c>
      <c r="D1741" t="s">
        <v>71</v>
      </c>
      <c r="E1741" t="s">
        <v>72</v>
      </c>
      <c r="F1741" t="s">
        <v>69</v>
      </c>
      <c r="G1741">
        <v>13</v>
      </c>
      <c r="H1741">
        <v>20</v>
      </c>
      <c r="I1741">
        <v>0</v>
      </c>
      <c r="J1741" t="s">
        <v>34</v>
      </c>
      <c r="K1741" t="s">
        <v>362</v>
      </c>
      <c r="L1741">
        <v>20</v>
      </c>
      <c r="M1741">
        <v>93.754000000000005</v>
      </c>
      <c r="N1741">
        <v>99.262293999999997</v>
      </c>
      <c r="O1741">
        <v>25.22</v>
      </c>
      <c r="P1741">
        <v>42.698999999999998</v>
      </c>
      <c r="Q1741">
        <v>25.529</v>
      </c>
      <c r="R1741">
        <v>20</v>
      </c>
      <c r="S1741" t="s">
        <v>25</v>
      </c>
      <c r="T1741">
        <f>IF(TRIM(Table1[[#This Row],[PitStopLaps]])="",0,
LEN(Table1[[#This Row],[PitStopLaps]])-LEN(SUBSTITUTE(Table1[[#This Row],[PitStopLaps]],",",""))+1)</f>
        <v>1</v>
      </c>
      <c r="U1741">
        <f>Table1[[#This Row],[StartPosition]]-Table1[[#This Row],[FinishPosition]]</f>
        <v>-7</v>
      </c>
    </row>
    <row r="1742" spans="1:21" x14ac:dyDescent="0.3">
      <c r="A1742">
        <v>2022</v>
      </c>
      <c r="B1742">
        <v>8</v>
      </c>
      <c r="C1742" t="s">
        <v>111</v>
      </c>
      <c r="D1742" t="s">
        <v>38</v>
      </c>
      <c r="E1742" t="s">
        <v>39</v>
      </c>
      <c r="F1742" t="s">
        <v>33</v>
      </c>
      <c r="G1742">
        <v>3</v>
      </c>
      <c r="H1742">
        <v>1</v>
      </c>
      <c r="I1742">
        <v>25</v>
      </c>
      <c r="J1742" t="s">
        <v>23</v>
      </c>
      <c r="K1742" t="s">
        <v>24</v>
      </c>
      <c r="L1742">
        <v>51</v>
      </c>
      <c r="M1742">
        <v>106.05</v>
      </c>
      <c r="N1742">
        <v>107.67965100000001</v>
      </c>
      <c r="O1742">
        <v>37.845999999999997</v>
      </c>
      <c r="P1742">
        <v>42.963999999999999</v>
      </c>
      <c r="Q1742">
        <v>25.108000000000001</v>
      </c>
      <c r="R1742" t="s">
        <v>859</v>
      </c>
      <c r="S1742" t="s">
        <v>83</v>
      </c>
      <c r="T1742">
        <f>IF(TRIM(Table1[[#This Row],[PitStopLaps]])="",0,
LEN(Table1[[#This Row],[PitStopLaps]])-LEN(SUBSTITUTE(Table1[[#This Row],[PitStopLaps]],",",""))+1)</f>
        <v>2</v>
      </c>
      <c r="U1742">
        <f>Table1[[#This Row],[StartPosition]]-Table1[[#This Row],[FinishPosition]]</f>
        <v>2</v>
      </c>
    </row>
    <row r="1743" spans="1:21" x14ac:dyDescent="0.3">
      <c r="A1743">
        <v>2022</v>
      </c>
      <c r="B1743">
        <v>8</v>
      </c>
      <c r="C1743" t="s">
        <v>111</v>
      </c>
      <c r="D1743" t="s">
        <v>49</v>
      </c>
      <c r="E1743" t="s">
        <v>50</v>
      </c>
      <c r="F1743" t="s">
        <v>33</v>
      </c>
      <c r="G1743">
        <v>2</v>
      </c>
      <c r="H1743">
        <v>2</v>
      </c>
      <c r="I1743">
        <v>19</v>
      </c>
      <c r="J1743" t="s">
        <v>23</v>
      </c>
      <c r="K1743" t="s">
        <v>24</v>
      </c>
      <c r="L1743">
        <v>51</v>
      </c>
      <c r="M1743">
        <v>106.04600000000001</v>
      </c>
      <c r="N1743">
        <v>108.01741800000001</v>
      </c>
      <c r="O1743">
        <v>37.872</v>
      </c>
      <c r="P1743">
        <v>42.847999999999999</v>
      </c>
      <c r="Q1743">
        <v>25.326000000000001</v>
      </c>
      <c r="R1743" t="s">
        <v>860</v>
      </c>
      <c r="S1743" t="s">
        <v>83</v>
      </c>
      <c r="T1743">
        <f>IF(TRIM(Table1[[#This Row],[PitStopLaps]])="",0,
LEN(Table1[[#This Row],[PitStopLaps]])-LEN(SUBSTITUTE(Table1[[#This Row],[PitStopLaps]],",",""))+1)</f>
        <v>2</v>
      </c>
      <c r="U1743">
        <f>Table1[[#This Row],[StartPosition]]-Table1[[#This Row],[FinishPosition]]</f>
        <v>0</v>
      </c>
    </row>
    <row r="1744" spans="1:21" x14ac:dyDescent="0.3">
      <c r="A1744">
        <v>2022</v>
      </c>
      <c r="B1744">
        <v>8</v>
      </c>
      <c r="C1744" t="s">
        <v>111</v>
      </c>
      <c r="D1744" t="s">
        <v>252</v>
      </c>
      <c r="E1744" t="s">
        <v>253</v>
      </c>
      <c r="F1744" t="s">
        <v>28</v>
      </c>
      <c r="G1744">
        <v>5</v>
      </c>
      <c r="H1744">
        <v>3</v>
      </c>
      <c r="I1744">
        <v>15</v>
      </c>
      <c r="J1744" t="s">
        <v>23</v>
      </c>
      <c r="K1744" t="s">
        <v>24</v>
      </c>
      <c r="L1744">
        <v>51</v>
      </c>
      <c r="M1744">
        <v>107.17700000000001</v>
      </c>
      <c r="N1744">
        <v>108.771933</v>
      </c>
      <c r="O1744">
        <v>38.11</v>
      </c>
      <c r="P1744">
        <v>43.195999999999998</v>
      </c>
      <c r="Q1744">
        <v>25.696000000000002</v>
      </c>
      <c r="R1744" t="s">
        <v>266</v>
      </c>
      <c r="S1744" t="s">
        <v>83</v>
      </c>
      <c r="T1744">
        <f>IF(TRIM(Table1[[#This Row],[PitStopLaps]])="",0,
LEN(Table1[[#This Row],[PitStopLaps]])-LEN(SUBSTITUTE(Table1[[#This Row],[PitStopLaps]],",",""))+1)</f>
        <v>2</v>
      </c>
      <c r="U1744">
        <f>Table1[[#This Row],[StartPosition]]-Table1[[#This Row],[FinishPosition]]</f>
        <v>2</v>
      </c>
    </row>
    <row r="1745" spans="1:21" x14ac:dyDescent="0.3">
      <c r="A1745">
        <v>2022</v>
      </c>
      <c r="B1745">
        <v>8</v>
      </c>
      <c r="C1745" t="s">
        <v>111</v>
      </c>
      <c r="D1745" t="s">
        <v>26</v>
      </c>
      <c r="E1745" t="s">
        <v>27</v>
      </c>
      <c r="F1745" t="s">
        <v>28</v>
      </c>
      <c r="G1745">
        <v>7</v>
      </c>
      <c r="H1745">
        <v>4</v>
      </c>
      <c r="I1745">
        <v>12</v>
      </c>
      <c r="J1745" t="s">
        <v>34</v>
      </c>
      <c r="K1745" t="s">
        <v>24</v>
      </c>
      <c r="L1745">
        <v>51</v>
      </c>
      <c r="M1745">
        <v>107.044</v>
      </c>
      <c r="N1745">
        <v>109.28275499999999</v>
      </c>
      <c r="O1745">
        <v>38.195</v>
      </c>
      <c r="P1745">
        <v>43.094999999999999</v>
      </c>
      <c r="Q1745">
        <v>25.434999999999999</v>
      </c>
      <c r="R1745" t="s">
        <v>266</v>
      </c>
      <c r="S1745" t="s">
        <v>83</v>
      </c>
      <c r="T1745">
        <f>IF(TRIM(Table1[[#This Row],[PitStopLaps]])="",0,
LEN(Table1[[#This Row],[PitStopLaps]])-LEN(SUBSTITUTE(Table1[[#This Row],[PitStopLaps]],",",""))+1)</f>
        <v>2</v>
      </c>
      <c r="U1745">
        <f>Table1[[#This Row],[StartPosition]]-Table1[[#This Row],[FinishPosition]]</f>
        <v>3</v>
      </c>
    </row>
    <row r="1746" spans="1:21" x14ac:dyDescent="0.3">
      <c r="A1746">
        <v>2022</v>
      </c>
      <c r="B1746">
        <v>8</v>
      </c>
      <c r="C1746" t="s">
        <v>111</v>
      </c>
      <c r="D1746" t="s">
        <v>73</v>
      </c>
      <c r="E1746" t="s">
        <v>74</v>
      </c>
      <c r="F1746" t="s">
        <v>438</v>
      </c>
      <c r="G1746">
        <v>6</v>
      </c>
      <c r="H1746">
        <v>5</v>
      </c>
      <c r="I1746">
        <v>10</v>
      </c>
      <c r="J1746" t="s">
        <v>34</v>
      </c>
      <c r="K1746" t="s">
        <v>24</v>
      </c>
      <c r="L1746">
        <v>51</v>
      </c>
      <c r="M1746">
        <v>108.51900000000001</v>
      </c>
      <c r="N1746">
        <v>109.632977</v>
      </c>
      <c r="O1746">
        <v>38.658999999999999</v>
      </c>
      <c r="P1746">
        <v>43.941000000000003</v>
      </c>
      <c r="Q1746">
        <v>25.425999999999998</v>
      </c>
      <c r="R1746">
        <v>9</v>
      </c>
      <c r="S1746" t="s">
        <v>83</v>
      </c>
      <c r="T1746">
        <f>IF(TRIM(Table1[[#This Row],[PitStopLaps]])="",0,
LEN(Table1[[#This Row],[PitStopLaps]])-LEN(SUBSTITUTE(Table1[[#This Row],[PitStopLaps]],",",""))+1)</f>
        <v>1</v>
      </c>
      <c r="U1746">
        <f>Table1[[#This Row],[StartPosition]]-Table1[[#This Row],[FinishPosition]]</f>
        <v>1</v>
      </c>
    </row>
    <row r="1747" spans="1:21" x14ac:dyDescent="0.3">
      <c r="A1747">
        <v>2022</v>
      </c>
      <c r="B1747">
        <v>8</v>
      </c>
      <c r="C1747" t="s">
        <v>111</v>
      </c>
      <c r="D1747" t="s">
        <v>20</v>
      </c>
      <c r="E1747" t="s">
        <v>21</v>
      </c>
      <c r="F1747" t="s">
        <v>603</v>
      </c>
      <c r="G1747">
        <v>9</v>
      </c>
      <c r="H1747">
        <v>6</v>
      </c>
      <c r="I1747">
        <v>8</v>
      </c>
      <c r="J1747" t="s">
        <v>34</v>
      </c>
      <c r="K1747" t="s">
        <v>24</v>
      </c>
      <c r="L1747">
        <v>51</v>
      </c>
      <c r="M1747">
        <v>108.206</v>
      </c>
      <c r="N1747">
        <v>109.802577</v>
      </c>
      <c r="O1747">
        <v>38.707999999999998</v>
      </c>
      <c r="P1747">
        <v>43.987000000000002</v>
      </c>
      <c r="Q1747">
        <v>25.317</v>
      </c>
      <c r="R1747">
        <v>9</v>
      </c>
      <c r="S1747" t="s">
        <v>83</v>
      </c>
      <c r="T1747">
        <f>IF(TRIM(Table1[[#This Row],[PitStopLaps]])="",0,
LEN(Table1[[#This Row],[PitStopLaps]])-LEN(SUBSTITUTE(Table1[[#This Row],[PitStopLaps]],",",""))+1)</f>
        <v>1</v>
      </c>
      <c r="U1747">
        <f>Table1[[#This Row],[StartPosition]]-Table1[[#This Row],[FinishPosition]]</f>
        <v>3</v>
      </c>
    </row>
    <row r="1748" spans="1:21" x14ac:dyDescent="0.3">
      <c r="A1748">
        <v>2022</v>
      </c>
      <c r="B1748">
        <v>8</v>
      </c>
      <c r="C1748" t="s">
        <v>111</v>
      </c>
      <c r="D1748" t="s">
        <v>35</v>
      </c>
      <c r="E1748" t="s">
        <v>36</v>
      </c>
      <c r="F1748" t="s">
        <v>607</v>
      </c>
      <c r="G1748">
        <v>10</v>
      </c>
      <c r="H1748">
        <v>7</v>
      </c>
      <c r="I1748">
        <v>6</v>
      </c>
      <c r="J1748" t="s">
        <v>34</v>
      </c>
      <c r="K1748" t="s">
        <v>24</v>
      </c>
      <c r="L1748">
        <v>51</v>
      </c>
      <c r="M1748">
        <v>107.989</v>
      </c>
      <c r="N1748">
        <v>109.600409</v>
      </c>
      <c r="O1748">
        <v>38.832999999999998</v>
      </c>
      <c r="P1748">
        <v>43.911000000000001</v>
      </c>
      <c r="Q1748">
        <v>25.079000000000001</v>
      </c>
      <c r="R1748">
        <v>18</v>
      </c>
      <c r="S1748" t="s">
        <v>83</v>
      </c>
      <c r="T1748">
        <f>IF(TRIM(Table1[[#This Row],[PitStopLaps]])="",0,
LEN(Table1[[#This Row],[PitStopLaps]])-LEN(SUBSTITUTE(Table1[[#This Row],[PitStopLaps]],",",""))+1)</f>
        <v>1</v>
      </c>
      <c r="U1748">
        <f>Table1[[#This Row],[StartPosition]]-Table1[[#This Row],[FinishPosition]]</f>
        <v>3</v>
      </c>
    </row>
    <row r="1749" spans="1:21" x14ac:dyDescent="0.3">
      <c r="A1749">
        <v>2022</v>
      </c>
      <c r="B1749">
        <v>8</v>
      </c>
      <c r="C1749" t="s">
        <v>111</v>
      </c>
      <c r="D1749" t="s">
        <v>31</v>
      </c>
      <c r="E1749" t="s">
        <v>32</v>
      </c>
      <c r="F1749" t="s">
        <v>37</v>
      </c>
      <c r="G1749">
        <v>12</v>
      </c>
      <c r="H1749">
        <v>8</v>
      </c>
      <c r="I1749">
        <v>4</v>
      </c>
      <c r="J1749" t="s">
        <v>34</v>
      </c>
      <c r="K1749" t="s">
        <v>24</v>
      </c>
      <c r="L1749">
        <v>51</v>
      </c>
      <c r="M1749">
        <v>108.276</v>
      </c>
      <c r="N1749">
        <v>109.90330400000001</v>
      </c>
      <c r="O1749">
        <v>38.524999999999999</v>
      </c>
      <c r="P1749">
        <v>43.771000000000001</v>
      </c>
      <c r="Q1749">
        <v>25.626000000000001</v>
      </c>
      <c r="R1749">
        <v>33</v>
      </c>
      <c r="S1749" t="s">
        <v>83</v>
      </c>
      <c r="T1749">
        <f>IF(TRIM(Table1[[#This Row],[PitStopLaps]])="",0,
LEN(Table1[[#This Row],[PitStopLaps]])-LEN(SUBSTITUTE(Table1[[#This Row],[PitStopLaps]],",",""))+1)</f>
        <v>1</v>
      </c>
      <c r="U1749">
        <f>Table1[[#This Row],[StartPosition]]-Table1[[#This Row],[FinishPosition]]</f>
        <v>4</v>
      </c>
    </row>
    <row r="1750" spans="1:21" x14ac:dyDescent="0.3">
      <c r="A1750">
        <v>2022</v>
      </c>
      <c r="B1750">
        <v>8</v>
      </c>
      <c r="C1750" t="s">
        <v>111</v>
      </c>
      <c r="D1750" t="s">
        <v>246</v>
      </c>
      <c r="E1750" t="s">
        <v>247</v>
      </c>
      <c r="F1750" t="s">
        <v>37</v>
      </c>
      <c r="G1750">
        <v>11</v>
      </c>
      <c r="H1750">
        <v>9</v>
      </c>
      <c r="I1750">
        <v>2</v>
      </c>
      <c r="J1750" t="s">
        <v>34</v>
      </c>
      <c r="K1750" t="s">
        <v>24</v>
      </c>
      <c r="L1750">
        <v>51</v>
      </c>
      <c r="M1750">
        <v>107.997</v>
      </c>
      <c r="N1750">
        <v>109.64425</v>
      </c>
      <c r="O1750">
        <v>38.545999999999999</v>
      </c>
      <c r="P1750">
        <v>43.55</v>
      </c>
      <c r="Q1750">
        <v>25.408999999999999</v>
      </c>
      <c r="R1750">
        <v>20</v>
      </c>
      <c r="S1750" t="s">
        <v>83</v>
      </c>
      <c r="T1750">
        <f>IF(TRIM(Table1[[#This Row],[PitStopLaps]])="",0,
LEN(Table1[[#This Row],[PitStopLaps]])-LEN(SUBSTITUTE(Table1[[#This Row],[PitStopLaps]],",",""))+1)</f>
        <v>1</v>
      </c>
      <c r="U1750">
        <f>Table1[[#This Row],[StartPosition]]-Table1[[#This Row],[FinishPosition]]</f>
        <v>2</v>
      </c>
    </row>
    <row r="1751" spans="1:21" x14ac:dyDescent="0.3">
      <c r="A1751">
        <v>2022</v>
      </c>
      <c r="B1751">
        <v>8</v>
      </c>
      <c r="C1751" t="s">
        <v>111</v>
      </c>
      <c r="D1751" t="s">
        <v>52</v>
      </c>
      <c r="E1751" t="s">
        <v>53</v>
      </c>
      <c r="F1751" t="s">
        <v>607</v>
      </c>
      <c r="G1751">
        <v>13</v>
      </c>
      <c r="H1751">
        <v>10</v>
      </c>
      <c r="I1751">
        <v>1</v>
      </c>
      <c r="J1751" t="s">
        <v>34</v>
      </c>
      <c r="K1751" t="s">
        <v>24</v>
      </c>
      <c r="L1751">
        <v>51</v>
      </c>
      <c r="M1751">
        <v>108.297</v>
      </c>
      <c r="N1751">
        <v>110.246347</v>
      </c>
      <c r="O1751">
        <v>38.734999999999999</v>
      </c>
      <c r="P1751">
        <v>43.994999999999997</v>
      </c>
      <c r="Q1751">
        <v>25.417000000000002</v>
      </c>
      <c r="R1751">
        <v>33</v>
      </c>
      <c r="S1751" t="s">
        <v>83</v>
      </c>
      <c r="T1751">
        <f>IF(TRIM(Table1[[#This Row],[PitStopLaps]])="",0,
LEN(Table1[[#This Row],[PitStopLaps]])-LEN(SUBSTITUTE(Table1[[#This Row],[PitStopLaps]],",",""))+1)</f>
        <v>1</v>
      </c>
      <c r="U1751">
        <f>Table1[[#This Row],[StartPosition]]-Table1[[#This Row],[FinishPosition]]</f>
        <v>3</v>
      </c>
    </row>
    <row r="1752" spans="1:21" x14ac:dyDescent="0.3">
      <c r="A1752">
        <v>2022</v>
      </c>
      <c r="B1752">
        <v>8</v>
      </c>
      <c r="C1752" t="s">
        <v>111</v>
      </c>
      <c r="D1752" t="s">
        <v>43</v>
      </c>
      <c r="E1752" t="s">
        <v>44</v>
      </c>
      <c r="F1752" t="s">
        <v>789</v>
      </c>
      <c r="G1752">
        <v>15</v>
      </c>
      <c r="H1752">
        <v>11</v>
      </c>
      <c r="I1752">
        <v>0</v>
      </c>
      <c r="J1752" t="s">
        <v>34</v>
      </c>
      <c r="K1752" t="s">
        <v>65</v>
      </c>
      <c r="L1752">
        <v>50</v>
      </c>
      <c r="M1752">
        <v>108.179</v>
      </c>
      <c r="N1752">
        <v>110.352</v>
      </c>
      <c r="O1752">
        <v>38.615000000000002</v>
      </c>
      <c r="P1752">
        <v>43.512999999999998</v>
      </c>
      <c r="Q1752">
        <v>25.635000000000002</v>
      </c>
      <c r="R1752">
        <v>33</v>
      </c>
      <c r="S1752" t="s">
        <v>83</v>
      </c>
      <c r="T1752">
        <f>IF(TRIM(Table1[[#This Row],[PitStopLaps]])="",0,
LEN(Table1[[#This Row],[PitStopLaps]])-LEN(SUBSTITUTE(Table1[[#This Row],[PitStopLaps]],",",""))+1)</f>
        <v>1</v>
      </c>
      <c r="U1752">
        <f>Table1[[#This Row],[StartPosition]]-Table1[[#This Row],[FinishPosition]]</f>
        <v>4</v>
      </c>
    </row>
    <row r="1753" spans="1:21" x14ac:dyDescent="0.3">
      <c r="A1753">
        <v>2022</v>
      </c>
      <c r="B1753">
        <v>8</v>
      </c>
      <c r="C1753" t="s">
        <v>111</v>
      </c>
      <c r="D1753" t="s">
        <v>248</v>
      </c>
      <c r="E1753" t="s">
        <v>249</v>
      </c>
      <c r="F1753" t="s">
        <v>60</v>
      </c>
      <c r="G1753">
        <v>17</v>
      </c>
      <c r="H1753">
        <v>12</v>
      </c>
      <c r="I1753">
        <v>0</v>
      </c>
      <c r="J1753" t="s">
        <v>34</v>
      </c>
      <c r="K1753" t="s">
        <v>65</v>
      </c>
      <c r="L1753">
        <v>50</v>
      </c>
      <c r="M1753">
        <v>107.96599999999999</v>
      </c>
      <c r="N1753">
        <v>109.845595</v>
      </c>
      <c r="O1753">
        <v>38.408000000000001</v>
      </c>
      <c r="P1753">
        <v>43.84</v>
      </c>
      <c r="Q1753">
        <v>25.434000000000001</v>
      </c>
      <c r="R1753" t="s">
        <v>410</v>
      </c>
      <c r="S1753" t="s">
        <v>83</v>
      </c>
      <c r="T1753">
        <f>IF(TRIM(Table1[[#This Row],[PitStopLaps]])="",0,
LEN(Table1[[#This Row],[PitStopLaps]])-LEN(SUBSTITUTE(Table1[[#This Row],[PitStopLaps]],",",""))+1)</f>
        <v>2</v>
      </c>
      <c r="U1753">
        <f>Table1[[#This Row],[StartPosition]]-Table1[[#This Row],[FinishPosition]]</f>
        <v>5</v>
      </c>
    </row>
    <row r="1754" spans="1:21" x14ac:dyDescent="0.3">
      <c r="A1754">
        <v>2022</v>
      </c>
      <c r="B1754">
        <v>8</v>
      </c>
      <c r="C1754" t="s">
        <v>111</v>
      </c>
      <c r="D1754" t="s">
        <v>601</v>
      </c>
      <c r="E1754" t="s">
        <v>602</v>
      </c>
      <c r="F1754" t="s">
        <v>438</v>
      </c>
      <c r="G1754">
        <v>8</v>
      </c>
      <c r="H1754">
        <v>13</v>
      </c>
      <c r="I1754">
        <v>0</v>
      </c>
      <c r="J1754" t="s">
        <v>34</v>
      </c>
      <c r="K1754" t="s">
        <v>65</v>
      </c>
      <c r="L1754">
        <v>50</v>
      </c>
      <c r="M1754">
        <v>107.523</v>
      </c>
      <c r="N1754">
        <v>109.56990399999999</v>
      </c>
      <c r="O1754">
        <v>38.304000000000002</v>
      </c>
      <c r="P1754">
        <v>43.395000000000003</v>
      </c>
      <c r="Q1754">
        <v>25.497</v>
      </c>
      <c r="R1754" t="s">
        <v>861</v>
      </c>
      <c r="S1754" t="s">
        <v>83</v>
      </c>
      <c r="T1754">
        <f>IF(TRIM(Table1[[#This Row],[PitStopLaps]])="",0,
LEN(Table1[[#This Row],[PitStopLaps]])-LEN(SUBSTITUTE(Table1[[#This Row],[PitStopLaps]],",",""))+1)</f>
        <v>2</v>
      </c>
      <c r="U1754">
        <f>Table1[[#This Row],[StartPosition]]-Table1[[#This Row],[FinishPosition]]</f>
        <v>-5</v>
      </c>
    </row>
    <row r="1755" spans="1:21" x14ac:dyDescent="0.3">
      <c r="A1755">
        <v>2022</v>
      </c>
      <c r="B1755">
        <v>8</v>
      </c>
      <c r="C1755" t="s">
        <v>111</v>
      </c>
      <c r="D1755" t="s">
        <v>608</v>
      </c>
      <c r="E1755" t="s">
        <v>609</v>
      </c>
      <c r="F1755" t="s">
        <v>69</v>
      </c>
      <c r="G1755">
        <v>20</v>
      </c>
      <c r="H1755">
        <v>14</v>
      </c>
      <c r="I1755">
        <v>0</v>
      </c>
      <c r="J1755" t="s">
        <v>34</v>
      </c>
      <c r="K1755" t="s">
        <v>65</v>
      </c>
      <c r="L1755">
        <v>50</v>
      </c>
      <c r="M1755">
        <v>108.41</v>
      </c>
      <c r="N1755">
        <v>110.382785</v>
      </c>
      <c r="O1755">
        <v>38.658999999999999</v>
      </c>
      <c r="P1755">
        <v>43.709000000000003</v>
      </c>
      <c r="Q1755">
        <v>25.712</v>
      </c>
      <c r="R1755" t="s">
        <v>862</v>
      </c>
      <c r="S1755" t="s">
        <v>83</v>
      </c>
      <c r="T1755">
        <f>IF(TRIM(Table1[[#This Row],[PitStopLaps]])="",0,
LEN(Table1[[#This Row],[PitStopLaps]])-LEN(SUBSTITUTE(Table1[[#This Row],[PitStopLaps]],",",""))+1)</f>
        <v>2</v>
      </c>
      <c r="U1755">
        <f>Table1[[#This Row],[StartPosition]]-Table1[[#This Row],[FinishPosition]]</f>
        <v>6</v>
      </c>
    </row>
    <row r="1756" spans="1:21" x14ac:dyDescent="0.3">
      <c r="A1756">
        <v>2022</v>
      </c>
      <c r="B1756">
        <v>8</v>
      </c>
      <c r="C1756" t="s">
        <v>111</v>
      </c>
      <c r="D1756" t="s">
        <v>440</v>
      </c>
      <c r="E1756" t="s">
        <v>441</v>
      </c>
      <c r="F1756" t="s">
        <v>60</v>
      </c>
      <c r="G1756">
        <v>18</v>
      </c>
      <c r="H1756">
        <v>15</v>
      </c>
      <c r="I1756">
        <v>0</v>
      </c>
      <c r="J1756" t="s">
        <v>34</v>
      </c>
      <c r="K1756" t="s">
        <v>65</v>
      </c>
      <c r="L1756">
        <v>50</v>
      </c>
      <c r="M1756">
        <v>109.583</v>
      </c>
      <c r="N1756">
        <v>111.304875</v>
      </c>
      <c r="O1756">
        <v>39.094999999999999</v>
      </c>
      <c r="P1756">
        <v>44.793999999999997</v>
      </c>
      <c r="Q1756">
        <v>25.571999999999999</v>
      </c>
      <c r="R1756" t="s">
        <v>863</v>
      </c>
      <c r="S1756" t="s">
        <v>83</v>
      </c>
      <c r="T1756">
        <f>IF(TRIM(Table1[[#This Row],[PitStopLaps]])="",0,
LEN(Table1[[#This Row],[PitStopLaps]])-LEN(SUBSTITUTE(Table1[[#This Row],[PitStopLaps]],",",""))+1)</f>
        <v>2</v>
      </c>
      <c r="U1756">
        <f>Table1[[#This Row],[StartPosition]]-Table1[[#This Row],[FinishPosition]]</f>
        <v>3</v>
      </c>
    </row>
    <row r="1757" spans="1:21" x14ac:dyDescent="0.3">
      <c r="A1757">
        <v>2022</v>
      </c>
      <c r="B1757">
        <v>8</v>
      </c>
      <c r="C1757" t="s">
        <v>111</v>
      </c>
      <c r="D1757" t="s">
        <v>58</v>
      </c>
      <c r="E1757" t="s">
        <v>59</v>
      </c>
      <c r="F1757" t="s">
        <v>603</v>
      </c>
      <c r="G1757">
        <v>19</v>
      </c>
      <c r="H1757">
        <v>16</v>
      </c>
      <c r="I1757">
        <v>0</v>
      </c>
      <c r="J1757" t="s">
        <v>34</v>
      </c>
      <c r="K1757" t="s">
        <v>864</v>
      </c>
      <c r="L1757">
        <v>46</v>
      </c>
      <c r="M1757">
        <v>108.038</v>
      </c>
      <c r="N1757">
        <v>110.753</v>
      </c>
      <c r="O1757">
        <v>38.636000000000003</v>
      </c>
      <c r="P1757">
        <v>43.954999999999998</v>
      </c>
      <c r="Q1757">
        <v>25.446999999999999</v>
      </c>
      <c r="R1757" t="s">
        <v>865</v>
      </c>
      <c r="S1757" t="s">
        <v>83</v>
      </c>
      <c r="T1757">
        <f>IF(TRIM(Table1[[#This Row],[PitStopLaps]])="",0,
LEN(Table1[[#This Row],[PitStopLaps]])-LEN(SUBSTITUTE(Table1[[#This Row],[PitStopLaps]],",",""))+1)</f>
        <v>2</v>
      </c>
      <c r="U1757">
        <f>Table1[[#This Row],[StartPosition]]-Table1[[#This Row],[FinishPosition]]</f>
        <v>3</v>
      </c>
    </row>
    <row r="1758" spans="1:21" x14ac:dyDescent="0.3">
      <c r="A1758">
        <v>2022</v>
      </c>
      <c r="B1758">
        <v>8</v>
      </c>
      <c r="C1758" t="s">
        <v>111</v>
      </c>
      <c r="D1758" t="s">
        <v>71</v>
      </c>
      <c r="E1758" t="s">
        <v>72</v>
      </c>
      <c r="F1758" t="s">
        <v>69</v>
      </c>
      <c r="G1758">
        <v>16</v>
      </c>
      <c r="H1758">
        <v>17</v>
      </c>
      <c r="I1758">
        <v>0</v>
      </c>
      <c r="J1758" t="s">
        <v>34</v>
      </c>
      <c r="K1758" t="s">
        <v>167</v>
      </c>
      <c r="L1758">
        <v>32</v>
      </c>
      <c r="M1758">
        <v>108.789</v>
      </c>
      <c r="N1758">
        <v>110.544464</v>
      </c>
      <c r="O1758">
        <v>38.895000000000003</v>
      </c>
      <c r="P1758">
        <v>44.265999999999998</v>
      </c>
      <c r="Q1758">
        <v>25.445</v>
      </c>
      <c r="R1758">
        <v>9</v>
      </c>
      <c r="S1758" t="s">
        <v>83</v>
      </c>
      <c r="T1758">
        <f>IF(TRIM(Table1[[#This Row],[PitStopLaps]])="",0,
LEN(Table1[[#This Row],[PitStopLaps]])-LEN(SUBSTITUTE(Table1[[#This Row],[PitStopLaps]],",",""))+1)</f>
        <v>1</v>
      </c>
      <c r="U1758">
        <f>Table1[[#This Row],[StartPosition]]-Table1[[#This Row],[FinishPosition]]</f>
        <v>-1</v>
      </c>
    </row>
    <row r="1759" spans="1:21" x14ac:dyDescent="0.3">
      <c r="A1759">
        <v>2022</v>
      </c>
      <c r="B1759">
        <v>8</v>
      </c>
      <c r="C1759" t="s">
        <v>111</v>
      </c>
      <c r="D1759" t="s">
        <v>794</v>
      </c>
      <c r="E1759" t="s">
        <v>795</v>
      </c>
      <c r="F1759" t="s">
        <v>789</v>
      </c>
      <c r="G1759">
        <v>14</v>
      </c>
      <c r="H1759">
        <v>18</v>
      </c>
      <c r="I1759">
        <v>0</v>
      </c>
      <c r="J1759" t="s">
        <v>34</v>
      </c>
      <c r="K1759" t="s">
        <v>155</v>
      </c>
      <c r="L1759">
        <v>23</v>
      </c>
      <c r="M1759">
        <v>108.723</v>
      </c>
      <c r="N1759">
        <v>110.477526</v>
      </c>
      <c r="O1759">
        <v>38.930999999999997</v>
      </c>
      <c r="P1759">
        <v>44.143000000000001</v>
      </c>
      <c r="Q1759">
        <v>25.265999999999998</v>
      </c>
      <c r="R1759" t="s">
        <v>862</v>
      </c>
      <c r="S1759" t="s">
        <v>83</v>
      </c>
      <c r="T1759">
        <f>IF(TRIM(Table1[[#This Row],[PitStopLaps]])="",0,
LEN(Table1[[#This Row],[PitStopLaps]])-LEN(SUBSTITUTE(Table1[[#This Row],[PitStopLaps]],",",""))+1)</f>
        <v>2</v>
      </c>
      <c r="U1759">
        <f>Table1[[#This Row],[StartPosition]]-Table1[[#This Row],[FinishPosition]]</f>
        <v>-4</v>
      </c>
    </row>
    <row r="1760" spans="1:21" x14ac:dyDescent="0.3">
      <c r="A1760">
        <v>2022</v>
      </c>
      <c r="B1760">
        <v>8</v>
      </c>
      <c r="C1760" t="s">
        <v>111</v>
      </c>
      <c r="D1760" t="s">
        <v>54</v>
      </c>
      <c r="E1760" t="s">
        <v>55</v>
      </c>
      <c r="F1760" t="s">
        <v>22</v>
      </c>
      <c r="G1760">
        <v>1</v>
      </c>
      <c r="H1760">
        <v>19</v>
      </c>
      <c r="I1760">
        <v>0</v>
      </c>
      <c r="J1760" t="s">
        <v>34</v>
      </c>
      <c r="K1760" t="s">
        <v>167</v>
      </c>
      <c r="L1760">
        <v>21</v>
      </c>
      <c r="M1760">
        <v>107.53100000000001</v>
      </c>
      <c r="N1760">
        <v>108.376375</v>
      </c>
      <c r="O1760">
        <v>38.250999999999998</v>
      </c>
      <c r="P1760">
        <v>43.506999999999998</v>
      </c>
      <c r="Q1760">
        <v>25.632000000000001</v>
      </c>
      <c r="R1760" t="s">
        <v>866</v>
      </c>
      <c r="S1760" t="s">
        <v>83</v>
      </c>
      <c r="T1760">
        <f>IF(TRIM(Table1[[#This Row],[PitStopLaps]])="",0,
LEN(Table1[[#This Row],[PitStopLaps]])-LEN(SUBSTITUTE(Table1[[#This Row],[PitStopLaps]],",",""))+1)</f>
        <v>2</v>
      </c>
      <c r="U1760">
        <f>Table1[[#This Row],[StartPosition]]-Table1[[#This Row],[FinishPosition]]</f>
        <v>-18</v>
      </c>
    </row>
    <row r="1761" spans="1:21" x14ac:dyDescent="0.3">
      <c r="A1761">
        <v>2022</v>
      </c>
      <c r="B1761">
        <v>8</v>
      </c>
      <c r="C1761" t="s">
        <v>111</v>
      </c>
      <c r="D1761" t="s">
        <v>47</v>
      </c>
      <c r="E1761" t="s">
        <v>48</v>
      </c>
      <c r="F1761" t="s">
        <v>22</v>
      </c>
      <c r="G1761">
        <v>4</v>
      </c>
      <c r="H1761">
        <v>20</v>
      </c>
      <c r="I1761">
        <v>0</v>
      </c>
      <c r="J1761" t="s">
        <v>34</v>
      </c>
      <c r="K1761" t="s">
        <v>155</v>
      </c>
      <c r="L1761">
        <v>9</v>
      </c>
      <c r="M1761">
        <v>108.97799999999999</v>
      </c>
      <c r="N1761">
        <v>109.15528500000001</v>
      </c>
      <c r="O1761">
        <v>38.9</v>
      </c>
      <c r="P1761">
        <v>44.281999999999996</v>
      </c>
      <c r="Q1761">
        <v>25.66</v>
      </c>
      <c r="S1761" t="s">
        <v>83</v>
      </c>
      <c r="T1761">
        <f>IF(TRIM(Table1[[#This Row],[PitStopLaps]])="",0,
LEN(Table1[[#This Row],[PitStopLaps]])-LEN(SUBSTITUTE(Table1[[#This Row],[PitStopLaps]],",",""))+1)</f>
        <v>0</v>
      </c>
      <c r="U1761">
        <f>Table1[[#This Row],[StartPosition]]-Table1[[#This Row],[FinishPosition]]</f>
        <v>-16</v>
      </c>
    </row>
    <row r="1762" spans="1:21" x14ac:dyDescent="0.3">
      <c r="A1762">
        <v>2022</v>
      </c>
      <c r="B1762">
        <v>9</v>
      </c>
      <c r="C1762" t="s">
        <v>142</v>
      </c>
      <c r="D1762" t="s">
        <v>38</v>
      </c>
      <c r="E1762" t="s">
        <v>39</v>
      </c>
      <c r="F1762" t="s">
        <v>33</v>
      </c>
      <c r="G1762">
        <v>1</v>
      </c>
      <c r="H1762">
        <v>1</v>
      </c>
      <c r="I1762">
        <v>25</v>
      </c>
      <c r="J1762" t="s">
        <v>23</v>
      </c>
      <c r="K1762" t="s">
        <v>24</v>
      </c>
      <c r="L1762">
        <v>70</v>
      </c>
      <c r="M1762">
        <v>75.838999999999999</v>
      </c>
      <c r="N1762">
        <v>77.262122000000005</v>
      </c>
      <c r="O1762">
        <v>21.061</v>
      </c>
      <c r="P1762">
        <v>24.087</v>
      </c>
      <c r="Q1762">
        <v>30.582999999999998</v>
      </c>
      <c r="R1762" t="s">
        <v>867</v>
      </c>
      <c r="S1762" t="s">
        <v>83</v>
      </c>
      <c r="T1762">
        <f>IF(TRIM(Table1[[#This Row],[PitStopLaps]])="",0,
LEN(Table1[[#This Row],[PitStopLaps]])-LEN(SUBSTITUTE(Table1[[#This Row],[PitStopLaps]],",",""))+1)</f>
        <v>2</v>
      </c>
      <c r="U1762">
        <f>Table1[[#This Row],[StartPosition]]-Table1[[#This Row],[FinishPosition]]</f>
        <v>0</v>
      </c>
    </row>
    <row r="1763" spans="1:21" x14ac:dyDescent="0.3">
      <c r="A1763">
        <v>2022</v>
      </c>
      <c r="B1763">
        <v>9</v>
      </c>
      <c r="C1763" t="s">
        <v>142</v>
      </c>
      <c r="D1763" t="s">
        <v>47</v>
      </c>
      <c r="E1763" t="s">
        <v>48</v>
      </c>
      <c r="F1763" t="s">
        <v>22</v>
      </c>
      <c r="G1763">
        <v>3</v>
      </c>
      <c r="H1763">
        <v>2</v>
      </c>
      <c r="I1763">
        <v>19</v>
      </c>
      <c r="J1763" t="s">
        <v>23</v>
      </c>
      <c r="K1763" t="s">
        <v>24</v>
      </c>
      <c r="L1763">
        <v>70</v>
      </c>
      <c r="M1763">
        <v>75.748999999999995</v>
      </c>
      <c r="N1763">
        <v>77.346660999999997</v>
      </c>
      <c r="O1763">
        <v>21.125</v>
      </c>
      <c r="P1763">
        <v>24.122</v>
      </c>
      <c r="Q1763">
        <v>30.288</v>
      </c>
      <c r="R1763" t="s">
        <v>868</v>
      </c>
      <c r="S1763" t="s">
        <v>83</v>
      </c>
      <c r="T1763">
        <f>IF(TRIM(Table1[[#This Row],[PitStopLaps]])="",0,
LEN(Table1[[#This Row],[PitStopLaps]])-LEN(SUBSTITUTE(Table1[[#This Row],[PitStopLaps]],",",""))+1)</f>
        <v>2</v>
      </c>
      <c r="U1763">
        <f>Table1[[#This Row],[StartPosition]]-Table1[[#This Row],[FinishPosition]]</f>
        <v>1</v>
      </c>
    </row>
    <row r="1764" spans="1:21" x14ac:dyDescent="0.3">
      <c r="A1764">
        <v>2022</v>
      </c>
      <c r="B1764">
        <v>9</v>
      </c>
      <c r="C1764" t="s">
        <v>142</v>
      </c>
      <c r="D1764" t="s">
        <v>26</v>
      </c>
      <c r="E1764" t="s">
        <v>27</v>
      </c>
      <c r="F1764" t="s">
        <v>28</v>
      </c>
      <c r="G1764">
        <v>4</v>
      </c>
      <c r="H1764">
        <v>3</v>
      </c>
      <c r="I1764">
        <v>15</v>
      </c>
      <c r="J1764" t="s">
        <v>23</v>
      </c>
      <c r="K1764" t="s">
        <v>24</v>
      </c>
      <c r="L1764">
        <v>70</v>
      </c>
      <c r="M1764">
        <v>76.167000000000002</v>
      </c>
      <c r="N1764">
        <v>77.645297999999997</v>
      </c>
      <c r="O1764">
        <v>21.141999999999999</v>
      </c>
      <c r="P1764">
        <v>24.222999999999999</v>
      </c>
      <c r="Q1764">
        <v>30.47</v>
      </c>
      <c r="R1764" t="s">
        <v>143</v>
      </c>
      <c r="S1764" t="s">
        <v>83</v>
      </c>
      <c r="T1764">
        <f>IF(TRIM(Table1[[#This Row],[PitStopLaps]])="",0,
LEN(Table1[[#This Row],[PitStopLaps]])-LEN(SUBSTITUTE(Table1[[#This Row],[PitStopLaps]],",",""))+1)</f>
        <v>2</v>
      </c>
      <c r="U1764">
        <f>Table1[[#This Row],[StartPosition]]-Table1[[#This Row],[FinishPosition]]</f>
        <v>1</v>
      </c>
    </row>
    <row r="1765" spans="1:21" x14ac:dyDescent="0.3">
      <c r="A1765">
        <v>2022</v>
      </c>
      <c r="B1765">
        <v>9</v>
      </c>
      <c r="C1765" t="s">
        <v>142</v>
      </c>
      <c r="D1765" t="s">
        <v>252</v>
      </c>
      <c r="E1765" t="s">
        <v>253</v>
      </c>
      <c r="F1765" t="s">
        <v>28</v>
      </c>
      <c r="G1765">
        <v>8</v>
      </c>
      <c r="H1765">
        <v>4</v>
      </c>
      <c r="I1765">
        <v>12</v>
      </c>
      <c r="J1765" t="s">
        <v>34</v>
      </c>
      <c r="K1765" t="s">
        <v>24</v>
      </c>
      <c r="L1765">
        <v>70</v>
      </c>
      <c r="M1765">
        <v>76.418000000000006</v>
      </c>
      <c r="N1765">
        <v>77.775718999999995</v>
      </c>
      <c r="O1765">
        <v>21.099</v>
      </c>
      <c r="P1765">
        <v>24.216999999999999</v>
      </c>
      <c r="Q1765">
        <v>30.908999999999999</v>
      </c>
      <c r="R1765" t="s">
        <v>869</v>
      </c>
      <c r="S1765" t="s">
        <v>83</v>
      </c>
      <c r="T1765">
        <f>IF(TRIM(Table1[[#This Row],[PitStopLaps]])="",0,
LEN(Table1[[#This Row],[PitStopLaps]])-LEN(SUBSTITUTE(Table1[[#This Row],[PitStopLaps]],",",""))+1)</f>
        <v>2</v>
      </c>
      <c r="U1765">
        <f>Table1[[#This Row],[StartPosition]]-Table1[[#This Row],[FinishPosition]]</f>
        <v>4</v>
      </c>
    </row>
    <row r="1766" spans="1:21" x14ac:dyDescent="0.3">
      <c r="A1766">
        <v>2022</v>
      </c>
      <c r="B1766">
        <v>9</v>
      </c>
      <c r="C1766" t="s">
        <v>142</v>
      </c>
      <c r="D1766" t="s">
        <v>54</v>
      </c>
      <c r="E1766" t="s">
        <v>55</v>
      </c>
      <c r="F1766" t="s">
        <v>22</v>
      </c>
      <c r="G1766">
        <v>19</v>
      </c>
      <c r="H1766">
        <v>5</v>
      </c>
      <c r="I1766">
        <v>10</v>
      </c>
      <c r="J1766" t="s">
        <v>34</v>
      </c>
      <c r="K1766" t="s">
        <v>24</v>
      </c>
      <c r="L1766">
        <v>70</v>
      </c>
      <c r="M1766">
        <v>75.900999999999996</v>
      </c>
      <c r="N1766">
        <v>78.389250000000004</v>
      </c>
      <c r="O1766">
        <v>21.178999999999998</v>
      </c>
      <c r="P1766">
        <v>24.303999999999998</v>
      </c>
      <c r="Q1766">
        <v>30.399000000000001</v>
      </c>
      <c r="R1766">
        <v>41</v>
      </c>
      <c r="S1766" t="s">
        <v>83</v>
      </c>
      <c r="T1766">
        <f>IF(TRIM(Table1[[#This Row],[PitStopLaps]])="",0,
LEN(Table1[[#This Row],[PitStopLaps]])-LEN(SUBSTITUTE(Table1[[#This Row],[PitStopLaps]],",",""))+1)</f>
        <v>1</v>
      </c>
      <c r="U1766">
        <f>Table1[[#This Row],[StartPosition]]-Table1[[#This Row],[FinishPosition]]</f>
        <v>14</v>
      </c>
    </row>
    <row r="1767" spans="1:21" x14ac:dyDescent="0.3">
      <c r="A1767">
        <v>2022</v>
      </c>
      <c r="B1767">
        <v>9</v>
      </c>
      <c r="C1767" t="s">
        <v>142</v>
      </c>
      <c r="D1767" t="s">
        <v>52</v>
      </c>
      <c r="E1767" t="s">
        <v>53</v>
      </c>
      <c r="F1767" t="s">
        <v>607</v>
      </c>
      <c r="G1767">
        <v>7</v>
      </c>
      <c r="H1767">
        <v>6</v>
      </c>
      <c r="I1767">
        <v>8</v>
      </c>
      <c r="J1767" t="s">
        <v>34</v>
      </c>
      <c r="K1767" t="s">
        <v>24</v>
      </c>
      <c r="L1767">
        <v>70</v>
      </c>
      <c r="M1767">
        <v>77.11</v>
      </c>
      <c r="N1767">
        <v>78.504254000000003</v>
      </c>
      <c r="O1767">
        <v>21.503</v>
      </c>
      <c r="P1767">
        <v>24.61</v>
      </c>
      <c r="Q1767">
        <v>30.824000000000002</v>
      </c>
      <c r="R1767" t="s">
        <v>363</v>
      </c>
      <c r="S1767" t="s">
        <v>83</v>
      </c>
      <c r="T1767">
        <f>IF(TRIM(Table1[[#This Row],[PitStopLaps]])="",0,
LEN(Table1[[#This Row],[PitStopLaps]])-LEN(SUBSTITUTE(Table1[[#This Row],[PitStopLaps]],",",""))+1)</f>
        <v>2</v>
      </c>
      <c r="U1767">
        <f>Table1[[#This Row],[StartPosition]]-Table1[[#This Row],[FinishPosition]]</f>
        <v>1</v>
      </c>
    </row>
    <row r="1768" spans="1:21" x14ac:dyDescent="0.3">
      <c r="A1768">
        <v>2022</v>
      </c>
      <c r="B1768">
        <v>9</v>
      </c>
      <c r="C1768" t="s">
        <v>142</v>
      </c>
      <c r="D1768" t="s">
        <v>43</v>
      </c>
      <c r="E1768" t="s">
        <v>44</v>
      </c>
      <c r="F1768" t="s">
        <v>789</v>
      </c>
      <c r="G1768">
        <v>11</v>
      </c>
      <c r="H1768">
        <v>7</v>
      </c>
      <c r="I1768">
        <v>6</v>
      </c>
      <c r="J1768" t="s">
        <v>34</v>
      </c>
      <c r="K1768" t="s">
        <v>24</v>
      </c>
      <c r="L1768">
        <v>70</v>
      </c>
      <c r="M1768">
        <v>76.927000000000007</v>
      </c>
      <c r="N1768">
        <v>78.783287999999999</v>
      </c>
      <c r="O1768">
        <v>21.663</v>
      </c>
      <c r="P1768">
        <v>24.503</v>
      </c>
      <c r="Q1768">
        <v>30.544</v>
      </c>
      <c r="R1768">
        <v>49</v>
      </c>
      <c r="S1768" t="s">
        <v>83</v>
      </c>
      <c r="T1768">
        <f>IF(TRIM(Table1[[#This Row],[PitStopLaps]])="",0,
LEN(Table1[[#This Row],[PitStopLaps]])-LEN(SUBSTITUTE(Table1[[#This Row],[PitStopLaps]],",",""))+1)</f>
        <v>1</v>
      </c>
      <c r="U1768">
        <f>Table1[[#This Row],[StartPosition]]-Table1[[#This Row],[FinishPosition]]</f>
        <v>4</v>
      </c>
    </row>
    <row r="1769" spans="1:21" x14ac:dyDescent="0.3">
      <c r="A1769">
        <v>2022</v>
      </c>
      <c r="B1769">
        <v>9</v>
      </c>
      <c r="C1769" t="s">
        <v>142</v>
      </c>
      <c r="D1769" t="s">
        <v>794</v>
      </c>
      <c r="E1769" t="s">
        <v>795</v>
      </c>
      <c r="F1769" t="s">
        <v>789</v>
      </c>
      <c r="G1769">
        <v>10</v>
      </c>
      <c r="H1769">
        <v>8</v>
      </c>
      <c r="I1769">
        <v>4</v>
      </c>
      <c r="J1769" t="s">
        <v>34</v>
      </c>
      <c r="K1769" t="s">
        <v>24</v>
      </c>
      <c r="L1769">
        <v>70</v>
      </c>
      <c r="M1769">
        <v>76.578000000000003</v>
      </c>
      <c r="N1769">
        <v>78.841620000000006</v>
      </c>
      <c r="O1769">
        <v>21.367000000000001</v>
      </c>
      <c r="P1769">
        <v>24.556000000000001</v>
      </c>
      <c r="Q1769">
        <v>30.449000000000002</v>
      </c>
      <c r="R1769" t="s">
        <v>363</v>
      </c>
      <c r="S1769" t="s">
        <v>83</v>
      </c>
      <c r="T1769">
        <f>IF(TRIM(Table1[[#This Row],[PitStopLaps]])="",0,
LEN(Table1[[#This Row],[PitStopLaps]])-LEN(SUBSTITUTE(Table1[[#This Row],[PitStopLaps]],",",""))+1)</f>
        <v>2</v>
      </c>
      <c r="U1769">
        <f>Table1[[#This Row],[StartPosition]]-Table1[[#This Row],[FinishPosition]]</f>
        <v>2</v>
      </c>
    </row>
    <row r="1770" spans="1:21" x14ac:dyDescent="0.3">
      <c r="A1770">
        <v>2022</v>
      </c>
      <c r="B1770">
        <v>9</v>
      </c>
      <c r="C1770" t="s">
        <v>142</v>
      </c>
      <c r="D1770" t="s">
        <v>35</v>
      </c>
      <c r="E1770" t="s">
        <v>36</v>
      </c>
      <c r="F1770" t="s">
        <v>607</v>
      </c>
      <c r="G1770">
        <v>2</v>
      </c>
      <c r="H1770">
        <v>9</v>
      </c>
      <c r="I1770">
        <v>2</v>
      </c>
      <c r="J1770" t="s">
        <v>34</v>
      </c>
      <c r="K1770" t="s">
        <v>24</v>
      </c>
      <c r="L1770">
        <v>70</v>
      </c>
      <c r="M1770">
        <v>77.010000000000005</v>
      </c>
      <c r="N1770">
        <v>78.489862000000002</v>
      </c>
      <c r="O1770">
        <v>21.606000000000002</v>
      </c>
      <c r="P1770">
        <v>24.509</v>
      </c>
      <c r="Q1770">
        <v>30.707000000000001</v>
      </c>
      <c r="R1770" t="s">
        <v>490</v>
      </c>
      <c r="S1770" t="s">
        <v>83</v>
      </c>
      <c r="T1770">
        <f>IF(TRIM(Table1[[#This Row],[PitStopLaps]])="",0,
LEN(Table1[[#This Row],[PitStopLaps]])-LEN(SUBSTITUTE(Table1[[#This Row],[PitStopLaps]],",",""))+1)</f>
        <v>2</v>
      </c>
      <c r="U1770">
        <f>Table1[[#This Row],[StartPosition]]-Table1[[#This Row],[FinishPosition]]</f>
        <v>-7</v>
      </c>
    </row>
    <row r="1771" spans="1:21" x14ac:dyDescent="0.3">
      <c r="A1771">
        <v>2022</v>
      </c>
      <c r="B1771">
        <v>9</v>
      </c>
      <c r="C1771" t="s">
        <v>142</v>
      </c>
      <c r="D1771" t="s">
        <v>58</v>
      </c>
      <c r="E1771" t="s">
        <v>59</v>
      </c>
      <c r="F1771" t="s">
        <v>603</v>
      </c>
      <c r="G1771">
        <v>17</v>
      </c>
      <c r="H1771">
        <v>10</v>
      </c>
      <c r="I1771">
        <v>1</v>
      </c>
      <c r="J1771" t="s">
        <v>34</v>
      </c>
      <c r="K1771" t="s">
        <v>24</v>
      </c>
      <c r="L1771">
        <v>70</v>
      </c>
      <c r="M1771">
        <v>77.421000000000006</v>
      </c>
      <c r="N1771">
        <v>79.136491000000007</v>
      </c>
      <c r="O1771">
        <v>21.64</v>
      </c>
      <c r="P1771">
        <v>24.710999999999999</v>
      </c>
      <c r="Q1771">
        <v>30.798999999999999</v>
      </c>
      <c r="R1771">
        <v>47</v>
      </c>
      <c r="S1771" t="s">
        <v>83</v>
      </c>
      <c r="T1771">
        <f>IF(TRIM(Table1[[#This Row],[PitStopLaps]])="",0,
LEN(Table1[[#This Row],[PitStopLaps]])-LEN(SUBSTITUTE(Table1[[#This Row],[PitStopLaps]],",",""))+1)</f>
        <v>1</v>
      </c>
      <c r="U1771">
        <f>Table1[[#This Row],[StartPosition]]-Table1[[#This Row],[FinishPosition]]</f>
        <v>7</v>
      </c>
    </row>
    <row r="1772" spans="1:21" x14ac:dyDescent="0.3">
      <c r="A1772">
        <v>2022</v>
      </c>
      <c r="B1772">
        <v>9</v>
      </c>
      <c r="C1772" t="s">
        <v>142</v>
      </c>
      <c r="D1772" t="s">
        <v>31</v>
      </c>
      <c r="E1772" t="s">
        <v>32</v>
      </c>
      <c r="F1772" t="s">
        <v>37</v>
      </c>
      <c r="G1772">
        <v>9</v>
      </c>
      <c r="H1772">
        <v>11</v>
      </c>
      <c r="I1772">
        <v>0</v>
      </c>
      <c r="J1772" t="s">
        <v>34</v>
      </c>
      <c r="K1772" t="s">
        <v>24</v>
      </c>
      <c r="L1772">
        <v>70</v>
      </c>
      <c r="M1772">
        <v>77.932000000000002</v>
      </c>
      <c r="N1772">
        <v>79.139033999999995</v>
      </c>
      <c r="O1772">
        <v>21.812000000000001</v>
      </c>
      <c r="P1772">
        <v>24.875</v>
      </c>
      <c r="Q1772">
        <v>31.094000000000001</v>
      </c>
      <c r="R1772" t="s">
        <v>363</v>
      </c>
      <c r="S1772" t="s">
        <v>83</v>
      </c>
      <c r="T1772">
        <f>IF(TRIM(Table1[[#This Row],[PitStopLaps]])="",0,
LEN(Table1[[#This Row],[PitStopLaps]])-LEN(SUBSTITUTE(Table1[[#This Row],[PitStopLaps]],",",""))+1)</f>
        <v>2</v>
      </c>
      <c r="U1772">
        <f>Table1[[#This Row],[StartPosition]]-Table1[[#This Row],[FinishPosition]]</f>
        <v>-2</v>
      </c>
    </row>
    <row r="1773" spans="1:21" x14ac:dyDescent="0.3">
      <c r="A1773">
        <v>2022</v>
      </c>
      <c r="B1773">
        <v>9</v>
      </c>
      <c r="C1773" t="s">
        <v>142</v>
      </c>
      <c r="D1773" t="s">
        <v>20</v>
      </c>
      <c r="E1773" t="s">
        <v>21</v>
      </c>
      <c r="F1773" t="s">
        <v>603</v>
      </c>
      <c r="G1773">
        <v>16</v>
      </c>
      <c r="H1773">
        <v>12</v>
      </c>
      <c r="I1773">
        <v>0</v>
      </c>
      <c r="J1773" t="s">
        <v>34</v>
      </c>
      <c r="K1773" t="s">
        <v>24</v>
      </c>
      <c r="L1773">
        <v>70</v>
      </c>
      <c r="M1773">
        <v>77.956000000000003</v>
      </c>
      <c r="N1773">
        <v>78.933217999999997</v>
      </c>
      <c r="O1773">
        <v>21.856999999999999</v>
      </c>
      <c r="P1773">
        <v>24.84</v>
      </c>
      <c r="Q1773">
        <v>31.210999999999999</v>
      </c>
      <c r="R1773" t="s">
        <v>870</v>
      </c>
      <c r="S1773" t="s">
        <v>83</v>
      </c>
      <c r="T1773">
        <f>IF(TRIM(Table1[[#This Row],[PitStopLaps]])="",0,
LEN(Table1[[#This Row],[PitStopLaps]])-LEN(SUBSTITUTE(Table1[[#This Row],[PitStopLaps]],",",""))+1)</f>
        <v>2</v>
      </c>
      <c r="U1773">
        <f>Table1[[#This Row],[StartPosition]]-Table1[[#This Row],[FinishPosition]]</f>
        <v>4</v>
      </c>
    </row>
    <row r="1774" spans="1:21" x14ac:dyDescent="0.3">
      <c r="A1774">
        <v>2022</v>
      </c>
      <c r="B1774">
        <v>9</v>
      </c>
      <c r="C1774" t="s">
        <v>142</v>
      </c>
      <c r="D1774" t="s">
        <v>248</v>
      </c>
      <c r="E1774" t="s">
        <v>249</v>
      </c>
      <c r="F1774" t="s">
        <v>60</v>
      </c>
      <c r="G1774">
        <v>12</v>
      </c>
      <c r="H1774">
        <v>13</v>
      </c>
      <c r="I1774">
        <v>0</v>
      </c>
      <c r="J1774" t="s">
        <v>34</v>
      </c>
      <c r="K1774" t="s">
        <v>24</v>
      </c>
      <c r="L1774">
        <v>70</v>
      </c>
      <c r="M1774">
        <v>77.950999999999993</v>
      </c>
      <c r="N1774">
        <v>79.268648999999996</v>
      </c>
      <c r="O1774">
        <v>22.038</v>
      </c>
      <c r="P1774">
        <v>24.856999999999999</v>
      </c>
      <c r="Q1774">
        <v>30.943000000000001</v>
      </c>
      <c r="R1774" t="s">
        <v>871</v>
      </c>
      <c r="S1774" t="s">
        <v>83</v>
      </c>
      <c r="T1774">
        <f>IF(TRIM(Table1[[#This Row],[PitStopLaps]])="",0,
LEN(Table1[[#This Row],[PitStopLaps]])-LEN(SUBSTITUTE(Table1[[#This Row],[PitStopLaps]],",",""))+1)</f>
        <v>2</v>
      </c>
      <c r="U1774">
        <f>Table1[[#This Row],[StartPosition]]-Table1[[#This Row],[FinishPosition]]</f>
        <v>-1</v>
      </c>
    </row>
    <row r="1775" spans="1:21" x14ac:dyDescent="0.3">
      <c r="A1775">
        <v>2022</v>
      </c>
      <c r="B1775">
        <v>9</v>
      </c>
      <c r="C1775" t="s">
        <v>142</v>
      </c>
      <c r="D1775" t="s">
        <v>73</v>
      </c>
      <c r="E1775" t="s">
        <v>74</v>
      </c>
      <c r="F1775" t="s">
        <v>438</v>
      </c>
      <c r="G1775">
        <v>15</v>
      </c>
      <c r="H1775">
        <v>14</v>
      </c>
      <c r="I1775">
        <v>0</v>
      </c>
      <c r="J1775" t="s">
        <v>34</v>
      </c>
      <c r="K1775" t="s">
        <v>24</v>
      </c>
      <c r="L1775">
        <v>70</v>
      </c>
      <c r="M1775">
        <v>77.81</v>
      </c>
      <c r="N1775">
        <v>79.062773000000007</v>
      </c>
      <c r="O1775">
        <v>21.917000000000002</v>
      </c>
      <c r="P1775">
        <v>24.809000000000001</v>
      </c>
      <c r="Q1775">
        <v>30.8</v>
      </c>
      <c r="R1775" t="s">
        <v>872</v>
      </c>
      <c r="S1775" t="s">
        <v>83</v>
      </c>
      <c r="T1775">
        <f>IF(TRIM(Table1[[#This Row],[PitStopLaps]])="",0,
LEN(Table1[[#This Row],[PitStopLaps]])-LEN(SUBSTITUTE(Table1[[#This Row],[PitStopLaps]],",",""))+1)</f>
        <v>2</v>
      </c>
      <c r="U1775">
        <f>Table1[[#This Row],[StartPosition]]-Table1[[#This Row],[FinishPosition]]</f>
        <v>1</v>
      </c>
    </row>
    <row r="1776" spans="1:21" x14ac:dyDescent="0.3">
      <c r="A1776">
        <v>2022</v>
      </c>
      <c r="B1776">
        <v>9</v>
      </c>
      <c r="C1776" t="s">
        <v>142</v>
      </c>
      <c r="D1776" t="s">
        <v>246</v>
      </c>
      <c r="E1776" t="s">
        <v>247</v>
      </c>
      <c r="F1776" t="s">
        <v>37</v>
      </c>
      <c r="G1776">
        <v>14</v>
      </c>
      <c r="H1776">
        <v>15</v>
      </c>
      <c r="I1776">
        <v>0</v>
      </c>
      <c r="J1776" t="s">
        <v>34</v>
      </c>
      <c r="K1776" t="s">
        <v>24</v>
      </c>
      <c r="L1776">
        <v>70</v>
      </c>
      <c r="M1776">
        <v>77.495000000000005</v>
      </c>
      <c r="N1776">
        <v>79.174660000000003</v>
      </c>
      <c r="O1776">
        <v>21.606999999999999</v>
      </c>
      <c r="P1776">
        <v>24.765000000000001</v>
      </c>
      <c r="Q1776">
        <v>30.812000000000001</v>
      </c>
      <c r="R1776" t="s">
        <v>406</v>
      </c>
      <c r="S1776" t="s">
        <v>83</v>
      </c>
      <c r="T1776">
        <f>IF(TRIM(Table1[[#This Row],[PitStopLaps]])="",0,
LEN(Table1[[#This Row],[PitStopLaps]])-LEN(SUBSTITUTE(Table1[[#This Row],[PitStopLaps]],",",""))+1)</f>
        <v>2</v>
      </c>
      <c r="U1776">
        <f>Table1[[#This Row],[StartPosition]]-Table1[[#This Row],[FinishPosition]]</f>
        <v>-1</v>
      </c>
    </row>
    <row r="1777" spans="1:21" x14ac:dyDescent="0.3">
      <c r="A1777">
        <v>2022</v>
      </c>
      <c r="B1777">
        <v>9</v>
      </c>
      <c r="C1777" t="s">
        <v>142</v>
      </c>
      <c r="D1777" t="s">
        <v>440</v>
      </c>
      <c r="E1777" t="s">
        <v>441</v>
      </c>
      <c r="F1777" t="s">
        <v>60</v>
      </c>
      <c r="G1777">
        <v>18</v>
      </c>
      <c r="H1777">
        <v>16</v>
      </c>
      <c r="I1777">
        <v>0</v>
      </c>
      <c r="J1777" t="s">
        <v>34</v>
      </c>
      <c r="K1777" t="s">
        <v>24</v>
      </c>
      <c r="L1777">
        <v>70</v>
      </c>
      <c r="M1777">
        <v>78.540000000000006</v>
      </c>
      <c r="N1777">
        <v>79.941963000000001</v>
      </c>
      <c r="O1777">
        <v>22.231999999999999</v>
      </c>
      <c r="P1777">
        <v>24.991</v>
      </c>
      <c r="Q1777">
        <v>31.109000000000002</v>
      </c>
      <c r="R1777" t="s">
        <v>873</v>
      </c>
      <c r="S1777" t="s">
        <v>83</v>
      </c>
      <c r="T1777">
        <f>IF(TRIM(Table1[[#This Row],[PitStopLaps]])="",0,
LEN(Table1[[#This Row],[PitStopLaps]])-LEN(SUBSTITUTE(Table1[[#This Row],[PitStopLaps]],",",""))+1)</f>
        <v>2</v>
      </c>
      <c r="U1777">
        <f>Table1[[#This Row],[StartPosition]]-Table1[[#This Row],[FinishPosition]]</f>
        <v>2</v>
      </c>
    </row>
    <row r="1778" spans="1:21" x14ac:dyDescent="0.3">
      <c r="A1778">
        <v>2022</v>
      </c>
      <c r="B1778">
        <v>9</v>
      </c>
      <c r="C1778" t="s">
        <v>142</v>
      </c>
      <c r="D1778" t="s">
        <v>71</v>
      </c>
      <c r="E1778" t="s">
        <v>72</v>
      </c>
      <c r="F1778" t="s">
        <v>69</v>
      </c>
      <c r="G1778">
        <v>5</v>
      </c>
      <c r="H1778">
        <v>17</v>
      </c>
      <c r="I1778">
        <v>0</v>
      </c>
      <c r="J1778" t="s">
        <v>34</v>
      </c>
      <c r="K1778" t="s">
        <v>24</v>
      </c>
      <c r="L1778">
        <v>70</v>
      </c>
      <c r="M1778">
        <v>78.046000000000006</v>
      </c>
      <c r="N1778">
        <v>79.484767000000005</v>
      </c>
      <c r="O1778">
        <v>21.805</v>
      </c>
      <c r="P1778">
        <v>25.03</v>
      </c>
      <c r="Q1778">
        <v>31.120999999999999</v>
      </c>
      <c r="R1778">
        <v>7</v>
      </c>
      <c r="S1778" t="s">
        <v>83</v>
      </c>
      <c r="T1778">
        <f>IF(TRIM(Table1[[#This Row],[PitStopLaps]])="",0,
LEN(Table1[[#This Row],[PitStopLaps]])-LEN(SUBSTITUTE(Table1[[#This Row],[PitStopLaps]],",",""))+1)</f>
        <v>1</v>
      </c>
      <c r="U1778">
        <f>Table1[[#This Row],[StartPosition]]-Table1[[#This Row],[FinishPosition]]</f>
        <v>-12</v>
      </c>
    </row>
    <row r="1779" spans="1:21" x14ac:dyDescent="0.3">
      <c r="A1779">
        <v>2022</v>
      </c>
      <c r="B1779">
        <v>9</v>
      </c>
      <c r="C1779" t="s">
        <v>142</v>
      </c>
      <c r="D1779" t="s">
        <v>601</v>
      </c>
      <c r="E1779" t="s">
        <v>602</v>
      </c>
      <c r="F1779" t="s">
        <v>438</v>
      </c>
      <c r="G1779">
        <v>20</v>
      </c>
      <c r="H1779">
        <v>18</v>
      </c>
      <c r="I1779">
        <v>0</v>
      </c>
      <c r="J1779" t="s">
        <v>34</v>
      </c>
      <c r="K1779" t="s">
        <v>123</v>
      </c>
      <c r="L1779">
        <v>47</v>
      </c>
      <c r="M1779">
        <v>78.308999999999997</v>
      </c>
      <c r="N1779">
        <v>79.345169999999996</v>
      </c>
      <c r="O1779">
        <v>21.911999999999999</v>
      </c>
      <c r="P1779">
        <v>24.986000000000001</v>
      </c>
      <c r="Q1779">
        <v>31.062999999999999</v>
      </c>
      <c r="R1779" t="s">
        <v>874</v>
      </c>
      <c r="S1779" t="s">
        <v>83</v>
      </c>
      <c r="T1779">
        <f>IF(TRIM(Table1[[#This Row],[PitStopLaps]])="",0,
LEN(Table1[[#This Row],[PitStopLaps]])-LEN(SUBSTITUTE(Table1[[#This Row],[PitStopLaps]],",",""))+1)</f>
        <v>2</v>
      </c>
      <c r="U1779">
        <f>Table1[[#This Row],[StartPosition]]-Table1[[#This Row],[FinishPosition]]</f>
        <v>2</v>
      </c>
    </row>
    <row r="1780" spans="1:21" x14ac:dyDescent="0.3">
      <c r="A1780">
        <v>2022</v>
      </c>
      <c r="B1780">
        <v>9</v>
      </c>
      <c r="C1780" t="s">
        <v>142</v>
      </c>
      <c r="D1780" t="s">
        <v>608</v>
      </c>
      <c r="E1780" t="s">
        <v>609</v>
      </c>
      <c r="F1780" t="s">
        <v>69</v>
      </c>
      <c r="G1780">
        <v>6</v>
      </c>
      <c r="H1780">
        <v>19</v>
      </c>
      <c r="I1780">
        <v>0</v>
      </c>
      <c r="J1780" t="s">
        <v>34</v>
      </c>
      <c r="K1780" t="s">
        <v>75</v>
      </c>
      <c r="L1780">
        <v>19</v>
      </c>
      <c r="M1780">
        <v>78.966999999999999</v>
      </c>
      <c r="N1780">
        <v>79.507532999999995</v>
      </c>
      <c r="O1780">
        <v>22.172000000000001</v>
      </c>
      <c r="P1780">
        <v>25.134</v>
      </c>
      <c r="Q1780">
        <v>31.291</v>
      </c>
      <c r="S1780" t="s">
        <v>83</v>
      </c>
      <c r="T1780">
        <f>IF(TRIM(Table1[[#This Row],[PitStopLaps]])="",0,
LEN(Table1[[#This Row],[PitStopLaps]])-LEN(SUBSTITUTE(Table1[[#This Row],[PitStopLaps]],",",""))+1)</f>
        <v>0</v>
      </c>
      <c r="U1780">
        <f>Table1[[#This Row],[StartPosition]]-Table1[[#This Row],[FinishPosition]]</f>
        <v>-13</v>
      </c>
    </row>
    <row r="1781" spans="1:21" x14ac:dyDescent="0.3">
      <c r="A1781">
        <v>2022</v>
      </c>
      <c r="B1781">
        <v>9</v>
      </c>
      <c r="C1781" t="s">
        <v>142</v>
      </c>
      <c r="D1781" t="s">
        <v>49</v>
      </c>
      <c r="E1781" t="s">
        <v>50</v>
      </c>
      <c r="F1781" t="s">
        <v>33</v>
      </c>
      <c r="G1781">
        <v>13</v>
      </c>
      <c r="H1781">
        <v>20</v>
      </c>
      <c r="I1781">
        <v>0</v>
      </c>
      <c r="J1781" t="s">
        <v>34</v>
      </c>
      <c r="K1781" t="s">
        <v>132</v>
      </c>
      <c r="L1781">
        <v>8</v>
      </c>
      <c r="M1781">
        <v>78.843999999999994</v>
      </c>
      <c r="N1781">
        <v>79.725333000000006</v>
      </c>
      <c r="O1781">
        <v>22.323</v>
      </c>
      <c r="P1781">
        <v>25.286000000000001</v>
      </c>
      <c r="Q1781">
        <v>31.13</v>
      </c>
      <c r="S1781" t="s">
        <v>83</v>
      </c>
      <c r="T1781">
        <f>IF(TRIM(Table1[[#This Row],[PitStopLaps]])="",0,
LEN(Table1[[#This Row],[PitStopLaps]])-LEN(SUBSTITUTE(Table1[[#This Row],[PitStopLaps]],",",""))+1)</f>
        <v>0</v>
      </c>
      <c r="U1781">
        <f>Table1[[#This Row],[StartPosition]]-Table1[[#This Row],[FinishPosition]]</f>
        <v>-7</v>
      </c>
    </row>
    <row r="1782" spans="1:21" x14ac:dyDescent="0.3">
      <c r="A1782">
        <v>2022</v>
      </c>
      <c r="B1782">
        <v>10</v>
      </c>
      <c r="C1782" t="s">
        <v>157</v>
      </c>
      <c r="D1782" t="s">
        <v>47</v>
      </c>
      <c r="E1782" t="s">
        <v>48</v>
      </c>
      <c r="F1782" t="s">
        <v>22</v>
      </c>
      <c r="G1782">
        <v>1</v>
      </c>
      <c r="H1782">
        <v>1</v>
      </c>
      <c r="I1782">
        <v>25</v>
      </c>
      <c r="J1782" t="s">
        <v>23</v>
      </c>
      <c r="K1782" t="s">
        <v>24</v>
      </c>
      <c r="L1782">
        <v>52</v>
      </c>
      <c r="M1782">
        <v>90.813000000000002</v>
      </c>
      <c r="N1782">
        <v>92.654465000000002</v>
      </c>
      <c r="O1782">
        <v>29.125</v>
      </c>
      <c r="P1782">
        <v>36.622999999999998</v>
      </c>
      <c r="Q1782">
        <v>24.954999999999998</v>
      </c>
      <c r="R1782" t="s">
        <v>571</v>
      </c>
      <c r="S1782" t="s">
        <v>25</v>
      </c>
      <c r="T1782">
        <f>IF(TRIM(Table1[[#This Row],[PitStopLaps]])="",0,
LEN(Table1[[#This Row],[PitStopLaps]])-LEN(SUBSTITUTE(Table1[[#This Row],[PitStopLaps]],",",""))+1)</f>
        <v>3</v>
      </c>
      <c r="U1782">
        <f>Table1[[#This Row],[StartPosition]]-Table1[[#This Row],[FinishPosition]]</f>
        <v>0</v>
      </c>
    </row>
    <row r="1783" spans="1:21" x14ac:dyDescent="0.3">
      <c r="A1783">
        <v>2022</v>
      </c>
      <c r="B1783">
        <v>10</v>
      </c>
      <c r="C1783" t="s">
        <v>157</v>
      </c>
      <c r="D1783" t="s">
        <v>49</v>
      </c>
      <c r="E1783" t="s">
        <v>50</v>
      </c>
      <c r="F1783" t="s">
        <v>33</v>
      </c>
      <c r="G1783">
        <v>4</v>
      </c>
      <c r="H1783">
        <v>2</v>
      </c>
      <c r="I1783">
        <v>18</v>
      </c>
      <c r="J1783" t="s">
        <v>23</v>
      </c>
      <c r="K1783" t="s">
        <v>24</v>
      </c>
      <c r="L1783">
        <v>52</v>
      </c>
      <c r="M1783">
        <v>90.936999999999998</v>
      </c>
      <c r="N1783">
        <v>94.217568</v>
      </c>
      <c r="O1783">
        <v>29.004000000000001</v>
      </c>
      <c r="P1783">
        <v>36.747</v>
      </c>
      <c r="Q1783">
        <v>24.92</v>
      </c>
      <c r="R1783" t="s">
        <v>875</v>
      </c>
      <c r="S1783" t="s">
        <v>25</v>
      </c>
      <c r="T1783">
        <f>IF(TRIM(Table1[[#This Row],[PitStopLaps]])="",0,
LEN(Table1[[#This Row],[PitStopLaps]])-LEN(SUBSTITUTE(Table1[[#This Row],[PitStopLaps]],",",""))+1)</f>
        <v>3</v>
      </c>
      <c r="U1783">
        <f>Table1[[#This Row],[StartPosition]]-Table1[[#This Row],[FinishPosition]]</f>
        <v>2</v>
      </c>
    </row>
    <row r="1784" spans="1:21" x14ac:dyDescent="0.3">
      <c r="A1784">
        <v>2022</v>
      </c>
      <c r="B1784">
        <v>10</v>
      </c>
      <c r="C1784" t="s">
        <v>157</v>
      </c>
      <c r="D1784" t="s">
        <v>26</v>
      </c>
      <c r="E1784" t="s">
        <v>27</v>
      </c>
      <c r="F1784" t="s">
        <v>28</v>
      </c>
      <c r="G1784">
        <v>5</v>
      </c>
      <c r="H1784">
        <v>3</v>
      </c>
      <c r="I1784">
        <v>16</v>
      </c>
      <c r="J1784" t="s">
        <v>23</v>
      </c>
      <c r="K1784" t="s">
        <v>24</v>
      </c>
      <c r="L1784">
        <v>52</v>
      </c>
      <c r="M1784">
        <v>90.51</v>
      </c>
      <c r="N1784">
        <v>93.887477000000004</v>
      </c>
      <c r="O1784">
        <v>29.003</v>
      </c>
      <c r="P1784">
        <v>36.58</v>
      </c>
      <c r="Q1784">
        <v>24.507000000000001</v>
      </c>
      <c r="R1784" t="s">
        <v>876</v>
      </c>
      <c r="S1784" t="s">
        <v>25</v>
      </c>
      <c r="T1784">
        <f>IF(TRIM(Table1[[#This Row],[PitStopLaps]])="",0,
LEN(Table1[[#This Row],[PitStopLaps]])-LEN(SUBSTITUTE(Table1[[#This Row],[PitStopLaps]],",",""))+1)</f>
        <v>3</v>
      </c>
      <c r="U1784">
        <f>Table1[[#This Row],[StartPosition]]-Table1[[#This Row],[FinishPosition]]</f>
        <v>2</v>
      </c>
    </row>
    <row r="1785" spans="1:21" x14ac:dyDescent="0.3">
      <c r="A1785">
        <v>2022</v>
      </c>
      <c r="B1785">
        <v>10</v>
      </c>
      <c r="C1785" t="s">
        <v>157</v>
      </c>
      <c r="D1785" t="s">
        <v>54</v>
      </c>
      <c r="E1785" t="s">
        <v>55</v>
      </c>
      <c r="F1785" t="s">
        <v>22</v>
      </c>
      <c r="G1785">
        <v>3</v>
      </c>
      <c r="H1785">
        <v>4</v>
      </c>
      <c r="I1785">
        <v>12</v>
      </c>
      <c r="J1785" t="s">
        <v>34</v>
      </c>
      <c r="K1785" t="s">
        <v>24</v>
      </c>
      <c r="L1785">
        <v>52</v>
      </c>
      <c r="M1785">
        <v>91.281999999999996</v>
      </c>
      <c r="N1785">
        <v>94.008044999999996</v>
      </c>
      <c r="O1785">
        <v>29.190999999999999</v>
      </c>
      <c r="P1785">
        <v>36.875999999999998</v>
      </c>
      <c r="Q1785">
        <v>24.928999999999998</v>
      </c>
      <c r="R1785" t="s">
        <v>193</v>
      </c>
      <c r="S1785" t="s">
        <v>25</v>
      </c>
      <c r="T1785">
        <f>IF(TRIM(Table1[[#This Row],[PitStopLaps]])="",0,
LEN(Table1[[#This Row],[PitStopLaps]])-LEN(SUBSTITUTE(Table1[[#This Row],[PitStopLaps]],",",""))+1)</f>
        <v>2</v>
      </c>
      <c r="U1785">
        <f>Table1[[#This Row],[StartPosition]]-Table1[[#This Row],[FinishPosition]]</f>
        <v>-1</v>
      </c>
    </row>
    <row r="1786" spans="1:21" x14ac:dyDescent="0.3">
      <c r="A1786">
        <v>2022</v>
      </c>
      <c r="B1786">
        <v>10</v>
      </c>
      <c r="C1786" t="s">
        <v>157</v>
      </c>
      <c r="D1786" t="s">
        <v>35</v>
      </c>
      <c r="E1786" t="s">
        <v>36</v>
      </c>
      <c r="F1786" t="s">
        <v>607</v>
      </c>
      <c r="G1786">
        <v>7</v>
      </c>
      <c r="H1786">
        <v>5</v>
      </c>
      <c r="I1786">
        <v>10</v>
      </c>
      <c r="J1786" t="s">
        <v>34</v>
      </c>
      <c r="K1786" t="s">
        <v>24</v>
      </c>
      <c r="L1786">
        <v>52</v>
      </c>
      <c r="M1786">
        <v>91.608999999999995</v>
      </c>
      <c r="N1786">
        <v>94.631568000000001</v>
      </c>
      <c r="O1786">
        <v>29.175000000000001</v>
      </c>
      <c r="P1786">
        <v>37.130000000000003</v>
      </c>
      <c r="Q1786">
        <v>24.928000000000001</v>
      </c>
      <c r="R1786" t="s">
        <v>876</v>
      </c>
      <c r="S1786" t="s">
        <v>25</v>
      </c>
      <c r="T1786">
        <f>IF(TRIM(Table1[[#This Row],[PitStopLaps]])="",0,
LEN(Table1[[#This Row],[PitStopLaps]])-LEN(SUBSTITUTE(Table1[[#This Row],[PitStopLaps]],",",""))+1)</f>
        <v>3</v>
      </c>
      <c r="U1786">
        <f>Table1[[#This Row],[StartPosition]]-Table1[[#This Row],[FinishPosition]]</f>
        <v>2</v>
      </c>
    </row>
    <row r="1787" spans="1:21" x14ac:dyDescent="0.3">
      <c r="A1787">
        <v>2022</v>
      </c>
      <c r="B1787">
        <v>10</v>
      </c>
      <c r="C1787" t="s">
        <v>157</v>
      </c>
      <c r="D1787" t="s">
        <v>246</v>
      </c>
      <c r="E1787" t="s">
        <v>247</v>
      </c>
      <c r="F1787" t="s">
        <v>37</v>
      </c>
      <c r="G1787">
        <v>6</v>
      </c>
      <c r="H1787">
        <v>6</v>
      </c>
      <c r="I1787">
        <v>8</v>
      </c>
      <c r="J1787" t="s">
        <v>34</v>
      </c>
      <c r="K1787" t="s">
        <v>24</v>
      </c>
      <c r="L1787">
        <v>52</v>
      </c>
      <c r="M1787">
        <v>91.644999999999996</v>
      </c>
      <c r="N1787">
        <v>94.733545000000007</v>
      </c>
      <c r="O1787">
        <v>29.219000000000001</v>
      </c>
      <c r="P1787">
        <v>37.353000000000002</v>
      </c>
      <c r="Q1787">
        <v>24.835999999999999</v>
      </c>
      <c r="R1787" t="s">
        <v>877</v>
      </c>
      <c r="S1787" t="s">
        <v>25</v>
      </c>
      <c r="T1787">
        <f>IF(TRIM(Table1[[#This Row],[PitStopLaps]])="",0,
LEN(Table1[[#This Row],[PitStopLaps]])-LEN(SUBSTITUTE(Table1[[#This Row],[PitStopLaps]],",",""))+1)</f>
        <v>3</v>
      </c>
      <c r="U1787">
        <f>Table1[[#This Row],[StartPosition]]-Table1[[#This Row],[FinishPosition]]</f>
        <v>0</v>
      </c>
    </row>
    <row r="1788" spans="1:21" x14ac:dyDescent="0.3">
      <c r="A1788">
        <v>2022</v>
      </c>
      <c r="B1788">
        <v>10</v>
      </c>
      <c r="C1788" t="s">
        <v>157</v>
      </c>
      <c r="D1788" t="s">
        <v>38</v>
      </c>
      <c r="E1788" t="s">
        <v>39</v>
      </c>
      <c r="F1788" t="s">
        <v>33</v>
      </c>
      <c r="G1788">
        <v>2</v>
      </c>
      <c r="H1788">
        <v>7</v>
      </c>
      <c r="I1788">
        <v>6</v>
      </c>
      <c r="J1788" t="s">
        <v>34</v>
      </c>
      <c r="K1788" t="s">
        <v>24</v>
      </c>
      <c r="L1788">
        <v>52</v>
      </c>
      <c r="M1788">
        <v>92.135000000000005</v>
      </c>
      <c r="N1788">
        <v>93.968450000000004</v>
      </c>
      <c r="O1788">
        <v>29.254999999999999</v>
      </c>
      <c r="P1788">
        <v>37.558</v>
      </c>
      <c r="Q1788">
        <v>25.260999999999999</v>
      </c>
      <c r="R1788" t="s">
        <v>878</v>
      </c>
      <c r="S1788" t="s">
        <v>25</v>
      </c>
      <c r="T1788">
        <f>IF(TRIM(Table1[[#This Row],[PitStopLaps]])="",0,
LEN(Table1[[#This Row],[PitStopLaps]])-LEN(SUBSTITUTE(Table1[[#This Row],[PitStopLaps]],",",""))+1)</f>
        <v>4</v>
      </c>
      <c r="U1788">
        <f>Table1[[#This Row],[StartPosition]]-Table1[[#This Row],[FinishPosition]]</f>
        <v>-5</v>
      </c>
    </row>
    <row r="1789" spans="1:21" x14ac:dyDescent="0.3">
      <c r="A1789">
        <v>2022</v>
      </c>
      <c r="B1789">
        <v>10</v>
      </c>
      <c r="C1789" t="s">
        <v>157</v>
      </c>
      <c r="D1789" t="s">
        <v>608</v>
      </c>
      <c r="E1789" t="s">
        <v>609</v>
      </c>
      <c r="F1789" t="s">
        <v>69</v>
      </c>
      <c r="G1789">
        <v>19</v>
      </c>
      <c r="H1789">
        <v>8</v>
      </c>
      <c r="I1789">
        <v>4</v>
      </c>
      <c r="J1789" t="s">
        <v>34</v>
      </c>
      <c r="K1789" t="s">
        <v>24</v>
      </c>
      <c r="L1789">
        <v>52</v>
      </c>
      <c r="M1789">
        <v>92.108999999999995</v>
      </c>
      <c r="N1789">
        <v>94.974930000000001</v>
      </c>
      <c r="O1789">
        <v>29.305</v>
      </c>
      <c r="P1789">
        <v>37.445</v>
      </c>
      <c r="Q1789">
        <v>25.204000000000001</v>
      </c>
      <c r="R1789" t="s">
        <v>879</v>
      </c>
      <c r="S1789" t="s">
        <v>25</v>
      </c>
      <c r="T1789">
        <f>IF(TRIM(Table1[[#This Row],[PitStopLaps]])="",0,
LEN(Table1[[#This Row],[PitStopLaps]])-LEN(SUBSTITUTE(Table1[[#This Row],[PitStopLaps]],",",""))+1)</f>
        <v>3</v>
      </c>
      <c r="U1789">
        <f>Table1[[#This Row],[StartPosition]]-Table1[[#This Row],[FinishPosition]]</f>
        <v>11</v>
      </c>
    </row>
    <row r="1790" spans="1:21" x14ac:dyDescent="0.3">
      <c r="A1790">
        <v>2022</v>
      </c>
      <c r="B1790">
        <v>10</v>
      </c>
      <c r="C1790" t="s">
        <v>157</v>
      </c>
      <c r="D1790" t="s">
        <v>20</v>
      </c>
      <c r="E1790" t="s">
        <v>21</v>
      </c>
      <c r="F1790" t="s">
        <v>603</v>
      </c>
      <c r="G1790">
        <v>18</v>
      </c>
      <c r="H1790">
        <v>9</v>
      </c>
      <c r="I1790">
        <v>2</v>
      </c>
      <c r="J1790" t="s">
        <v>34</v>
      </c>
      <c r="K1790" t="s">
        <v>24</v>
      </c>
      <c r="L1790">
        <v>52</v>
      </c>
      <c r="M1790">
        <v>92.471000000000004</v>
      </c>
      <c r="N1790">
        <v>94.925839999999994</v>
      </c>
      <c r="O1790">
        <v>29.552</v>
      </c>
      <c r="P1790">
        <v>37.523000000000003</v>
      </c>
      <c r="Q1790">
        <v>25.353000000000002</v>
      </c>
      <c r="R1790" t="s">
        <v>880</v>
      </c>
      <c r="S1790" t="s">
        <v>25</v>
      </c>
      <c r="T1790">
        <f>IF(TRIM(Table1[[#This Row],[PitStopLaps]])="",0,
LEN(Table1[[#This Row],[PitStopLaps]])-LEN(SUBSTITUTE(Table1[[#This Row],[PitStopLaps]],",",""))+1)</f>
        <v>3</v>
      </c>
      <c r="U1790">
        <f>Table1[[#This Row],[StartPosition]]-Table1[[#This Row],[FinishPosition]]</f>
        <v>9</v>
      </c>
    </row>
    <row r="1791" spans="1:21" x14ac:dyDescent="0.3">
      <c r="A1791">
        <v>2022</v>
      </c>
      <c r="B1791">
        <v>10</v>
      </c>
      <c r="C1791" t="s">
        <v>157</v>
      </c>
      <c r="D1791" t="s">
        <v>71</v>
      </c>
      <c r="E1791" t="s">
        <v>72</v>
      </c>
      <c r="F1791" t="s">
        <v>69</v>
      </c>
      <c r="G1791">
        <v>17</v>
      </c>
      <c r="H1791">
        <v>10</v>
      </c>
      <c r="I1791">
        <v>1</v>
      </c>
      <c r="J1791" t="s">
        <v>34</v>
      </c>
      <c r="K1791" t="s">
        <v>24</v>
      </c>
      <c r="L1791">
        <v>52</v>
      </c>
      <c r="M1791">
        <v>92.661000000000001</v>
      </c>
      <c r="N1791">
        <v>95.397232000000002</v>
      </c>
      <c r="O1791">
        <v>29.696999999999999</v>
      </c>
      <c r="P1791">
        <v>37.6</v>
      </c>
      <c r="Q1791">
        <v>25.273</v>
      </c>
      <c r="R1791" t="s">
        <v>66</v>
      </c>
      <c r="S1791" t="s">
        <v>25</v>
      </c>
      <c r="T1791">
        <f>IF(TRIM(Table1[[#This Row],[PitStopLaps]])="",0,
LEN(Table1[[#This Row],[PitStopLaps]])-LEN(SUBSTITUTE(Table1[[#This Row],[PitStopLaps]],",",""))+1)</f>
        <v>2</v>
      </c>
      <c r="U1791">
        <f>Table1[[#This Row],[StartPosition]]-Table1[[#This Row],[FinishPosition]]</f>
        <v>7</v>
      </c>
    </row>
    <row r="1792" spans="1:21" x14ac:dyDescent="0.3">
      <c r="A1792">
        <v>2022</v>
      </c>
      <c r="B1792">
        <v>10</v>
      </c>
      <c r="C1792" t="s">
        <v>157</v>
      </c>
      <c r="D1792" t="s">
        <v>58</v>
      </c>
      <c r="E1792" t="s">
        <v>59</v>
      </c>
      <c r="F1792" t="s">
        <v>603</v>
      </c>
      <c r="G1792">
        <v>20</v>
      </c>
      <c r="H1792">
        <v>11</v>
      </c>
      <c r="I1792">
        <v>0</v>
      </c>
      <c r="J1792" t="s">
        <v>34</v>
      </c>
      <c r="K1792" t="s">
        <v>24</v>
      </c>
      <c r="L1792">
        <v>52</v>
      </c>
      <c r="M1792">
        <v>92.379000000000005</v>
      </c>
      <c r="N1792">
        <v>95.168836999999996</v>
      </c>
      <c r="O1792">
        <v>29.353999999999999</v>
      </c>
      <c r="P1792">
        <v>37.497999999999998</v>
      </c>
      <c r="Q1792">
        <v>25.303999999999998</v>
      </c>
      <c r="R1792" t="s">
        <v>881</v>
      </c>
      <c r="S1792" t="s">
        <v>25</v>
      </c>
      <c r="T1792">
        <f>IF(TRIM(Table1[[#This Row],[PitStopLaps]])="",0,
LEN(Table1[[#This Row],[PitStopLaps]])-LEN(SUBSTITUTE(Table1[[#This Row],[PitStopLaps]],",",""))+1)</f>
        <v>3</v>
      </c>
      <c r="U1792">
        <f>Table1[[#This Row],[StartPosition]]-Table1[[#This Row],[FinishPosition]]</f>
        <v>9</v>
      </c>
    </row>
    <row r="1793" spans="1:21" x14ac:dyDescent="0.3">
      <c r="A1793">
        <v>2022</v>
      </c>
      <c r="B1793">
        <v>10</v>
      </c>
      <c r="C1793" t="s">
        <v>157</v>
      </c>
      <c r="D1793" t="s">
        <v>440</v>
      </c>
      <c r="E1793" t="s">
        <v>441</v>
      </c>
      <c r="F1793" t="s">
        <v>60</v>
      </c>
      <c r="G1793">
        <v>10</v>
      </c>
      <c r="H1793">
        <v>12</v>
      </c>
      <c r="I1793">
        <v>0</v>
      </c>
      <c r="J1793" t="s">
        <v>34</v>
      </c>
      <c r="K1793" t="s">
        <v>24</v>
      </c>
      <c r="L1793">
        <v>52</v>
      </c>
      <c r="M1793">
        <v>93.286000000000001</v>
      </c>
      <c r="N1793">
        <v>95.879441</v>
      </c>
      <c r="O1793">
        <v>29.533999999999999</v>
      </c>
      <c r="P1793">
        <v>38.07</v>
      </c>
      <c r="Q1793">
        <v>25.343</v>
      </c>
      <c r="R1793" t="s">
        <v>879</v>
      </c>
      <c r="S1793" t="s">
        <v>25</v>
      </c>
      <c r="T1793">
        <f>IF(TRIM(Table1[[#This Row],[PitStopLaps]])="",0,
LEN(Table1[[#This Row],[PitStopLaps]])-LEN(SUBSTITUTE(Table1[[#This Row],[PitStopLaps]],",",""))+1)</f>
        <v>3</v>
      </c>
      <c r="U1793">
        <f>Table1[[#This Row],[StartPosition]]-Table1[[#This Row],[FinishPosition]]</f>
        <v>-2</v>
      </c>
    </row>
    <row r="1794" spans="1:21" x14ac:dyDescent="0.3">
      <c r="A1794">
        <v>2022</v>
      </c>
      <c r="B1794">
        <v>10</v>
      </c>
      <c r="C1794" t="s">
        <v>157</v>
      </c>
      <c r="D1794" t="s">
        <v>31</v>
      </c>
      <c r="E1794" t="s">
        <v>32</v>
      </c>
      <c r="F1794" t="s">
        <v>37</v>
      </c>
      <c r="G1794">
        <v>14</v>
      </c>
      <c r="H1794">
        <v>13</v>
      </c>
      <c r="I1794">
        <v>0</v>
      </c>
      <c r="J1794" t="s">
        <v>34</v>
      </c>
      <c r="K1794" t="s">
        <v>24</v>
      </c>
      <c r="L1794">
        <v>52</v>
      </c>
      <c r="M1794">
        <v>92.644000000000005</v>
      </c>
      <c r="N1794">
        <v>95.533169999999998</v>
      </c>
      <c r="O1794">
        <v>29.57</v>
      </c>
      <c r="P1794">
        <v>37.633000000000003</v>
      </c>
      <c r="Q1794">
        <v>25.440999999999999</v>
      </c>
      <c r="R1794" t="s">
        <v>882</v>
      </c>
      <c r="S1794" t="s">
        <v>25</v>
      </c>
      <c r="T1794">
        <f>IF(TRIM(Table1[[#This Row],[PitStopLaps]])="",0,
LEN(Table1[[#This Row],[PitStopLaps]])-LEN(SUBSTITUTE(Table1[[#This Row],[PitStopLaps]],",",""))+1)</f>
        <v>4</v>
      </c>
      <c r="U1794">
        <f>Table1[[#This Row],[StartPosition]]-Table1[[#This Row],[FinishPosition]]</f>
        <v>1</v>
      </c>
    </row>
    <row r="1795" spans="1:21" x14ac:dyDescent="0.3">
      <c r="A1795">
        <v>2022</v>
      </c>
      <c r="B1795">
        <v>10</v>
      </c>
      <c r="C1795" t="s">
        <v>157</v>
      </c>
      <c r="D1795" t="s">
        <v>601</v>
      </c>
      <c r="E1795" t="s">
        <v>602</v>
      </c>
      <c r="F1795" t="s">
        <v>438</v>
      </c>
      <c r="G1795">
        <v>13</v>
      </c>
      <c r="H1795">
        <v>14</v>
      </c>
      <c r="I1795">
        <v>0</v>
      </c>
      <c r="J1795" t="s">
        <v>34</v>
      </c>
      <c r="K1795" t="s">
        <v>24</v>
      </c>
      <c r="L1795">
        <v>52</v>
      </c>
      <c r="M1795">
        <v>93.831999999999994</v>
      </c>
      <c r="N1795">
        <v>96.427604000000002</v>
      </c>
      <c r="O1795">
        <v>29.596</v>
      </c>
      <c r="P1795">
        <v>38.33</v>
      </c>
      <c r="Q1795">
        <v>25.734999999999999</v>
      </c>
      <c r="R1795" t="s">
        <v>564</v>
      </c>
      <c r="S1795" t="s">
        <v>25</v>
      </c>
      <c r="T1795">
        <f>IF(TRIM(Table1[[#This Row],[PitStopLaps]])="",0,
LEN(Table1[[#This Row],[PitStopLaps]])-LEN(SUBSTITUTE(Table1[[#This Row],[PitStopLaps]],",",""))+1)</f>
        <v>3</v>
      </c>
      <c r="U1795">
        <f>Table1[[#This Row],[StartPosition]]-Table1[[#This Row],[FinishPosition]]</f>
        <v>-1</v>
      </c>
    </row>
    <row r="1796" spans="1:21" x14ac:dyDescent="0.3">
      <c r="A1796">
        <v>2022</v>
      </c>
      <c r="B1796">
        <v>10</v>
      </c>
      <c r="C1796" t="s">
        <v>157</v>
      </c>
      <c r="D1796" t="s">
        <v>52</v>
      </c>
      <c r="E1796" t="s">
        <v>53</v>
      </c>
      <c r="F1796" t="s">
        <v>607</v>
      </c>
      <c r="G1796">
        <v>15</v>
      </c>
      <c r="H1796">
        <v>15</v>
      </c>
      <c r="I1796">
        <v>0</v>
      </c>
      <c r="J1796" t="s">
        <v>34</v>
      </c>
      <c r="K1796" t="s">
        <v>883</v>
      </c>
      <c r="L1796">
        <v>38</v>
      </c>
      <c r="M1796">
        <v>93.537000000000006</v>
      </c>
      <c r="N1796">
        <v>95.788030000000006</v>
      </c>
      <c r="O1796">
        <v>29.707000000000001</v>
      </c>
      <c r="P1796">
        <v>37.875999999999998</v>
      </c>
      <c r="Q1796">
        <v>25.620999999999999</v>
      </c>
      <c r="R1796" t="s">
        <v>66</v>
      </c>
      <c r="S1796" t="s">
        <v>25</v>
      </c>
      <c r="T1796">
        <f>IF(TRIM(Table1[[#This Row],[PitStopLaps]])="",0,
LEN(Table1[[#This Row],[PitStopLaps]])-LEN(SUBSTITUTE(Table1[[#This Row],[PitStopLaps]],",",""))+1)</f>
        <v>2</v>
      </c>
      <c r="U1796">
        <f>Table1[[#This Row],[StartPosition]]-Table1[[#This Row],[FinishPosition]]</f>
        <v>0</v>
      </c>
    </row>
    <row r="1797" spans="1:21" x14ac:dyDescent="0.3">
      <c r="A1797">
        <v>2022</v>
      </c>
      <c r="B1797">
        <v>10</v>
      </c>
      <c r="C1797" t="s">
        <v>157</v>
      </c>
      <c r="D1797" t="s">
        <v>73</v>
      </c>
      <c r="E1797" t="s">
        <v>74</v>
      </c>
      <c r="F1797" t="s">
        <v>438</v>
      </c>
      <c r="G1797">
        <v>11</v>
      </c>
      <c r="H1797">
        <v>16</v>
      </c>
      <c r="I1797">
        <v>0</v>
      </c>
      <c r="J1797" t="s">
        <v>34</v>
      </c>
      <c r="K1797" t="s">
        <v>109</v>
      </c>
      <c r="L1797">
        <v>26</v>
      </c>
      <c r="M1797">
        <v>94.614000000000004</v>
      </c>
      <c r="N1797">
        <v>97.400666000000001</v>
      </c>
      <c r="O1797">
        <v>30.021999999999998</v>
      </c>
      <c r="P1797">
        <v>38.633000000000003</v>
      </c>
      <c r="Q1797">
        <v>25.863</v>
      </c>
      <c r="R1797" t="s">
        <v>884</v>
      </c>
      <c r="S1797" t="s">
        <v>25</v>
      </c>
      <c r="T1797">
        <f>IF(TRIM(Table1[[#This Row],[PitStopLaps]])="",0,
LEN(Table1[[#This Row],[PitStopLaps]])-LEN(SUBSTITUTE(Table1[[#This Row],[PitStopLaps]],",",""))+1)</f>
        <v>3</v>
      </c>
      <c r="U1797">
        <f>Table1[[#This Row],[StartPosition]]-Table1[[#This Row],[FinishPosition]]</f>
        <v>-5</v>
      </c>
    </row>
    <row r="1798" spans="1:21" x14ac:dyDescent="0.3">
      <c r="A1798">
        <v>2022</v>
      </c>
      <c r="B1798">
        <v>10</v>
      </c>
      <c r="C1798" t="s">
        <v>157</v>
      </c>
      <c r="D1798" t="s">
        <v>43</v>
      </c>
      <c r="E1798" t="s">
        <v>44</v>
      </c>
      <c r="F1798" t="s">
        <v>789</v>
      </c>
      <c r="G1798">
        <v>12</v>
      </c>
      <c r="H1798">
        <v>17</v>
      </c>
      <c r="I1798">
        <v>0</v>
      </c>
      <c r="J1798" t="s">
        <v>34</v>
      </c>
      <c r="K1798" t="s">
        <v>132</v>
      </c>
      <c r="L1798">
        <v>20</v>
      </c>
      <c r="M1798">
        <v>95.102999999999994</v>
      </c>
      <c r="N1798">
        <v>97.688351999999995</v>
      </c>
      <c r="O1798">
        <v>29.867000000000001</v>
      </c>
      <c r="P1798">
        <v>38.924999999999997</v>
      </c>
      <c r="Q1798">
        <v>25.998999999999999</v>
      </c>
      <c r="R1798" t="s">
        <v>885</v>
      </c>
      <c r="S1798" t="s">
        <v>25</v>
      </c>
      <c r="T1798">
        <f>IF(TRIM(Table1[[#This Row],[PitStopLaps]])="",0,
LEN(Table1[[#This Row],[PitStopLaps]])-LEN(SUBSTITUTE(Table1[[#This Row],[PitStopLaps]],",",""))+1)</f>
        <v>2</v>
      </c>
      <c r="U1798">
        <f>Table1[[#This Row],[StartPosition]]-Table1[[#This Row],[FinishPosition]]</f>
        <v>-5</v>
      </c>
    </row>
    <row r="1799" spans="1:21" x14ac:dyDescent="0.3">
      <c r="A1799">
        <v>2022</v>
      </c>
      <c r="B1799">
        <v>10</v>
      </c>
      <c r="C1799" t="s">
        <v>157</v>
      </c>
      <c r="D1799" t="s">
        <v>252</v>
      </c>
      <c r="E1799" t="s">
        <v>253</v>
      </c>
      <c r="F1799" t="s">
        <v>28</v>
      </c>
      <c r="G1799">
        <v>8</v>
      </c>
      <c r="H1799">
        <v>18</v>
      </c>
      <c r="I1799">
        <v>0</v>
      </c>
      <c r="J1799" t="s">
        <v>34</v>
      </c>
      <c r="K1799" t="s">
        <v>124</v>
      </c>
      <c r="L1799">
        <v>1</v>
      </c>
      <c r="S1799" t="s">
        <v>25</v>
      </c>
      <c r="T1799">
        <f>IF(TRIM(Table1[[#This Row],[PitStopLaps]])="",0,
LEN(Table1[[#This Row],[PitStopLaps]])-LEN(SUBSTITUTE(Table1[[#This Row],[PitStopLaps]],",",""))+1)</f>
        <v>0</v>
      </c>
      <c r="U1799">
        <f>Table1[[#This Row],[StartPosition]]-Table1[[#This Row],[FinishPosition]]</f>
        <v>-10</v>
      </c>
    </row>
    <row r="1800" spans="1:21" x14ac:dyDescent="0.3">
      <c r="A1800">
        <v>2022</v>
      </c>
      <c r="B1800">
        <v>10</v>
      </c>
      <c r="C1800" t="s">
        <v>157</v>
      </c>
      <c r="D1800" t="s">
        <v>794</v>
      </c>
      <c r="E1800" t="s">
        <v>795</v>
      </c>
      <c r="F1800" t="s">
        <v>789</v>
      </c>
      <c r="G1800">
        <v>9</v>
      </c>
      <c r="H1800">
        <v>19</v>
      </c>
      <c r="I1800">
        <v>0</v>
      </c>
      <c r="J1800" t="s">
        <v>34</v>
      </c>
      <c r="K1800" t="s">
        <v>124</v>
      </c>
      <c r="L1800">
        <v>1</v>
      </c>
      <c r="S1800" t="s">
        <v>25</v>
      </c>
      <c r="T1800">
        <f>IF(TRIM(Table1[[#This Row],[PitStopLaps]])="",0,
LEN(Table1[[#This Row],[PitStopLaps]])-LEN(SUBSTITUTE(Table1[[#This Row],[PitStopLaps]],",",""))+1)</f>
        <v>0</v>
      </c>
      <c r="U1800">
        <f>Table1[[#This Row],[StartPosition]]-Table1[[#This Row],[FinishPosition]]</f>
        <v>-10</v>
      </c>
    </row>
    <row r="1801" spans="1:21" x14ac:dyDescent="0.3">
      <c r="A1801">
        <v>2022</v>
      </c>
      <c r="B1801">
        <v>10</v>
      </c>
      <c r="C1801" t="s">
        <v>157</v>
      </c>
      <c r="D1801" t="s">
        <v>248</v>
      </c>
      <c r="E1801" t="s">
        <v>249</v>
      </c>
      <c r="F1801" t="s">
        <v>60</v>
      </c>
      <c r="G1801">
        <v>16</v>
      </c>
      <c r="H1801">
        <v>20</v>
      </c>
      <c r="I1801">
        <v>0</v>
      </c>
      <c r="J1801" t="s">
        <v>34</v>
      </c>
      <c r="K1801" t="s">
        <v>124</v>
      </c>
      <c r="L1801">
        <v>1</v>
      </c>
      <c r="S1801" t="s">
        <v>25</v>
      </c>
      <c r="T1801">
        <f>IF(TRIM(Table1[[#This Row],[PitStopLaps]])="",0,
LEN(Table1[[#This Row],[PitStopLaps]])-LEN(SUBSTITUTE(Table1[[#This Row],[PitStopLaps]],",",""))+1)</f>
        <v>0</v>
      </c>
      <c r="U1801">
        <f>Table1[[#This Row],[StartPosition]]-Table1[[#This Row],[FinishPosition]]</f>
        <v>-4</v>
      </c>
    </row>
    <row r="1802" spans="1:21" x14ac:dyDescent="0.3">
      <c r="A1802">
        <v>2022</v>
      </c>
      <c r="B1802">
        <v>11</v>
      </c>
      <c r="C1802" t="s">
        <v>149</v>
      </c>
      <c r="D1802" t="s">
        <v>54</v>
      </c>
      <c r="E1802" t="s">
        <v>55</v>
      </c>
      <c r="F1802" t="s">
        <v>22</v>
      </c>
      <c r="G1802">
        <v>2</v>
      </c>
      <c r="H1802">
        <v>1</v>
      </c>
      <c r="I1802">
        <v>25</v>
      </c>
      <c r="J1802" t="s">
        <v>23</v>
      </c>
      <c r="K1802" t="s">
        <v>24</v>
      </c>
      <c r="L1802">
        <v>71</v>
      </c>
      <c r="M1802">
        <v>67.582999999999998</v>
      </c>
      <c r="N1802">
        <v>69.94538</v>
      </c>
      <c r="O1802">
        <v>17.181000000000001</v>
      </c>
      <c r="P1802">
        <v>30.093</v>
      </c>
      <c r="Q1802">
        <v>20.268000000000001</v>
      </c>
      <c r="R1802" t="s">
        <v>886</v>
      </c>
      <c r="S1802" t="s">
        <v>83</v>
      </c>
      <c r="T1802">
        <f>IF(TRIM(Table1[[#This Row],[PitStopLaps]])="",0,
LEN(Table1[[#This Row],[PitStopLaps]])-LEN(SUBSTITUTE(Table1[[#This Row],[PitStopLaps]],",",""))+1)</f>
        <v>3</v>
      </c>
      <c r="U1802">
        <f>Table1[[#This Row],[StartPosition]]-Table1[[#This Row],[FinishPosition]]</f>
        <v>1</v>
      </c>
    </row>
    <row r="1803" spans="1:21" x14ac:dyDescent="0.3">
      <c r="A1803">
        <v>2022</v>
      </c>
      <c r="B1803">
        <v>11</v>
      </c>
      <c r="C1803" t="s">
        <v>149</v>
      </c>
      <c r="D1803" t="s">
        <v>38</v>
      </c>
      <c r="E1803" t="s">
        <v>39</v>
      </c>
      <c r="F1803" t="s">
        <v>33</v>
      </c>
      <c r="G1803">
        <v>1</v>
      </c>
      <c r="H1803">
        <v>2</v>
      </c>
      <c r="I1803">
        <v>19</v>
      </c>
      <c r="J1803" t="s">
        <v>23</v>
      </c>
      <c r="K1803" t="s">
        <v>24</v>
      </c>
      <c r="L1803">
        <v>71</v>
      </c>
      <c r="M1803">
        <v>67.275000000000006</v>
      </c>
      <c r="N1803">
        <v>69.981639999999999</v>
      </c>
      <c r="O1803">
        <v>17.085999999999999</v>
      </c>
      <c r="P1803">
        <v>29.866</v>
      </c>
      <c r="Q1803">
        <v>20.265000000000001</v>
      </c>
      <c r="R1803" t="s">
        <v>887</v>
      </c>
      <c r="S1803" t="s">
        <v>83</v>
      </c>
      <c r="T1803">
        <f>IF(TRIM(Table1[[#This Row],[PitStopLaps]])="",0,
LEN(Table1[[#This Row],[PitStopLaps]])-LEN(SUBSTITUTE(Table1[[#This Row],[PitStopLaps]],",",""))+1)</f>
        <v>3</v>
      </c>
      <c r="U1803">
        <f>Table1[[#This Row],[StartPosition]]-Table1[[#This Row],[FinishPosition]]</f>
        <v>-1</v>
      </c>
    </row>
    <row r="1804" spans="1:21" x14ac:dyDescent="0.3">
      <c r="A1804">
        <v>2022</v>
      </c>
      <c r="B1804">
        <v>11</v>
      </c>
      <c r="C1804" t="s">
        <v>149</v>
      </c>
      <c r="D1804" t="s">
        <v>26</v>
      </c>
      <c r="E1804" t="s">
        <v>27</v>
      </c>
      <c r="F1804" t="s">
        <v>28</v>
      </c>
      <c r="G1804">
        <v>8</v>
      </c>
      <c r="H1804">
        <v>3</v>
      </c>
      <c r="I1804">
        <v>15</v>
      </c>
      <c r="J1804" t="s">
        <v>23</v>
      </c>
      <c r="K1804" t="s">
        <v>24</v>
      </c>
      <c r="L1804">
        <v>71</v>
      </c>
      <c r="M1804">
        <v>69</v>
      </c>
      <c r="N1804">
        <v>70.595825000000005</v>
      </c>
      <c r="O1804">
        <v>17.222000000000001</v>
      </c>
      <c r="P1804">
        <v>30.678000000000001</v>
      </c>
      <c r="Q1804">
        <v>20.873000000000001</v>
      </c>
      <c r="R1804" t="s">
        <v>182</v>
      </c>
      <c r="S1804" t="s">
        <v>83</v>
      </c>
      <c r="T1804">
        <f>IF(TRIM(Table1[[#This Row],[PitStopLaps]])="",0,
LEN(Table1[[#This Row],[PitStopLaps]])-LEN(SUBSTITUTE(Table1[[#This Row],[PitStopLaps]],",",""))+1)</f>
        <v>2</v>
      </c>
      <c r="U1804">
        <f>Table1[[#This Row],[StartPosition]]-Table1[[#This Row],[FinishPosition]]</f>
        <v>5</v>
      </c>
    </row>
    <row r="1805" spans="1:21" x14ac:dyDescent="0.3">
      <c r="A1805">
        <v>2022</v>
      </c>
      <c r="B1805">
        <v>11</v>
      </c>
      <c r="C1805" t="s">
        <v>149</v>
      </c>
      <c r="D1805" t="s">
        <v>252</v>
      </c>
      <c r="E1805" t="s">
        <v>253</v>
      </c>
      <c r="F1805" t="s">
        <v>28</v>
      </c>
      <c r="G1805">
        <v>4</v>
      </c>
      <c r="H1805">
        <v>4</v>
      </c>
      <c r="I1805">
        <v>12</v>
      </c>
      <c r="J1805" t="s">
        <v>34</v>
      </c>
      <c r="K1805" t="s">
        <v>24</v>
      </c>
      <c r="L1805">
        <v>71</v>
      </c>
      <c r="M1805">
        <v>69.075000000000003</v>
      </c>
      <c r="N1805">
        <v>70.677587000000003</v>
      </c>
      <c r="O1805">
        <v>17.196999999999999</v>
      </c>
      <c r="P1805">
        <v>30.908000000000001</v>
      </c>
      <c r="Q1805">
        <v>20.782</v>
      </c>
      <c r="R1805" t="s">
        <v>888</v>
      </c>
      <c r="S1805" t="s">
        <v>83</v>
      </c>
      <c r="T1805">
        <f>IF(TRIM(Table1[[#This Row],[PitStopLaps]])="",0,
LEN(Table1[[#This Row],[PitStopLaps]])-LEN(SUBSTITUTE(Table1[[#This Row],[PitStopLaps]],",",""))+1)</f>
        <v>2</v>
      </c>
      <c r="U1805">
        <f>Table1[[#This Row],[StartPosition]]-Table1[[#This Row],[FinishPosition]]</f>
        <v>0</v>
      </c>
    </row>
    <row r="1806" spans="1:21" x14ac:dyDescent="0.3">
      <c r="A1806">
        <v>2022</v>
      </c>
      <c r="B1806">
        <v>11</v>
      </c>
      <c r="C1806" t="s">
        <v>149</v>
      </c>
      <c r="D1806" t="s">
        <v>52</v>
      </c>
      <c r="E1806" t="s">
        <v>53</v>
      </c>
      <c r="F1806" t="s">
        <v>607</v>
      </c>
      <c r="G1806">
        <v>6</v>
      </c>
      <c r="H1806">
        <v>5</v>
      </c>
      <c r="I1806">
        <v>10</v>
      </c>
      <c r="J1806" t="s">
        <v>34</v>
      </c>
      <c r="K1806" t="s">
        <v>24</v>
      </c>
      <c r="L1806">
        <v>71</v>
      </c>
      <c r="M1806">
        <v>69.558999999999997</v>
      </c>
      <c r="N1806">
        <v>71.049587000000002</v>
      </c>
      <c r="O1806">
        <v>17.178000000000001</v>
      </c>
      <c r="P1806">
        <v>31.021999999999998</v>
      </c>
      <c r="Q1806">
        <v>20.901</v>
      </c>
      <c r="R1806" t="s">
        <v>521</v>
      </c>
      <c r="S1806" t="s">
        <v>83</v>
      </c>
      <c r="T1806">
        <f>IF(TRIM(Table1[[#This Row],[PitStopLaps]])="",0,
LEN(Table1[[#This Row],[PitStopLaps]])-LEN(SUBSTITUTE(Table1[[#This Row],[PitStopLaps]],",",""))+1)</f>
        <v>2</v>
      </c>
      <c r="U1806">
        <f>Table1[[#This Row],[StartPosition]]-Table1[[#This Row],[FinishPosition]]</f>
        <v>1</v>
      </c>
    </row>
    <row r="1807" spans="1:21" x14ac:dyDescent="0.3">
      <c r="A1807">
        <v>2022</v>
      </c>
      <c r="B1807">
        <v>11</v>
      </c>
      <c r="C1807" t="s">
        <v>149</v>
      </c>
      <c r="D1807" t="s">
        <v>608</v>
      </c>
      <c r="E1807" t="s">
        <v>609</v>
      </c>
      <c r="F1807" t="s">
        <v>69</v>
      </c>
      <c r="G1807">
        <v>9</v>
      </c>
      <c r="H1807">
        <v>6</v>
      </c>
      <c r="I1807">
        <v>8</v>
      </c>
      <c r="J1807" t="s">
        <v>34</v>
      </c>
      <c r="K1807" t="s">
        <v>65</v>
      </c>
      <c r="L1807">
        <v>70</v>
      </c>
      <c r="M1807">
        <v>69.625</v>
      </c>
      <c r="N1807">
        <v>71.107387000000003</v>
      </c>
      <c r="O1807">
        <v>17.234999999999999</v>
      </c>
      <c r="P1807">
        <v>31.010999999999999</v>
      </c>
      <c r="Q1807">
        <v>21.123000000000001</v>
      </c>
      <c r="R1807" t="s">
        <v>889</v>
      </c>
      <c r="S1807" t="s">
        <v>83</v>
      </c>
      <c r="T1807">
        <f>IF(TRIM(Table1[[#This Row],[PitStopLaps]])="",0,
LEN(Table1[[#This Row],[PitStopLaps]])-LEN(SUBSTITUTE(Table1[[#This Row],[PitStopLaps]],",",""))+1)</f>
        <v>2</v>
      </c>
      <c r="U1807">
        <f>Table1[[#This Row],[StartPosition]]-Table1[[#This Row],[FinishPosition]]</f>
        <v>3</v>
      </c>
    </row>
    <row r="1808" spans="1:21" x14ac:dyDescent="0.3">
      <c r="A1808">
        <v>2022</v>
      </c>
      <c r="B1808">
        <v>11</v>
      </c>
      <c r="C1808" t="s">
        <v>149</v>
      </c>
      <c r="D1808" t="s">
        <v>246</v>
      </c>
      <c r="E1808" t="s">
        <v>247</v>
      </c>
      <c r="F1808" t="s">
        <v>37</v>
      </c>
      <c r="G1808">
        <v>10</v>
      </c>
      <c r="H1808">
        <v>7</v>
      </c>
      <c r="I1808">
        <v>6</v>
      </c>
      <c r="J1808" t="s">
        <v>34</v>
      </c>
      <c r="K1808" t="s">
        <v>65</v>
      </c>
      <c r="L1808">
        <v>70</v>
      </c>
      <c r="M1808">
        <v>69.304000000000002</v>
      </c>
      <c r="N1808">
        <v>71.087629000000007</v>
      </c>
      <c r="O1808">
        <v>17.155999999999999</v>
      </c>
      <c r="P1808">
        <v>31.099</v>
      </c>
      <c r="Q1808">
        <v>20.988</v>
      </c>
      <c r="R1808" t="s">
        <v>890</v>
      </c>
      <c r="S1808" t="s">
        <v>83</v>
      </c>
      <c r="T1808">
        <f>IF(TRIM(Table1[[#This Row],[PitStopLaps]])="",0,
LEN(Table1[[#This Row],[PitStopLaps]])-LEN(SUBSTITUTE(Table1[[#This Row],[PitStopLaps]],",",""))+1)</f>
        <v>2</v>
      </c>
      <c r="U1808">
        <f>Table1[[#This Row],[StartPosition]]-Table1[[#This Row],[FinishPosition]]</f>
        <v>3</v>
      </c>
    </row>
    <row r="1809" spans="1:21" x14ac:dyDescent="0.3">
      <c r="A1809">
        <v>2022</v>
      </c>
      <c r="B1809">
        <v>11</v>
      </c>
      <c r="C1809" t="s">
        <v>149</v>
      </c>
      <c r="D1809" t="s">
        <v>71</v>
      </c>
      <c r="E1809" t="s">
        <v>72</v>
      </c>
      <c r="F1809" t="s">
        <v>69</v>
      </c>
      <c r="G1809">
        <v>7</v>
      </c>
      <c r="H1809">
        <v>8</v>
      </c>
      <c r="I1809">
        <v>4</v>
      </c>
      <c r="J1809" t="s">
        <v>34</v>
      </c>
      <c r="K1809" t="s">
        <v>65</v>
      </c>
      <c r="L1809">
        <v>70</v>
      </c>
      <c r="M1809">
        <v>69.938000000000002</v>
      </c>
      <c r="N1809">
        <v>71.228999999999999</v>
      </c>
      <c r="O1809">
        <v>17.315000000000001</v>
      </c>
      <c r="P1809">
        <v>31.170999999999999</v>
      </c>
      <c r="Q1809">
        <v>21.088999999999999</v>
      </c>
      <c r="R1809" t="s">
        <v>891</v>
      </c>
      <c r="S1809" t="s">
        <v>83</v>
      </c>
      <c r="T1809">
        <f>IF(TRIM(Table1[[#This Row],[PitStopLaps]])="",0,
LEN(Table1[[#This Row],[PitStopLaps]])-LEN(SUBSTITUTE(Table1[[#This Row],[PitStopLaps]],",",""))+1)</f>
        <v>2</v>
      </c>
      <c r="U1809">
        <f>Table1[[#This Row],[StartPosition]]-Table1[[#This Row],[FinishPosition]]</f>
        <v>-1</v>
      </c>
    </row>
    <row r="1810" spans="1:21" x14ac:dyDescent="0.3">
      <c r="A1810">
        <v>2022</v>
      </c>
      <c r="B1810">
        <v>11</v>
      </c>
      <c r="C1810" t="s">
        <v>149</v>
      </c>
      <c r="D1810" t="s">
        <v>31</v>
      </c>
      <c r="E1810" t="s">
        <v>32</v>
      </c>
      <c r="F1810" t="s">
        <v>37</v>
      </c>
      <c r="G1810">
        <v>11</v>
      </c>
      <c r="H1810">
        <v>9</v>
      </c>
      <c r="I1810">
        <v>2</v>
      </c>
      <c r="J1810" t="s">
        <v>34</v>
      </c>
      <c r="K1810" t="s">
        <v>65</v>
      </c>
      <c r="L1810">
        <v>70</v>
      </c>
      <c r="M1810">
        <v>69.924000000000007</v>
      </c>
      <c r="N1810">
        <v>71.335677000000004</v>
      </c>
      <c r="O1810">
        <v>17.382999999999999</v>
      </c>
      <c r="P1810">
        <v>31.093</v>
      </c>
      <c r="Q1810">
        <v>21.161999999999999</v>
      </c>
      <c r="R1810" t="s">
        <v>892</v>
      </c>
      <c r="S1810" t="s">
        <v>83</v>
      </c>
      <c r="T1810">
        <f>IF(TRIM(Table1[[#This Row],[PitStopLaps]])="",0,
LEN(Table1[[#This Row],[PitStopLaps]])-LEN(SUBSTITUTE(Table1[[#This Row],[PitStopLaps]],",",""))+1)</f>
        <v>2</v>
      </c>
      <c r="U1810">
        <f>Table1[[#This Row],[StartPosition]]-Table1[[#This Row],[FinishPosition]]</f>
        <v>2</v>
      </c>
    </row>
    <row r="1811" spans="1:21" x14ac:dyDescent="0.3">
      <c r="A1811">
        <v>2022</v>
      </c>
      <c r="B1811">
        <v>11</v>
      </c>
      <c r="C1811" t="s">
        <v>149</v>
      </c>
      <c r="D1811" t="s">
        <v>35</v>
      </c>
      <c r="E1811" t="s">
        <v>36</v>
      </c>
      <c r="F1811" t="s">
        <v>607</v>
      </c>
      <c r="G1811">
        <v>19</v>
      </c>
      <c r="H1811">
        <v>10</v>
      </c>
      <c r="I1811">
        <v>1</v>
      </c>
      <c r="J1811" t="s">
        <v>34</v>
      </c>
      <c r="K1811" t="s">
        <v>65</v>
      </c>
      <c r="L1811">
        <v>70</v>
      </c>
      <c r="M1811">
        <v>68.558000000000007</v>
      </c>
      <c r="N1811">
        <v>71.168390000000002</v>
      </c>
      <c r="O1811">
        <v>16.942</v>
      </c>
      <c r="P1811">
        <v>30.553999999999998</v>
      </c>
      <c r="Q1811">
        <v>20.803000000000001</v>
      </c>
      <c r="R1811" t="s">
        <v>893</v>
      </c>
      <c r="S1811" t="s">
        <v>83</v>
      </c>
      <c r="T1811">
        <f>IF(TRIM(Table1[[#This Row],[PitStopLaps]])="",0,
LEN(Table1[[#This Row],[PitStopLaps]])-LEN(SUBSTITUTE(Table1[[#This Row],[PitStopLaps]],",",""))+1)</f>
        <v>3</v>
      </c>
      <c r="U1811">
        <f>Table1[[#This Row],[StartPosition]]-Table1[[#This Row],[FinishPosition]]</f>
        <v>9</v>
      </c>
    </row>
    <row r="1812" spans="1:21" x14ac:dyDescent="0.3">
      <c r="A1812">
        <v>2022</v>
      </c>
      <c r="B1812">
        <v>11</v>
      </c>
      <c r="C1812" t="s">
        <v>149</v>
      </c>
      <c r="D1812" t="s">
        <v>43</v>
      </c>
      <c r="E1812" t="s">
        <v>44</v>
      </c>
      <c r="F1812" t="s">
        <v>789</v>
      </c>
      <c r="G1812">
        <v>0</v>
      </c>
      <c r="H1812">
        <v>11</v>
      </c>
      <c r="I1812">
        <v>0</v>
      </c>
      <c r="J1812" t="s">
        <v>34</v>
      </c>
      <c r="K1812" t="s">
        <v>65</v>
      </c>
      <c r="L1812">
        <v>70</v>
      </c>
      <c r="M1812">
        <v>69.266000000000005</v>
      </c>
      <c r="N1812">
        <v>71.254467000000005</v>
      </c>
      <c r="O1812">
        <v>17.071999999999999</v>
      </c>
      <c r="P1812">
        <v>30.951999999999899</v>
      </c>
      <c r="Q1812">
        <v>21.109000000000002</v>
      </c>
      <c r="R1812" t="s">
        <v>894</v>
      </c>
      <c r="S1812" t="s">
        <v>83</v>
      </c>
      <c r="T1812">
        <f>IF(TRIM(Table1[[#This Row],[PitStopLaps]])="",0,
LEN(Table1[[#This Row],[PitStopLaps]])-LEN(SUBSTITUTE(Table1[[#This Row],[PitStopLaps]],",",""))+1)</f>
        <v>2</v>
      </c>
      <c r="U1812">
        <f>Table1[[#This Row],[StartPosition]]-Table1[[#This Row],[FinishPosition]]</f>
        <v>-11</v>
      </c>
    </row>
    <row r="1813" spans="1:21" x14ac:dyDescent="0.3">
      <c r="A1813">
        <v>2022</v>
      </c>
      <c r="B1813">
        <v>11</v>
      </c>
      <c r="C1813" t="s">
        <v>149</v>
      </c>
      <c r="D1813" t="s">
        <v>248</v>
      </c>
      <c r="E1813" t="s">
        <v>249</v>
      </c>
      <c r="F1813" t="s">
        <v>60</v>
      </c>
      <c r="G1813">
        <v>15</v>
      </c>
      <c r="H1813">
        <v>12</v>
      </c>
      <c r="I1813">
        <v>0</v>
      </c>
      <c r="J1813" t="s">
        <v>34</v>
      </c>
      <c r="K1813" t="s">
        <v>65</v>
      </c>
      <c r="L1813">
        <v>70</v>
      </c>
      <c r="M1813">
        <v>69.668999999999997</v>
      </c>
      <c r="N1813">
        <v>71.423725000000005</v>
      </c>
      <c r="O1813">
        <v>17.071999999999999</v>
      </c>
      <c r="P1813">
        <v>31.181999999999999</v>
      </c>
      <c r="Q1813">
        <v>21.21</v>
      </c>
      <c r="R1813" t="s">
        <v>524</v>
      </c>
      <c r="S1813" t="s">
        <v>83</v>
      </c>
      <c r="T1813">
        <f>IF(TRIM(Table1[[#This Row],[PitStopLaps]])="",0,
LEN(Table1[[#This Row],[PitStopLaps]])-LEN(SUBSTITUTE(Table1[[#This Row],[PitStopLaps]],",",""))+1)</f>
        <v>2</v>
      </c>
      <c r="U1813">
        <f>Table1[[#This Row],[StartPosition]]-Table1[[#This Row],[FinishPosition]]</f>
        <v>3</v>
      </c>
    </row>
    <row r="1814" spans="1:21" x14ac:dyDescent="0.3">
      <c r="A1814">
        <v>2022</v>
      </c>
      <c r="B1814">
        <v>11</v>
      </c>
      <c r="C1814" t="s">
        <v>149</v>
      </c>
      <c r="D1814" t="s">
        <v>58</v>
      </c>
      <c r="E1814" t="s">
        <v>59</v>
      </c>
      <c r="F1814" t="s">
        <v>603</v>
      </c>
      <c r="G1814">
        <v>12</v>
      </c>
      <c r="H1814">
        <v>13</v>
      </c>
      <c r="I1814">
        <v>0</v>
      </c>
      <c r="J1814" t="s">
        <v>34</v>
      </c>
      <c r="K1814" t="s">
        <v>65</v>
      </c>
      <c r="L1814">
        <v>70</v>
      </c>
      <c r="M1814">
        <v>70.004000000000005</v>
      </c>
      <c r="N1814">
        <v>71.480824999999996</v>
      </c>
      <c r="O1814">
        <v>17.244</v>
      </c>
      <c r="P1814">
        <v>31.07</v>
      </c>
      <c r="Q1814">
        <v>21.148</v>
      </c>
      <c r="R1814" t="s">
        <v>895</v>
      </c>
      <c r="S1814" t="s">
        <v>83</v>
      </c>
      <c r="T1814">
        <f>IF(TRIM(Table1[[#This Row],[PitStopLaps]])="",0,
LEN(Table1[[#This Row],[PitStopLaps]])-LEN(SUBSTITUTE(Table1[[#This Row],[PitStopLaps]],",",""))+1)</f>
        <v>2</v>
      </c>
      <c r="U1814">
        <f>Table1[[#This Row],[StartPosition]]-Table1[[#This Row],[FinishPosition]]</f>
        <v>-1</v>
      </c>
    </row>
    <row r="1815" spans="1:21" x14ac:dyDescent="0.3">
      <c r="A1815">
        <v>2022</v>
      </c>
      <c r="B1815">
        <v>11</v>
      </c>
      <c r="C1815" t="s">
        <v>149</v>
      </c>
      <c r="D1815" t="s">
        <v>794</v>
      </c>
      <c r="E1815" t="s">
        <v>795</v>
      </c>
      <c r="F1815" t="s">
        <v>789</v>
      </c>
      <c r="G1815">
        <v>13</v>
      </c>
      <c r="H1815">
        <v>14</v>
      </c>
      <c r="I1815">
        <v>0</v>
      </c>
      <c r="J1815" t="s">
        <v>34</v>
      </c>
      <c r="K1815" t="s">
        <v>65</v>
      </c>
      <c r="L1815">
        <v>70</v>
      </c>
      <c r="M1815">
        <v>69.38</v>
      </c>
      <c r="N1815">
        <v>71.328777000000002</v>
      </c>
      <c r="O1815">
        <v>17.050999999999998</v>
      </c>
      <c r="P1815">
        <v>31.071999999999999</v>
      </c>
      <c r="Q1815">
        <v>20.94</v>
      </c>
      <c r="R1815" t="s">
        <v>307</v>
      </c>
      <c r="S1815" t="s">
        <v>83</v>
      </c>
      <c r="T1815">
        <f>IF(TRIM(Table1[[#This Row],[PitStopLaps]])="",0,
LEN(Table1[[#This Row],[PitStopLaps]])-LEN(SUBSTITUTE(Table1[[#This Row],[PitStopLaps]],",",""))+1)</f>
        <v>2</v>
      </c>
      <c r="U1815">
        <f>Table1[[#This Row],[StartPosition]]-Table1[[#This Row],[FinishPosition]]</f>
        <v>-1</v>
      </c>
    </row>
    <row r="1816" spans="1:21" x14ac:dyDescent="0.3">
      <c r="A1816">
        <v>2022</v>
      </c>
      <c r="B1816">
        <v>11</v>
      </c>
      <c r="C1816" t="s">
        <v>149</v>
      </c>
      <c r="D1816" t="s">
        <v>73</v>
      </c>
      <c r="E1816" t="s">
        <v>74</v>
      </c>
      <c r="F1816" t="s">
        <v>438</v>
      </c>
      <c r="G1816">
        <v>14</v>
      </c>
      <c r="H1816">
        <v>15</v>
      </c>
      <c r="I1816">
        <v>0</v>
      </c>
      <c r="J1816" t="s">
        <v>34</v>
      </c>
      <c r="K1816" t="s">
        <v>65</v>
      </c>
      <c r="L1816">
        <v>70</v>
      </c>
      <c r="M1816">
        <v>70.103999999999999</v>
      </c>
      <c r="N1816">
        <v>71.417745999999994</v>
      </c>
      <c r="O1816">
        <v>17.308</v>
      </c>
      <c r="P1816">
        <v>31.254000000000001</v>
      </c>
      <c r="Q1816">
        <v>21.22</v>
      </c>
      <c r="R1816" t="s">
        <v>896</v>
      </c>
      <c r="S1816" t="s">
        <v>83</v>
      </c>
      <c r="T1816">
        <f>IF(TRIM(Table1[[#This Row],[PitStopLaps]])="",0,
LEN(Table1[[#This Row],[PitStopLaps]])-LEN(SUBSTITUTE(Table1[[#This Row],[PitStopLaps]],",",""))+1)</f>
        <v>2</v>
      </c>
      <c r="U1816">
        <f>Table1[[#This Row],[StartPosition]]-Table1[[#This Row],[FinishPosition]]</f>
        <v>-1</v>
      </c>
    </row>
    <row r="1817" spans="1:21" x14ac:dyDescent="0.3">
      <c r="A1817">
        <v>2022</v>
      </c>
      <c r="B1817">
        <v>11</v>
      </c>
      <c r="C1817" t="s">
        <v>149</v>
      </c>
      <c r="D1817" t="s">
        <v>601</v>
      </c>
      <c r="E1817" t="s">
        <v>602</v>
      </c>
      <c r="F1817" t="s">
        <v>438</v>
      </c>
      <c r="G1817">
        <v>16</v>
      </c>
      <c r="H1817">
        <v>16</v>
      </c>
      <c r="I1817">
        <v>0</v>
      </c>
      <c r="J1817" t="s">
        <v>34</v>
      </c>
      <c r="K1817" t="s">
        <v>65</v>
      </c>
      <c r="L1817">
        <v>70</v>
      </c>
      <c r="M1817">
        <v>70.022999999999996</v>
      </c>
      <c r="N1817">
        <v>71.615317000000005</v>
      </c>
      <c r="O1817">
        <v>17.395</v>
      </c>
      <c r="P1817">
        <v>31.213000000000001</v>
      </c>
      <c r="Q1817">
        <v>21.369</v>
      </c>
      <c r="R1817" t="s">
        <v>309</v>
      </c>
      <c r="S1817" t="s">
        <v>83</v>
      </c>
      <c r="T1817">
        <f>IF(TRIM(Table1[[#This Row],[PitStopLaps]])="",0,
LEN(Table1[[#This Row],[PitStopLaps]])-LEN(SUBSTITUTE(Table1[[#This Row],[PitStopLaps]],",",""))+1)</f>
        <v>2</v>
      </c>
      <c r="U1817">
        <f>Table1[[#This Row],[StartPosition]]-Table1[[#This Row],[FinishPosition]]</f>
        <v>0</v>
      </c>
    </row>
    <row r="1818" spans="1:21" x14ac:dyDescent="0.3">
      <c r="A1818">
        <v>2022</v>
      </c>
      <c r="B1818">
        <v>11</v>
      </c>
      <c r="C1818" t="s">
        <v>149</v>
      </c>
      <c r="D1818" t="s">
        <v>20</v>
      </c>
      <c r="E1818" t="s">
        <v>21</v>
      </c>
      <c r="F1818" t="s">
        <v>603</v>
      </c>
      <c r="G1818">
        <v>18</v>
      </c>
      <c r="H1818">
        <v>17</v>
      </c>
      <c r="I1818">
        <v>0</v>
      </c>
      <c r="J1818" t="s">
        <v>34</v>
      </c>
      <c r="K1818" t="s">
        <v>65</v>
      </c>
      <c r="L1818">
        <v>70</v>
      </c>
      <c r="M1818">
        <v>70</v>
      </c>
      <c r="N1818">
        <v>71.592237999999995</v>
      </c>
      <c r="O1818">
        <v>17.294</v>
      </c>
      <c r="P1818">
        <v>31.029</v>
      </c>
      <c r="Q1818">
        <v>21.209</v>
      </c>
      <c r="R1818" t="s">
        <v>284</v>
      </c>
      <c r="S1818" t="s">
        <v>83</v>
      </c>
      <c r="T1818">
        <f>IF(TRIM(Table1[[#This Row],[PitStopLaps]])="",0,
LEN(Table1[[#This Row],[PitStopLaps]])-LEN(SUBSTITUTE(Table1[[#This Row],[PitStopLaps]],",",""))+1)</f>
        <v>2</v>
      </c>
      <c r="U1818">
        <f>Table1[[#This Row],[StartPosition]]-Table1[[#This Row],[FinishPosition]]</f>
        <v>1</v>
      </c>
    </row>
    <row r="1819" spans="1:21" x14ac:dyDescent="0.3">
      <c r="A1819">
        <v>2022</v>
      </c>
      <c r="B1819">
        <v>11</v>
      </c>
      <c r="C1819" t="s">
        <v>149</v>
      </c>
      <c r="D1819" t="s">
        <v>47</v>
      </c>
      <c r="E1819" t="s">
        <v>48</v>
      </c>
      <c r="F1819" t="s">
        <v>22</v>
      </c>
      <c r="G1819">
        <v>3</v>
      </c>
      <c r="H1819">
        <v>18</v>
      </c>
      <c r="I1819">
        <v>0</v>
      </c>
      <c r="J1819" t="s">
        <v>34</v>
      </c>
      <c r="K1819" t="s">
        <v>167</v>
      </c>
      <c r="L1819">
        <v>57</v>
      </c>
      <c r="M1819">
        <v>68.649000000000001</v>
      </c>
      <c r="N1819">
        <v>70.355999999999995</v>
      </c>
      <c r="O1819">
        <v>17.175000000000001</v>
      </c>
      <c r="P1819">
        <v>30.626000000000001</v>
      </c>
      <c r="Q1819">
        <v>20.768000000000001</v>
      </c>
      <c r="R1819" t="s">
        <v>897</v>
      </c>
      <c r="S1819" t="s">
        <v>83</v>
      </c>
      <c r="T1819">
        <f>IF(TRIM(Table1[[#This Row],[PitStopLaps]])="",0,
LEN(Table1[[#This Row],[PitStopLaps]])-LEN(SUBSTITUTE(Table1[[#This Row],[PitStopLaps]],",",""))+1)</f>
        <v>2</v>
      </c>
      <c r="U1819">
        <f>Table1[[#This Row],[StartPosition]]-Table1[[#This Row],[FinishPosition]]</f>
        <v>-15</v>
      </c>
    </row>
    <row r="1820" spans="1:21" x14ac:dyDescent="0.3">
      <c r="A1820">
        <v>2022</v>
      </c>
      <c r="B1820">
        <v>11</v>
      </c>
      <c r="C1820" t="s">
        <v>149</v>
      </c>
      <c r="D1820" t="s">
        <v>440</v>
      </c>
      <c r="E1820" t="s">
        <v>441</v>
      </c>
      <c r="F1820" t="s">
        <v>60</v>
      </c>
      <c r="G1820">
        <v>17</v>
      </c>
      <c r="H1820">
        <v>19</v>
      </c>
      <c r="I1820">
        <v>0</v>
      </c>
      <c r="J1820" t="s">
        <v>34</v>
      </c>
      <c r="K1820" t="s">
        <v>898</v>
      </c>
      <c r="L1820">
        <v>48</v>
      </c>
      <c r="M1820">
        <v>70.89</v>
      </c>
      <c r="N1820">
        <v>72.316404000000006</v>
      </c>
      <c r="O1820">
        <v>17.353000000000002</v>
      </c>
      <c r="P1820">
        <v>31.51</v>
      </c>
      <c r="Q1820">
        <v>21.664000000000001</v>
      </c>
      <c r="R1820" t="s">
        <v>899</v>
      </c>
      <c r="S1820" t="s">
        <v>83</v>
      </c>
      <c r="T1820">
        <f>IF(TRIM(Table1[[#This Row],[PitStopLaps]])="",0,
LEN(Table1[[#This Row],[PitStopLaps]])-LEN(SUBSTITUTE(Table1[[#This Row],[PitStopLaps]],",",""))+1)</f>
        <v>3</v>
      </c>
      <c r="U1820">
        <f>Table1[[#This Row],[StartPosition]]-Table1[[#This Row],[FinishPosition]]</f>
        <v>-2</v>
      </c>
    </row>
    <row r="1821" spans="1:21" x14ac:dyDescent="0.3">
      <c r="A1821">
        <v>2022</v>
      </c>
      <c r="B1821">
        <v>11</v>
      </c>
      <c r="C1821" t="s">
        <v>149</v>
      </c>
      <c r="D1821" t="s">
        <v>49</v>
      </c>
      <c r="E1821" t="s">
        <v>50</v>
      </c>
      <c r="F1821" t="s">
        <v>33</v>
      </c>
      <c r="G1821">
        <v>5</v>
      </c>
      <c r="H1821">
        <v>20</v>
      </c>
      <c r="I1821">
        <v>0</v>
      </c>
      <c r="J1821" t="s">
        <v>34</v>
      </c>
      <c r="K1821" t="s">
        <v>109</v>
      </c>
      <c r="L1821">
        <v>24</v>
      </c>
      <c r="M1821">
        <v>71.843000000000004</v>
      </c>
      <c r="N1821">
        <v>73.050951999999995</v>
      </c>
      <c r="O1821">
        <v>17.997</v>
      </c>
      <c r="P1821">
        <v>31.771999999999998</v>
      </c>
      <c r="Q1821">
        <v>21.992999999999999</v>
      </c>
      <c r="R1821" t="s">
        <v>194</v>
      </c>
      <c r="S1821" t="s">
        <v>83</v>
      </c>
      <c r="T1821">
        <f>IF(TRIM(Table1[[#This Row],[PitStopLaps]])="",0,
LEN(Table1[[#This Row],[PitStopLaps]])-LEN(SUBSTITUTE(Table1[[#This Row],[PitStopLaps]],",",""))+1)</f>
        <v>2</v>
      </c>
      <c r="U1821">
        <f>Table1[[#This Row],[StartPosition]]-Table1[[#This Row],[FinishPosition]]</f>
        <v>-15</v>
      </c>
    </row>
    <row r="1822" spans="1:21" x14ac:dyDescent="0.3">
      <c r="A1822">
        <v>2022</v>
      </c>
      <c r="B1822">
        <v>12</v>
      </c>
      <c r="C1822" t="s">
        <v>147</v>
      </c>
      <c r="D1822" t="s">
        <v>38</v>
      </c>
      <c r="E1822" t="s">
        <v>39</v>
      </c>
      <c r="F1822" t="s">
        <v>33</v>
      </c>
      <c r="G1822">
        <v>2</v>
      </c>
      <c r="H1822">
        <v>1</v>
      </c>
      <c r="I1822">
        <v>25</v>
      </c>
      <c r="J1822" t="s">
        <v>23</v>
      </c>
      <c r="K1822" t="s">
        <v>24</v>
      </c>
      <c r="L1822">
        <v>53</v>
      </c>
      <c r="M1822">
        <v>97.491</v>
      </c>
      <c r="N1822">
        <v>98.280804000000003</v>
      </c>
      <c r="O1822">
        <v>24.667000000000002</v>
      </c>
      <c r="P1822">
        <v>29.577999999999999</v>
      </c>
      <c r="Q1822">
        <v>43.137999999999998</v>
      </c>
      <c r="R1822">
        <v>16</v>
      </c>
      <c r="S1822" t="s">
        <v>83</v>
      </c>
      <c r="T1822">
        <f>IF(TRIM(Table1[[#This Row],[PitStopLaps]])="",0,
LEN(Table1[[#This Row],[PitStopLaps]])-LEN(SUBSTITUTE(Table1[[#This Row],[PitStopLaps]],",",""))+1)</f>
        <v>1</v>
      </c>
      <c r="U1822">
        <f>Table1[[#This Row],[StartPosition]]-Table1[[#This Row],[FinishPosition]]</f>
        <v>1</v>
      </c>
    </row>
    <row r="1823" spans="1:21" x14ac:dyDescent="0.3">
      <c r="A1823">
        <v>2022</v>
      </c>
      <c r="B1823">
        <v>12</v>
      </c>
      <c r="C1823" t="s">
        <v>147</v>
      </c>
      <c r="D1823" t="s">
        <v>26</v>
      </c>
      <c r="E1823" t="s">
        <v>27</v>
      </c>
      <c r="F1823" t="s">
        <v>28</v>
      </c>
      <c r="G1823">
        <v>4</v>
      </c>
      <c r="H1823">
        <v>2</v>
      </c>
      <c r="I1823">
        <v>18</v>
      </c>
      <c r="J1823" t="s">
        <v>23</v>
      </c>
      <c r="K1823" t="s">
        <v>24</v>
      </c>
      <c r="L1823">
        <v>53</v>
      </c>
      <c r="M1823">
        <v>97.668000000000006</v>
      </c>
      <c r="N1823">
        <v>98.679311999999996</v>
      </c>
      <c r="O1823">
        <v>24.469000000000001</v>
      </c>
      <c r="P1823">
        <v>29.788</v>
      </c>
      <c r="Q1823">
        <v>43.149000000000001</v>
      </c>
      <c r="R1823">
        <v>18</v>
      </c>
      <c r="S1823" t="s">
        <v>83</v>
      </c>
      <c r="T1823">
        <f>IF(TRIM(Table1[[#This Row],[PitStopLaps]])="",0,
LEN(Table1[[#This Row],[PitStopLaps]])-LEN(SUBSTITUTE(Table1[[#This Row],[PitStopLaps]],",",""))+1)</f>
        <v>1</v>
      </c>
      <c r="U1823">
        <f>Table1[[#This Row],[StartPosition]]-Table1[[#This Row],[FinishPosition]]</f>
        <v>2</v>
      </c>
    </row>
    <row r="1824" spans="1:21" x14ac:dyDescent="0.3">
      <c r="A1824">
        <v>2022</v>
      </c>
      <c r="B1824">
        <v>12</v>
      </c>
      <c r="C1824" t="s">
        <v>147</v>
      </c>
      <c r="D1824" t="s">
        <v>252</v>
      </c>
      <c r="E1824" t="s">
        <v>253</v>
      </c>
      <c r="F1824" t="s">
        <v>28</v>
      </c>
      <c r="G1824">
        <v>6</v>
      </c>
      <c r="H1824">
        <v>3</v>
      </c>
      <c r="I1824">
        <v>15</v>
      </c>
      <c r="J1824" t="s">
        <v>23</v>
      </c>
      <c r="K1824" t="s">
        <v>24</v>
      </c>
      <c r="L1824">
        <v>53</v>
      </c>
      <c r="M1824">
        <v>97.548000000000002</v>
      </c>
      <c r="N1824">
        <v>98.795424999999994</v>
      </c>
      <c r="O1824">
        <v>24.664000000000001</v>
      </c>
      <c r="P1824">
        <v>29.678000000000001</v>
      </c>
      <c r="Q1824">
        <v>42.866</v>
      </c>
      <c r="R1824">
        <v>18</v>
      </c>
      <c r="S1824" t="s">
        <v>83</v>
      </c>
      <c r="T1824">
        <f>IF(TRIM(Table1[[#This Row],[PitStopLaps]])="",0,
LEN(Table1[[#This Row],[PitStopLaps]])-LEN(SUBSTITUTE(Table1[[#This Row],[PitStopLaps]],",",""))+1)</f>
        <v>1</v>
      </c>
      <c r="U1824">
        <f>Table1[[#This Row],[StartPosition]]-Table1[[#This Row],[FinishPosition]]</f>
        <v>3</v>
      </c>
    </row>
    <row r="1825" spans="1:21" x14ac:dyDescent="0.3">
      <c r="A1825">
        <v>2022</v>
      </c>
      <c r="B1825">
        <v>12</v>
      </c>
      <c r="C1825" t="s">
        <v>147</v>
      </c>
      <c r="D1825" t="s">
        <v>49</v>
      </c>
      <c r="E1825" t="s">
        <v>50</v>
      </c>
      <c r="F1825" t="s">
        <v>33</v>
      </c>
      <c r="G1825">
        <v>3</v>
      </c>
      <c r="H1825">
        <v>4</v>
      </c>
      <c r="I1825">
        <v>12</v>
      </c>
      <c r="J1825" t="s">
        <v>34</v>
      </c>
      <c r="K1825" t="s">
        <v>24</v>
      </c>
      <c r="L1825">
        <v>53</v>
      </c>
      <c r="M1825">
        <v>97.78</v>
      </c>
      <c r="N1825">
        <v>98.803190999999998</v>
      </c>
      <c r="O1825">
        <v>24.715</v>
      </c>
      <c r="P1825">
        <v>29.489000000000001</v>
      </c>
      <c r="Q1825">
        <v>43.2</v>
      </c>
      <c r="R1825">
        <v>18</v>
      </c>
      <c r="S1825" t="s">
        <v>83</v>
      </c>
      <c r="T1825">
        <f>IF(TRIM(Table1[[#This Row],[PitStopLaps]])="",0,
LEN(Table1[[#This Row],[PitStopLaps]])-LEN(SUBSTITUTE(Table1[[#This Row],[PitStopLaps]],",",""))+1)</f>
        <v>1</v>
      </c>
      <c r="U1825">
        <f>Table1[[#This Row],[StartPosition]]-Table1[[#This Row],[FinishPosition]]</f>
        <v>-1</v>
      </c>
    </row>
    <row r="1826" spans="1:21" x14ac:dyDescent="0.3">
      <c r="A1826">
        <v>2022</v>
      </c>
      <c r="B1826">
        <v>12</v>
      </c>
      <c r="C1826" t="s">
        <v>147</v>
      </c>
      <c r="D1826" t="s">
        <v>47</v>
      </c>
      <c r="E1826" t="s">
        <v>48</v>
      </c>
      <c r="F1826" t="s">
        <v>22</v>
      </c>
      <c r="G1826">
        <v>19</v>
      </c>
      <c r="H1826">
        <v>5</v>
      </c>
      <c r="I1826">
        <v>11</v>
      </c>
      <c r="J1826" t="s">
        <v>34</v>
      </c>
      <c r="K1826" t="s">
        <v>24</v>
      </c>
      <c r="L1826">
        <v>53</v>
      </c>
      <c r="M1826">
        <v>95.781000000000006</v>
      </c>
      <c r="N1826">
        <v>98.653755000000004</v>
      </c>
      <c r="O1826">
        <v>24.221</v>
      </c>
      <c r="P1826">
        <v>29.347000000000001</v>
      </c>
      <c r="Q1826">
        <v>42.021999999999998</v>
      </c>
      <c r="R1826" t="s">
        <v>516</v>
      </c>
      <c r="S1826" t="s">
        <v>83</v>
      </c>
      <c r="T1826">
        <f>IF(TRIM(Table1[[#This Row],[PitStopLaps]])="",0,
LEN(Table1[[#This Row],[PitStopLaps]])-LEN(SUBSTITUTE(Table1[[#This Row],[PitStopLaps]],",",""))+1)</f>
        <v>2</v>
      </c>
      <c r="U1826">
        <f>Table1[[#This Row],[StartPosition]]-Table1[[#This Row],[FinishPosition]]</f>
        <v>14</v>
      </c>
    </row>
    <row r="1827" spans="1:21" x14ac:dyDescent="0.3">
      <c r="A1827">
        <v>2022</v>
      </c>
      <c r="B1827">
        <v>12</v>
      </c>
      <c r="C1827" t="s">
        <v>147</v>
      </c>
      <c r="D1827" t="s">
        <v>35</v>
      </c>
      <c r="E1827" t="s">
        <v>36</v>
      </c>
      <c r="F1827" t="s">
        <v>607</v>
      </c>
      <c r="G1827">
        <v>7</v>
      </c>
      <c r="H1827">
        <v>6</v>
      </c>
      <c r="I1827">
        <v>8</v>
      </c>
      <c r="J1827" t="s">
        <v>34</v>
      </c>
      <c r="K1827" t="s">
        <v>24</v>
      </c>
      <c r="L1827">
        <v>53</v>
      </c>
      <c r="M1827">
        <v>98.16</v>
      </c>
      <c r="N1827">
        <v>99.517936000000006</v>
      </c>
      <c r="O1827">
        <v>24.803999999999998</v>
      </c>
      <c r="P1827">
        <v>30.012</v>
      </c>
      <c r="Q1827">
        <v>43.304000000000002</v>
      </c>
      <c r="R1827">
        <v>18</v>
      </c>
      <c r="S1827" t="s">
        <v>83</v>
      </c>
      <c r="T1827">
        <f>IF(TRIM(Table1[[#This Row],[PitStopLaps]])="",0,
LEN(Table1[[#This Row],[PitStopLaps]])-LEN(SUBSTITUTE(Table1[[#This Row],[PitStopLaps]],",",""))+1)</f>
        <v>1</v>
      </c>
      <c r="U1827">
        <f>Table1[[#This Row],[StartPosition]]-Table1[[#This Row],[FinishPosition]]</f>
        <v>1</v>
      </c>
    </row>
    <row r="1828" spans="1:21" x14ac:dyDescent="0.3">
      <c r="A1828">
        <v>2022</v>
      </c>
      <c r="B1828">
        <v>12</v>
      </c>
      <c r="C1828" t="s">
        <v>147</v>
      </c>
      <c r="D1828" t="s">
        <v>246</v>
      </c>
      <c r="E1828" t="s">
        <v>247</v>
      </c>
      <c r="F1828" t="s">
        <v>37</v>
      </c>
      <c r="G1828">
        <v>5</v>
      </c>
      <c r="H1828">
        <v>7</v>
      </c>
      <c r="I1828">
        <v>6</v>
      </c>
      <c r="J1828" t="s">
        <v>34</v>
      </c>
      <c r="K1828" t="s">
        <v>24</v>
      </c>
      <c r="L1828">
        <v>53</v>
      </c>
      <c r="M1828">
        <v>98.984999999999999</v>
      </c>
      <c r="N1828">
        <v>99.795126999999994</v>
      </c>
      <c r="O1828">
        <v>25.122</v>
      </c>
      <c r="P1828">
        <v>30.056999999999999</v>
      </c>
      <c r="Q1828">
        <v>43.527000000000001</v>
      </c>
      <c r="R1828">
        <v>18</v>
      </c>
      <c r="S1828" t="s">
        <v>83</v>
      </c>
      <c r="T1828">
        <f>IF(TRIM(Table1[[#This Row],[PitStopLaps]])="",0,
LEN(Table1[[#This Row],[PitStopLaps]])-LEN(SUBSTITUTE(Table1[[#This Row],[PitStopLaps]],",",""))+1)</f>
        <v>1</v>
      </c>
      <c r="U1828">
        <f>Table1[[#This Row],[StartPosition]]-Table1[[#This Row],[FinishPosition]]</f>
        <v>-2</v>
      </c>
    </row>
    <row r="1829" spans="1:21" x14ac:dyDescent="0.3">
      <c r="A1829">
        <v>2022</v>
      </c>
      <c r="B1829">
        <v>12</v>
      </c>
      <c r="C1829" t="s">
        <v>147</v>
      </c>
      <c r="D1829" t="s">
        <v>52</v>
      </c>
      <c r="E1829" t="s">
        <v>53</v>
      </c>
      <c r="F1829" t="s">
        <v>607</v>
      </c>
      <c r="G1829">
        <v>10</v>
      </c>
      <c r="H1829">
        <v>8</v>
      </c>
      <c r="I1829">
        <v>4</v>
      </c>
      <c r="J1829" t="s">
        <v>34</v>
      </c>
      <c r="K1829" t="s">
        <v>24</v>
      </c>
      <c r="L1829">
        <v>53</v>
      </c>
      <c r="M1829">
        <v>98.683999999999997</v>
      </c>
      <c r="N1829">
        <v>99.897851000000003</v>
      </c>
      <c r="O1829">
        <v>25.045000000000002</v>
      </c>
      <c r="P1829">
        <v>30.006</v>
      </c>
      <c r="Q1829">
        <v>43.4</v>
      </c>
      <c r="R1829">
        <v>18</v>
      </c>
      <c r="S1829" t="s">
        <v>83</v>
      </c>
      <c r="T1829">
        <f>IF(TRIM(Table1[[#This Row],[PitStopLaps]])="",0,
LEN(Table1[[#This Row],[PitStopLaps]])-LEN(SUBSTITUTE(Table1[[#This Row],[PitStopLaps]],",",""))+1)</f>
        <v>1</v>
      </c>
      <c r="U1829">
        <f>Table1[[#This Row],[StartPosition]]-Table1[[#This Row],[FinishPosition]]</f>
        <v>2</v>
      </c>
    </row>
    <row r="1830" spans="1:21" x14ac:dyDescent="0.3">
      <c r="A1830">
        <v>2022</v>
      </c>
      <c r="B1830">
        <v>12</v>
      </c>
      <c r="C1830" t="s">
        <v>147</v>
      </c>
      <c r="D1830" t="s">
        <v>31</v>
      </c>
      <c r="E1830" t="s">
        <v>32</v>
      </c>
      <c r="F1830" t="s">
        <v>37</v>
      </c>
      <c r="G1830">
        <v>9</v>
      </c>
      <c r="H1830">
        <v>9</v>
      </c>
      <c r="I1830">
        <v>2</v>
      </c>
      <c r="J1830" t="s">
        <v>34</v>
      </c>
      <c r="K1830" t="s">
        <v>24</v>
      </c>
      <c r="L1830">
        <v>53</v>
      </c>
      <c r="M1830">
        <v>99.132999999999996</v>
      </c>
      <c r="N1830">
        <v>100.084659</v>
      </c>
      <c r="O1830">
        <v>25.084</v>
      </c>
      <c r="P1830">
        <v>29.905999999999999</v>
      </c>
      <c r="Q1830">
        <v>43.604999999999997</v>
      </c>
      <c r="R1830">
        <v>18</v>
      </c>
      <c r="S1830" t="s">
        <v>83</v>
      </c>
      <c r="T1830">
        <f>IF(TRIM(Table1[[#This Row],[PitStopLaps]])="",0,
LEN(Table1[[#This Row],[PitStopLaps]])-LEN(SUBSTITUTE(Table1[[#This Row],[PitStopLaps]],",",""))+1)</f>
        <v>1</v>
      </c>
      <c r="U1830">
        <f>Table1[[#This Row],[StartPosition]]-Table1[[#This Row],[FinishPosition]]</f>
        <v>0</v>
      </c>
    </row>
    <row r="1831" spans="1:21" x14ac:dyDescent="0.3">
      <c r="A1831">
        <v>2022</v>
      </c>
      <c r="B1831">
        <v>12</v>
      </c>
      <c r="C1831" t="s">
        <v>147</v>
      </c>
      <c r="D1831" t="s">
        <v>58</v>
      </c>
      <c r="E1831" t="s">
        <v>59</v>
      </c>
      <c r="F1831" t="s">
        <v>603</v>
      </c>
      <c r="G1831">
        <v>15</v>
      </c>
      <c r="H1831">
        <v>10</v>
      </c>
      <c r="I1831">
        <v>1</v>
      </c>
      <c r="J1831" t="s">
        <v>34</v>
      </c>
      <c r="K1831" t="s">
        <v>24</v>
      </c>
      <c r="L1831">
        <v>53</v>
      </c>
      <c r="M1831">
        <v>99.185000000000002</v>
      </c>
      <c r="N1831">
        <v>100.085787</v>
      </c>
      <c r="O1831">
        <v>25.17</v>
      </c>
      <c r="P1831">
        <v>30.077000000000002</v>
      </c>
      <c r="Q1831">
        <v>43.598999999999997</v>
      </c>
      <c r="R1831">
        <v>18</v>
      </c>
      <c r="S1831" t="s">
        <v>83</v>
      </c>
      <c r="T1831">
        <f>IF(TRIM(Table1[[#This Row],[PitStopLaps]])="",0,
LEN(Table1[[#This Row],[PitStopLaps]])-LEN(SUBSTITUTE(Table1[[#This Row],[PitStopLaps]],",",""))+1)</f>
        <v>1</v>
      </c>
      <c r="U1831">
        <f>Table1[[#This Row],[StartPosition]]-Table1[[#This Row],[FinishPosition]]</f>
        <v>5</v>
      </c>
    </row>
    <row r="1832" spans="1:21" x14ac:dyDescent="0.3">
      <c r="A1832">
        <v>2022</v>
      </c>
      <c r="B1832">
        <v>12</v>
      </c>
      <c r="C1832" t="s">
        <v>147</v>
      </c>
      <c r="D1832" t="s">
        <v>20</v>
      </c>
      <c r="E1832" t="s">
        <v>21</v>
      </c>
      <c r="F1832" t="s">
        <v>603</v>
      </c>
      <c r="G1832">
        <v>12</v>
      </c>
      <c r="H1832">
        <v>11</v>
      </c>
      <c r="I1832">
        <v>0</v>
      </c>
      <c r="J1832" t="s">
        <v>34</v>
      </c>
      <c r="K1832" t="s">
        <v>24</v>
      </c>
      <c r="L1832">
        <v>53</v>
      </c>
      <c r="M1832">
        <v>99.043999999999997</v>
      </c>
      <c r="N1832">
        <v>100.117829</v>
      </c>
      <c r="O1832">
        <v>25.228000000000002</v>
      </c>
      <c r="P1832">
        <v>29.942</v>
      </c>
      <c r="Q1832">
        <v>43.526000000000003</v>
      </c>
      <c r="R1832">
        <v>19</v>
      </c>
      <c r="S1832" t="s">
        <v>83</v>
      </c>
      <c r="T1832">
        <f>IF(TRIM(Table1[[#This Row],[PitStopLaps]])="",0,
LEN(Table1[[#This Row],[PitStopLaps]])-LEN(SUBSTITUTE(Table1[[#This Row],[PitStopLaps]],",",""))+1)</f>
        <v>1</v>
      </c>
      <c r="U1832">
        <f>Table1[[#This Row],[StartPosition]]-Table1[[#This Row],[FinishPosition]]</f>
        <v>1</v>
      </c>
    </row>
    <row r="1833" spans="1:21" x14ac:dyDescent="0.3">
      <c r="A1833">
        <v>2022</v>
      </c>
      <c r="B1833">
        <v>12</v>
      </c>
      <c r="C1833" t="s">
        <v>147</v>
      </c>
      <c r="D1833" t="s">
        <v>73</v>
      </c>
      <c r="E1833" t="s">
        <v>74</v>
      </c>
      <c r="F1833" t="s">
        <v>438</v>
      </c>
      <c r="G1833">
        <v>14</v>
      </c>
      <c r="H1833">
        <v>12</v>
      </c>
      <c r="I1833">
        <v>0</v>
      </c>
      <c r="J1833" t="s">
        <v>34</v>
      </c>
      <c r="K1833" t="s">
        <v>24</v>
      </c>
      <c r="L1833">
        <v>53</v>
      </c>
      <c r="M1833">
        <v>98.786000000000001</v>
      </c>
      <c r="N1833">
        <v>100.275127</v>
      </c>
      <c r="O1833">
        <v>24.963000000000001</v>
      </c>
      <c r="P1833">
        <v>29.954000000000001</v>
      </c>
      <c r="Q1833">
        <v>43.603000000000002</v>
      </c>
      <c r="R1833">
        <v>18</v>
      </c>
      <c r="S1833" t="s">
        <v>83</v>
      </c>
      <c r="T1833">
        <f>IF(TRIM(Table1[[#This Row],[PitStopLaps]])="",0,
LEN(Table1[[#This Row],[PitStopLaps]])-LEN(SUBSTITUTE(Table1[[#This Row],[PitStopLaps]],",",""))+1)</f>
        <v>1</v>
      </c>
      <c r="U1833">
        <f>Table1[[#This Row],[StartPosition]]-Table1[[#This Row],[FinishPosition]]</f>
        <v>2</v>
      </c>
    </row>
    <row r="1834" spans="1:21" x14ac:dyDescent="0.3">
      <c r="A1834">
        <v>2022</v>
      </c>
      <c r="B1834">
        <v>12</v>
      </c>
      <c r="C1834" t="s">
        <v>147</v>
      </c>
      <c r="D1834" t="s">
        <v>248</v>
      </c>
      <c r="E1834" t="s">
        <v>249</v>
      </c>
      <c r="F1834" t="s">
        <v>60</v>
      </c>
      <c r="G1834">
        <v>13</v>
      </c>
      <c r="H1834">
        <v>13</v>
      </c>
      <c r="I1834">
        <v>0</v>
      </c>
      <c r="J1834" t="s">
        <v>34</v>
      </c>
      <c r="K1834" t="s">
        <v>24</v>
      </c>
      <c r="L1834">
        <v>53</v>
      </c>
      <c r="M1834">
        <v>99.198999999999998</v>
      </c>
      <c r="N1834">
        <v>100.298191</v>
      </c>
      <c r="O1834">
        <v>24.818000000000001</v>
      </c>
      <c r="P1834">
        <v>30.059000000000001</v>
      </c>
      <c r="Q1834">
        <v>43.722000000000001</v>
      </c>
      <c r="R1834">
        <v>18</v>
      </c>
      <c r="S1834" t="s">
        <v>83</v>
      </c>
      <c r="T1834">
        <f>IF(TRIM(Table1[[#This Row],[PitStopLaps]])="",0,
LEN(Table1[[#This Row],[PitStopLaps]])-LEN(SUBSTITUTE(Table1[[#This Row],[PitStopLaps]],",",""))+1)</f>
        <v>1</v>
      </c>
      <c r="U1834">
        <f>Table1[[#This Row],[StartPosition]]-Table1[[#This Row],[FinishPosition]]</f>
        <v>0</v>
      </c>
    </row>
    <row r="1835" spans="1:21" x14ac:dyDescent="0.3">
      <c r="A1835">
        <v>2022</v>
      </c>
      <c r="B1835">
        <v>12</v>
      </c>
      <c r="C1835" t="s">
        <v>147</v>
      </c>
      <c r="D1835" t="s">
        <v>43</v>
      </c>
      <c r="E1835" t="s">
        <v>44</v>
      </c>
      <c r="F1835" t="s">
        <v>789</v>
      </c>
      <c r="G1835">
        <v>11</v>
      </c>
      <c r="H1835">
        <v>14</v>
      </c>
      <c r="I1835">
        <v>0</v>
      </c>
      <c r="J1835" t="s">
        <v>34</v>
      </c>
      <c r="K1835" t="s">
        <v>24</v>
      </c>
      <c r="L1835">
        <v>53</v>
      </c>
      <c r="M1835">
        <v>97.962999999999994</v>
      </c>
      <c r="N1835">
        <v>100.06826599999999</v>
      </c>
      <c r="O1835">
        <v>24.809000000000001</v>
      </c>
      <c r="P1835">
        <v>29.795999999999999</v>
      </c>
      <c r="Q1835">
        <v>43.192</v>
      </c>
      <c r="R1835" t="s">
        <v>900</v>
      </c>
      <c r="S1835" t="s">
        <v>83</v>
      </c>
      <c r="T1835">
        <f>IF(TRIM(Table1[[#This Row],[PitStopLaps]])="",0,
LEN(Table1[[#This Row],[PitStopLaps]])-LEN(SUBSTITUTE(Table1[[#This Row],[PitStopLaps]],",",""))+1)</f>
        <v>2</v>
      </c>
      <c r="U1835">
        <f>Table1[[#This Row],[StartPosition]]-Table1[[#This Row],[FinishPosition]]</f>
        <v>-3</v>
      </c>
    </row>
    <row r="1836" spans="1:21" x14ac:dyDescent="0.3">
      <c r="A1836">
        <v>2022</v>
      </c>
      <c r="B1836">
        <v>12</v>
      </c>
      <c r="C1836" t="s">
        <v>147</v>
      </c>
      <c r="D1836" t="s">
        <v>608</v>
      </c>
      <c r="E1836" t="s">
        <v>609</v>
      </c>
      <c r="F1836" t="s">
        <v>69</v>
      </c>
      <c r="G1836">
        <v>17</v>
      </c>
      <c r="H1836">
        <v>15</v>
      </c>
      <c r="I1836">
        <v>0</v>
      </c>
      <c r="J1836" t="s">
        <v>34</v>
      </c>
      <c r="K1836" t="s">
        <v>24</v>
      </c>
      <c r="L1836">
        <v>53</v>
      </c>
      <c r="M1836">
        <v>99.067999999999998</v>
      </c>
      <c r="N1836">
        <v>100.365533</v>
      </c>
      <c r="O1836">
        <v>24.95</v>
      </c>
      <c r="P1836">
        <v>30.042999999999999</v>
      </c>
      <c r="Q1836">
        <v>43.564999999999998</v>
      </c>
      <c r="R1836" t="s">
        <v>901</v>
      </c>
      <c r="S1836" t="s">
        <v>83</v>
      </c>
      <c r="T1836">
        <f>IF(TRIM(Table1[[#This Row],[PitStopLaps]])="",0,
LEN(Table1[[#This Row],[PitStopLaps]])-LEN(SUBSTITUTE(Table1[[#This Row],[PitStopLaps]],",",""))+1)</f>
        <v>2</v>
      </c>
      <c r="U1836">
        <f>Table1[[#This Row],[StartPosition]]-Table1[[#This Row],[FinishPosition]]</f>
        <v>2</v>
      </c>
    </row>
    <row r="1837" spans="1:21" x14ac:dyDescent="0.3">
      <c r="A1837">
        <v>2022</v>
      </c>
      <c r="B1837">
        <v>12</v>
      </c>
      <c r="C1837" t="s">
        <v>147</v>
      </c>
      <c r="D1837" t="s">
        <v>794</v>
      </c>
      <c r="E1837" t="s">
        <v>795</v>
      </c>
      <c r="F1837" t="s">
        <v>789</v>
      </c>
      <c r="G1837">
        <v>16</v>
      </c>
      <c r="H1837">
        <v>16</v>
      </c>
      <c r="I1837">
        <v>0</v>
      </c>
      <c r="J1837" t="s">
        <v>34</v>
      </c>
      <c r="K1837" t="s">
        <v>902</v>
      </c>
      <c r="L1837">
        <v>48</v>
      </c>
      <c r="M1837">
        <v>99.367999999999995</v>
      </c>
      <c r="N1837">
        <v>100.66517899999999</v>
      </c>
      <c r="O1837">
        <v>25.164000000000001</v>
      </c>
      <c r="P1837">
        <v>30.17</v>
      </c>
      <c r="Q1837">
        <v>43.834000000000003</v>
      </c>
      <c r="R1837" t="s">
        <v>903</v>
      </c>
      <c r="S1837" t="s">
        <v>83</v>
      </c>
      <c r="T1837">
        <f>IF(TRIM(Table1[[#This Row],[PitStopLaps]])="",0,
LEN(Table1[[#This Row],[PitStopLaps]])-LEN(SUBSTITUTE(Table1[[#This Row],[PitStopLaps]],",",""))+1)</f>
        <v>2</v>
      </c>
      <c r="U1837">
        <f>Table1[[#This Row],[StartPosition]]-Table1[[#This Row],[FinishPosition]]</f>
        <v>0</v>
      </c>
    </row>
    <row r="1838" spans="1:21" x14ac:dyDescent="0.3">
      <c r="A1838">
        <v>2022</v>
      </c>
      <c r="B1838">
        <v>12</v>
      </c>
      <c r="C1838" t="s">
        <v>147</v>
      </c>
      <c r="D1838" t="s">
        <v>440</v>
      </c>
      <c r="E1838" t="s">
        <v>441</v>
      </c>
      <c r="F1838" t="s">
        <v>60</v>
      </c>
      <c r="G1838">
        <v>18</v>
      </c>
      <c r="H1838">
        <v>17</v>
      </c>
      <c r="I1838">
        <v>0</v>
      </c>
      <c r="J1838" t="s">
        <v>34</v>
      </c>
      <c r="K1838" t="s">
        <v>109</v>
      </c>
      <c r="L1838">
        <v>41</v>
      </c>
      <c r="M1838">
        <v>99.65</v>
      </c>
      <c r="N1838">
        <v>100.679411</v>
      </c>
      <c r="O1838">
        <v>25.215</v>
      </c>
      <c r="P1838">
        <v>30.071000000000002</v>
      </c>
      <c r="Q1838">
        <v>44.154000000000003</v>
      </c>
      <c r="R1838" t="s">
        <v>904</v>
      </c>
      <c r="S1838" t="s">
        <v>83</v>
      </c>
      <c r="T1838">
        <f>IF(TRIM(Table1[[#This Row],[PitStopLaps]])="",0,
LEN(Table1[[#This Row],[PitStopLaps]])-LEN(SUBSTITUTE(Table1[[#This Row],[PitStopLaps]],",",""))+1)</f>
        <v>3</v>
      </c>
      <c r="U1838">
        <f>Table1[[#This Row],[StartPosition]]-Table1[[#This Row],[FinishPosition]]</f>
        <v>1</v>
      </c>
    </row>
    <row r="1839" spans="1:21" x14ac:dyDescent="0.3">
      <c r="A1839">
        <v>2022</v>
      </c>
      <c r="B1839">
        <v>12</v>
      </c>
      <c r="C1839" t="s">
        <v>147</v>
      </c>
      <c r="D1839" t="s">
        <v>71</v>
      </c>
      <c r="E1839" t="s">
        <v>72</v>
      </c>
      <c r="F1839" t="s">
        <v>69</v>
      </c>
      <c r="G1839">
        <v>20</v>
      </c>
      <c r="H1839">
        <v>18</v>
      </c>
      <c r="I1839">
        <v>0</v>
      </c>
      <c r="J1839" t="s">
        <v>34</v>
      </c>
      <c r="K1839" t="s">
        <v>109</v>
      </c>
      <c r="L1839">
        <v>38</v>
      </c>
      <c r="M1839">
        <v>99.265000000000001</v>
      </c>
      <c r="N1839">
        <v>100.218064</v>
      </c>
      <c r="O1839">
        <v>25.013999999999999</v>
      </c>
      <c r="P1839">
        <v>29.922999999999998</v>
      </c>
      <c r="Q1839">
        <v>43.848999999999997</v>
      </c>
      <c r="R1839" t="s">
        <v>905</v>
      </c>
      <c r="S1839" t="s">
        <v>83</v>
      </c>
      <c r="T1839">
        <f>IF(TRIM(Table1[[#This Row],[PitStopLaps]])="",0,
LEN(Table1[[#This Row],[PitStopLaps]])-LEN(SUBSTITUTE(Table1[[#This Row],[PitStopLaps]],",",""))+1)</f>
        <v>3</v>
      </c>
      <c r="U1839">
        <f>Table1[[#This Row],[StartPosition]]-Table1[[#This Row],[FinishPosition]]</f>
        <v>2</v>
      </c>
    </row>
    <row r="1840" spans="1:21" x14ac:dyDescent="0.3">
      <c r="A1840">
        <v>2022</v>
      </c>
      <c r="B1840">
        <v>12</v>
      </c>
      <c r="C1840" t="s">
        <v>147</v>
      </c>
      <c r="D1840" t="s">
        <v>54</v>
      </c>
      <c r="E1840" t="s">
        <v>55</v>
      </c>
      <c r="F1840" t="s">
        <v>22</v>
      </c>
      <c r="G1840">
        <v>1</v>
      </c>
      <c r="H1840">
        <v>19</v>
      </c>
      <c r="I1840">
        <v>0</v>
      </c>
      <c r="J1840" t="s">
        <v>34</v>
      </c>
      <c r="K1840" t="s">
        <v>123</v>
      </c>
      <c r="L1840">
        <v>18</v>
      </c>
      <c r="M1840">
        <v>98.087999999999994</v>
      </c>
      <c r="N1840">
        <v>98.849436999999995</v>
      </c>
      <c r="O1840">
        <v>24.872</v>
      </c>
      <c r="P1840">
        <v>29.872</v>
      </c>
      <c r="Q1840">
        <v>43.183999999999997</v>
      </c>
      <c r="S1840" t="s">
        <v>83</v>
      </c>
      <c r="T1840">
        <f>IF(TRIM(Table1[[#This Row],[PitStopLaps]])="",0,
LEN(Table1[[#This Row],[PitStopLaps]])-LEN(SUBSTITUTE(Table1[[#This Row],[PitStopLaps]],",",""))+1)</f>
        <v>0</v>
      </c>
      <c r="U1840">
        <f>Table1[[#This Row],[StartPosition]]-Table1[[#This Row],[FinishPosition]]</f>
        <v>-18</v>
      </c>
    </row>
    <row r="1841" spans="1:21" x14ac:dyDescent="0.3">
      <c r="A1841">
        <v>2022</v>
      </c>
      <c r="B1841">
        <v>12</v>
      </c>
      <c r="C1841" t="s">
        <v>147</v>
      </c>
      <c r="D1841" t="s">
        <v>601</v>
      </c>
      <c r="E1841" t="s">
        <v>602</v>
      </c>
      <c r="F1841" t="s">
        <v>438</v>
      </c>
      <c r="G1841">
        <v>8</v>
      </c>
      <c r="H1841">
        <v>20</v>
      </c>
      <c r="I1841">
        <v>0</v>
      </c>
      <c r="J1841" t="s">
        <v>34</v>
      </c>
      <c r="K1841" t="s">
        <v>898</v>
      </c>
      <c r="L1841">
        <v>18</v>
      </c>
      <c r="M1841">
        <v>100.21599999999999</v>
      </c>
      <c r="N1841">
        <v>101.24850000000001</v>
      </c>
      <c r="O1841">
        <v>25.489000000000001</v>
      </c>
      <c r="P1841">
        <v>30.297999999999998</v>
      </c>
      <c r="Q1841">
        <v>44.332999999999998</v>
      </c>
      <c r="R1841" t="s">
        <v>906</v>
      </c>
      <c r="S1841" t="s">
        <v>83</v>
      </c>
      <c r="T1841">
        <f>IF(TRIM(Table1[[#This Row],[PitStopLaps]])="",0,
LEN(Table1[[#This Row],[PitStopLaps]])-LEN(SUBSTITUTE(Table1[[#This Row],[PitStopLaps]],",",""))+1)</f>
        <v>2</v>
      </c>
      <c r="U1841">
        <f>Table1[[#This Row],[StartPosition]]-Table1[[#This Row],[FinishPosition]]</f>
        <v>-12</v>
      </c>
    </row>
    <row r="1842" spans="1:21" x14ac:dyDescent="0.3">
      <c r="A1842">
        <v>2022</v>
      </c>
      <c r="B1842">
        <v>13</v>
      </c>
      <c r="C1842" t="s">
        <v>183</v>
      </c>
      <c r="D1842" t="s">
        <v>38</v>
      </c>
      <c r="E1842" t="s">
        <v>39</v>
      </c>
      <c r="F1842" t="s">
        <v>33</v>
      </c>
      <c r="G1842">
        <v>10</v>
      </c>
      <c r="H1842">
        <v>1</v>
      </c>
      <c r="I1842">
        <v>25</v>
      </c>
      <c r="J1842" t="s">
        <v>23</v>
      </c>
      <c r="K1842" t="s">
        <v>24</v>
      </c>
      <c r="L1842">
        <v>70</v>
      </c>
      <c r="M1842">
        <v>82.126000000000005</v>
      </c>
      <c r="N1842">
        <v>83.618031999999999</v>
      </c>
      <c r="O1842">
        <v>29.234000000000002</v>
      </c>
      <c r="P1842">
        <v>29.62</v>
      </c>
      <c r="Q1842">
        <v>22.986999999999998</v>
      </c>
      <c r="R1842" t="s">
        <v>907</v>
      </c>
      <c r="S1842" t="s">
        <v>25</v>
      </c>
      <c r="T1842">
        <f>IF(TRIM(Table1[[#This Row],[PitStopLaps]])="",0,
LEN(Table1[[#This Row],[PitStopLaps]])-LEN(SUBSTITUTE(Table1[[#This Row],[PitStopLaps]],",",""))+1)</f>
        <v>2</v>
      </c>
      <c r="U1842">
        <f>Table1[[#This Row],[StartPosition]]-Table1[[#This Row],[FinishPosition]]</f>
        <v>9</v>
      </c>
    </row>
    <row r="1843" spans="1:21" x14ac:dyDescent="0.3">
      <c r="A1843">
        <v>2022</v>
      </c>
      <c r="B1843">
        <v>13</v>
      </c>
      <c r="C1843" t="s">
        <v>183</v>
      </c>
      <c r="D1843" t="s">
        <v>26</v>
      </c>
      <c r="E1843" t="s">
        <v>27</v>
      </c>
      <c r="F1843" t="s">
        <v>28</v>
      </c>
      <c r="G1843">
        <v>7</v>
      </c>
      <c r="H1843">
        <v>2</v>
      </c>
      <c r="I1843">
        <v>19</v>
      </c>
      <c r="J1843" t="s">
        <v>23</v>
      </c>
      <c r="K1843" t="s">
        <v>24</v>
      </c>
      <c r="L1843">
        <v>70</v>
      </c>
      <c r="M1843">
        <v>81.385999999999996</v>
      </c>
      <c r="N1843">
        <v>83.691605999999993</v>
      </c>
      <c r="O1843">
        <v>28.986999999999998</v>
      </c>
      <c r="P1843">
        <v>29.308</v>
      </c>
      <c r="Q1843">
        <v>22.707000000000001</v>
      </c>
      <c r="R1843" t="s">
        <v>537</v>
      </c>
      <c r="S1843" t="s">
        <v>25</v>
      </c>
      <c r="T1843">
        <f>IF(TRIM(Table1[[#This Row],[PitStopLaps]])="",0,
LEN(Table1[[#This Row],[PitStopLaps]])-LEN(SUBSTITUTE(Table1[[#This Row],[PitStopLaps]],",",""))+1)</f>
        <v>2</v>
      </c>
      <c r="U1843">
        <f>Table1[[#This Row],[StartPosition]]-Table1[[#This Row],[FinishPosition]]</f>
        <v>5</v>
      </c>
    </row>
    <row r="1844" spans="1:21" x14ac:dyDescent="0.3">
      <c r="A1844">
        <v>2022</v>
      </c>
      <c r="B1844">
        <v>13</v>
      </c>
      <c r="C1844" t="s">
        <v>183</v>
      </c>
      <c r="D1844" t="s">
        <v>252</v>
      </c>
      <c r="E1844" t="s">
        <v>253</v>
      </c>
      <c r="F1844" t="s">
        <v>28</v>
      </c>
      <c r="G1844">
        <v>1</v>
      </c>
      <c r="H1844">
        <v>3</v>
      </c>
      <c r="I1844">
        <v>15</v>
      </c>
      <c r="J1844" t="s">
        <v>23</v>
      </c>
      <c r="K1844" t="s">
        <v>24</v>
      </c>
      <c r="L1844">
        <v>70</v>
      </c>
      <c r="M1844">
        <v>82.766000000000005</v>
      </c>
      <c r="N1844">
        <v>83.860294999999994</v>
      </c>
      <c r="O1844">
        <v>29.381</v>
      </c>
      <c r="P1844">
        <v>29.695</v>
      </c>
      <c r="Q1844">
        <v>23.172000000000001</v>
      </c>
      <c r="R1844" t="s">
        <v>908</v>
      </c>
      <c r="S1844" t="s">
        <v>25</v>
      </c>
      <c r="T1844">
        <f>IF(TRIM(Table1[[#This Row],[PitStopLaps]])="",0,
LEN(Table1[[#This Row],[PitStopLaps]])-LEN(SUBSTITUTE(Table1[[#This Row],[PitStopLaps]],",",""))+1)</f>
        <v>2</v>
      </c>
      <c r="U1844">
        <f>Table1[[#This Row],[StartPosition]]-Table1[[#This Row],[FinishPosition]]</f>
        <v>-2</v>
      </c>
    </row>
    <row r="1845" spans="1:21" x14ac:dyDescent="0.3">
      <c r="A1845">
        <v>2022</v>
      </c>
      <c r="B1845">
        <v>13</v>
      </c>
      <c r="C1845" t="s">
        <v>183</v>
      </c>
      <c r="D1845" t="s">
        <v>47</v>
      </c>
      <c r="E1845" t="s">
        <v>48</v>
      </c>
      <c r="F1845" t="s">
        <v>22</v>
      </c>
      <c r="G1845">
        <v>2</v>
      </c>
      <c r="H1845">
        <v>4</v>
      </c>
      <c r="I1845">
        <v>12</v>
      </c>
      <c r="J1845" t="s">
        <v>34</v>
      </c>
      <c r="K1845" t="s">
        <v>24</v>
      </c>
      <c r="L1845">
        <v>70</v>
      </c>
      <c r="M1845">
        <v>82</v>
      </c>
      <c r="N1845">
        <v>83.834901000000002</v>
      </c>
      <c r="O1845">
        <v>29.347000000000001</v>
      </c>
      <c r="P1845">
        <v>29.454000000000001</v>
      </c>
      <c r="Q1845">
        <v>22.998999999999999</v>
      </c>
      <c r="R1845" t="s">
        <v>223</v>
      </c>
      <c r="S1845" t="s">
        <v>25</v>
      </c>
      <c r="T1845">
        <f>IF(TRIM(Table1[[#This Row],[PitStopLaps]])="",0,
LEN(Table1[[#This Row],[PitStopLaps]])-LEN(SUBSTITUTE(Table1[[#This Row],[PitStopLaps]],",",""))+1)</f>
        <v>2</v>
      </c>
      <c r="U1845">
        <f>Table1[[#This Row],[StartPosition]]-Table1[[#This Row],[FinishPosition]]</f>
        <v>-2</v>
      </c>
    </row>
    <row r="1846" spans="1:21" x14ac:dyDescent="0.3">
      <c r="A1846">
        <v>2022</v>
      </c>
      <c r="B1846">
        <v>13</v>
      </c>
      <c r="C1846" t="s">
        <v>183</v>
      </c>
      <c r="D1846" t="s">
        <v>49</v>
      </c>
      <c r="E1846" t="s">
        <v>50</v>
      </c>
      <c r="F1846" t="s">
        <v>33</v>
      </c>
      <c r="G1846">
        <v>11</v>
      </c>
      <c r="H1846">
        <v>5</v>
      </c>
      <c r="I1846">
        <v>10</v>
      </c>
      <c r="J1846" t="s">
        <v>34</v>
      </c>
      <c r="K1846" t="s">
        <v>24</v>
      </c>
      <c r="L1846">
        <v>70</v>
      </c>
      <c r="M1846">
        <v>81.94</v>
      </c>
      <c r="N1846">
        <v>83.719015999999996</v>
      </c>
      <c r="O1846">
        <v>29.175999999999998</v>
      </c>
      <c r="P1846">
        <v>29.475999999999999</v>
      </c>
      <c r="Q1846">
        <v>22.843</v>
      </c>
      <c r="R1846" t="s">
        <v>516</v>
      </c>
      <c r="S1846" t="s">
        <v>25</v>
      </c>
      <c r="T1846">
        <f>IF(TRIM(Table1[[#This Row],[PitStopLaps]])="",0,
LEN(Table1[[#This Row],[PitStopLaps]])-LEN(SUBSTITUTE(Table1[[#This Row],[PitStopLaps]],",",""))+1)</f>
        <v>2</v>
      </c>
      <c r="U1846">
        <f>Table1[[#This Row],[StartPosition]]-Table1[[#This Row],[FinishPosition]]</f>
        <v>6</v>
      </c>
    </row>
    <row r="1847" spans="1:21" x14ac:dyDescent="0.3">
      <c r="A1847">
        <v>2022</v>
      </c>
      <c r="B1847">
        <v>13</v>
      </c>
      <c r="C1847" t="s">
        <v>183</v>
      </c>
      <c r="D1847" t="s">
        <v>54</v>
      </c>
      <c r="E1847" t="s">
        <v>55</v>
      </c>
      <c r="F1847" t="s">
        <v>22</v>
      </c>
      <c r="G1847">
        <v>3</v>
      </c>
      <c r="H1847">
        <v>6</v>
      </c>
      <c r="I1847">
        <v>8</v>
      </c>
      <c r="J1847" t="s">
        <v>34</v>
      </c>
      <c r="K1847" t="s">
        <v>24</v>
      </c>
      <c r="L1847">
        <v>70</v>
      </c>
      <c r="M1847">
        <v>81.622</v>
      </c>
      <c r="N1847">
        <v>83.501525000000001</v>
      </c>
      <c r="O1847">
        <v>29.288</v>
      </c>
      <c r="P1847">
        <v>29.274999999999999</v>
      </c>
      <c r="Q1847">
        <v>22.908999999999999</v>
      </c>
      <c r="R1847" t="s">
        <v>909</v>
      </c>
      <c r="S1847" t="s">
        <v>25</v>
      </c>
      <c r="T1847">
        <f>IF(TRIM(Table1[[#This Row],[PitStopLaps]])="",0,
LEN(Table1[[#This Row],[PitStopLaps]])-LEN(SUBSTITUTE(Table1[[#This Row],[PitStopLaps]],",",""))+1)</f>
        <v>3</v>
      </c>
      <c r="U1847">
        <f>Table1[[#This Row],[StartPosition]]-Table1[[#This Row],[FinishPosition]]</f>
        <v>-3</v>
      </c>
    </row>
    <row r="1848" spans="1:21" x14ac:dyDescent="0.3">
      <c r="A1848">
        <v>2022</v>
      </c>
      <c r="B1848">
        <v>13</v>
      </c>
      <c r="C1848" t="s">
        <v>183</v>
      </c>
      <c r="D1848" t="s">
        <v>246</v>
      </c>
      <c r="E1848" t="s">
        <v>247</v>
      </c>
      <c r="F1848" t="s">
        <v>37</v>
      </c>
      <c r="G1848">
        <v>4</v>
      </c>
      <c r="H1848">
        <v>7</v>
      </c>
      <c r="I1848">
        <v>6</v>
      </c>
      <c r="J1848" t="s">
        <v>34</v>
      </c>
      <c r="K1848" t="s">
        <v>24</v>
      </c>
      <c r="L1848">
        <v>70</v>
      </c>
      <c r="M1848">
        <v>83.043000000000006</v>
      </c>
      <c r="N1848">
        <v>84.721688</v>
      </c>
      <c r="O1848">
        <v>29.771000000000001</v>
      </c>
      <c r="P1848">
        <v>29.873999999999999</v>
      </c>
      <c r="Q1848">
        <v>23.288</v>
      </c>
      <c r="R1848" t="s">
        <v>910</v>
      </c>
      <c r="S1848" t="s">
        <v>25</v>
      </c>
      <c r="T1848">
        <f>IF(TRIM(Table1[[#This Row],[PitStopLaps]])="",0,
LEN(Table1[[#This Row],[PitStopLaps]])-LEN(SUBSTITUTE(Table1[[#This Row],[PitStopLaps]],",",""))+1)</f>
        <v>2</v>
      </c>
      <c r="U1848">
        <f>Table1[[#This Row],[StartPosition]]-Table1[[#This Row],[FinishPosition]]</f>
        <v>-3</v>
      </c>
    </row>
    <row r="1849" spans="1:21" x14ac:dyDescent="0.3">
      <c r="A1849">
        <v>2022</v>
      </c>
      <c r="B1849">
        <v>13</v>
      </c>
      <c r="C1849" t="s">
        <v>183</v>
      </c>
      <c r="D1849" t="s">
        <v>35</v>
      </c>
      <c r="E1849" t="s">
        <v>36</v>
      </c>
      <c r="F1849" t="s">
        <v>607</v>
      </c>
      <c r="G1849">
        <v>6</v>
      </c>
      <c r="H1849">
        <v>8</v>
      </c>
      <c r="I1849">
        <v>4</v>
      </c>
      <c r="J1849" t="s">
        <v>34</v>
      </c>
      <c r="K1849" t="s">
        <v>65</v>
      </c>
      <c r="L1849">
        <v>69</v>
      </c>
      <c r="M1849">
        <v>83.978999999999999</v>
      </c>
      <c r="N1849">
        <v>85.284790000000001</v>
      </c>
      <c r="O1849">
        <v>29.882000000000001</v>
      </c>
      <c r="P1849">
        <v>30.059000000000001</v>
      </c>
      <c r="Q1849">
        <v>23.593</v>
      </c>
      <c r="R1849">
        <v>21</v>
      </c>
      <c r="S1849" t="s">
        <v>25</v>
      </c>
      <c r="T1849">
        <f>IF(TRIM(Table1[[#This Row],[PitStopLaps]])="",0,
LEN(Table1[[#This Row],[PitStopLaps]])-LEN(SUBSTITUTE(Table1[[#This Row],[PitStopLaps]],",",""))+1)</f>
        <v>1</v>
      </c>
      <c r="U1849">
        <f>Table1[[#This Row],[StartPosition]]-Table1[[#This Row],[FinishPosition]]</f>
        <v>-2</v>
      </c>
    </row>
    <row r="1850" spans="1:21" x14ac:dyDescent="0.3">
      <c r="A1850">
        <v>2022</v>
      </c>
      <c r="B1850">
        <v>13</v>
      </c>
      <c r="C1850" t="s">
        <v>183</v>
      </c>
      <c r="D1850" t="s">
        <v>52</v>
      </c>
      <c r="E1850" t="s">
        <v>53</v>
      </c>
      <c r="F1850" t="s">
        <v>607</v>
      </c>
      <c r="G1850">
        <v>5</v>
      </c>
      <c r="H1850">
        <v>9</v>
      </c>
      <c r="I1850">
        <v>2</v>
      </c>
      <c r="J1850" t="s">
        <v>34</v>
      </c>
      <c r="K1850" t="s">
        <v>65</v>
      </c>
      <c r="L1850">
        <v>69</v>
      </c>
      <c r="M1850">
        <v>84.149000000000001</v>
      </c>
      <c r="N1850">
        <v>85.308402999999998</v>
      </c>
      <c r="O1850">
        <v>29.96</v>
      </c>
      <c r="P1850">
        <v>30.306000000000001</v>
      </c>
      <c r="Q1850">
        <v>23.651</v>
      </c>
      <c r="R1850">
        <v>23</v>
      </c>
      <c r="S1850" t="s">
        <v>25</v>
      </c>
      <c r="T1850">
        <f>IF(TRIM(Table1[[#This Row],[PitStopLaps]])="",0,
LEN(Table1[[#This Row],[PitStopLaps]])-LEN(SUBSTITUTE(Table1[[#This Row],[PitStopLaps]],",",""))+1)</f>
        <v>1</v>
      </c>
      <c r="U1850">
        <f>Table1[[#This Row],[StartPosition]]-Table1[[#This Row],[FinishPosition]]</f>
        <v>-4</v>
      </c>
    </row>
    <row r="1851" spans="1:21" x14ac:dyDescent="0.3">
      <c r="A1851">
        <v>2022</v>
      </c>
      <c r="B1851">
        <v>13</v>
      </c>
      <c r="C1851" t="s">
        <v>183</v>
      </c>
      <c r="D1851" t="s">
        <v>20</v>
      </c>
      <c r="E1851" t="s">
        <v>21</v>
      </c>
      <c r="F1851" t="s">
        <v>603</v>
      </c>
      <c r="G1851">
        <v>18</v>
      </c>
      <c r="H1851">
        <v>10</v>
      </c>
      <c r="I1851">
        <v>1</v>
      </c>
      <c r="J1851" t="s">
        <v>34</v>
      </c>
      <c r="K1851" t="s">
        <v>65</v>
      </c>
      <c r="L1851">
        <v>69</v>
      </c>
      <c r="M1851">
        <v>82.823999999999998</v>
      </c>
      <c r="N1851">
        <v>84.870766000000003</v>
      </c>
      <c r="O1851">
        <v>29.523</v>
      </c>
      <c r="P1851">
        <v>29.802</v>
      </c>
      <c r="Q1851">
        <v>23.265999999999998</v>
      </c>
      <c r="R1851" t="s">
        <v>911</v>
      </c>
      <c r="S1851" t="s">
        <v>25</v>
      </c>
      <c r="T1851">
        <f>IF(TRIM(Table1[[#This Row],[PitStopLaps]])="",0,
LEN(Table1[[#This Row],[PitStopLaps]])-LEN(SUBSTITUTE(Table1[[#This Row],[PitStopLaps]],",",""))+1)</f>
        <v>2</v>
      </c>
      <c r="U1851">
        <f>Table1[[#This Row],[StartPosition]]-Table1[[#This Row],[FinishPosition]]</f>
        <v>8</v>
      </c>
    </row>
    <row r="1852" spans="1:21" x14ac:dyDescent="0.3">
      <c r="A1852">
        <v>2022</v>
      </c>
      <c r="B1852">
        <v>13</v>
      </c>
      <c r="C1852" t="s">
        <v>183</v>
      </c>
      <c r="D1852" t="s">
        <v>58</v>
      </c>
      <c r="E1852" t="s">
        <v>59</v>
      </c>
      <c r="F1852" t="s">
        <v>603</v>
      </c>
      <c r="G1852">
        <v>14</v>
      </c>
      <c r="H1852">
        <v>11</v>
      </c>
      <c r="I1852">
        <v>0</v>
      </c>
      <c r="J1852" t="s">
        <v>34</v>
      </c>
      <c r="K1852" t="s">
        <v>65</v>
      </c>
      <c r="L1852">
        <v>69</v>
      </c>
      <c r="M1852">
        <v>82.436999999999998</v>
      </c>
      <c r="N1852">
        <v>84.927266000000003</v>
      </c>
      <c r="O1852">
        <v>29.388000000000002</v>
      </c>
      <c r="P1852">
        <v>29.771999999999998</v>
      </c>
      <c r="Q1852">
        <v>23.087</v>
      </c>
      <c r="R1852" t="s">
        <v>676</v>
      </c>
      <c r="S1852" t="s">
        <v>25</v>
      </c>
      <c r="T1852">
        <f>IF(TRIM(Table1[[#This Row],[PitStopLaps]])="",0,
LEN(Table1[[#This Row],[PitStopLaps]])-LEN(SUBSTITUTE(Table1[[#This Row],[PitStopLaps]],",",""))+1)</f>
        <v>2</v>
      </c>
      <c r="U1852">
        <f>Table1[[#This Row],[StartPosition]]-Table1[[#This Row],[FinishPosition]]</f>
        <v>3</v>
      </c>
    </row>
    <row r="1853" spans="1:21" x14ac:dyDescent="0.3">
      <c r="A1853">
        <v>2022</v>
      </c>
      <c r="B1853">
        <v>13</v>
      </c>
      <c r="C1853" t="s">
        <v>183</v>
      </c>
      <c r="D1853" t="s">
        <v>73</v>
      </c>
      <c r="E1853" t="s">
        <v>74</v>
      </c>
      <c r="F1853" t="s">
        <v>438</v>
      </c>
      <c r="G1853">
        <v>0</v>
      </c>
      <c r="H1853">
        <v>12</v>
      </c>
      <c r="I1853">
        <v>0</v>
      </c>
      <c r="J1853" t="s">
        <v>34</v>
      </c>
      <c r="K1853" t="s">
        <v>65</v>
      </c>
      <c r="L1853">
        <v>69</v>
      </c>
      <c r="M1853">
        <v>83.198999999999998</v>
      </c>
      <c r="N1853">
        <v>85.122583000000006</v>
      </c>
      <c r="O1853">
        <v>29.588000000000001</v>
      </c>
      <c r="P1853">
        <v>30.047999999999998</v>
      </c>
      <c r="Q1853">
        <v>23.376999999999999</v>
      </c>
      <c r="R1853" t="s">
        <v>107</v>
      </c>
      <c r="S1853" t="s">
        <v>25</v>
      </c>
      <c r="T1853">
        <f>IF(TRIM(Table1[[#This Row],[PitStopLaps]])="",0,
LEN(Table1[[#This Row],[PitStopLaps]])-LEN(SUBSTITUTE(Table1[[#This Row],[PitStopLaps]],",",""))+1)</f>
        <v>2</v>
      </c>
      <c r="U1853">
        <f>Table1[[#This Row],[StartPosition]]-Table1[[#This Row],[FinishPosition]]</f>
        <v>-12</v>
      </c>
    </row>
    <row r="1854" spans="1:21" x14ac:dyDescent="0.3">
      <c r="A1854">
        <v>2022</v>
      </c>
      <c r="B1854">
        <v>13</v>
      </c>
      <c r="C1854" t="s">
        <v>183</v>
      </c>
      <c r="D1854" t="s">
        <v>794</v>
      </c>
      <c r="E1854" t="s">
        <v>795</v>
      </c>
      <c r="F1854" t="s">
        <v>789</v>
      </c>
      <c r="G1854">
        <v>12</v>
      </c>
      <c r="H1854">
        <v>13</v>
      </c>
      <c r="I1854">
        <v>0</v>
      </c>
      <c r="J1854" t="s">
        <v>34</v>
      </c>
      <c r="K1854" t="s">
        <v>65</v>
      </c>
      <c r="L1854">
        <v>69</v>
      </c>
      <c r="M1854">
        <v>82.028999999999996</v>
      </c>
      <c r="N1854">
        <v>85.095215999999994</v>
      </c>
      <c r="O1854">
        <v>29.422000000000001</v>
      </c>
      <c r="P1854">
        <v>29.401</v>
      </c>
      <c r="Q1854">
        <v>22.911999999999999</v>
      </c>
      <c r="R1854" t="s">
        <v>539</v>
      </c>
      <c r="S1854" t="s">
        <v>25</v>
      </c>
      <c r="T1854">
        <f>IF(TRIM(Table1[[#This Row],[PitStopLaps]])="",0,
LEN(Table1[[#This Row],[PitStopLaps]])-LEN(SUBSTITUTE(Table1[[#This Row],[PitStopLaps]],",",""))+1)</f>
        <v>2</v>
      </c>
      <c r="U1854">
        <f>Table1[[#This Row],[StartPosition]]-Table1[[#This Row],[FinishPosition]]</f>
        <v>-1</v>
      </c>
    </row>
    <row r="1855" spans="1:21" x14ac:dyDescent="0.3">
      <c r="A1855">
        <v>2022</v>
      </c>
      <c r="B1855">
        <v>13</v>
      </c>
      <c r="C1855" t="s">
        <v>183</v>
      </c>
      <c r="D1855" t="s">
        <v>608</v>
      </c>
      <c r="E1855" t="s">
        <v>609</v>
      </c>
      <c r="F1855" t="s">
        <v>69</v>
      </c>
      <c r="G1855">
        <v>15</v>
      </c>
      <c r="H1855">
        <v>14</v>
      </c>
      <c r="I1855">
        <v>0</v>
      </c>
      <c r="J1855" t="s">
        <v>34</v>
      </c>
      <c r="K1855" t="s">
        <v>65</v>
      </c>
      <c r="L1855">
        <v>69</v>
      </c>
      <c r="M1855">
        <v>83.150999999999996</v>
      </c>
      <c r="N1855">
        <v>85.265016000000003</v>
      </c>
      <c r="O1855">
        <v>29.782</v>
      </c>
      <c r="P1855">
        <v>29.847999999999999</v>
      </c>
      <c r="Q1855">
        <v>23.315000000000001</v>
      </c>
      <c r="R1855" t="s">
        <v>486</v>
      </c>
      <c r="S1855" t="s">
        <v>25</v>
      </c>
      <c r="T1855">
        <f>IF(TRIM(Table1[[#This Row],[PitStopLaps]])="",0,
LEN(Table1[[#This Row],[PitStopLaps]])-LEN(SUBSTITUTE(Table1[[#This Row],[PitStopLaps]],",",""))+1)</f>
        <v>2</v>
      </c>
      <c r="U1855">
        <f>Table1[[#This Row],[StartPosition]]-Table1[[#This Row],[FinishPosition]]</f>
        <v>1</v>
      </c>
    </row>
    <row r="1856" spans="1:21" x14ac:dyDescent="0.3">
      <c r="A1856">
        <v>2022</v>
      </c>
      <c r="B1856">
        <v>13</v>
      </c>
      <c r="C1856" t="s">
        <v>183</v>
      </c>
      <c r="D1856" t="s">
        <v>31</v>
      </c>
      <c r="E1856" t="s">
        <v>32</v>
      </c>
      <c r="F1856" t="s">
        <v>37</v>
      </c>
      <c r="G1856">
        <v>9</v>
      </c>
      <c r="H1856">
        <v>15</v>
      </c>
      <c r="I1856">
        <v>0</v>
      </c>
      <c r="J1856" t="s">
        <v>34</v>
      </c>
      <c r="K1856" t="s">
        <v>65</v>
      </c>
      <c r="L1856">
        <v>69</v>
      </c>
      <c r="M1856">
        <v>83.59</v>
      </c>
      <c r="N1856">
        <v>85.207766000000007</v>
      </c>
      <c r="O1856">
        <v>29.847000000000001</v>
      </c>
      <c r="P1856">
        <v>30.113</v>
      </c>
      <c r="Q1856">
        <v>23.466999999999999</v>
      </c>
      <c r="R1856" t="s">
        <v>911</v>
      </c>
      <c r="S1856" t="s">
        <v>25</v>
      </c>
      <c r="T1856">
        <f>IF(TRIM(Table1[[#This Row],[PitStopLaps]])="",0,
LEN(Table1[[#This Row],[PitStopLaps]])-LEN(SUBSTITUTE(Table1[[#This Row],[PitStopLaps]],",",""))+1)</f>
        <v>2</v>
      </c>
      <c r="U1856">
        <f>Table1[[#This Row],[StartPosition]]-Table1[[#This Row],[FinishPosition]]</f>
        <v>-6</v>
      </c>
    </row>
    <row r="1857" spans="1:21" x14ac:dyDescent="0.3">
      <c r="A1857">
        <v>2022</v>
      </c>
      <c r="B1857">
        <v>13</v>
      </c>
      <c r="C1857" t="s">
        <v>183</v>
      </c>
      <c r="D1857" t="s">
        <v>71</v>
      </c>
      <c r="E1857" t="s">
        <v>72</v>
      </c>
      <c r="F1857" t="s">
        <v>69</v>
      </c>
      <c r="G1857">
        <v>13</v>
      </c>
      <c r="H1857">
        <v>16</v>
      </c>
      <c r="I1857">
        <v>0</v>
      </c>
      <c r="J1857" t="s">
        <v>34</v>
      </c>
      <c r="K1857" t="s">
        <v>65</v>
      </c>
      <c r="L1857">
        <v>69</v>
      </c>
      <c r="M1857">
        <v>83.510999999999996</v>
      </c>
      <c r="N1857">
        <v>85.369135</v>
      </c>
      <c r="O1857">
        <v>29.687000000000001</v>
      </c>
      <c r="P1857">
        <v>30.125</v>
      </c>
      <c r="Q1857">
        <v>23.324999999999999</v>
      </c>
      <c r="R1857" t="s">
        <v>912</v>
      </c>
      <c r="S1857" t="s">
        <v>25</v>
      </c>
      <c r="T1857">
        <f>IF(TRIM(Table1[[#This Row],[PitStopLaps]])="",0,
LEN(Table1[[#This Row],[PitStopLaps]])-LEN(SUBSTITUTE(Table1[[#This Row],[PitStopLaps]],",",""))+1)</f>
        <v>3</v>
      </c>
      <c r="U1857">
        <f>Table1[[#This Row],[StartPosition]]-Table1[[#This Row],[FinishPosition]]</f>
        <v>-3</v>
      </c>
    </row>
    <row r="1858" spans="1:21" x14ac:dyDescent="0.3">
      <c r="A1858">
        <v>2022</v>
      </c>
      <c r="B1858">
        <v>13</v>
      </c>
      <c r="C1858" t="s">
        <v>183</v>
      </c>
      <c r="D1858" t="s">
        <v>248</v>
      </c>
      <c r="E1858" t="s">
        <v>249</v>
      </c>
      <c r="F1858" t="s">
        <v>60</v>
      </c>
      <c r="G1858">
        <v>17</v>
      </c>
      <c r="H1858">
        <v>17</v>
      </c>
      <c r="I1858">
        <v>0</v>
      </c>
      <c r="J1858" t="s">
        <v>34</v>
      </c>
      <c r="K1858" t="s">
        <v>65</v>
      </c>
      <c r="L1858">
        <v>69</v>
      </c>
      <c r="M1858">
        <v>83.046999999999997</v>
      </c>
      <c r="N1858">
        <v>85.373733000000001</v>
      </c>
      <c r="O1858">
        <v>29.451000000000001</v>
      </c>
      <c r="P1858">
        <v>30.172000000000001</v>
      </c>
      <c r="Q1858">
        <v>23.222999999999999</v>
      </c>
      <c r="R1858" t="s">
        <v>913</v>
      </c>
      <c r="S1858" t="s">
        <v>25</v>
      </c>
      <c r="T1858">
        <f>IF(TRIM(Table1[[#This Row],[PitStopLaps]])="",0,
LEN(Table1[[#This Row],[PitStopLaps]])-LEN(SUBSTITUTE(Table1[[#This Row],[PitStopLaps]],",",""))+1)</f>
        <v>3</v>
      </c>
      <c r="U1858">
        <f>Table1[[#This Row],[StartPosition]]-Table1[[#This Row],[FinishPosition]]</f>
        <v>0</v>
      </c>
    </row>
    <row r="1859" spans="1:21" x14ac:dyDescent="0.3">
      <c r="A1859">
        <v>2022</v>
      </c>
      <c r="B1859">
        <v>13</v>
      </c>
      <c r="C1859" t="s">
        <v>183</v>
      </c>
      <c r="D1859" t="s">
        <v>440</v>
      </c>
      <c r="E1859" t="s">
        <v>441</v>
      </c>
      <c r="F1859" t="s">
        <v>60</v>
      </c>
      <c r="G1859">
        <v>19</v>
      </c>
      <c r="H1859">
        <v>18</v>
      </c>
      <c r="I1859">
        <v>0</v>
      </c>
      <c r="J1859" t="s">
        <v>34</v>
      </c>
      <c r="K1859" t="s">
        <v>65</v>
      </c>
      <c r="L1859">
        <v>69</v>
      </c>
      <c r="M1859">
        <v>82.477999999999994</v>
      </c>
      <c r="N1859">
        <v>85.379671999999999</v>
      </c>
      <c r="O1859">
        <v>29.414000000000001</v>
      </c>
      <c r="P1859">
        <v>29.78</v>
      </c>
      <c r="Q1859">
        <v>23.283999999999999</v>
      </c>
      <c r="R1859" t="s">
        <v>914</v>
      </c>
      <c r="S1859" t="s">
        <v>25</v>
      </c>
      <c r="T1859">
        <f>IF(TRIM(Table1[[#This Row],[PitStopLaps]])="",0,
LEN(Table1[[#This Row],[PitStopLaps]])-LEN(SUBSTITUTE(Table1[[#This Row],[PitStopLaps]],",",""))+1)</f>
        <v>3</v>
      </c>
      <c r="U1859">
        <f>Table1[[#This Row],[StartPosition]]-Table1[[#This Row],[FinishPosition]]</f>
        <v>1</v>
      </c>
    </row>
    <row r="1860" spans="1:21" x14ac:dyDescent="0.3">
      <c r="A1860">
        <v>2022</v>
      </c>
      <c r="B1860">
        <v>13</v>
      </c>
      <c r="C1860" t="s">
        <v>183</v>
      </c>
      <c r="D1860" t="s">
        <v>601</v>
      </c>
      <c r="E1860" t="s">
        <v>602</v>
      </c>
      <c r="F1860" t="s">
        <v>438</v>
      </c>
      <c r="G1860">
        <v>16</v>
      </c>
      <c r="H1860">
        <v>19</v>
      </c>
      <c r="I1860">
        <v>0</v>
      </c>
      <c r="J1860" t="s">
        <v>34</v>
      </c>
      <c r="K1860" t="s">
        <v>127</v>
      </c>
      <c r="L1860">
        <v>68</v>
      </c>
      <c r="M1860">
        <v>83.537999999999997</v>
      </c>
      <c r="N1860">
        <v>85.944877000000005</v>
      </c>
      <c r="O1860">
        <v>29.803999999999998</v>
      </c>
      <c r="P1860">
        <v>30.126999999999999</v>
      </c>
      <c r="Q1860">
        <v>23.474</v>
      </c>
      <c r="R1860" t="s">
        <v>915</v>
      </c>
      <c r="S1860" t="s">
        <v>25</v>
      </c>
      <c r="T1860">
        <f>IF(TRIM(Table1[[#This Row],[PitStopLaps]])="",0,
LEN(Table1[[#This Row],[PitStopLaps]])-LEN(SUBSTITUTE(Table1[[#This Row],[PitStopLaps]],",",""))+1)</f>
        <v>3</v>
      </c>
      <c r="U1860">
        <f>Table1[[#This Row],[StartPosition]]-Table1[[#This Row],[FinishPosition]]</f>
        <v>-3</v>
      </c>
    </row>
    <row r="1861" spans="1:21" x14ac:dyDescent="0.3">
      <c r="A1861">
        <v>2022</v>
      </c>
      <c r="B1861">
        <v>13</v>
      </c>
      <c r="C1861" t="s">
        <v>183</v>
      </c>
      <c r="D1861" t="s">
        <v>43</v>
      </c>
      <c r="E1861" t="s">
        <v>44</v>
      </c>
      <c r="F1861" t="s">
        <v>789</v>
      </c>
      <c r="G1861">
        <v>8</v>
      </c>
      <c r="H1861">
        <v>20</v>
      </c>
      <c r="I1861">
        <v>0</v>
      </c>
      <c r="J1861" t="s">
        <v>34</v>
      </c>
      <c r="K1861" t="s">
        <v>167</v>
      </c>
      <c r="L1861">
        <v>66</v>
      </c>
      <c r="M1861">
        <v>84.001999999999995</v>
      </c>
      <c r="N1861">
        <v>85.397499999999994</v>
      </c>
      <c r="O1861">
        <v>29.934000000000001</v>
      </c>
      <c r="P1861">
        <v>30.177</v>
      </c>
      <c r="Q1861">
        <v>23.637</v>
      </c>
      <c r="R1861">
        <v>26</v>
      </c>
      <c r="S1861" t="s">
        <v>25</v>
      </c>
      <c r="T1861">
        <f>IF(TRIM(Table1[[#This Row],[PitStopLaps]])="",0,
LEN(Table1[[#This Row],[PitStopLaps]])-LEN(SUBSTITUTE(Table1[[#This Row],[PitStopLaps]],",",""))+1)</f>
        <v>1</v>
      </c>
      <c r="U1861">
        <f>Table1[[#This Row],[StartPosition]]-Table1[[#This Row],[FinishPosition]]</f>
        <v>-12</v>
      </c>
    </row>
    <row r="1862" spans="1:21" x14ac:dyDescent="0.3">
      <c r="A1862">
        <v>2022</v>
      </c>
      <c r="B1862">
        <v>14</v>
      </c>
      <c r="C1862" t="s">
        <v>188</v>
      </c>
      <c r="D1862" t="s">
        <v>38</v>
      </c>
      <c r="E1862" t="s">
        <v>39</v>
      </c>
      <c r="F1862" t="s">
        <v>33</v>
      </c>
      <c r="G1862">
        <v>14</v>
      </c>
      <c r="H1862">
        <v>1</v>
      </c>
      <c r="I1862">
        <v>26</v>
      </c>
      <c r="J1862" t="s">
        <v>23</v>
      </c>
      <c r="K1862" t="s">
        <v>24</v>
      </c>
      <c r="L1862">
        <v>44</v>
      </c>
      <c r="M1862">
        <v>109.354</v>
      </c>
      <c r="N1862">
        <v>112.38475</v>
      </c>
      <c r="O1862">
        <v>31.597000000000001</v>
      </c>
      <c r="P1862">
        <v>47.81</v>
      </c>
      <c r="Q1862">
        <v>29.864000000000001</v>
      </c>
      <c r="R1862" t="s">
        <v>916</v>
      </c>
      <c r="S1862" t="s">
        <v>83</v>
      </c>
      <c r="T1862">
        <f>IF(TRIM(Table1[[#This Row],[PitStopLaps]])="",0,
LEN(Table1[[#This Row],[PitStopLaps]])-LEN(SUBSTITUTE(Table1[[#This Row],[PitStopLaps]],",",""))+1)</f>
        <v>2</v>
      </c>
      <c r="U1862">
        <f>Table1[[#This Row],[StartPosition]]-Table1[[#This Row],[FinishPosition]]</f>
        <v>13</v>
      </c>
    </row>
    <row r="1863" spans="1:21" x14ac:dyDescent="0.3">
      <c r="A1863">
        <v>2022</v>
      </c>
      <c r="B1863">
        <v>14</v>
      </c>
      <c r="C1863" t="s">
        <v>188</v>
      </c>
      <c r="D1863" t="s">
        <v>49</v>
      </c>
      <c r="E1863" t="s">
        <v>50</v>
      </c>
      <c r="F1863" t="s">
        <v>33</v>
      </c>
      <c r="G1863">
        <v>2</v>
      </c>
      <c r="H1863">
        <v>2</v>
      </c>
      <c r="I1863">
        <v>18</v>
      </c>
      <c r="J1863" t="s">
        <v>23</v>
      </c>
      <c r="K1863" t="s">
        <v>24</v>
      </c>
      <c r="L1863">
        <v>44</v>
      </c>
      <c r="M1863">
        <v>110.764</v>
      </c>
      <c r="N1863">
        <v>112.844444</v>
      </c>
      <c r="O1863">
        <v>31.853000000000002</v>
      </c>
      <c r="P1863">
        <v>48.804000000000002</v>
      </c>
      <c r="Q1863">
        <v>30.106999999999999</v>
      </c>
      <c r="R1863" t="s">
        <v>917</v>
      </c>
      <c r="S1863" t="s">
        <v>83</v>
      </c>
      <c r="T1863">
        <f>IF(TRIM(Table1[[#This Row],[PitStopLaps]])="",0,
LEN(Table1[[#This Row],[PitStopLaps]])-LEN(SUBSTITUTE(Table1[[#This Row],[PitStopLaps]],",",""))+1)</f>
        <v>2</v>
      </c>
      <c r="U1863">
        <f>Table1[[#This Row],[StartPosition]]-Table1[[#This Row],[FinishPosition]]</f>
        <v>0</v>
      </c>
    </row>
    <row r="1864" spans="1:21" x14ac:dyDescent="0.3">
      <c r="A1864">
        <v>2022</v>
      </c>
      <c r="B1864">
        <v>14</v>
      </c>
      <c r="C1864" t="s">
        <v>188</v>
      </c>
      <c r="D1864" t="s">
        <v>47</v>
      </c>
      <c r="E1864" t="s">
        <v>48</v>
      </c>
      <c r="F1864" t="s">
        <v>22</v>
      </c>
      <c r="G1864">
        <v>1</v>
      </c>
      <c r="H1864">
        <v>3</v>
      </c>
      <c r="I1864">
        <v>15</v>
      </c>
      <c r="J1864" t="s">
        <v>23</v>
      </c>
      <c r="K1864" t="s">
        <v>24</v>
      </c>
      <c r="L1864">
        <v>44</v>
      </c>
      <c r="M1864">
        <v>111.977</v>
      </c>
      <c r="N1864">
        <v>113.030361</v>
      </c>
      <c r="O1864">
        <v>32.128999999999998</v>
      </c>
      <c r="P1864">
        <v>49.225000000000001</v>
      </c>
      <c r="Q1864">
        <v>30.385999999999999</v>
      </c>
      <c r="R1864" t="s">
        <v>918</v>
      </c>
      <c r="S1864" t="s">
        <v>83</v>
      </c>
      <c r="T1864">
        <f>IF(TRIM(Table1[[#This Row],[PitStopLaps]])="",0,
LEN(Table1[[#This Row],[PitStopLaps]])-LEN(SUBSTITUTE(Table1[[#This Row],[PitStopLaps]],",",""))+1)</f>
        <v>2</v>
      </c>
      <c r="U1864">
        <f>Table1[[#This Row],[StartPosition]]-Table1[[#This Row],[FinishPosition]]</f>
        <v>-2</v>
      </c>
    </row>
    <row r="1865" spans="1:21" x14ac:dyDescent="0.3">
      <c r="A1865">
        <v>2022</v>
      </c>
      <c r="B1865">
        <v>14</v>
      </c>
      <c r="C1865" t="s">
        <v>188</v>
      </c>
      <c r="D1865" t="s">
        <v>252</v>
      </c>
      <c r="E1865" t="s">
        <v>253</v>
      </c>
      <c r="F1865" t="s">
        <v>28</v>
      </c>
      <c r="G1865">
        <v>5</v>
      </c>
      <c r="H1865">
        <v>4</v>
      </c>
      <c r="I1865">
        <v>12</v>
      </c>
      <c r="J1865" t="s">
        <v>34</v>
      </c>
      <c r="K1865" t="s">
        <v>24</v>
      </c>
      <c r="L1865">
        <v>44</v>
      </c>
      <c r="M1865">
        <v>110.79300000000001</v>
      </c>
      <c r="N1865">
        <v>113.095916</v>
      </c>
      <c r="O1865">
        <v>32.194000000000003</v>
      </c>
      <c r="P1865">
        <v>48.304000000000002</v>
      </c>
      <c r="Q1865">
        <v>30.271000000000001</v>
      </c>
      <c r="R1865" t="s">
        <v>605</v>
      </c>
      <c r="S1865" t="s">
        <v>83</v>
      </c>
      <c r="T1865">
        <f>IF(TRIM(Table1[[#This Row],[PitStopLaps]])="",0,
LEN(Table1[[#This Row],[PitStopLaps]])-LEN(SUBSTITUTE(Table1[[#This Row],[PitStopLaps]],",",""))+1)</f>
        <v>2</v>
      </c>
      <c r="U1865">
        <f>Table1[[#This Row],[StartPosition]]-Table1[[#This Row],[FinishPosition]]</f>
        <v>1</v>
      </c>
    </row>
    <row r="1866" spans="1:21" x14ac:dyDescent="0.3">
      <c r="A1866">
        <v>2022</v>
      </c>
      <c r="B1866">
        <v>14</v>
      </c>
      <c r="C1866" t="s">
        <v>188</v>
      </c>
      <c r="D1866" t="s">
        <v>35</v>
      </c>
      <c r="E1866" t="s">
        <v>36</v>
      </c>
      <c r="F1866" t="s">
        <v>607</v>
      </c>
      <c r="G1866">
        <v>3</v>
      </c>
      <c r="H1866">
        <v>5</v>
      </c>
      <c r="I1866">
        <v>10</v>
      </c>
      <c r="J1866" t="s">
        <v>34</v>
      </c>
      <c r="K1866" t="s">
        <v>24</v>
      </c>
      <c r="L1866">
        <v>44</v>
      </c>
      <c r="M1866">
        <v>112.86799999999999</v>
      </c>
      <c r="N1866">
        <v>114.149027</v>
      </c>
      <c r="O1866">
        <v>31.753</v>
      </c>
      <c r="P1866">
        <v>49.899000000000001</v>
      </c>
      <c r="Q1866">
        <v>30.366</v>
      </c>
      <c r="R1866" t="s">
        <v>918</v>
      </c>
      <c r="S1866" t="s">
        <v>83</v>
      </c>
      <c r="T1866">
        <f>IF(TRIM(Table1[[#This Row],[PitStopLaps]])="",0,
LEN(Table1[[#This Row],[PitStopLaps]])-LEN(SUBSTITUTE(Table1[[#This Row],[PitStopLaps]],",",""))+1)</f>
        <v>2</v>
      </c>
      <c r="U1866">
        <f>Table1[[#This Row],[StartPosition]]-Table1[[#This Row],[FinishPosition]]</f>
        <v>-2</v>
      </c>
    </row>
    <row r="1867" spans="1:21" x14ac:dyDescent="0.3">
      <c r="A1867">
        <v>2022</v>
      </c>
      <c r="B1867">
        <v>14</v>
      </c>
      <c r="C1867" t="s">
        <v>188</v>
      </c>
      <c r="D1867" t="s">
        <v>54</v>
      </c>
      <c r="E1867" t="s">
        <v>55</v>
      </c>
      <c r="F1867" t="s">
        <v>22</v>
      </c>
      <c r="G1867">
        <v>15</v>
      </c>
      <c r="H1867">
        <v>6</v>
      </c>
      <c r="I1867">
        <v>8</v>
      </c>
      <c r="J1867" t="s">
        <v>34</v>
      </c>
      <c r="K1867" t="s">
        <v>24</v>
      </c>
      <c r="L1867">
        <v>44</v>
      </c>
      <c r="M1867">
        <v>109.98399999999999</v>
      </c>
      <c r="N1867">
        <v>113.913444</v>
      </c>
      <c r="O1867">
        <v>31.824000000000002</v>
      </c>
      <c r="P1867">
        <v>48.107999999999997</v>
      </c>
      <c r="Q1867">
        <v>29.981000000000002</v>
      </c>
      <c r="R1867" t="s">
        <v>919</v>
      </c>
      <c r="S1867" t="s">
        <v>83</v>
      </c>
      <c r="T1867">
        <f>IF(TRIM(Table1[[#This Row],[PitStopLaps]])="",0,
LEN(Table1[[#This Row],[PitStopLaps]])-LEN(SUBSTITUTE(Table1[[#This Row],[PitStopLaps]],",",""))+1)</f>
        <v>3</v>
      </c>
      <c r="U1867">
        <f>Table1[[#This Row],[StartPosition]]-Table1[[#This Row],[FinishPosition]]</f>
        <v>9</v>
      </c>
    </row>
    <row r="1868" spans="1:21" x14ac:dyDescent="0.3">
      <c r="A1868">
        <v>2022</v>
      </c>
      <c r="B1868">
        <v>14</v>
      </c>
      <c r="C1868" t="s">
        <v>188</v>
      </c>
      <c r="D1868" t="s">
        <v>52</v>
      </c>
      <c r="E1868" t="s">
        <v>53</v>
      </c>
      <c r="F1868" t="s">
        <v>607</v>
      </c>
      <c r="G1868">
        <v>16</v>
      </c>
      <c r="H1868">
        <v>7</v>
      </c>
      <c r="I1868">
        <v>6</v>
      </c>
      <c r="J1868" t="s">
        <v>34</v>
      </c>
      <c r="K1868" t="s">
        <v>24</v>
      </c>
      <c r="L1868">
        <v>44</v>
      </c>
      <c r="M1868">
        <v>111.717</v>
      </c>
      <c r="N1868">
        <v>114.182361</v>
      </c>
      <c r="O1868">
        <v>31.713999999999999</v>
      </c>
      <c r="P1868">
        <v>49.268000000000001</v>
      </c>
      <c r="Q1868">
        <v>30.352</v>
      </c>
      <c r="R1868" t="s">
        <v>105</v>
      </c>
      <c r="S1868" t="s">
        <v>83</v>
      </c>
      <c r="T1868">
        <f>IF(TRIM(Table1[[#This Row],[PitStopLaps]])="",0,
LEN(Table1[[#This Row],[PitStopLaps]])-LEN(SUBSTITUTE(Table1[[#This Row],[PitStopLaps]],",",""))+1)</f>
        <v>2</v>
      </c>
      <c r="U1868">
        <f>Table1[[#This Row],[StartPosition]]-Table1[[#This Row],[FinishPosition]]</f>
        <v>9</v>
      </c>
    </row>
    <row r="1869" spans="1:21" x14ac:dyDescent="0.3">
      <c r="A1869">
        <v>2022</v>
      </c>
      <c r="B1869">
        <v>14</v>
      </c>
      <c r="C1869" t="s">
        <v>188</v>
      </c>
      <c r="D1869" t="s">
        <v>20</v>
      </c>
      <c r="E1869" t="s">
        <v>21</v>
      </c>
      <c r="F1869" t="s">
        <v>603</v>
      </c>
      <c r="G1869">
        <v>10</v>
      </c>
      <c r="H1869">
        <v>8</v>
      </c>
      <c r="I1869">
        <v>4</v>
      </c>
      <c r="J1869" t="s">
        <v>34</v>
      </c>
      <c r="K1869" t="s">
        <v>24</v>
      </c>
      <c r="L1869">
        <v>44</v>
      </c>
      <c r="M1869">
        <v>112.515</v>
      </c>
      <c r="N1869">
        <v>114.247666</v>
      </c>
      <c r="O1869">
        <v>31.931000000000001</v>
      </c>
      <c r="P1869">
        <v>49.722999999999999</v>
      </c>
      <c r="Q1869">
        <v>30.335000000000001</v>
      </c>
      <c r="R1869" t="s">
        <v>526</v>
      </c>
      <c r="S1869" t="s">
        <v>83</v>
      </c>
      <c r="T1869">
        <f>IF(TRIM(Table1[[#This Row],[PitStopLaps]])="",0,
LEN(Table1[[#This Row],[PitStopLaps]])-LEN(SUBSTITUTE(Table1[[#This Row],[PitStopLaps]],",",""))+1)</f>
        <v>2</v>
      </c>
      <c r="U1869">
        <f>Table1[[#This Row],[StartPosition]]-Table1[[#This Row],[FinishPosition]]</f>
        <v>2</v>
      </c>
    </row>
    <row r="1870" spans="1:21" x14ac:dyDescent="0.3">
      <c r="A1870">
        <v>2022</v>
      </c>
      <c r="B1870">
        <v>14</v>
      </c>
      <c r="C1870" t="s">
        <v>188</v>
      </c>
      <c r="D1870" t="s">
        <v>73</v>
      </c>
      <c r="E1870" t="s">
        <v>74</v>
      </c>
      <c r="F1870" t="s">
        <v>438</v>
      </c>
      <c r="G1870">
        <v>0</v>
      </c>
      <c r="H1870">
        <v>9</v>
      </c>
      <c r="I1870">
        <v>2</v>
      </c>
      <c r="J1870" t="s">
        <v>34</v>
      </c>
      <c r="K1870" t="s">
        <v>24</v>
      </c>
      <c r="L1870">
        <v>44</v>
      </c>
      <c r="M1870">
        <v>113.002</v>
      </c>
      <c r="N1870">
        <v>114.52419399999999</v>
      </c>
      <c r="O1870">
        <v>31.959</v>
      </c>
      <c r="P1870">
        <v>50.548999999999999</v>
      </c>
      <c r="Q1870">
        <v>30.399000000000001</v>
      </c>
      <c r="R1870" t="s">
        <v>920</v>
      </c>
      <c r="S1870" t="s">
        <v>83</v>
      </c>
      <c r="T1870">
        <f>IF(TRIM(Table1[[#This Row],[PitStopLaps]])="",0,
LEN(Table1[[#This Row],[PitStopLaps]])-LEN(SUBSTITUTE(Table1[[#This Row],[PitStopLaps]],",",""))+1)</f>
        <v>2</v>
      </c>
      <c r="U1870">
        <f>Table1[[#This Row],[StartPosition]]-Table1[[#This Row],[FinishPosition]]</f>
        <v>-9</v>
      </c>
    </row>
    <row r="1871" spans="1:21" x14ac:dyDescent="0.3">
      <c r="A1871">
        <v>2022</v>
      </c>
      <c r="B1871">
        <v>14</v>
      </c>
      <c r="C1871" t="s">
        <v>188</v>
      </c>
      <c r="D1871" t="s">
        <v>248</v>
      </c>
      <c r="E1871" t="s">
        <v>249</v>
      </c>
      <c r="F1871" t="s">
        <v>60</v>
      </c>
      <c r="G1871">
        <v>6</v>
      </c>
      <c r="H1871">
        <v>10</v>
      </c>
      <c r="I1871">
        <v>1</v>
      </c>
      <c r="J1871" t="s">
        <v>34</v>
      </c>
      <c r="K1871" t="s">
        <v>24</v>
      </c>
      <c r="L1871">
        <v>44</v>
      </c>
      <c r="M1871">
        <v>113.05500000000001</v>
      </c>
      <c r="N1871">
        <v>114.803861</v>
      </c>
      <c r="O1871">
        <v>31.824000000000002</v>
      </c>
      <c r="P1871">
        <v>50.74</v>
      </c>
      <c r="Q1871">
        <v>30.407</v>
      </c>
      <c r="R1871" t="s">
        <v>921</v>
      </c>
      <c r="S1871" t="s">
        <v>83</v>
      </c>
      <c r="T1871">
        <f>IF(TRIM(Table1[[#This Row],[PitStopLaps]])="",0,
LEN(Table1[[#This Row],[PitStopLaps]])-LEN(SUBSTITUTE(Table1[[#This Row],[PitStopLaps]],",",""))+1)</f>
        <v>2</v>
      </c>
      <c r="U1871">
        <f>Table1[[#This Row],[StartPosition]]-Table1[[#This Row],[FinishPosition]]</f>
        <v>-4</v>
      </c>
    </row>
    <row r="1872" spans="1:21" x14ac:dyDescent="0.3">
      <c r="A1872">
        <v>2022</v>
      </c>
      <c r="B1872">
        <v>14</v>
      </c>
      <c r="C1872" t="s">
        <v>188</v>
      </c>
      <c r="D1872" t="s">
        <v>58</v>
      </c>
      <c r="E1872" t="s">
        <v>59</v>
      </c>
      <c r="F1872" t="s">
        <v>603</v>
      </c>
      <c r="G1872">
        <v>9</v>
      </c>
      <c r="H1872">
        <v>11</v>
      </c>
      <c r="I1872">
        <v>0</v>
      </c>
      <c r="J1872" t="s">
        <v>34</v>
      </c>
      <c r="K1872" t="s">
        <v>24</v>
      </c>
      <c r="L1872">
        <v>44</v>
      </c>
      <c r="M1872">
        <v>112.88</v>
      </c>
      <c r="N1872">
        <v>114.809444</v>
      </c>
      <c r="O1872">
        <v>31.797000000000001</v>
      </c>
      <c r="P1872">
        <v>50.220999999999997</v>
      </c>
      <c r="Q1872">
        <v>30.504000000000001</v>
      </c>
      <c r="R1872" t="s">
        <v>922</v>
      </c>
      <c r="S1872" t="s">
        <v>83</v>
      </c>
      <c r="T1872">
        <f>IF(TRIM(Table1[[#This Row],[PitStopLaps]])="",0,
LEN(Table1[[#This Row],[PitStopLaps]])-LEN(SUBSTITUTE(Table1[[#This Row],[PitStopLaps]],",",""))+1)</f>
        <v>2</v>
      </c>
      <c r="U1872">
        <f>Table1[[#This Row],[StartPosition]]-Table1[[#This Row],[FinishPosition]]</f>
        <v>-2</v>
      </c>
    </row>
    <row r="1873" spans="1:21" x14ac:dyDescent="0.3">
      <c r="A1873">
        <v>2022</v>
      </c>
      <c r="B1873">
        <v>14</v>
      </c>
      <c r="C1873" t="s">
        <v>188</v>
      </c>
      <c r="D1873" t="s">
        <v>246</v>
      </c>
      <c r="E1873" t="s">
        <v>247</v>
      </c>
      <c r="F1873" t="s">
        <v>37</v>
      </c>
      <c r="G1873">
        <v>17</v>
      </c>
      <c r="H1873">
        <v>12</v>
      </c>
      <c r="I1873">
        <v>0</v>
      </c>
      <c r="J1873" t="s">
        <v>34</v>
      </c>
      <c r="K1873" t="s">
        <v>24</v>
      </c>
      <c r="L1873">
        <v>44</v>
      </c>
      <c r="M1873">
        <v>111.678</v>
      </c>
      <c r="N1873">
        <v>114.861611</v>
      </c>
      <c r="O1873">
        <v>31.542999999999999</v>
      </c>
      <c r="P1873">
        <v>50.067</v>
      </c>
      <c r="Q1873">
        <v>30.068000000000001</v>
      </c>
      <c r="R1873" t="s">
        <v>605</v>
      </c>
      <c r="S1873" t="s">
        <v>83</v>
      </c>
      <c r="T1873">
        <f>IF(TRIM(Table1[[#This Row],[PitStopLaps]])="",0,
LEN(Table1[[#This Row],[PitStopLaps]])-LEN(SUBSTITUTE(Table1[[#This Row],[PitStopLaps]],",",""))+1)</f>
        <v>2</v>
      </c>
      <c r="U1873">
        <f>Table1[[#This Row],[StartPosition]]-Table1[[#This Row],[FinishPosition]]</f>
        <v>5</v>
      </c>
    </row>
    <row r="1874" spans="1:21" x14ac:dyDescent="0.3">
      <c r="A1874">
        <v>2022</v>
      </c>
      <c r="B1874">
        <v>14</v>
      </c>
      <c r="C1874" t="s">
        <v>188</v>
      </c>
      <c r="D1874" t="s">
        <v>601</v>
      </c>
      <c r="E1874" t="s">
        <v>602</v>
      </c>
      <c r="F1874" t="s">
        <v>438</v>
      </c>
      <c r="G1874">
        <v>0</v>
      </c>
      <c r="H1874">
        <v>13</v>
      </c>
      <c r="I1874">
        <v>0</v>
      </c>
      <c r="J1874" t="s">
        <v>34</v>
      </c>
      <c r="K1874" t="s">
        <v>24</v>
      </c>
      <c r="L1874">
        <v>44</v>
      </c>
      <c r="M1874">
        <v>112.43600000000001</v>
      </c>
      <c r="N1874">
        <v>114.707583</v>
      </c>
      <c r="O1874">
        <v>31.353999999999999</v>
      </c>
      <c r="P1874">
        <v>50.220999999999997</v>
      </c>
      <c r="Q1874">
        <v>30.257000000000001</v>
      </c>
      <c r="R1874" t="s">
        <v>160</v>
      </c>
      <c r="S1874" t="s">
        <v>83</v>
      </c>
      <c r="T1874">
        <f>IF(TRIM(Table1[[#This Row],[PitStopLaps]])="",0,
LEN(Table1[[#This Row],[PitStopLaps]])-LEN(SUBSTITUTE(Table1[[#This Row],[PitStopLaps]],",",""))+1)</f>
        <v>2</v>
      </c>
      <c r="U1874">
        <f>Table1[[#This Row],[StartPosition]]-Table1[[#This Row],[FinishPosition]]</f>
        <v>-13</v>
      </c>
    </row>
    <row r="1875" spans="1:21" x14ac:dyDescent="0.3">
      <c r="A1875">
        <v>2022</v>
      </c>
      <c r="B1875">
        <v>14</v>
      </c>
      <c r="C1875" t="s">
        <v>188</v>
      </c>
      <c r="D1875" t="s">
        <v>794</v>
      </c>
      <c r="E1875" t="s">
        <v>795</v>
      </c>
      <c r="F1875" t="s">
        <v>789</v>
      </c>
      <c r="G1875">
        <v>18</v>
      </c>
      <c r="H1875">
        <v>14</v>
      </c>
      <c r="I1875">
        <v>0</v>
      </c>
      <c r="J1875" t="s">
        <v>34</v>
      </c>
      <c r="K1875" t="s">
        <v>24</v>
      </c>
      <c r="L1875">
        <v>44</v>
      </c>
      <c r="M1875">
        <v>112.31699999999999</v>
      </c>
      <c r="N1875">
        <v>114.91152700000001</v>
      </c>
      <c r="O1875">
        <v>31.387</v>
      </c>
      <c r="P1875">
        <v>50.03</v>
      </c>
      <c r="Q1875">
        <v>30.312000000000001</v>
      </c>
      <c r="R1875" t="s">
        <v>923</v>
      </c>
      <c r="S1875" t="s">
        <v>83</v>
      </c>
      <c r="T1875">
        <f>IF(TRIM(Table1[[#This Row],[PitStopLaps]])="",0,
LEN(Table1[[#This Row],[PitStopLaps]])-LEN(SUBSTITUTE(Table1[[#This Row],[PitStopLaps]],",",""))+1)</f>
        <v>2</v>
      </c>
      <c r="U1875">
        <f>Table1[[#This Row],[StartPosition]]-Table1[[#This Row],[FinishPosition]]</f>
        <v>4</v>
      </c>
    </row>
    <row r="1876" spans="1:21" x14ac:dyDescent="0.3">
      <c r="A1876">
        <v>2022</v>
      </c>
      <c r="B1876">
        <v>14</v>
      </c>
      <c r="C1876" t="s">
        <v>188</v>
      </c>
      <c r="D1876" t="s">
        <v>31</v>
      </c>
      <c r="E1876" t="s">
        <v>32</v>
      </c>
      <c r="F1876" t="s">
        <v>37</v>
      </c>
      <c r="G1876">
        <v>7</v>
      </c>
      <c r="H1876">
        <v>15</v>
      </c>
      <c r="I1876">
        <v>0</v>
      </c>
      <c r="J1876" t="s">
        <v>34</v>
      </c>
      <c r="K1876" t="s">
        <v>24</v>
      </c>
      <c r="L1876">
        <v>44</v>
      </c>
      <c r="M1876">
        <v>113.08</v>
      </c>
      <c r="N1876">
        <v>115.058277</v>
      </c>
      <c r="O1876">
        <v>31.530999999999999</v>
      </c>
      <c r="P1876">
        <v>50.460999999999999</v>
      </c>
      <c r="Q1876">
        <v>30.596</v>
      </c>
      <c r="R1876" t="s">
        <v>105</v>
      </c>
      <c r="S1876" t="s">
        <v>83</v>
      </c>
      <c r="T1876">
        <f>IF(TRIM(Table1[[#This Row],[PitStopLaps]])="",0,
LEN(Table1[[#This Row],[PitStopLaps]])-LEN(SUBSTITUTE(Table1[[#This Row],[PitStopLaps]],",",""))+1)</f>
        <v>2</v>
      </c>
      <c r="U1876">
        <f>Table1[[#This Row],[StartPosition]]-Table1[[#This Row],[FinishPosition]]</f>
        <v>-8</v>
      </c>
    </row>
    <row r="1877" spans="1:21" x14ac:dyDescent="0.3">
      <c r="A1877">
        <v>2022</v>
      </c>
      <c r="B1877">
        <v>14</v>
      </c>
      <c r="C1877" t="s">
        <v>188</v>
      </c>
      <c r="D1877" t="s">
        <v>71</v>
      </c>
      <c r="E1877" t="s">
        <v>72</v>
      </c>
      <c r="F1877" t="s">
        <v>69</v>
      </c>
      <c r="G1877">
        <v>12</v>
      </c>
      <c r="H1877">
        <v>16</v>
      </c>
      <c r="I1877">
        <v>0</v>
      </c>
      <c r="J1877" t="s">
        <v>34</v>
      </c>
      <c r="K1877" t="s">
        <v>65</v>
      </c>
      <c r="L1877">
        <v>43</v>
      </c>
      <c r="M1877">
        <v>113.33199999999999</v>
      </c>
      <c r="N1877">
        <v>115.079971</v>
      </c>
      <c r="O1877">
        <v>32.042999999999999</v>
      </c>
      <c r="P1877">
        <v>50.177</v>
      </c>
      <c r="Q1877">
        <v>30.655999999999999</v>
      </c>
      <c r="R1877" t="s">
        <v>273</v>
      </c>
      <c r="S1877" t="s">
        <v>83</v>
      </c>
      <c r="T1877">
        <f>IF(TRIM(Table1[[#This Row],[PitStopLaps]])="",0,
LEN(Table1[[#This Row],[PitStopLaps]])-LEN(SUBSTITUTE(Table1[[#This Row],[PitStopLaps]],",",""))+1)</f>
        <v>2</v>
      </c>
      <c r="U1877">
        <f>Table1[[#This Row],[StartPosition]]-Table1[[#This Row],[FinishPosition]]</f>
        <v>-4</v>
      </c>
    </row>
    <row r="1878" spans="1:21" x14ac:dyDescent="0.3">
      <c r="A1878">
        <v>2022</v>
      </c>
      <c r="B1878">
        <v>14</v>
      </c>
      <c r="C1878" t="s">
        <v>188</v>
      </c>
      <c r="D1878" t="s">
        <v>608</v>
      </c>
      <c r="E1878" t="s">
        <v>609</v>
      </c>
      <c r="F1878" t="s">
        <v>69</v>
      </c>
      <c r="G1878">
        <v>19</v>
      </c>
      <c r="H1878">
        <v>17</v>
      </c>
      <c r="I1878">
        <v>0</v>
      </c>
      <c r="J1878" t="s">
        <v>34</v>
      </c>
      <c r="K1878" t="s">
        <v>65</v>
      </c>
      <c r="L1878">
        <v>43</v>
      </c>
      <c r="M1878">
        <v>112.212</v>
      </c>
      <c r="N1878">
        <v>115.09217099999999</v>
      </c>
      <c r="O1878">
        <v>32.142000000000003</v>
      </c>
      <c r="P1878">
        <v>49.414999999999999</v>
      </c>
      <c r="Q1878">
        <v>30.638999999999999</v>
      </c>
      <c r="R1878" t="s">
        <v>365</v>
      </c>
      <c r="S1878" t="s">
        <v>83</v>
      </c>
      <c r="T1878">
        <f>IF(TRIM(Table1[[#This Row],[PitStopLaps]])="",0,
LEN(Table1[[#This Row],[PitStopLaps]])-LEN(SUBSTITUTE(Table1[[#This Row],[PitStopLaps]],",",""))+1)</f>
        <v>2</v>
      </c>
      <c r="U1878">
        <f>Table1[[#This Row],[StartPosition]]-Table1[[#This Row],[FinishPosition]]</f>
        <v>2</v>
      </c>
    </row>
    <row r="1879" spans="1:21" x14ac:dyDescent="0.3">
      <c r="A1879">
        <v>2022</v>
      </c>
      <c r="B1879">
        <v>14</v>
      </c>
      <c r="C1879" t="s">
        <v>188</v>
      </c>
      <c r="D1879" t="s">
        <v>440</v>
      </c>
      <c r="E1879" t="s">
        <v>441</v>
      </c>
      <c r="F1879" t="s">
        <v>60</v>
      </c>
      <c r="G1879">
        <v>11</v>
      </c>
      <c r="H1879">
        <v>18</v>
      </c>
      <c r="I1879">
        <v>0</v>
      </c>
      <c r="J1879" t="s">
        <v>34</v>
      </c>
      <c r="K1879" t="s">
        <v>65</v>
      </c>
      <c r="L1879">
        <v>43</v>
      </c>
      <c r="M1879">
        <v>112.256</v>
      </c>
      <c r="N1879">
        <v>115.263485</v>
      </c>
      <c r="O1879">
        <v>32.000999999999998</v>
      </c>
      <c r="P1879">
        <v>49.615000000000002</v>
      </c>
      <c r="Q1879">
        <v>30.533999999999999</v>
      </c>
      <c r="R1879" t="s">
        <v>924</v>
      </c>
      <c r="S1879" t="s">
        <v>83</v>
      </c>
      <c r="T1879">
        <f>IF(TRIM(Table1[[#This Row],[PitStopLaps]])="",0,
LEN(Table1[[#This Row],[PitStopLaps]])-LEN(SUBSTITUTE(Table1[[#This Row],[PitStopLaps]],",",""))+1)</f>
        <v>3</v>
      </c>
      <c r="U1879">
        <f>Table1[[#This Row],[StartPosition]]-Table1[[#This Row],[FinishPosition]]</f>
        <v>-7</v>
      </c>
    </row>
    <row r="1880" spans="1:21" x14ac:dyDescent="0.3">
      <c r="A1880">
        <v>2022</v>
      </c>
      <c r="B1880">
        <v>14</v>
      </c>
      <c r="C1880" t="s">
        <v>188</v>
      </c>
      <c r="D1880" t="s">
        <v>43</v>
      </c>
      <c r="E1880" t="s">
        <v>44</v>
      </c>
      <c r="F1880" t="s">
        <v>789</v>
      </c>
      <c r="G1880">
        <v>13</v>
      </c>
      <c r="H1880">
        <v>19</v>
      </c>
      <c r="I1880">
        <v>0</v>
      </c>
      <c r="J1880" t="s">
        <v>34</v>
      </c>
      <c r="K1880" t="s">
        <v>123</v>
      </c>
      <c r="L1880">
        <v>2</v>
      </c>
      <c r="S1880" t="s">
        <v>83</v>
      </c>
      <c r="T1880">
        <f>IF(TRIM(Table1[[#This Row],[PitStopLaps]])="",0,
LEN(Table1[[#This Row],[PitStopLaps]])-LEN(SUBSTITUTE(Table1[[#This Row],[PitStopLaps]],",",""))+1)</f>
        <v>0</v>
      </c>
      <c r="U1880">
        <f>Table1[[#This Row],[StartPosition]]-Table1[[#This Row],[FinishPosition]]</f>
        <v>-6</v>
      </c>
    </row>
    <row r="1881" spans="1:21" x14ac:dyDescent="0.3">
      <c r="A1881">
        <v>2022</v>
      </c>
      <c r="B1881">
        <v>14</v>
      </c>
      <c r="C1881" t="s">
        <v>188</v>
      </c>
      <c r="D1881" t="s">
        <v>26</v>
      </c>
      <c r="E1881" t="s">
        <v>27</v>
      </c>
      <c r="F1881" t="s">
        <v>28</v>
      </c>
      <c r="G1881">
        <v>4</v>
      </c>
      <c r="H1881">
        <v>20</v>
      </c>
      <c r="I1881">
        <v>0</v>
      </c>
      <c r="J1881" t="s">
        <v>34</v>
      </c>
      <c r="K1881" t="s">
        <v>109</v>
      </c>
      <c r="L1881">
        <v>1</v>
      </c>
      <c r="S1881" t="s">
        <v>83</v>
      </c>
      <c r="T1881">
        <f>IF(TRIM(Table1[[#This Row],[PitStopLaps]])="",0,
LEN(Table1[[#This Row],[PitStopLaps]])-LEN(SUBSTITUTE(Table1[[#This Row],[PitStopLaps]],",",""))+1)</f>
        <v>0</v>
      </c>
      <c r="U1881">
        <f>Table1[[#This Row],[StartPosition]]-Table1[[#This Row],[FinishPosition]]</f>
        <v>-16</v>
      </c>
    </row>
    <row r="1882" spans="1:21" x14ac:dyDescent="0.3">
      <c r="A1882">
        <v>2022</v>
      </c>
      <c r="B1882">
        <v>15</v>
      </c>
      <c r="C1882" t="s">
        <v>702</v>
      </c>
      <c r="D1882" t="s">
        <v>38</v>
      </c>
      <c r="E1882" t="s">
        <v>39</v>
      </c>
      <c r="F1882" t="s">
        <v>33</v>
      </c>
      <c r="G1882">
        <v>1</v>
      </c>
      <c r="H1882">
        <v>1</v>
      </c>
      <c r="I1882">
        <v>26</v>
      </c>
      <c r="J1882" t="s">
        <v>23</v>
      </c>
      <c r="K1882" t="s">
        <v>24</v>
      </c>
      <c r="L1882">
        <v>72</v>
      </c>
      <c r="M1882">
        <v>73.652000000000001</v>
      </c>
      <c r="N1882">
        <v>75.692098000000001</v>
      </c>
      <c r="O1882">
        <v>25.329000000000001</v>
      </c>
      <c r="P1882">
        <v>25.782</v>
      </c>
      <c r="Q1882">
        <v>22.422000000000001</v>
      </c>
      <c r="R1882" t="s">
        <v>925</v>
      </c>
      <c r="S1882" t="s">
        <v>83</v>
      </c>
      <c r="T1882">
        <f>IF(TRIM(Table1[[#This Row],[PitStopLaps]])="",0,
LEN(Table1[[#This Row],[PitStopLaps]])-LEN(SUBSTITUTE(Table1[[#This Row],[PitStopLaps]],",",""))+1)</f>
        <v>4</v>
      </c>
      <c r="U1882">
        <f>Table1[[#This Row],[StartPosition]]-Table1[[#This Row],[FinishPosition]]</f>
        <v>0</v>
      </c>
    </row>
    <row r="1883" spans="1:21" x14ac:dyDescent="0.3">
      <c r="A1883">
        <v>2022</v>
      </c>
      <c r="B1883">
        <v>15</v>
      </c>
      <c r="C1883" t="s">
        <v>702</v>
      </c>
      <c r="D1883" t="s">
        <v>252</v>
      </c>
      <c r="E1883" t="s">
        <v>253</v>
      </c>
      <c r="F1883" t="s">
        <v>28</v>
      </c>
      <c r="G1883">
        <v>6</v>
      </c>
      <c r="H1883">
        <v>2</v>
      </c>
      <c r="I1883">
        <v>18</v>
      </c>
      <c r="J1883" t="s">
        <v>23</v>
      </c>
      <c r="K1883" t="s">
        <v>24</v>
      </c>
      <c r="L1883">
        <v>72</v>
      </c>
      <c r="M1883">
        <v>73.671000000000006</v>
      </c>
      <c r="N1883">
        <v>75.888638999999998</v>
      </c>
      <c r="O1883">
        <v>25.341000000000001</v>
      </c>
      <c r="P1883">
        <v>25.8</v>
      </c>
      <c r="Q1883">
        <v>22.516999999999999</v>
      </c>
      <c r="R1883" t="s">
        <v>926</v>
      </c>
      <c r="S1883" t="s">
        <v>83</v>
      </c>
      <c r="T1883">
        <f>IF(TRIM(Table1[[#This Row],[PitStopLaps]])="",0,
LEN(Table1[[#This Row],[PitStopLaps]])-LEN(SUBSTITUTE(Table1[[#This Row],[PitStopLaps]],",",""))+1)</f>
        <v>3</v>
      </c>
      <c r="U1883">
        <f>Table1[[#This Row],[StartPosition]]-Table1[[#This Row],[FinishPosition]]</f>
        <v>4</v>
      </c>
    </row>
    <row r="1884" spans="1:21" x14ac:dyDescent="0.3">
      <c r="A1884">
        <v>2022</v>
      </c>
      <c r="B1884">
        <v>15</v>
      </c>
      <c r="C1884" t="s">
        <v>702</v>
      </c>
      <c r="D1884" t="s">
        <v>54</v>
      </c>
      <c r="E1884" t="s">
        <v>55</v>
      </c>
      <c r="F1884" t="s">
        <v>22</v>
      </c>
      <c r="G1884">
        <v>2</v>
      </c>
      <c r="H1884">
        <v>3</v>
      </c>
      <c r="I1884">
        <v>15</v>
      </c>
      <c r="J1884" t="s">
        <v>23</v>
      </c>
      <c r="K1884" t="s">
        <v>24</v>
      </c>
      <c r="L1884">
        <v>72</v>
      </c>
      <c r="M1884">
        <v>74.412999999999997</v>
      </c>
      <c r="N1884">
        <v>76.102964999999998</v>
      </c>
      <c r="O1884">
        <v>25.619</v>
      </c>
      <c r="P1884">
        <v>26.149000000000001</v>
      </c>
      <c r="Q1884">
        <v>22.332999999999998</v>
      </c>
      <c r="R1884" t="s">
        <v>927</v>
      </c>
      <c r="S1884" t="s">
        <v>83</v>
      </c>
      <c r="T1884">
        <f>IF(TRIM(Table1[[#This Row],[PitStopLaps]])="",0,
LEN(Table1[[#This Row],[PitStopLaps]])-LEN(SUBSTITUTE(Table1[[#This Row],[PitStopLaps]],",",""))+1)</f>
        <v>4</v>
      </c>
      <c r="U1884">
        <f>Table1[[#This Row],[StartPosition]]-Table1[[#This Row],[FinishPosition]]</f>
        <v>-1</v>
      </c>
    </row>
    <row r="1885" spans="1:21" x14ac:dyDescent="0.3">
      <c r="A1885">
        <v>2022</v>
      </c>
      <c r="B1885">
        <v>15</v>
      </c>
      <c r="C1885" t="s">
        <v>702</v>
      </c>
      <c r="D1885" t="s">
        <v>26</v>
      </c>
      <c r="E1885" t="s">
        <v>27</v>
      </c>
      <c r="F1885" t="s">
        <v>28</v>
      </c>
      <c r="G1885">
        <v>4</v>
      </c>
      <c r="H1885">
        <v>4</v>
      </c>
      <c r="I1885">
        <v>12</v>
      </c>
      <c r="J1885" t="s">
        <v>34</v>
      </c>
      <c r="K1885" t="s">
        <v>24</v>
      </c>
      <c r="L1885">
        <v>72</v>
      </c>
      <c r="M1885">
        <v>73.853999999999999</v>
      </c>
      <c r="N1885">
        <v>76.039967000000004</v>
      </c>
      <c r="O1885">
        <v>25.391999999999999</v>
      </c>
      <c r="P1885">
        <v>25.850999999999999</v>
      </c>
      <c r="Q1885">
        <v>22.495000000000001</v>
      </c>
      <c r="R1885" t="s">
        <v>928</v>
      </c>
      <c r="S1885" t="s">
        <v>83</v>
      </c>
      <c r="T1885">
        <f>IF(TRIM(Table1[[#This Row],[PitStopLaps]])="",0,
LEN(Table1[[#This Row],[PitStopLaps]])-LEN(SUBSTITUTE(Table1[[#This Row],[PitStopLaps]],",",""))+1)</f>
        <v>3</v>
      </c>
      <c r="U1885">
        <f>Table1[[#This Row],[StartPosition]]-Table1[[#This Row],[FinishPosition]]</f>
        <v>0</v>
      </c>
    </row>
    <row r="1886" spans="1:21" x14ac:dyDescent="0.3">
      <c r="A1886">
        <v>2022</v>
      </c>
      <c r="B1886">
        <v>15</v>
      </c>
      <c r="C1886" t="s">
        <v>702</v>
      </c>
      <c r="D1886" t="s">
        <v>49</v>
      </c>
      <c r="E1886" t="s">
        <v>50</v>
      </c>
      <c r="F1886" t="s">
        <v>33</v>
      </c>
      <c r="G1886">
        <v>5</v>
      </c>
      <c r="H1886">
        <v>5</v>
      </c>
      <c r="I1886">
        <v>10</v>
      </c>
      <c r="J1886" t="s">
        <v>34</v>
      </c>
      <c r="K1886" t="s">
        <v>24</v>
      </c>
      <c r="L1886">
        <v>72</v>
      </c>
      <c r="M1886">
        <v>74.403999999999996</v>
      </c>
      <c r="N1886">
        <v>76.285576000000006</v>
      </c>
      <c r="O1886">
        <v>25.757999999999999</v>
      </c>
      <c r="P1886">
        <v>25.97</v>
      </c>
      <c r="Q1886">
        <v>22.556000000000001</v>
      </c>
      <c r="R1886" t="s">
        <v>929</v>
      </c>
      <c r="S1886" t="s">
        <v>83</v>
      </c>
      <c r="T1886">
        <f>IF(TRIM(Table1[[#This Row],[PitStopLaps]])="",0,
LEN(Table1[[#This Row],[PitStopLaps]])-LEN(SUBSTITUTE(Table1[[#This Row],[PitStopLaps]],",",""))+1)</f>
        <v>4</v>
      </c>
      <c r="U1886">
        <f>Table1[[#This Row],[StartPosition]]-Table1[[#This Row],[FinishPosition]]</f>
        <v>0</v>
      </c>
    </row>
    <row r="1887" spans="1:21" x14ac:dyDescent="0.3">
      <c r="A1887">
        <v>2022</v>
      </c>
      <c r="B1887">
        <v>15</v>
      </c>
      <c r="C1887" t="s">
        <v>702</v>
      </c>
      <c r="D1887" t="s">
        <v>35</v>
      </c>
      <c r="E1887" t="s">
        <v>36</v>
      </c>
      <c r="F1887" t="s">
        <v>607</v>
      </c>
      <c r="G1887">
        <v>13</v>
      </c>
      <c r="H1887">
        <v>6</v>
      </c>
      <c r="I1887">
        <v>8</v>
      </c>
      <c r="J1887" t="s">
        <v>34</v>
      </c>
      <c r="K1887" t="s">
        <v>24</v>
      </c>
      <c r="L1887">
        <v>72</v>
      </c>
      <c r="M1887">
        <v>74.144000000000005</v>
      </c>
      <c r="N1887">
        <v>76.696282999999994</v>
      </c>
      <c r="O1887">
        <v>25.518999999999998</v>
      </c>
      <c r="P1887">
        <v>26.128</v>
      </c>
      <c r="Q1887">
        <v>22.497</v>
      </c>
      <c r="R1887" t="s">
        <v>930</v>
      </c>
      <c r="S1887" t="s">
        <v>83</v>
      </c>
      <c r="T1887">
        <f>IF(TRIM(Table1[[#This Row],[PitStopLaps]])="",0,
LEN(Table1[[#This Row],[PitStopLaps]])-LEN(SUBSTITUTE(Table1[[#This Row],[PitStopLaps]],",",""))+1)</f>
        <v>3</v>
      </c>
      <c r="U1887">
        <f>Table1[[#This Row],[StartPosition]]-Table1[[#This Row],[FinishPosition]]</f>
        <v>7</v>
      </c>
    </row>
    <row r="1888" spans="1:21" x14ac:dyDescent="0.3">
      <c r="A1888">
        <v>2022</v>
      </c>
      <c r="B1888">
        <v>15</v>
      </c>
      <c r="C1888" t="s">
        <v>702</v>
      </c>
      <c r="D1888" t="s">
        <v>246</v>
      </c>
      <c r="E1888" t="s">
        <v>247</v>
      </c>
      <c r="F1888" t="s">
        <v>37</v>
      </c>
      <c r="G1888">
        <v>7</v>
      </c>
      <c r="H1888">
        <v>7</v>
      </c>
      <c r="I1888">
        <v>6</v>
      </c>
      <c r="J1888" t="s">
        <v>34</v>
      </c>
      <c r="K1888" t="s">
        <v>24</v>
      </c>
      <c r="L1888">
        <v>72</v>
      </c>
      <c r="M1888">
        <v>74.706000000000003</v>
      </c>
      <c r="N1888">
        <v>76.705100000000002</v>
      </c>
      <c r="O1888">
        <v>25.71</v>
      </c>
      <c r="P1888">
        <v>26.277000000000001</v>
      </c>
      <c r="Q1888">
        <v>22.507999999999999</v>
      </c>
      <c r="R1888" t="s">
        <v>931</v>
      </c>
      <c r="S1888" t="s">
        <v>83</v>
      </c>
      <c r="T1888">
        <f>IF(TRIM(Table1[[#This Row],[PitStopLaps]])="",0,
LEN(Table1[[#This Row],[PitStopLaps]])-LEN(SUBSTITUTE(Table1[[#This Row],[PitStopLaps]],",",""))+1)</f>
        <v>3</v>
      </c>
      <c r="U1888">
        <f>Table1[[#This Row],[StartPosition]]-Table1[[#This Row],[FinishPosition]]</f>
        <v>0</v>
      </c>
    </row>
    <row r="1889" spans="1:21" x14ac:dyDescent="0.3">
      <c r="A1889">
        <v>2022</v>
      </c>
      <c r="B1889">
        <v>15</v>
      </c>
      <c r="C1889" t="s">
        <v>702</v>
      </c>
      <c r="D1889" t="s">
        <v>47</v>
      </c>
      <c r="E1889" t="s">
        <v>48</v>
      </c>
      <c r="F1889" t="s">
        <v>22</v>
      </c>
      <c r="G1889">
        <v>3</v>
      </c>
      <c r="H1889">
        <v>8</v>
      </c>
      <c r="I1889">
        <v>4</v>
      </c>
      <c r="J1889" t="s">
        <v>34</v>
      </c>
      <c r="K1889" t="s">
        <v>24</v>
      </c>
      <c r="L1889">
        <v>72</v>
      </c>
      <c r="M1889">
        <v>74.643000000000001</v>
      </c>
      <c r="N1889">
        <v>76.433322000000004</v>
      </c>
      <c r="O1889">
        <v>25.591999999999999</v>
      </c>
      <c r="P1889">
        <v>26.276</v>
      </c>
      <c r="Q1889">
        <v>22.664000000000001</v>
      </c>
      <c r="R1889" t="s">
        <v>932</v>
      </c>
      <c r="S1889" t="s">
        <v>83</v>
      </c>
      <c r="T1889">
        <f>IF(TRIM(Table1[[#This Row],[PitStopLaps]])="",0,
LEN(Table1[[#This Row],[PitStopLaps]])-LEN(SUBSTITUTE(Table1[[#This Row],[PitStopLaps]],",",""))+1)</f>
        <v>3</v>
      </c>
      <c r="U1889">
        <f>Table1[[#This Row],[StartPosition]]-Table1[[#This Row],[FinishPosition]]</f>
        <v>-5</v>
      </c>
    </row>
    <row r="1890" spans="1:21" x14ac:dyDescent="0.3">
      <c r="A1890">
        <v>2022</v>
      </c>
      <c r="B1890">
        <v>15</v>
      </c>
      <c r="C1890" t="s">
        <v>702</v>
      </c>
      <c r="D1890" t="s">
        <v>52</v>
      </c>
      <c r="E1890" t="s">
        <v>53</v>
      </c>
      <c r="F1890" t="s">
        <v>607</v>
      </c>
      <c r="G1890">
        <v>12</v>
      </c>
      <c r="H1890">
        <v>9</v>
      </c>
      <c r="I1890">
        <v>2</v>
      </c>
      <c r="J1890" t="s">
        <v>34</v>
      </c>
      <c r="K1890" t="s">
        <v>24</v>
      </c>
      <c r="L1890">
        <v>72</v>
      </c>
      <c r="M1890">
        <v>75.084000000000003</v>
      </c>
      <c r="N1890">
        <v>76.935682999999997</v>
      </c>
      <c r="O1890">
        <v>25.960999999999999</v>
      </c>
      <c r="P1890">
        <v>26.373000000000001</v>
      </c>
      <c r="Q1890">
        <v>22.646000000000001</v>
      </c>
      <c r="R1890" t="s">
        <v>933</v>
      </c>
      <c r="S1890" t="s">
        <v>83</v>
      </c>
      <c r="T1890">
        <f>IF(TRIM(Table1[[#This Row],[PitStopLaps]])="",0,
LEN(Table1[[#This Row],[PitStopLaps]])-LEN(SUBSTITUTE(Table1[[#This Row],[PitStopLaps]],",",""))+1)</f>
        <v>3</v>
      </c>
      <c r="U1890">
        <f>Table1[[#This Row],[StartPosition]]-Table1[[#This Row],[FinishPosition]]</f>
        <v>3</v>
      </c>
    </row>
    <row r="1891" spans="1:21" x14ac:dyDescent="0.3">
      <c r="A1891">
        <v>2022</v>
      </c>
      <c r="B1891">
        <v>15</v>
      </c>
      <c r="C1891" t="s">
        <v>702</v>
      </c>
      <c r="D1891" t="s">
        <v>58</v>
      </c>
      <c r="E1891" t="s">
        <v>59</v>
      </c>
      <c r="F1891" t="s">
        <v>603</v>
      </c>
      <c r="G1891">
        <v>10</v>
      </c>
      <c r="H1891">
        <v>10</v>
      </c>
      <c r="I1891">
        <v>1</v>
      </c>
      <c r="J1891" t="s">
        <v>34</v>
      </c>
      <c r="K1891" t="s">
        <v>24</v>
      </c>
      <c r="L1891">
        <v>72</v>
      </c>
      <c r="M1891">
        <v>75.043000000000006</v>
      </c>
      <c r="N1891">
        <v>76.687206000000003</v>
      </c>
      <c r="O1891">
        <v>25.704999999999998</v>
      </c>
      <c r="P1891">
        <v>26.521999999999998</v>
      </c>
      <c r="Q1891">
        <v>22.556999999999999</v>
      </c>
      <c r="R1891" t="s">
        <v>934</v>
      </c>
      <c r="S1891" t="s">
        <v>83</v>
      </c>
      <c r="T1891">
        <f>IF(TRIM(Table1[[#This Row],[PitStopLaps]])="",0,
LEN(Table1[[#This Row],[PitStopLaps]])-LEN(SUBSTITUTE(Table1[[#This Row],[PitStopLaps]],",",""))+1)</f>
        <v>4</v>
      </c>
      <c r="U1891">
        <f>Table1[[#This Row],[StartPosition]]-Table1[[#This Row],[FinishPosition]]</f>
        <v>0</v>
      </c>
    </row>
    <row r="1892" spans="1:21" x14ac:dyDescent="0.3">
      <c r="A1892">
        <v>2022</v>
      </c>
      <c r="B1892">
        <v>15</v>
      </c>
      <c r="C1892" t="s">
        <v>702</v>
      </c>
      <c r="D1892" t="s">
        <v>73</v>
      </c>
      <c r="E1892" t="s">
        <v>74</v>
      </c>
      <c r="F1892" t="s">
        <v>438</v>
      </c>
      <c r="G1892">
        <v>11</v>
      </c>
      <c r="H1892">
        <v>11</v>
      </c>
      <c r="I1892">
        <v>0</v>
      </c>
      <c r="J1892" t="s">
        <v>34</v>
      </c>
      <c r="K1892" t="s">
        <v>24</v>
      </c>
      <c r="L1892">
        <v>72</v>
      </c>
      <c r="M1892">
        <v>75.165000000000006</v>
      </c>
      <c r="N1892">
        <v>77.054586</v>
      </c>
      <c r="O1892">
        <v>25.777000000000001</v>
      </c>
      <c r="P1892">
        <v>26.507000000000001</v>
      </c>
      <c r="Q1892">
        <v>22.7</v>
      </c>
      <c r="R1892" t="s">
        <v>935</v>
      </c>
      <c r="S1892" t="s">
        <v>83</v>
      </c>
      <c r="T1892">
        <f>IF(TRIM(Table1[[#This Row],[PitStopLaps]])="",0,
LEN(Table1[[#This Row],[PitStopLaps]])-LEN(SUBSTITUTE(Table1[[#This Row],[PitStopLaps]],",",""))+1)</f>
        <v>4</v>
      </c>
      <c r="U1892">
        <f>Table1[[#This Row],[StartPosition]]-Table1[[#This Row],[FinishPosition]]</f>
        <v>0</v>
      </c>
    </row>
    <row r="1893" spans="1:21" x14ac:dyDescent="0.3">
      <c r="A1893">
        <v>2022</v>
      </c>
      <c r="B1893">
        <v>15</v>
      </c>
      <c r="C1893" t="s">
        <v>702</v>
      </c>
      <c r="D1893" t="s">
        <v>248</v>
      </c>
      <c r="E1893" t="s">
        <v>249</v>
      </c>
      <c r="F1893" t="s">
        <v>60</v>
      </c>
      <c r="G1893">
        <v>15</v>
      </c>
      <c r="H1893">
        <v>12</v>
      </c>
      <c r="I1893">
        <v>0</v>
      </c>
      <c r="J1893" t="s">
        <v>34</v>
      </c>
      <c r="K1893" t="s">
        <v>24</v>
      </c>
      <c r="L1893">
        <v>72</v>
      </c>
      <c r="M1893">
        <v>75.534000000000006</v>
      </c>
      <c r="N1893">
        <v>77.380279999999999</v>
      </c>
      <c r="O1893">
        <v>25.826999999999899</v>
      </c>
      <c r="P1893">
        <v>26.835999999999999</v>
      </c>
      <c r="Q1893">
        <v>22.760999999999999</v>
      </c>
      <c r="R1893" t="s">
        <v>936</v>
      </c>
      <c r="S1893" t="s">
        <v>83</v>
      </c>
      <c r="T1893">
        <f>IF(TRIM(Table1[[#This Row],[PitStopLaps]])="",0,
LEN(Table1[[#This Row],[PitStopLaps]])-LEN(SUBSTITUTE(Table1[[#This Row],[PitStopLaps]],",",""))+1)</f>
        <v>4</v>
      </c>
      <c r="U1893">
        <f>Table1[[#This Row],[StartPosition]]-Table1[[#This Row],[FinishPosition]]</f>
        <v>3</v>
      </c>
    </row>
    <row r="1894" spans="1:21" x14ac:dyDescent="0.3">
      <c r="A1894">
        <v>2022</v>
      </c>
      <c r="B1894">
        <v>15</v>
      </c>
      <c r="C1894" t="s">
        <v>702</v>
      </c>
      <c r="D1894" t="s">
        <v>608</v>
      </c>
      <c r="E1894" t="s">
        <v>609</v>
      </c>
      <c r="F1894" t="s">
        <v>69</v>
      </c>
      <c r="G1894">
        <v>8</v>
      </c>
      <c r="H1894">
        <v>13</v>
      </c>
      <c r="I1894">
        <v>0</v>
      </c>
      <c r="J1894" t="s">
        <v>34</v>
      </c>
      <c r="K1894" t="s">
        <v>24</v>
      </c>
      <c r="L1894">
        <v>72</v>
      </c>
      <c r="M1894">
        <v>75.233000000000004</v>
      </c>
      <c r="N1894">
        <v>77.181258</v>
      </c>
      <c r="O1894">
        <v>25.779</v>
      </c>
      <c r="P1894">
        <v>26.440999999999999</v>
      </c>
      <c r="Q1894">
        <v>22.678000000000001</v>
      </c>
      <c r="R1894" t="s">
        <v>937</v>
      </c>
      <c r="S1894" t="s">
        <v>83</v>
      </c>
      <c r="T1894">
        <f>IF(TRIM(Table1[[#This Row],[PitStopLaps]])="",0,
LEN(Table1[[#This Row],[PitStopLaps]])-LEN(SUBSTITUTE(Table1[[#This Row],[PitStopLaps]],",",""))+1)</f>
        <v>4</v>
      </c>
      <c r="U1894">
        <f>Table1[[#This Row],[StartPosition]]-Table1[[#This Row],[FinishPosition]]</f>
        <v>-5</v>
      </c>
    </row>
    <row r="1895" spans="1:21" x14ac:dyDescent="0.3">
      <c r="A1895">
        <v>2022</v>
      </c>
      <c r="B1895">
        <v>15</v>
      </c>
      <c r="C1895" t="s">
        <v>702</v>
      </c>
      <c r="D1895" t="s">
        <v>20</v>
      </c>
      <c r="E1895" t="s">
        <v>21</v>
      </c>
      <c r="F1895" t="s">
        <v>603</v>
      </c>
      <c r="G1895">
        <v>19</v>
      </c>
      <c r="H1895">
        <v>14</v>
      </c>
      <c r="I1895">
        <v>0</v>
      </c>
      <c r="J1895" t="s">
        <v>34</v>
      </c>
      <c r="K1895" t="s">
        <v>24</v>
      </c>
      <c r="L1895">
        <v>72</v>
      </c>
      <c r="M1895">
        <v>74.861999999999995</v>
      </c>
      <c r="N1895">
        <v>77.279947000000007</v>
      </c>
      <c r="O1895">
        <v>25.614000000000001</v>
      </c>
      <c r="P1895">
        <v>26.503</v>
      </c>
      <c r="Q1895">
        <v>22.742999999999999</v>
      </c>
      <c r="R1895" t="s">
        <v>938</v>
      </c>
      <c r="S1895" t="s">
        <v>83</v>
      </c>
      <c r="T1895">
        <f>IF(TRIM(Table1[[#This Row],[PitStopLaps]])="",0,
LEN(Table1[[#This Row],[PitStopLaps]])-LEN(SUBSTITUTE(Table1[[#This Row],[PitStopLaps]],",",""))+1)</f>
        <v>4</v>
      </c>
      <c r="U1895">
        <f>Table1[[#This Row],[StartPosition]]-Table1[[#This Row],[FinishPosition]]</f>
        <v>5</v>
      </c>
    </row>
    <row r="1896" spans="1:21" x14ac:dyDescent="0.3">
      <c r="A1896">
        <v>2022</v>
      </c>
      <c r="B1896">
        <v>15</v>
      </c>
      <c r="C1896" t="s">
        <v>702</v>
      </c>
      <c r="D1896" t="s">
        <v>71</v>
      </c>
      <c r="E1896" t="s">
        <v>72</v>
      </c>
      <c r="F1896" t="s">
        <v>69</v>
      </c>
      <c r="G1896">
        <v>18</v>
      </c>
      <c r="H1896">
        <v>15</v>
      </c>
      <c r="I1896">
        <v>0</v>
      </c>
      <c r="J1896" t="s">
        <v>34</v>
      </c>
      <c r="K1896" t="s">
        <v>24</v>
      </c>
      <c r="L1896">
        <v>72</v>
      </c>
      <c r="M1896">
        <v>75.369</v>
      </c>
      <c r="N1896">
        <v>77.432136999999997</v>
      </c>
      <c r="O1896">
        <v>25.92</v>
      </c>
      <c r="P1896">
        <v>26.376999999999999</v>
      </c>
      <c r="Q1896">
        <v>22.779</v>
      </c>
      <c r="R1896" t="s">
        <v>939</v>
      </c>
      <c r="S1896" t="s">
        <v>83</v>
      </c>
      <c r="T1896">
        <f>IF(TRIM(Table1[[#This Row],[PitStopLaps]])="",0,
LEN(Table1[[#This Row],[PitStopLaps]])-LEN(SUBSTITUTE(Table1[[#This Row],[PitStopLaps]],",",""))+1)</f>
        <v>4</v>
      </c>
      <c r="U1896">
        <f>Table1[[#This Row],[StartPosition]]-Table1[[#This Row],[FinishPosition]]</f>
        <v>3</v>
      </c>
    </row>
    <row r="1897" spans="1:21" x14ac:dyDescent="0.3">
      <c r="A1897">
        <v>2022</v>
      </c>
      <c r="B1897">
        <v>15</v>
      </c>
      <c r="C1897" t="s">
        <v>702</v>
      </c>
      <c r="D1897" t="s">
        <v>794</v>
      </c>
      <c r="E1897" t="s">
        <v>795</v>
      </c>
      <c r="F1897" t="s">
        <v>789</v>
      </c>
      <c r="G1897">
        <v>14</v>
      </c>
      <c r="H1897">
        <v>16</v>
      </c>
      <c r="I1897">
        <v>0</v>
      </c>
      <c r="J1897" t="s">
        <v>34</v>
      </c>
      <c r="K1897" t="s">
        <v>24</v>
      </c>
      <c r="L1897">
        <v>72</v>
      </c>
      <c r="M1897">
        <v>75.94</v>
      </c>
      <c r="N1897">
        <v>77.465858999999995</v>
      </c>
      <c r="O1897">
        <v>26.189</v>
      </c>
      <c r="P1897">
        <v>26.701000000000001</v>
      </c>
      <c r="Q1897">
        <v>22.93</v>
      </c>
      <c r="R1897" t="s">
        <v>940</v>
      </c>
      <c r="S1897" t="s">
        <v>83</v>
      </c>
      <c r="T1897">
        <f>IF(TRIM(Table1[[#This Row],[PitStopLaps]])="",0,
LEN(Table1[[#This Row],[PitStopLaps]])-LEN(SUBSTITUTE(Table1[[#This Row],[PitStopLaps]],",",""))+1)</f>
        <v>4</v>
      </c>
      <c r="U1897">
        <f>Table1[[#This Row],[StartPosition]]-Table1[[#This Row],[FinishPosition]]</f>
        <v>-2</v>
      </c>
    </row>
    <row r="1898" spans="1:21" x14ac:dyDescent="0.3">
      <c r="A1898">
        <v>2022</v>
      </c>
      <c r="B1898">
        <v>15</v>
      </c>
      <c r="C1898" t="s">
        <v>702</v>
      </c>
      <c r="D1898" t="s">
        <v>31</v>
      </c>
      <c r="E1898" t="s">
        <v>32</v>
      </c>
      <c r="F1898" t="s">
        <v>37</v>
      </c>
      <c r="G1898">
        <v>17</v>
      </c>
      <c r="H1898">
        <v>17</v>
      </c>
      <c r="I1898">
        <v>0</v>
      </c>
      <c r="J1898" t="s">
        <v>34</v>
      </c>
      <c r="K1898" t="s">
        <v>24</v>
      </c>
      <c r="L1898">
        <v>72</v>
      </c>
      <c r="M1898">
        <v>75.576999999999998</v>
      </c>
      <c r="N1898">
        <v>77.454637000000005</v>
      </c>
      <c r="O1898">
        <v>25.881</v>
      </c>
      <c r="P1898">
        <v>26.556000000000001</v>
      </c>
      <c r="Q1898">
        <v>22.939</v>
      </c>
      <c r="R1898" t="s">
        <v>941</v>
      </c>
      <c r="S1898" t="s">
        <v>83</v>
      </c>
      <c r="T1898">
        <f>IF(TRIM(Table1[[#This Row],[PitStopLaps]])="",0,
LEN(Table1[[#This Row],[PitStopLaps]])-LEN(SUBSTITUTE(Table1[[#This Row],[PitStopLaps]],",",""))+1)</f>
        <v>5</v>
      </c>
      <c r="U1898">
        <f>Table1[[#This Row],[StartPosition]]-Table1[[#This Row],[FinishPosition]]</f>
        <v>0</v>
      </c>
    </row>
    <row r="1899" spans="1:21" x14ac:dyDescent="0.3">
      <c r="A1899">
        <v>2022</v>
      </c>
      <c r="B1899">
        <v>15</v>
      </c>
      <c r="C1899" t="s">
        <v>702</v>
      </c>
      <c r="D1899" t="s">
        <v>440</v>
      </c>
      <c r="E1899" t="s">
        <v>441</v>
      </c>
      <c r="F1899" t="s">
        <v>60</v>
      </c>
      <c r="G1899">
        <v>20</v>
      </c>
      <c r="H1899">
        <v>18</v>
      </c>
      <c r="I1899">
        <v>0</v>
      </c>
      <c r="J1899" t="s">
        <v>34</v>
      </c>
      <c r="K1899" t="s">
        <v>65</v>
      </c>
      <c r="L1899">
        <v>71</v>
      </c>
      <c r="M1899">
        <v>76.066000000000003</v>
      </c>
      <c r="N1899">
        <v>78.275577999999996</v>
      </c>
      <c r="O1899">
        <v>26.123999999999999</v>
      </c>
      <c r="P1899">
        <v>26.861999999999998</v>
      </c>
      <c r="Q1899">
        <v>23.065000000000001</v>
      </c>
      <c r="R1899" t="s">
        <v>942</v>
      </c>
      <c r="S1899" t="s">
        <v>83</v>
      </c>
      <c r="T1899">
        <f>IF(TRIM(Table1[[#This Row],[PitStopLaps]])="",0,
LEN(Table1[[#This Row],[PitStopLaps]])-LEN(SUBSTITUTE(Table1[[#This Row],[PitStopLaps]],",",""))+1)</f>
        <v>4</v>
      </c>
      <c r="U1899">
        <f>Table1[[#This Row],[StartPosition]]-Table1[[#This Row],[FinishPosition]]</f>
        <v>2</v>
      </c>
    </row>
    <row r="1900" spans="1:21" x14ac:dyDescent="0.3">
      <c r="A1900">
        <v>2022</v>
      </c>
      <c r="B1900">
        <v>15</v>
      </c>
      <c r="C1900" t="s">
        <v>702</v>
      </c>
      <c r="D1900" t="s">
        <v>43</v>
      </c>
      <c r="E1900" t="s">
        <v>44</v>
      </c>
      <c r="F1900" t="s">
        <v>789</v>
      </c>
      <c r="G1900">
        <v>16</v>
      </c>
      <c r="H1900">
        <v>19</v>
      </c>
      <c r="I1900">
        <v>0</v>
      </c>
      <c r="J1900" t="s">
        <v>34</v>
      </c>
      <c r="K1900" t="s">
        <v>75</v>
      </c>
      <c r="L1900">
        <v>54</v>
      </c>
      <c r="M1900">
        <v>76.843999999999994</v>
      </c>
      <c r="N1900">
        <v>77.850386</v>
      </c>
      <c r="O1900">
        <v>26.323</v>
      </c>
      <c r="P1900">
        <v>26.972000000000001</v>
      </c>
      <c r="Q1900">
        <v>23.201000000000001</v>
      </c>
      <c r="R1900" t="s">
        <v>943</v>
      </c>
      <c r="S1900" t="s">
        <v>83</v>
      </c>
      <c r="T1900">
        <f>IF(TRIM(Table1[[#This Row],[PitStopLaps]])="",0,
LEN(Table1[[#This Row],[PitStopLaps]])-LEN(SUBSTITUTE(Table1[[#This Row],[PitStopLaps]],",",""))+1)</f>
        <v>2</v>
      </c>
      <c r="U1900">
        <f>Table1[[#This Row],[StartPosition]]-Table1[[#This Row],[FinishPosition]]</f>
        <v>-3</v>
      </c>
    </row>
    <row r="1901" spans="1:21" x14ac:dyDescent="0.3">
      <c r="A1901">
        <v>2022</v>
      </c>
      <c r="B1901">
        <v>15</v>
      </c>
      <c r="C1901" t="s">
        <v>702</v>
      </c>
      <c r="D1901" t="s">
        <v>601</v>
      </c>
      <c r="E1901" t="s">
        <v>602</v>
      </c>
      <c r="F1901" t="s">
        <v>438</v>
      </c>
      <c r="G1901">
        <v>9</v>
      </c>
      <c r="H1901">
        <v>20</v>
      </c>
      <c r="I1901">
        <v>0</v>
      </c>
      <c r="J1901" t="s">
        <v>34</v>
      </c>
      <c r="K1901" t="s">
        <v>944</v>
      </c>
      <c r="L1901">
        <v>43</v>
      </c>
      <c r="M1901">
        <v>77.138000000000005</v>
      </c>
      <c r="N1901">
        <v>77.751710000000003</v>
      </c>
      <c r="O1901">
        <v>26.518000000000001</v>
      </c>
      <c r="P1901">
        <v>27.190999999999999</v>
      </c>
      <c r="Q1901">
        <v>23.274000000000001</v>
      </c>
      <c r="R1901" t="s">
        <v>945</v>
      </c>
      <c r="S1901" t="s">
        <v>83</v>
      </c>
      <c r="T1901">
        <f>IF(TRIM(Table1[[#This Row],[PitStopLaps]])="",0,
LEN(Table1[[#This Row],[PitStopLaps]])-LEN(SUBSTITUTE(Table1[[#This Row],[PitStopLaps]],",",""))+1)</f>
        <v>3</v>
      </c>
      <c r="U1901">
        <f>Table1[[#This Row],[StartPosition]]-Table1[[#This Row],[FinishPosition]]</f>
        <v>-11</v>
      </c>
    </row>
    <row r="1902" spans="1:21" x14ac:dyDescent="0.3">
      <c r="A1902">
        <v>2022</v>
      </c>
      <c r="B1902">
        <v>16</v>
      </c>
      <c r="C1902" t="s">
        <v>367</v>
      </c>
      <c r="D1902" t="s">
        <v>38</v>
      </c>
      <c r="E1902" t="s">
        <v>39</v>
      </c>
      <c r="F1902" t="s">
        <v>33</v>
      </c>
      <c r="G1902">
        <v>7</v>
      </c>
      <c r="H1902">
        <v>1</v>
      </c>
      <c r="I1902">
        <v>25</v>
      </c>
      <c r="J1902" t="s">
        <v>23</v>
      </c>
      <c r="K1902" t="s">
        <v>24</v>
      </c>
      <c r="L1902">
        <v>53</v>
      </c>
      <c r="M1902">
        <v>84.745000000000005</v>
      </c>
      <c r="N1902">
        <v>85.377499999999998</v>
      </c>
      <c r="O1902">
        <v>27.789000000000001</v>
      </c>
      <c r="P1902">
        <v>28.872</v>
      </c>
      <c r="Q1902">
        <v>27.863</v>
      </c>
      <c r="R1902" t="s">
        <v>234</v>
      </c>
      <c r="S1902" t="s">
        <v>83</v>
      </c>
      <c r="T1902">
        <f>IF(TRIM(Table1[[#This Row],[PitStopLaps]])="",0,
LEN(Table1[[#This Row],[PitStopLaps]])-LEN(SUBSTITUTE(Table1[[#This Row],[PitStopLaps]],",",""))+1)</f>
        <v>2</v>
      </c>
      <c r="U1902">
        <f>Table1[[#This Row],[StartPosition]]-Table1[[#This Row],[FinishPosition]]</f>
        <v>6</v>
      </c>
    </row>
    <row r="1903" spans="1:21" x14ac:dyDescent="0.3">
      <c r="A1903">
        <v>2022</v>
      </c>
      <c r="B1903">
        <v>16</v>
      </c>
      <c r="C1903" t="s">
        <v>367</v>
      </c>
      <c r="D1903" t="s">
        <v>54</v>
      </c>
      <c r="E1903" t="s">
        <v>55</v>
      </c>
      <c r="F1903" t="s">
        <v>22</v>
      </c>
      <c r="G1903">
        <v>1</v>
      </c>
      <c r="H1903">
        <v>2</v>
      </c>
      <c r="I1903">
        <v>18</v>
      </c>
      <c r="J1903" t="s">
        <v>23</v>
      </c>
      <c r="K1903" t="s">
        <v>24</v>
      </c>
      <c r="L1903">
        <v>53</v>
      </c>
      <c r="M1903">
        <v>84.335999999999999</v>
      </c>
      <c r="N1903">
        <v>85.391119000000003</v>
      </c>
      <c r="O1903">
        <v>27.667999999999999</v>
      </c>
      <c r="P1903">
        <v>28.710999999999999</v>
      </c>
      <c r="Q1903">
        <v>27.881</v>
      </c>
      <c r="R1903" t="s">
        <v>946</v>
      </c>
      <c r="S1903" t="s">
        <v>83</v>
      </c>
      <c r="T1903">
        <f>IF(TRIM(Table1[[#This Row],[PitStopLaps]])="",0,
LEN(Table1[[#This Row],[PitStopLaps]])-LEN(SUBSTITUTE(Table1[[#This Row],[PitStopLaps]],",",""))+1)</f>
        <v>3</v>
      </c>
      <c r="U1903">
        <f>Table1[[#This Row],[StartPosition]]-Table1[[#This Row],[FinishPosition]]</f>
        <v>-1</v>
      </c>
    </row>
    <row r="1904" spans="1:21" x14ac:dyDescent="0.3">
      <c r="A1904">
        <v>2022</v>
      </c>
      <c r="B1904">
        <v>16</v>
      </c>
      <c r="C1904" t="s">
        <v>367</v>
      </c>
      <c r="D1904" t="s">
        <v>252</v>
      </c>
      <c r="E1904" t="s">
        <v>253</v>
      </c>
      <c r="F1904" t="s">
        <v>28</v>
      </c>
      <c r="G1904">
        <v>2</v>
      </c>
      <c r="H1904">
        <v>3</v>
      </c>
      <c r="I1904">
        <v>15</v>
      </c>
      <c r="J1904" t="s">
        <v>23</v>
      </c>
      <c r="K1904" t="s">
        <v>24</v>
      </c>
      <c r="L1904">
        <v>53</v>
      </c>
      <c r="M1904">
        <v>85.287999999999997</v>
      </c>
      <c r="N1904">
        <v>86.076560000000001</v>
      </c>
      <c r="O1904">
        <v>27.850999999999999</v>
      </c>
      <c r="P1904">
        <v>29.228000000000002</v>
      </c>
      <c r="Q1904">
        <v>28.074999999999999</v>
      </c>
      <c r="R1904" t="s">
        <v>947</v>
      </c>
      <c r="S1904" t="s">
        <v>83</v>
      </c>
      <c r="T1904">
        <f>IF(TRIM(Table1[[#This Row],[PitStopLaps]])="",0,
LEN(Table1[[#This Row],[PitStopLaps]])-LEN(SUBSTITUTE(Table1[[#This Row],[PitStopLaps]],",",""))+1)</f>
        <v>2</v>
      </c>
      <c r="U1904">
        <f>Table1[[#This Row],[StartPosition]]-Table1[[#This Row],[FinishPosition]]</f>
        <v>-1</v>
      </c>
    </row>
    <row r="1905" spans="1:21" x14ac:dyDescent="0.3">
      <c r="A1905">
        <v>2022</v>
      </c>
      <c r="B1905">
        <v>16</v>
      </c>
      <c r="C1905" t="s">
        <v>367</v>
      </c>
      <c r="D1905" t="s">
        <v>47</v>
      </c>
      <c r="E1905" t="s">
        <v>48</v>
      </c>
      <c r="F1905" t="s">
        <v>22</v>
      </c>
      <c r="G1905">
        <v>18</v>
      </c>
      <c r="H1905">
        <v>4</v>
      </c>
      <c r="I1905">
        <v>12</v>
      </c>
      <c r="J1905" t="s">
        <v>34</v>
      </c>
      <c r="K1905" t="s">
        <v>24</v>
      </c>
      <c r="L1905">
        <v>53</v>
      </c>
      <c r="M1905">
        <v>84.42</v>
      </c>
      <c r="N1905">
        <v>86.174475999999999</v>
      </c>
      <c r="O1905">
        <v>27.562999999999999</v>
      </c>
      <c r="P1905">
        <v>28.738</v>
      </c>
      <c r="Q1905">
        <v>27.815000000000001</v>
      </c>
      <c r="R1905" t="s">
        <v>948</v>
      </c>
      <c r="S1905" t="s">
        <v>83</v>
      </c>
      <c r="T1905">
        <f>IF(TRIM(Table1[[#This Row],[PitStopLaps]])="",0,
LEN(Table1[[#This Row],[PitStopLaps]])-LEN(SUBSTITUTE(Table1[[#This Row],[PitStopLaps]],",",""))+1)</f>
        <v>2</v>
      </c>
      <c r="U1905">
        <f>Table1[[#This Row],[StartPosition]]-Table1[[#This Row],[FinishPosition]]</f>
        <v>14</v>
      </c>
    </row>
    <row r="1906" spans="1:21" x14ac:dyDescent="0.3">
      <c r="A1906">
        <v>2022</v>
      </c>
      <c r="B1906">
        <v>16</v>
      </c>
      <c r="C1906" t="s">
        <v>367</v>
      </c>
      <c r="D1906" t="s">
        <v>26</v>
      </c>
      <c r="E1906" t="s">
        <v>27</v>
      </c>
      <c r="F1906" t="s">
        <v>28</v>
      </c>
      <c r="G1906">
        <v>19</v>
      </c>
      <c r="H1906">
        <v>5</v>
      </c>
      <c r="I1906">
        <v>10</v>
      </c>
      <c r="J1906" t="s">
        <v>34</v>
      </c>
      <c r="K1906" t="s">
        <v>24</v>
      </c>
      <c r="L1906">
        <v>53</v>
      </c>
      <c r="M1906">
        <v>84.433999999999997</v>
      </c>
      <c r="N1906">
        <v>86.685570999999996</v>
      </c>
      <c r="O1906">
        <v>27.721</v>
      </c>
      <c r="P1906">
        <v>28.748000000000001</v>
      </c>
      <c r="Q1906">
        <v>27.841999999999999</v>
      </c>
      <c r="R1906">
        <v>33</v>
      </c>
      <c r="S1906" t="s">
        <v>83</v>
      </c>
      <c r="T1906">
        <f>IF(TRIM(Table1[[#This Row],[PitStopLaps]])="",0,
LEN(Table1[[#This Row],[PitStopLaps]])-LEN(SUBSTITUTE(Table1[[#This Row],[PitStopLaps]],",",""))+1)</f>
        <v>1</v>
      </c>
      <c r="U1906">
        <f>Table1[[#This Row],[StartPosition]]-Table1[[#This Row],[FinishPosition]]</f>
        <v>14</v>
      </c>
    </row>
    <row r="1907" spans="1:21" x14ac:dyDescent="0.3">
      <c r="A1907">
        <v>2022</v>
      </c>
      <c r="B1907">
        <v>16</v>
      </c>
      <c r="C1907" t="s">
        <v>367</v>
      </c>
      <c r="D1907" t="s">
        <v>49</v>
      </c>
      <c r="E1907" t="s">
        <v>50</v>
      </c>
      <c r="F1907" t="s">
        <v>33</v>
      </c>
      <c r="G1907">
        <v>13</v>
      </c>
      <c r="H1907">
        <v>6</v>
      </c>
      <c r="I1907">
        <v>9</v>
      </c>
      <c r="J1907" t="s">
        <v>34</v>
      </c>
      <c r="K1907" t="s">
        <v>24</v>
      </c>
      <c r="L1907">
        <v>53</v>
      </c>
      <c r="M1907">
        <v>84.03</v>
      </c>
      <c r="N1907">
        <v>86.370615000000001</v>
      </c>
      <c r="O1907">
        <v>27.89</v>
      </c>
      <c r="P1907">
        <v>28.553999999999998</v>
      </c>
      <c r="Q1907">
        <v>27.585999999999999</v>
      </c>
      <c r="R1907" t="s">
        <v>949</v>
      </c>
      <c r="S1907" t="s">
        <v>83</v>
      </c>
      <c r="T1907">
        <f>IF(TRIM(Table1[[#This Row],[PitStopLaps]])="",0,
LEN(Table1[[#This Row],[PitStopLaps]])-LEN(SUBSTITUTE(Table1[[#This Row],[PitStopLaps]],",",""))+1)</f>
        <v>2</v>
      </c>
      <c r="U1907">
        <f>Table1[[#This Row],[StartPosition]]-Table1[[#This Row],[FinishPosition]]</f>
        <v>7</v>
      </c>
    </row>
    <row r="1908" spans="1:21" x14ac:dyDescent="0.3">
      <c r="A1908">
        <v>2022</v>
      </c>
      <c r="B1908">
        <v>16</v>
      </c>
      <c r="C1908" t="s">
        <v>367</v>
      </c>
      <c r="D1908" t="s">
        <v>246</v>
      </c>
      <c r="E1908" t="s">
        <v>247</v>
      </c>
      <c r="F1908" t="s">
        <v>37</v>
      </c>
      <c r="G1908">
        <v>3</v>
      </c>
      <c r="H1908">
        <v>7</v>
      </c>
      <c r="I1908">
        <v>6</v>
      </c>
      <c r="J1908" t="s">
        <v>34</v>
      </c>
      <c r="K1908" t="s">
        <v>24</v>
      </c>
      <c r="L1908">
        <v>53</v>
      </c>
      <c r="M1908">
        <v>84.718000000000004</v>
      </c>
      <c r="N1908">
        <v>86.783595000000005</v>
      </c>
      <c r="O1908">
        <v>27.651</v>
      </c>
      <c r="P1908">
        <v>28.911000000000001</v>
      </c>
      <c r="Q1908">
        <v>27.972999999999999</v>
      </c>
      <c r="R1908" t="s">
        <v>950</v>
      </c>
      <c r="S1908" t="s">
        <v>83</v>
      </c>
      <c r="T1908">
        <f>IF(TRIM(Table1[[#This Row],[PitStopLaps]])="",0,
LEN(Table1[[#This Row],[PitStopLaps]])-LEN(SUBSTITUTE(Table1[[#This Row],[PitStopLaps]],",",""))+1)</f>
        <v>2</v>
      </c>
      <c r="U1908">
        <f>Table1[[#This Row],[StartPosition]]-Table1[[#This Row],[FinishPosition]]</f>
        <v>-4</v>
      </c>
    </row>
    <row r="1909" spans="1:21" x14ac:dyDescent="0.3">
      <c r="A1909">
        <v>2022</v>
      </c>
      <c r="B1909">
        <v>16</v>
      </c>
      <c r="C1909" t="s">
        <v>367</v>
      </c>
      <c r="D1909" t="s">
        <v>73</v>
      </c>
      <c r="E1909" t="s">
        <v>74</v>
      </c>
      <c r="F1909" t="s">
        <v>438</v>
      </c>
      <c r="G1909">
        <v>5</v>
      </c>
      <c r="H1909">
        <v>8</v>
      </c>
      <c r="I1909">
        <v>4</v>
      </c>
      <c r="J1909" t="s">
        <v>34</v>
      </c>
      <c r="K1909" t="s">
        <v>24</v>
      </c>
      <c r="L1909">
        <v>53</v>
      </c>
      <c r="M1909">
        <v>86.718000000000004</v>
      </c>
      <c r="N1909">
        <v>87.353238000000005</v>
      </c>
      <c r="O1909">
        <v>28.053000000000001</v>
      </c>
      <c r="P1909">
        <v>29.663</v>
      </c>
      <c r="Q1909">
        <v>28.734000000000002</v>
      </c>
      <c r="R1909">
        <v>18</v>
      </c>
      <c r="S1909" t="s">
        <v>83</v>
      </c>
      <c r="T1909">
        <f>IF(TRIM(Table1[[#This Row],[PitStopLaps]])="",0,
LEN(Table1[[#This Row],[PitStopLaps]])-LEN(SUBSTITUTE(Table1[[#This Row],[PitStopLaps]],",",""))+1)</f>
        <v>1</v>
      </c>
      <c r="U1909">
        <f>Table1[[#This Row],[StartPosition]]-Table1[[#This Row],[FinishPosition]]</f>
        <v>-3</v>
      </c>
    </row>
    <row r="1910" spans="1:21" x14ac:dyDescent="0.3">
      <c r="A1910">
        <v>2022</v>
      </c>
      <c r="B1910">
        <v>16</v>
      </c>
      <c r="C1910" t="s">
        <v>367</v>
      </c>
      <c r="D1910" t="s">
        <v>951</v>
      </c>
      <c r="E1910" t="s">
        <v>952</v>
      </c>
      <c r="F1910" t="s">
        <v>60</v>
      </c>
      <c r="G1910">
        <v>8</v>
      </c>
      <c r="H1910">
        <v>9</v>
      </c>
      <c r="I1910">
        <v>2</v>
      </c>
      <c r="J1910" t="s">
        <v>34</v>
      </c>
      <c r="K1910" t="s">
        <v>24</v>
      </c>
      <c r="L1910">
        <v>53</v>
      </c>
      <c r="M1910">
        <v>86.623999999999995</v>
      </c>
      <c r="N1910">
        <v>87.328333000000001</v>
      </c>
      <c r="O1910">
        <v>27.844999999999999</v>
      </c>
      <c r="P1910">
        <v>29.777000000000001</v>
      </c>
      <c r="Q1910">
        <v>28.78</v>
      </c>
      <c r="R1910">
        <v>19</v>
      </c>
      <c r="S1910" t="s">
        <v>83</v>
      </c>
      <c r="T1910">
        <f>IF(TRIM(Table1[[#This Row],[PitStopLaps]])="",0,
LEN(Table1[[#This Row],[PitStopLaps]])-LEN(SUBSTITUTE(Table1[[#This Row],[PitStopLaps]],",",""))+1)</f>
        <v>1</v>
      </c>
      <c r="U1910">
        <f>Table1[[#This Row],[StartPosition]]-Table1[[#This Row],[FinishPosition]]</f>
        <v>-1</v>
      </c>
    </row>
    <row r="1911" spans="1:21" x14ac:dyDescent="0.3">
      <c r="A1911">
        <v>2022</v>
      </c>
      <c r="B1911">
        <v>16</v>
      </c>
      <c r="C1911" t="s">
        <v>367</v>
      </c>
      <c r="D1911" t="s">
        <v>794</v>
      </c>
      <c r="E1911" t="s">
        <v>795</v>
      </c>
      <c r="F1911" t="s">
        <v>789</v>
      </c>
      <c r="G1911">
        <v>9</v>
      </c>
      <c r="H1911">
        <v>10</v>
      </c>
      <c r="I1911">
        <v>1</v>
      </c>
      <c r="J1911" t="s">
        <v>34</v>
      </c>
      <c r="K1911" t="s">
        <v>24</v>
      </c>
      <c r="L1911">
        <v>53</v>
      </c>
      <c r="M1911">
        <v>86.361000000000004</v>
      </c>
      <c r="N1911">
        <v>87.325023000000002</v>
      </c>
      <c r="O1911">
        <v>27.896000000000001</v>
      </c>
      <c r="P1911">
        <v>29.68</v>
      </c>
      <c r="Q1911">
        <v>28.567</v>
      </c>
      <c r="R1911">
        <v>18</v>
      </c>
      <c r="S1911" t="s">
        <v>83</v>
      </c>
      <c r="T1911">
        <f>IF(TRIM(Table1[[#This Row],[PitStopLaps]])="",0,
LEN(Table1[[#This Row],[PitStopLaps]])-LEN(SUBSTITUTE(Table1[[#This Row],[PitStopLaps]],",",""))+1)</f>
        <v>1</v>
      </c>
      <c r="U1911">
        <f>Table1[[#This Row],[StartPosition]]-Table1[[#This Row],[FinishPosition]]</f>
        <v>-1</v>
      </c>
    </row>
    <row r="1912" spans="1:21" x14ac:dyDescent="0.3">
      <c r="A1912">
        <v>2022</v>
      </c>
      <c r="B1912">
        <v>16</v>
      </c>
      <c r="C1912" t="s">
        <v>367</v>
      </c>
      <c r="D1912" t="s">
        <v>52</v>
      </c>
      <c r="E1912" t="s">
        <v>53</v>
      </c>
      <c r="F1912" t="s">
        <v>607</v>
      </c>
      <c r="G1912">
        <v>14</v>
      </c>
      <c r="H1912">
        <v>11</v>
      </c>
      <c r="I1912">
        <v>0</v>
      </c>
      <c r="J1912" t="s">
        <v>34</v>
      </c>
      <c r="K1912" t="s">
        <v>24</v>
      </c>
      <c r="L1912">
        <v>53</v>
      </c>
      <c r="M1912">
        <v>86.593000000000004</v>
      </c>
      <c r="N1912">
        <v>87.376689999999996</v>
      </c>
      <c r="O1912">
        <v>28.033999999999999</v>
      </c>
      <c r="P1912">
        <v>29.675000000000001</v>
      </c>
      <c r="Q1912">
        <v>28.556000000000001</v>
      </c>
      <c r="R1912">
        <v>19</v>
      </c>
      <c r="S1912" t="s">
        <v>83</v>
      </c>
      <c r="T1912">
        <f>IF(TRIM(Table1[[#This Row],[PitStopLaps]])="",0,
LEN(Table1[[#This Row],[PitStopLaps]])-LEN(SUBSTITUTE(Table1[[#This Row],[PitStopLaps]],",",""))+1)</f>
        <v>1</v>
      </c>
      <c r="U1912">
        <f>Table1[[#This Row],[StartPosition]]-Table1[[#This Row],[FinishPosition]]</f>
        <v>3</v>
      </c>
    </row>
    <row r="1913" spans="1:21" x14ac:dyDescent="0.3">
      <c r="A1913">
        <v>2022</v>
      </c>
      <c r="B1913">
        <v>16</v>
      </c>
      <c r="C1913" t="s">
        <v>367</v>
      </c>
      <c r="D1913" t="s">
        <v>608</v>
      </c>
      <c r="E1913" t="s">
        <v>609</v>
      </c>
      <c r="F1913" t="s">
        <v>69</v>
      </c>
      <c r="G1913">
        <v>17</v>
      </c>
      <c r="H1913">
        <v>12</v>
      </c>
      <c r="I1913">
        <v>0</v>
      </c>
      <c r="J1913" t="s">
        <v>34</v>
      </c>
      <c r="K1913" t="s">
        <v>24</v>
      </c>
      <c r="L1913">
        <v>53</v>
      </c>
      <c r="M1913">
        <v>85.298000000000002</v>
      </c>
      <c r="N1913">
        <v>87.475357000000002</v>
      </c>
      <c r="O1913">
        <v>28.03</v>
      </c>
      <c r="P1913">
        <v>28.983000000000001</v>
      </c>
      <c r="Q1913">
        <v>28.103999999999999</v>
      </c>
      <c r="R1913">
        <v>33</v>
      </c>
      <c r="S1913" t="s">
        <v>83</v>
      </c>
      <c r="T1913">
        <f>IF(TRIM(Table1[[#This Row],[PitStopLaps]])="",0,
LEN(Table1[[#This Row],[PitStopLaps]])-LEN(SUBSTITUTE(Table1[[#This Row],[PitStopLaps]],",",""))+1)</f>
        <v>1</v>
      </c>
      <c r="U1913">
        <f>Table1[[#This Row],[StartPosition]]-Table1[[#This Row],[FinishPosition]]</f>
        <v>5</v>
      </c>
    </row>
    <row r="1914" spans="1:21" x14ac:dyDescent="0.3">
      <c r="A1914">
        <v>2022</v>
      </c>
      <c r="B1914">
        <v>16</v>
      </c>
      <c r="C1914" t="s">
        <v>367</v>
      </c>
      <c r="D1914" t="s">
        <v>43</v>
      </c>
      <c r="E1914" t="s">
        <v>44</v>
      </c>
      <c r="F1914" t="s">
        <v>789</v>
      </c>
      <c r="G1914">
        <v>15</v>
      </c>
      <c r="H1914">
        <v>13</v>
      </c>
      <c r="I1914">
        <v>0</v>
      </c>
      <c r="J1914" t="s">
        <v>34</v>
      </c>
      <c r="K1914" t="s">
        <v>65</v>
      </c>
      <c r="L1914">
        <v>52</v>
      </c>
      <c r="M1914">
        <v>85.706000000000003</v>
      </c>
      <c r="N1914">
        <v>87.507706999999996</v>
      </c>
      <c r="O1914">
        <v>27.623999999999999</v>
      </c>
      <c r="P1914">
        <v>29.416</v>
      </c>
      <c r="Q1914">
        <v>28.486000000000001</v>
      </c>
      <c r="R1914">
        <v>35</v>
      </c>
      <c r="S1914" t="s">
        <v>83</v>
      </c>
      <c r="T1914">
        <f>IF(TRIM(Table1[[#This Row],[PitStopLaps]])="",0,
LEN(Table1[[#This Row],[PitStopLaps]])-LEN(SUBSTITUTE(Table1[[#This Row],[PitStopLaps]],",",""))+1)</f>
        <v>1</v>
      </c>
      <c r="U1914">
        <f>Table1[[#This Row],[StartPosition]]-Table1[[#This Row],[FinishPosition]]</f>
        <v>2</v>
      </c>
    </row>
    <row r="1915" spans="1:21" x14ac:dyDescent="0.3">
      <c r="A1915">
        <v>2022</v>
      </c>
      <c r="B1915">
        <v>16</v>
      </c>
      <c r="C1915" t="s">
        <v>367</v>
      </c>
      <c r="D1915" t="s">
        <v>601</v>
      </c>
      <c r="E1915" t="s">
        <v>602</v>
      </c>
      <c r="F1915" t="s">
        <v>438</v>
      </c>
      <c r="G1915">
        <v>20</v>
      </c>
      <c r="H1915">
        <v>14</v>
      </c>
      <c r="I1915">
        <v>0</v>
      </c>
      <c r="J1915" t="s">
        <v>34</v>
      </c>
      <c r="K1915" t="s">
        <v>65</v>
      </c>
      <c r="L1915">
        <v>52</v>
      </c>
      <c r="M1915">
        <v>86.856999999999999</v>
      </c>
      <c r="N1915">
        <v>87.472713999999996</v>
      </c>
      <c r="O1915">
        <v>28.027000000000001</v>
      </c>
      <c r="P1915">
        <v>29.826999999999899</v>
      </c>
      <c r="Q1915">
        <v>28.823</v>
      </c>
      <c r="R1915" t="s">
        <v>953</v>
      </c>
      <c r="S1915" t="s">
        <v>83</v>
      </c>
      <c r="T1915">
        <f>IF(TRIM(Table1[[#This Row],[PitStopLaps]])="",0,
LEN(Table1[[#This Row],[PitStopLaps]])-LEN(SUBSTITUTE(Table1[[#This Row],[PitStopLaps]],",",""))+1)</f>
        <v>2</v>
      </c>
      <c r="U1915">
        <f>Table1[[#This Row],[StartPosition]]-Table1[[#This Row],[FinishPosition]]</f>
        <v>6</v>
      </c>
    </row>
    <row r="1916" spans="1:21" x14ac:dyDescent="0.3">
      <c r="A1916">
        <v>2022</v>
      </c>
      <c r="B1916">
        <v>16</v>
      </c>
      <c r="C1916" t="s">
        <v>367</v>
      </c>
      <c r="D1916" t="s">
        <v>440</v>
      </c>
      <c r="E1916" t="s">
        <v>441</v>
      </c>
      <c r="F1916" t="s">
        <v>60</v>
      </c>
      <c r="G1916">
        <v>10</v>
      </c>
      <c r="H1916">
        <v>15</v>
      </c>
      <c r="I1916">
        <v>0</v>
      </c>
      <c r="J1916" t="s">
        <v>34</v>
      </c>
      <c r="K1916" t="s">
        <v>65</v>
      </c>
      <c r="L1916">
        <v>52</v>
      </c>
      <c r="M1916">
        <v>86.798000000000002</v>
      </c>
      <c r="N1916">
        <v>87.676284999999993</v>
      </c>
      <c r="O1916">
        <v>27.795000000000002</v>
      </c>
      <c r="P1916">
        <v>29.707000000000001</v>
      </c>
      <c r="Q1916">
        <v>28.844999999999999</v>
      </c>
      <c r="R1916" t="s">
        <v>717</v>
      </c>
      <c r="S1916" t="s">
        <v>83</v>
      </c>
      <c r="T1916">
        <f>IF(TRIM(Table1[[#This Row],[PitStopLaps]])="",0,
LEN(Table1[[#This Row],[PitStopLaps]])-LEN(SUBSTITUTE(Table1[[#This Row],[PitStopLaps]],",",""))+1)</f>
        <v>2</v>
      </c>
      <c r="U1916">
        <f>Table1[[#This Row],[StartPosition]]-Table1[[#This Row],[FinishPosition]]</f>
        <v>-5</v>
      </c>
    </row>
    <row r="1917" spans="1:21" x14ac:dyDescent="0.3">
      <c r="A1917">
        <v>2022</v>
      </c>
      <c r="B1917">
        <v>16</v>
      </c>
      <c r="C1917" t="s">
        <v>367</v>
      </c>
      <c r="D1917" t="s">
        <v>71</v>
      </c>
      <c r="E1917" t="s">
        <v>72</v>
      </c>
      <c r="F1917" t="s">
        <v>69</v>
      </c>
      <c r="G1917">
        <v>16</v>
      </c>
      <c r="H1917">
        <v>16</v>
      </c>
      <c r="I1917">
        <v>0</v>
      </c>
      <c r="J1917" t="s">
        <v>34</v>
      </c>
      <c r="K1917" t="s">
        <v>65</v>
      </c>
      <c r="L1917">
        <v>52</v>
      </c>
      <c r="M1917">
        <v>86.798000000000002</v>
      </c>
      <c r="N1917">
        <v>87.926901999999998</v>
      </c>
      <c r="O1917">
        <v>28.378</v>
      </c>
      <c r="P1917">
        <v>29.690999999999999</v>
      </c>
      <c r="Q1917">
        <v>28.599</v>
      </c>
      <c r="R1917" t="s">
        <v>307</v>
      </c>
      <c r="S1917" t="s">
        <v>83</v>
      </c>
      <c r="T1917">
        <f>IF(TRIM(Table1[[#This Row],[PitStopLaps]])="",0,
LEN(Table1[[#This Row],[PitStopLaps]])-LEN(SUBSTITUTE(Table1[[#This Row],[PitStopLaps]],",",""))+1)</f>
        <v>2</v>
      </c>
      <c r="U1917">
        <f>Table1[[#This Row],[StartPosition]]-Table1[[#This Row],[FinishPosition]]</f>
        <v>0</v>
      </c>
    </row>
    <row r="1918" spans="1:21" x14ac:dyDescent="0.3">
      <c r="A1918">
        <v>2022</v>
      </c>
      <c r="B1918">
        <v>16</v>
      </c>
      <c r="C1918" t="s">
        <v>367</v>
      </c>
      <c r="D1918" t="s">
        <v>31</v>
      </c>
      <c r="E1918" t="s">
        <v>32</v>
      </c>
      <c r="F1918" t="s">
        <v>37</v>
      </c>
      <c r="G1918">
        <v>4</v>
      </c>
      <c r="H1918">
        <v>17</v>
      </c>
      <c r="I1918">
        <v>0</v>
      </c>
      <c r="J1918" t="s">
        <v>34</v>
      </c>
      <c r="K1918" t="s">
        <v>134</v>
      </c>
      <c r="L1918">
        <v>46</v>
      </c>
      <c r="M1918">
        <v>86.602999999999994</v>
      </c>
      <c r="N1918">
        <v>87.337389999999999</v>
      </c>
      <c r="O1918">
        <v>28.138999999999999</v>
      </c>
      <c r="P1918">
        <v>29.701000000000001</v>
      </c>
      <c r="Q1918">
        <v>28.655000000000001</v>
      </c>
      <c r="R1918">
        <v>19</v>
      </c>
      <c r="S1918" t="s">
        <v>83</v>
      </c>
      <c r="T1918">
        <f>IF(TRIM(Table1[[#This Row],[PitStopLaps]])="",0,
LEN(Table1[[#This Row],[PitStopLaps]])-LEN(SUBSTITUTE(Table1[[#This Row],[PitStopLaps]],",",""))+1)</f>
        <v>1</v>
      </c>
      <c r="U1918">
        <f>Table1[[#This Row],[StartPosition]]-Table1[[#This Row],[FinishPosition]]</f>
        <v>-13</v>
      </c>
    </row>
    <row r="1919" spans="1:21" x14ac:dyDescent="0.3">
      <c r="A1919">
        <v>2022</v>
      </c>
      <c r="B1919">
        <v>16</v>
      </c>
      <c r="C1919" t="s">
        <v>367</v>
      </c>
      <c r="D1919" t="s">
        <v>58</v>
      </c>
      <c r="E1919" t="s">
        <v>59</v>
      </c>
      <c r="F1919" t="s">
        <v>603</v>
      </c>
      <c r="G1919">
        <v>12</v>
      </c>
      <c r="H1919">
        <v>18</v>
      </c>
      <c r="I1919">
        <v>0</v>
      </c>
      <c r="J1919" t="s">
        <v>34</v>
      </c>
      <c r="K1919" t="s">
        <v>75</v>
      </c>
      <c r="L1919">
        <v>39</v>
      </c>
      <c r="M1919">
        <v>87.466999999999999</v>
      </c>
      <c r="N1919">
        <v>87.937617000000003</v>
      </c>
      <c r="O1919">
        <v>28.08</v>
      </c>
      <c r="P1919">
        <v>29.963999999999999</v>
      </c>
      <c r="Q1919">
        <v>29.084</v>
      </c>
      <c r="R1919" t="s">
        <v>954</v>
      </c>
      <c r="S1919" t="s">
        <v>83</v>
      </c>
      <c r="T1919">
        <f>IF(TRIM(Table1[[#This Row],[PitStopLaps]])="",0,
LEN(Table1[[#This Row],[PitStopLaps]])-LEN(SUBSTITUTE(Table1[[#This Row],[PitStopLaps]],",",""))+1)</f>
        <v>2</v>
      </c>
      <c r="U1919">
        <f>Table1[[#This Row],[StartPosition]]-Table1[[#This Row],[FinishPosition]]</f>
        <v>-6</v>
      </c>
    </row>
    <row r="1920" spans="1:21" x14ac:dyDescent="0.3">
      <c r="A1920">
        <v>2022</v>
      </c>
      <c r="B1920">
        <v>16</v>
      </c>
      <c r="C1920" t="s">
        <v>367</v>
      </c>
      <c r="D1920" t="s">
        <v>35</v>
      </c>
      <c r="E1920" t="s">
        <v>36</v>
      </c>
      <c r="F1920" t="s">
        <v>607</v>
      </c>
      <c r="G1920">
        <v>6</v>
      </c>
      <c r="H1920">
        <v>19</v>
      </c>
      <c r="I1920">
        <v>0</v>
      </c>
      <c r="J1920" t="s">
        <v>34</v>
      </c>
      <c r="K1920" t="s">
        <v>362</v>
      </c>
      <c r="L1920">
        <v>31</v>
      </c>
      <c r="M1920">
        <v>87.203000000000003</v>
      </c>
      <c r="N1920">
        <v>87.701606999999996</v>
      </c>
      <c r="O1920">
        <v>28.047000000000001</v>
      </c>
      <c r="P1920">
        <v>29.905000000000001</v>
      </c>
      <c r="Q1920">
        <v>28.76</v>
      </c>
      <c r="R1920">
        <v>31</v>
      </c>
      <c r="S1920" t="s">
        <v>83</v>
      </c>
      <c r="T1920">
        <f>IF(TRIM(Table1[[#This Row],[PitStopLaps]])="",0,
LEN(Table1[[#This Row],[PitStopLaps]])-LEN(SUBSTITUTE(Table1[[#This Row],[PitStopLaps]],",",""))+1)</f>
        <v>1</v>
      </c>
      <c r="U1920">
        <f>Table1[[#This Row],[StartPosition]]-Table1[[#This Row],[FinishPosition]]</f>
        <v>-13</v>
      </c>
    </row>
    <row r="1921" spans="1:21" x14ac:dyDescent="0.3">
      <c r="A1921">
        <v>2022</v>
      </c>
      <c r="B1921">
        <v>16</v>
      </c>
      <c r="C1921" t="s">
        <v>367</v>
      </c>
      <c r="D1921" t="s">
        <v>20</v>
      </c>
      <c r="E1921" t="s">
        <v>21</v>
      </c>
      <c r="F1921" t="s">
        <v>603</v>
      </c>
      <c r="G1921">
        <v>11</v>
      </c>
      <c r="H1921">
        <v>20</v>
      </c>
      <c r="I1921">
        <v>0</v>
      </c>
      <c r="J1921" t="s">
        <v>34</v>
      </c>
      <c r="K1921" t="s">
        <v>75</v>
      </c>
      <c r="L1921">
        <v>11</v>
      </c>
      <c r="M1921">
        <v>87.501000000000005</v>
      </c>
      <c r="N1921">
        <v>88.191888000000006</v>
      </c>
      <c r="O1921">
        <v>27.911999999999999</v>
      </c>
      <c r="P1921">
        <v>30.100999999999999</v>
      </c>
      <c r="Q1921">
        <v>29.364000000000001</v>
      </c>
      <c r="S1921" t="s">
        <v>83</v>
      </c>
      <c r="T1921">
        <f>IF(TRIM(Table1[[#This Row],[PitStopLaps]])="",0,
LEN(Table1[[#This Row],[PitStopLaps]])-LEN(SUBSTITUTE(Table1[[#This Row],[PitStopLaps]],",",""))+1)</f>
        <v>0</v>
      </c>
      <c r="U1921">
        <f>Table1[[#This Row],[StartPosition]]-Table1[[#This Row],[FinishPosition]]</f>
        <v>-9</v>
      </c>
    </row>
    <row r="1922" spans="1:21" x14ac:dyDescent="0.3">
      <c r="A1922">
        <v>2022</v>
      </c>
      <c r="B1922">
        <v>17</v>
      </c>
      <c r="C1922" t="s">
        <v>200</v>
      </c>
      <c r="D1922" t="s">
        <v>49</v>
      </c>
      <c r="E1922" t="s">
        <v>50</v>
      </c>
      <c r="F1922" t="s">
        <v>33</v>
      </c>
      <c r="G1922">
        <v>2</v>
      </c>
      <c r="H1922">
        <v>1</v>
      </c>
      <c r="I1922">
        <v>25</v>
      </c>
      <c r="J1922" t="s">
        <v>23</v>
      </c>
      <c r="K1922" t="s">
        <v>24</v>
      </c>
      <c r="L1922">
        <v>59</v>
      </c>
      <c r="M1922">
        <v>108.16500000000001</v>
      </c>
      <c r="N1922">
        <v>114.96460399999999</v>
      </c>
      <c r="O1922">
        <v>29.113</v>
      </c>
      <c r="P1922">
        <v>41.311</v>
      </c>
      <c r="Q1922">
        <v>37.515999999999998</v>
      </c>
      <c r="R1922">
        <v>35</v>
      </c>
      <c r="S1922" t="s">
        <v>25</v>
      </c>
      <c r="T1922">
        <f>IF(TRIM(Table1[[#This Row],[PitStopLaps]])="",0,
LEN(Table1[[#This Row],[PitStopLaps]])-LEN(SUBSTITUTE(Table1[[#This Row],[PitStopLaps]],",",""))+1)</f>
        <v>1</v>
      </c>
      <c r="U1922">
        <f>Table1[[#This Row],[StartPosition]]-Table1[[#This Row],[FinishPosition]]</f>
        <v>1</v>
      </c>
    </row>
    <row r="1923" spans="1:21" x14ac:dyDescent="0.3">
      <c r="A1923">
        <v>2022</v>
      </c>
      <c r="B1923">
        <v>17</v>
      </c>
      <c r="C1923" t="s">
        <v>200</v>
      </c>
      <c r="D1923" t="s">
        <v>54</v>
      </c>
      <c r="E1923" t="s">
        <v>55</v>
      </c>
      <c r="F1923" t="s">
        <v>22</v>
      </c>
      <c r="G1923">
        <v>1</v>
      </c>
      <c r="H1923">
        <v>2</v>
      </c>
      <c r="I1923">
        <v>18</v>
      </c>
      <c r="J1923" t="s">
        <v>23</v>
      </c>
      <c r="K1923" t="s">
        <v>24</v>
      </c>
      <c r="L1923">
        <v>59</v>
      </c>
      <c r="M1923">
        <v>108.753</v>
      </c>
      <c r="N1923">
        <v>115.13428500000001</v>
      </c>
      <c r="O1923">
        <v>29.187999999999999</v>
      </c>
      <c r="P1923">
        <v>41.313000000000002</v>
      </c>
      <c r="Q1923">
        <v>37.93</v>
      </c>
      <c r="R1923">
        <v>34</v>
      </c>
      <c r="S1923" t="s">
        <v>25</v>
      </c>
      <c r="T1923">
        <f>IF(TRIM(Table1[[#This Row],[PitStopLaps]])="",0,
LEN(Table1[[#This Row],[PitStopLaps]])-LEN(SUBSTITUTE(Table1[[#This Row],[PitStopLaps]],",",""))+1)</f>
        <v>1</v>
      </c>
      <c r="U1923">
        <f>Table1[[#This Row],[StartPosition]]-Table1[[#This Row],[FinishPosition]]</f>
        <v>-1</v>
      </c>
    </row>
    <row r="1924" spans="1:21" x14ac:dyDescent="0.3">
      <c r="A1924">
        <v>2022</v>
      </c>
      <c r="B1924">
        <v>17</v>
      </c>
      <c r="C1924" t="s">
        <v>200</v>
      </c>
      <c r="D1924" t="s">
        <v>47</v>
      </c>
      <c r="E1924" t="s">
        <v>48</v>
      </c>
      <c r="F1924" t="s">
        <v>22</v>
      </c>
      <c r="G1924">
        <v>4</v>
      </c>
      <c r="H1924">
        <v>3</v>
      </c>
      <c r="I1924">
        <v>15</v>
      </c>
      <c r="J1924" t="s">
        <v>23</v>
      </c>
      <c r="K1924" t="s">
        <v>24</v>
      </c>
      <c r="L1924">
        <v>59</v>
      </c>
      <c r="M1924">
        <v>108.414</v>
      </c>
      <c r="N1924">
        <v>115.76773799999999</v>
      </c>
      <c r="O1924">
        <v>29.239000000000001</v>
      </c>
      <c r="P1924">
        <v>41.42</v>
      </c>
      <c r="Q1924">
        <v>37.734999999999999</v>
      </c>
      <c r="R1924">
        <v>35</v>
      </c>
      <c r="S1924" t="s">
        <v>25</v>
      </c>
      <c r="T1924">
        <f>IF(TRIM(Table1[[#This Row],[PitStopLaps]])="",0,
LEN(Table1[[#This Row],[PitStopLaps]])-LEN(SUBSTITUTE(Table1[[#This Row],[PitStopLaps]],",",""))+1)</f>
        <v>1</v>
      </c>
      <c r="U1924">
        <f>Table1[[#This Row],[StartPosition]]-Table1[[#This Row],[FinishPosition]]</f>
        <v>1</v>
      </c>
    </row>
    <row r="1925" spans="1:21" x14ac:dyDescent="0.3">
      <c r="A1925">
        <v>2022</v>
      </c>
      <c r="B1925">
        <v>17</v>
      </c>
      <c r="C1925" t="s">
        <v>200</v>
      </c>
      <c r="D1925" t="s">
        <v>246</v>
      </c>
      <c r="E1925" t="s">
        <v>247</v>
      </c>
      <c r="F1925" t="s">
        <v>37</v>
      </c>
      <c r="G1925">
        <v>6</v>
      </c>
      <c r="H1925">
        <v>4</v>
      </c>
      <c r="I1925">
        <v>12</v>
      </c>
      <c r="J1925" t="s">
        <v>34</v>
      </c>
      <c r="K1925" t="s">
        <v>24</v>
      </c>
      <c r="L1925">
        <v>59</v>
      </c>
      <c r="M1925">
        <v>109.212</v>
      </c>
      <c r="N1925">
        <v>116.56954500000001</v>
      </c>
      <c r="O1925">
        <v>29.42</v>
      </c>
      <c r="P1925">
        <v>41.784999999999997</v>
      </c>
      <c r="Q1925">
        <v>38.006999999999998</v>
      </c>
      <c r="R1925">
        <v>36</v>
      </c>
      <c r="S1925" t="s">
        <v>25</v>
      </c>
      <c r="T1925">
        <f>IF(TRIM(Table1[[#This Row],[PitStopLaps]])="",0,
LEN(Table1[[#This Row],[PitStopLaps]])-LEN(SUBSTITUTE(Table1[[#This Row],[PitStopLaps]],",",""))+1)</f>
        <v>1</v>
      </c>
      <c r="U1925">
        <f>Table1[[#This Row],[StartPosition]]-Table1[[#This Row],[FinishPosition]]</f>
        <v>2</v>
      </c>
    </row>
    <row r="1926" spans="1:21" x14ac:dyDescent="0.3">
      <c r="A1926">
        <v>2022</v>
      </c>
      <c r="B1926">
        <v>17</v>
      </c>
      <c r="C1926" t="s">
        <v>200</v>
      </c>
      <c r="D1926" t="s">
        <v>31</v>
      </c>
      <c r="E1926" t="s">
        <v>32</v>
      </c>
      <c r="F1926" t="s">
        <v>37</v>
      </c>
      <c r="G1926">
        <v>16</v>
      </c>
      <c r="H1926">
        <v>5</v>
      </c>
      <c r="I1926">
        <v>10</v>
      </c>
      <c r="J1926" t="s">
        <v>34</v>
      </c>
      <c r="K1926" t="s">
        <v>24</v>
      </c>
      <c r="L1926">
        <v>59</v>
      </c>
      <c r="M1926">
        <v>111.006</v>
      </c>
      <c r="N1926">
        <v>118.086288</v>
      </c>
      <c r="O1926">
        <v>29.643999999999998</v>
      </c>
      <c r="P1926">
        <v>42.216999999999999</v>
      </c>
      <c r="Q1926">
        <v>38.825000000000003</v>
      </c>
      <c r="R1926">
        <v>36</v>
      </c>
      <c r="S1926" t="s">
        <v>25</v>
      </c>
      <c r="T1926">
        <f>IF(TRIM(Table1[[#This Row],[PitStopLaps]])="",0,
LEN(Table1[[#This Row],[PitStopLaps]])-LEN(SUBSTITUTE(Table1[[#This Row],[PitStopLaps]],",",""))+1)</f>
        <v>1</v>
      </c>
      <c r="U1926">
        <f>Table1[[#This Row],[StartPosition]]-Table1[[#This Row],[FinishPosition]]</f>
        <v>11</v>
      </c>
    </row>
    <row r="1927" spans="1:21" x14ac:dyDescent="0.3">
      <c r="A1927">
        <v>2022</v>
      </c>
      <c r="B1927">
        <v>17</v>
      </c>
      <c r="C1927" t="s">
        <v>200</v>
      </c>
      <c r="D1927" t="s">
        <v>58</v>
      </c>
      <c r="E1927" t="s">
        <v>59</v>
      </c>
      <c r="F1927" t="s">
        <v>603</v>
      </c>
      <c r="G1927">
        <v>11</v>
      </c>
      <c r="H1927">
        <v>6</v>
      </c>
      <c r="I1927">
        <v>8</v>
      </c>
      <c r="J1927" t="s">
        <v>34</v>
      </c>
      <c r="K1927" t="s">
        <v>24</v>
      </c>
      <c r="L1927">
        <v>59</v>
      </c>
      <c r="M1927">
        <v>110.283</v>
      </c>
      <c r="N1927">
        <v>117.93961299999999</v>
      </c>
      <c r="O1927">
        <v>29.5</v>
      </c>
      <c r="P1927">
        <v>42.204000000000001</v>
      </c>
      <c r="Q1927">
        <v>38.323999999999998</v>
      </c>
      <c r="R1927">
        <v>35</v>
      </c>
      <c r="S1927" t="s">
        <v>25</v>
      </c>
      <c r="T1927">
        <f>IF(TRIM(Table1[[#This Row],[PitStopLaps]])="",0,
LEN(Table1[[#This Row],[PitStopLaps]])-LEN(SUBSTITUTE(Table1[[#This Row],[PitStopLaps]],",",""))+1)</f>
        <v>1</v>
      </c>
      <c r="U1927">
        <f>Table1[[#This Row],[StartPosition]]-Table1[[#This Row],[FinishPosition]]</f>
        <v>5</v>
      </c>
    </row>
    <row r="1928" spans="1:21" x14ac:dyDescent="0.3">
      <c r="A1928">
        <v>2022</v>
      </c>
      <c r="B1928">
        <v>17</v>
      </c>
      <c r="C1928" t="s">
        <v>200</v>
      </c>
      <c r="D1928" t="s">
        <v>38</v>
      </c>
      <c r="E1928" t="s">
        <v>39</v>
      </c>
      <c r="F1928" t="s">
        <v>33</v>
      </c>
      <c r="G1928">
        <v>8</v>
      </c>
      <c r="H1928">
        <v>7</v>
      </c>
      <c r="I1928">
        <v>6</v>
      </c>
      <c r="J1928" t="s">
        <v>34</v>
      </c>
      <c r="K1928" t="s">
        <v>24</v>
      </c>
      <c r="L1928">
        <v>59</v>
      </c>
      <c r="M1928">
        <v>109.142</v>
      </c>
      <c r="N1928">
        <v>116.56178</v>
      </c>
      <c r="O1928">
        <v>29.093</v>
      </c>
      <c r="P1928">
        <v>41.64</v>
      </c>
      <c r="Q1928">
        <v>38.079000000000001</v>
      </c>
      <c r="R1928" t="s">
        <v>955</v>
      </c>
      <c r="S1928" t="s">
        <v>25</v>
      </c>
      <c r="T1928">
        <f>IF(TRIM(Table1[[#This Row],[PitStopLaps]])="",0,
LEN(Table1[[#This Row],[PitStopLaps]])-LEN(SUBSTITUTE(Table1[[#This Row],[PitStopLaps]],",",""))+1)</f>
        <v>2</v>
      </c>
      <c r="U1928">
        <f>Table1[[#This Row],[StartPosition]]-Table1[[#This Row],[FinishPosition]]</f>
        <v>1</v>
      </c>
    </row>
    <row r="1929" spans="1:21" x14ac:dyDescent="0.3">
      <c r="A1929">
        <v>2022</v>
      </c>
      <c r="B1929">
        <v>17</v>
      </c>
      <c r="C1929" t="s">
        <v>200</v>
      </c>
      <c r="D1929" t="s">
        <v>20</v>
      </c>
      <c r="E1929" t="s">
        <v>21</v>
      </c>
      <c r="F1929" t="s">
        <v>603</v>
      </c>
      <c r="G1929">
        <v>13</v>
      </c>
      <c r="H1929">
        <v>8</v>
      </c>
      <c r="I1929">
        <v>4</v>
      </c>
      <c r="J1929" t="s">
        <v>34</v>
      </c>
      <c r="K1929" t="s">
        <v>24</v>
      </c>
      <c r="L1929">
        <v>59</v>
      </c>
      <c r="M1929">
        <v>110.669</v>
      </c>
      <c r="N1929">
        <v>117.728953</v>
      </c>
      <c r="O1929">
        <v>29.596</v>
      </c>
      <c r="P1929">
        <v>42.337000000000003</v>
      </c>
      <c r="Q1929">
        <v>38.325000000000003</v>
      </c>
      <c r="R1929">
        <v>34</v>
      </c>
      <c r="S1929" t="s">
        <v>25</v>
      </c>
      <c r="T1929">
        <f>IF(TRIM(Table1[[#This Row],[PitStopLaps]])="",0,
LEN(Table1[[#This Row],[PitStopLaps]])-LEN(SUBSTITUTE(Table1[[#This Row],[PitStopLaps]],",",""))+1)</f>
        <v>1</v>
      </c>
      <c r="U1929">
        <f>Table1[[#This Row],[StartPosition]]-Table1[[#This Row],[FinishPosition]]</f>
        <v>5</v>
      </c>
    </row>
    <row r="1930" spans="1:21" x14ac:dyDescent="0.3">
      <c r="A1930">
        <v>2022</v>
      </c>
      <c r="B1930">
        <v>17</v>
      </c>
      <c r="C1930" t="s">
        <v>200</v>
      </c>
      <c r="D1930" t="s">
        <v>26</v>
      </c>
      <c r="E1930" t="s">
        <v>27</v>
      </c>
      <c r="F1930" t="s">
        <v>28</v>
      </c>
      <c r="G1930">
        <v>3</v>
      </c>
      <c r="H1930">
        <v>9</v>
      </c>
      <c r="I1930">
        <v>2</v>
      </c>
      <c r="J1930" t="s">
        <v>34</v>
      </c>
      <c r="K1930" t="s">
        <v>24</v>
      </c>
      <c r="L1930">
        <v>59</v>
      </c>
      <c r="M1930">
        <v>110.622</v>
      </c>
      <c r="N1930">
        <v>117.16975600000001</v>
      </c>
      <c r="O1930">
        <v>29.257999999999999</v>
      </c>
      <c r="P1930">
        <v>42.07</v>
      </c>
      <c r="Q1930">
        <v>38.540999999999997</v>
      </c>
      <c r="R1930">
        <v>34</v>
      </c>
      <c r="S1930" t="s">
        <v>25</v>
      </c>
      <c r="T1930">
        <f>IF(TRIM(Table1[[#This Row],[PitStopLaps]])="",0,
LEN(Table1[[#This Row],[PitStopLaps]])-LEN(SUBSTITUTE(Table1[[#This Row],[PitStopLaps]],",",""))+1)</f>
        <v>1</v>
      </c>
      <c r="U1930">
        <f>Table1[[#This Row],[StartPosition]]-Table1[[#This Row],[FinishPosition]]</f>
        <v>-6</v>
      </c>
    </row>
    <row r="1931" spans="1:21" x14ac:dyDescent="0.3">
      <c r="A1931">
        <v>2022</v>
      </c>
      <c r="B1931">
        <v>17</v>
      </c>
      <c r="C1931" t="s">
        <v>200</v>
      </c>
      <c r="D1931" t="s">
        <v>73</v>
      </c>
      <c r="E1931" t="s">
        <v>74</v>
      </c>
      <c r="F1931" t="s">
        <v>438</v>
      </c>
      <c r="G1931">
        <v>7</v>
      </c>
      <c r="H1931">
        <v>10</v>
      </c>
      <c r="I1931">
        <v>1</v>
      </c>
      <c r="J1931" t="s">
        <v>34</v>
      </c>
      <c r="K1931" t="s">
        <v>24</v>
      </c>
      <c r="L1931">
        <v>59</v>
      </c>
      <c r="M1931">
        <v>110.569</v>
      </c>
      <c r="N1931">
        <v>117.92597600000001</v>
      </c>
      <c r="O1931">
        <v>29.724</v>
      </c>
      <c r="P1931">
        <v>42.115000000000002</v>
      </c>
      <c r="Q1931">
        <v>38.71</v>
      </c>
      <c r="R1931">
        <v>33</v>
      </c>
      <c r="S1931" t="s">
        <v>25</v>
      </c>
      <c r="T1931">
        <f>IF(TRIM(Table1[[#This Row],[PitStopLaps]])="",0,
LEN(Table1[[#This Row],[PitStopLaps]])-LEN(SUBSTITUTE(Table1[[#This Row],[PitStopLaps]],",",""))+1)</f>
        <v>1</v>
      </c>
      <c r="U1931">
        <f>Table1[[#This Row],[StartPosition]]-Table1[[#This Row],[FinishPosition]]</f>
        <v>-3</v>
      </c>
    </row>
    <row r="1932" spans="1:21" x14ac:dyDescent="0.3">
      <c r="A1932">
        <v>2022</v>
      </c>
      <c r="B1932">
        <v>17</v>
      </c>
      <c r="C1932" t="s">
        <v>200</v>
      </c>
      <c r="D1932" t="s">
        <v>43</v>
      </c>
      <c r="E1932" t="s">
        <v>44</v>
      </c>
      <c r="F1932" t="s">
        <v>789</v>
      </c>
      <c r="G1932">
        <v>15</v>
      </c>
      <c r="H1932">
        <v>11</v>
      </c>
      <c r="I1932">
        <v>0</v>
      </c>
      <c r="J1932" t="s">
        <v>34</v>
      </c>
      <c r="K1932" t="s">
        <v>24</v>
      </c>
      <c r="L1932">
        <v>59</v>
      </c>
      <c r="M1932">
        <v>111.864</v>
      </c>
      <c r="N1932">
        <v>118.82565099999999</v>
      </c>
      <c r="O1932">
        <v>29.704999999999998</v>
      </c>
      <c r="P1932">
        <v>42.77</v>
      </c>
      <c r="Q1932">
        <v>38.973999999999997</v>
      </c>
      <c r="R1932">
        <v>33</v>
      </c>
      <c r="S1932" t="s">
        <v>25</v>
      </c>
      <c r="T1932">
        <f>IF(TRIM(Table1[[#This Row],[PitStopLaps]])="",0,
LEN(Table1[[#This Row],[PitStopLaps]])-LEN(SUBSTITUTE(Table1[[#This Row],[PitStopLaps]],",",""))+1)</f>
        <v>1</v>
      </c>
      <c r="U1932">
        <f>Table1[[#This Row],[StartPosition]]-Table1[[#This Row],[FinishPosition]]</f>
        <v>4</v>
      </c>
    </row>
    <row r="1933" spans="1:21" x14ac:dyDescent="0.3">
      <c r="A1933">
        <v>2022</v>
      </c>
      <c r="B1933">
        <v>17</v>
      </c>
      <c r="C1933" t="s">
        <v>200</v>
      </c>
      <c r="D1933" t="s">
        <v>71</v>
      </c>
      <c r="E1933" t="s">
        <v>72</v>
      </c>
      <c r="F1933" t="s">
        <v>69</v>
      </c>
      <c r="G1933">
        <v>9</v>
      </c>
      <c r="H1933">
        <v>12</v>
      </c>
      <c r="I1933">
        <v>0</v>
      </c>
      <c r="J1933" t="s">
        <v>34</v>
      </c>
      <c r="K1933" t="s">
        <v>24</v>
      </c>
      <c r="L1933">
        <v>59</v>
      </c>
      <c r="M1933">
        <v>112.06699999999999</v>
      </c>
      <c r="N1933">
        <v>118.542</v>
      </c>
      <c r="O1933">
        <v>29.902000000000001</v>
      </c>
      <c r="P1933">
        <v>42.731000000000002</v>
      </c>
      <c r="Q1933">
        <v>38.423000000000002</v>
      </c>
      <c r="R1933" t="s">
        <v>482</v>
      </c>
      <c r="S1933" t="s">
        <v>25</v>
      </c>
      <c r="T1933">
        <f>IF(TRIM(Table1[[#This Row],[PitStopLaps]])="",0,
LEN(Table1[[#This Row],[PitStopLaps]])-LEN(SUBSTITUTE(Table1[[#This Row],[PitStopLaps]],",",""))+1)</f>
        <v>2</v>
      </c>
      <c r="U1933">
        <f>Table1[[#This Row],[StartPosition]]-Table1[[#This Row],[FinishPosition]]</f>
        <v>-3</v>
      </c>
    </row>
    <row r="1934" spans="1:21" x14ac:dyDescent="0.3">
      <c r="A1934">
        <v>2022</v>
      </c>
      <c r="B1934">
        <v>17</v>
      </c>
      <c r="C1934" t="s">
        <v>200</v>
      </c>
      <c r="D1934" t="s">
        <v>608</v>
      </c>
      <c r="E1934" t="s">
        <v>609</v>
      </c>
      <c r="F1934" t="s">
        <v>69</v>
      </c>
      <c r="G1934">
        <v>12</v>
      </c>
      <c r="H1934">
        <v>13</v>
      </c>
      <c r="I1934">
        <v>0</v>
      </c>
      <c r="J1934" t="s">
        <v>34</v>
      </c>
      <c r="K1934" t="s">
        <v>65</v>
      </c>
      <c r="L1934">
        <v>58</v>
      </c>
      <c r="M1934">
        <v>110.29</v>
      </c>
      <c r="N1934">
        <v>118.8925</v>
      </c>
      <c r="O1934">
        <v>29.617000000000001</v>
      </c>
      <c r="P1934">
        <v>42.16</v>
      </c>
      <c r="Q1934">
        <v>37.89</v>
      </c>
      <c r="R1934" t="s">
        <v>956</v>
      </c>
      <c r="S1934" t="s">
        <v>25</v>
      </c>
      <c r="T1934">
        <f>IF(TRIM(Table1[[#This Row],[PitStopLaps]])="",0,
LEN(Table1[[#This Row],[PitStopLaps]])-LEN(SUBSTITUTE(Table1[[#This Row],[PitStopLaps]],",",""))+1)</f>
        <v>2</v>
      </c>
      <c r="U1934">
        <f>Table1[[#This Row],[StartPosition]]-Table1[[#This Row],[FinishPosition]]</f>
        <v>-1</v>
      </c>
    </row>
    <row r="1935" spans="1:21" x14ac:dyDescent="0.3">
      <c r="A1935">
        <v>2022</v>
      </c>
      <c r="B1935">
        <v>17</v>
      </c>
      <c r="C1935" t="s">
        <v>200</v>
      </c>
      <c r="D1935" t="s">
        <v>252</v>
      </c>
      <c r="E1935" t="s">
        <v>253</v>
      </c>
      <c r="F1935" t="s">
        <v>28</v>
      </c>
      <c r="G1935">
        <v>0</v>
      </c>
      <c r="H1935">
        <v>14</v>
      </c>
      <c r="I1935">
        <v>0</v>
      </c>
      <c r="J1935" t="s">
        <v>34</v>
      </c>
      <c r="K1935" t="s">
        <v>127</v>
      </c>
      <c r="L1935">
        <v>57</v>
      </c>
      <c r="M1935">
        <v>106.458</v>
      </c>
      <c r="N1935">
        <v>119.606189</v>
      </c>
      <c r="O1935">
        <v>28.869</v>
      </c>
      <c r="P1935">
        <v>40.390999999999998</v>
      </c>
      <c r="Q1935">
        <v>37.198</v>
      </c>
      <c r="R1935" t="s">
        <v>957</v>
      </c>
      <c r="S1935" t="s">
        <v>25</v>
      </c>
      <c r="T1935">
        <f>IF(TRIM(Table1[[#This Row],[PitStopLaps]])="",0,
LEN(Table1[[#This Row],[PitStopLaps]])-LEN(SUBSTITUTE(Table1[[#This Row],[PitStopLaps]],",",""))+1)</f>
        <v>4</v>
      </c>
      <c r="U1935">
        <f>Table1[[#This Row],[StartPosition]]-Table1[[#This Row],[FinishPosition]]</f>
        <v>-14</v>
      </c>
    </row>
    <row r="1936" spans="1:21" x14ac:dyDescent="0.3">
      <c r="A1936">
        <v>2022</v>
      </c>
      <c r="B1936">
        <v>17</v>
      </c>
      <c r="C1936" t="s">
        <v>200</v>
      </c>
      <c r="D1936" t="s">
        <v>601</v>
      </c>
      <c r="E1936" t="s">
        <v>602</v>
      </c>
      <c r="F1936" t="s">
        <v>438</v>
      </c>
      <c r="G1936">
        <v>10</v>
      </c>
      <c r="H1936">
        <v>15</v>
      </c>
      <c r="I1936">
        <v>0</v>
      </c>
      <c r="J1936" t="s">
        <v>34</v>
      </c>
      <c r="K1936" t="s">
        <v>123</v>
      </c>
      <c r="L1936">
        <v>35</v>
      </c>
      <c r="M1936">
        <v>118.71599999999999</v>
      </c>
      <c r="N1936">
        <v>122.314391</v>
      </c>
      <c r="O1936">
        <v>31.619</v>
      </c>
      <c r="P1936">
        <v>45.744</v>
      </c>
      <c r="Q1936">
        <v>41.325000000000003</v>
      </c>
      <c r="R1936">
        <v>33</v>
      </c>
      <c r="S1936" t="s">
        <v>25</v>
      </c>
      <c r="T1936">
        <f>IF(TRIM(Table1[[#This Row],[PitStopLaps]])="",0,
LEN(Table1[[#This Row],[PitStopLaps]])-LEN(SUBSTITUTE(Table1[[#This Row],[PitStopLaps]],",",""))+1)</f>
        <v>1</v>
      </c>
      <c r="U1936">
        <f>Table1[[#This Row],[StartPosition]]-Table1[[#This Row],[FinishPosition]]</f>
        <v>-5</v>
      </c>
    </row>
    <row r="1937" spans="1:21" x14ac:dyDescent="0.3">
      <c r="A1937">
        <v>2022</v>
      </c>
      <c r="B1937">
        <v>17</v>
      </c>
      <c r="C1937" t="s">
        <v>200</v>
      </c>
      <c r="D1937" t="s">
        <v>52</v>
      </c>
      <c r="E1937" t="s">
        <v>53</v>
      </c>
      <c r="F1937" t="s">
        <v>607</v>
      </c>
      <c r="G1937">
        <v>17</v>
      </c>
      <c r="H1937">
        <v>16</v>
      </c>
      <c r="I1937">
        <v>0</v>
      </c>
      <c r="J1937" t="s">
        <v>34</v>
      </c>
      <c r="K1937" t="s">
        <v>75</v>
      </c>
      <c r="L1937">
        <v>27</v>
      </c>
      <c r="M1937">
        <v>121.105</v>
      </c>
      <c r="N1937">
        <v>123.329947</v>
      </c>
      <c r="O1937">
        <v>31.844999999999999</v>
      </c>
      <c r="P1937">
        <v>46.893999999999998</v>
      </c>
      <c r="Q1937">
        <v>42.042000000000002</v>
      </c>
      <c r="S1937" t="s">
        <v>25</v>
      </c>
      <c r="T1937">
        <f>IF(TRIM(Table1[[#This Row],[PitStopLaps]])="",0,
LEN(Table1[[#This Row],[PitStopLaps]])-LEN(SUBSTITUTE(Table1[[#This Row],[PitStopLaps]],",",""))+1)</f>
        <v>0</v>
      </c>
      <c r="U1937">
        <f>Table1[[#This Row],[StartPosition]]-Table1[[#This Row],[FinishPosition]]</f>
        <v>1</v>
      </c>
    </row>
    <row r="1938" spans="1:21" x14ac:dyDescent="0.3">
      <c r="A1938">
        <v>2022</v>
      </c>
      <c r="B1938">
        <v>17</v>
      </c>
      <c r="C1938" t="s">
        <v>200</v>
      </c>
      <c r="D1938" t="s">
        <v>248</v>
      </c>
      <c r="E1938" t="s">
        <v>249</v>
      </c>
      <c r="F1938" t="s">
        <v>60</v>
      </c>
      <c r="G1938">
        <v>18</v>
      </c>
      <c r="H1938">
        <v>17</v>
      </c>
      <c r="I1938">
        <v>0</v>
      </c>
      <c r="J1938" t="s">
        <v>34</v>
      </c>
      <c r="K1938" t="s">
        <v>109</v>
      </c>
      <c r="L1938">
        <v>25</v>
      </c>
      <c r="M1938">
        <v>122.121</v>
      </c>
      <c r="N1938">
        <v>124.276944</v>
      </c>
      <c r="O1938">
        <v>31.881</v>
      </c>
      <c r="P1938">
        <v>47.591000000000001</v>
      </c>
      <c r="Q1938">
        <v>42.378</v>
      </c>
      <c r="R1938">
        <v>25</v>
      </c>
      <c r="S1938" t="s">
        <v>25</v>
      </c>
      <c r="T1938">
        <f>IF(TRIM(Table1[[#This Row],[PitStopLaps]])="",0,
LEN(Table1[[#This Row],[PitStopLaps]])-LEN(SUBSTITUTE(Table1[[#This Row],[PitStopLaps]],",",""))+1)</f>
        <v>1</v>
      </c>
      <c r="U1938">
        <f>Table1[[#This Row],[StartPosition]]-Table1[[#This Row],[FinishPosition]]</f>
        <v>1</v>
      </c>
    </row>
    <row r="1939" spans="1:21" x14ac:dyDescent="0.3">
      <c r="A1939">
        <v>2022</v>
      </c>
      <c r="B1939">
        <v>17</v>
      </c>
      <c r="C1939" t="s">
        <v>200</v>
      </c>
      <c r="D1939" t="s">
        <v>35</v>
      </c>
      <c r="E1939" t="s">
        <v>36</v>
      </c>
      <c r="F1939" t="s">
        <v>607</v>
      </c>
      <c r="G1939">
        <v>5</v>
      </c>
      <c r="H1939">
        <v>18</v>
      </c>
      <c r="I1939">
        <v>0</v>
      </c>
      <c r="J1939" t="s">
        <v>34</v>
      </c>
      <c r="K1939" t="s">
        <v>75</v>
      </c>
      <c r="L1939">
        <v>21</v>
      </c>
      <c r="M1939">
        <v>120.46299999999999</v>
      </c>
      <c r="N1939">
        <v>122.00024999999999</v>
      </c>
      <c r="O1939">
        <v>31.789000000000001</v>
      </c>
      <c r="P1939">
        <v>46.576999999999998</v>
      </c>
      <c r="Q1939">
        <v>41.813000000000002</v>
      </c>
      <c r="S1939" t="s">
        <v>25</v>
      </c>
      <c r="T1939">
        <f>IF(TRIM(Table1[[#This Row],[PitStopLaps]])="",0,
LEN(Table1[[#This Row],[PitStopLaps]])-LEN(SUBSTITUTE(Table1[[#This Row],[PitStopLaps]],",",""))+1)</f>
        <v>0</v>
      </c>
      <c r="U1939">
        <f>Table1[[#This Row],[StartPosition]]-Table1[[#This Row],[FinishPosition]]</f>
        <v>-13</v>
      </c>
    </row>
    <row r="1940" spans="1:21" x14ac:dyDescent="0.3">
      <c r="A1940">
        <v>2022</v>
      </c>
      <c r="B1940">
        <v>17</v>
      </c>
      <c r="C1940" t="s">
        <v>200</v>
      </c>
      <c r="D1940" t="s">
        <v>440</v>
      </c>
      <c r="E1940" t="s">
        <v>441</v>
      </c>
      <c r="F1940" t="s">
        <v>60</v>
      </c>
      <c r="G1940">
        <v>19</v>
      </c>
      <c r="H1940">
        <v>19</v>
      </c>
      <c r="I1940">
        <v>0</v>
      </c>
      <c r="J1940" t="s">
        <v>34</v>
      </c>
      <c r="K1940" t="s">
        <v>109</v>
      </c>
      <c r="L1940">
        <v>7</v>
      </c>
      <c r="M1940">
        <v>125.58499999999999</v>
      </c>
      <c r="N1940">
        <v>127.0968</v>
      </c>
      <c r="O1940">
        <v>32.185000000000002</v>
      </c>
      <c r="P1940">
        <v>49.597000000000001</v>
      </c>
      <c r="Q1940">
        <v>43.572000000000003</v>
      </c>
      <c r="R1940">
        <v>7</v>
      </c>
      <c r="S1940" t="s">
        <v>25</v>
      </c>
      <c r="T1940">
        <f>IF(TRIM(Table1[[#This Row],[PitStopLaps]])="",0,
LEN(Table1[[#This Row],[PitStopLaps]])-LEN(SUBSTITUTE(Table1[[#This Row],[PitStopLaps]],",",""))+1)</f>
        <v>1</v>
      </c>
      <c r="U1940">
        <f>Table1[[#This Row],[StartPosition]]-Table1[[#This Row],[FinishPosition]]</f>
        <v>0</v>
      </c>
    </row>
    <row r="1941" spans="1:21" x14ac:dyDescent="0.3">
      <c r="A1941">
        <v>2022</v>
      </c>
      <c r="B1941">
        <v>17</v>
      </c>
      <c r="C1941" t="s">
        <v>200</v>
      </c>
      <c r="D1941" t="s">
        <v>794</v>
      </c>
      <c r="E1941" t="s">
        <v>795</v>
      </c>
      <c r="F1941" t="s">
        <v>789</v>
      </c>
      <c r="G1941">
        <v>14</v>
      </c>
      <c r="H1941">
        <v>20</v>
      </c>
      <c r="I1941">
        <v>0</v>
      </c>
      <c r="J1941" t="s">
        <v>34</v>
      </c>
      <c r="K1941" t="s">
        <v>124</v>
      </c>
      <c r="L1941">
        <v>7</v>
      </c>
      <c r="M1941">
        <v>125.556</v>
      </c>
      <c r="N1941">
        <v>127.0898</v>
      </c>
      <c r="O1941">
        <v>32.133000000000003</v>
      </c>
      <c r="P1941">
        <v>49.572000000000003</v>
      </c>
      <c r="Q1941">
        <v>43.462000000000003</v>
      </c>
      <c r="S1941" t="s">
        <v>25</v>
      </c>
      <c r="T1941">
        <f>IF(TRIM(Table1[[#This Row],[PitStopLaps]])="",0,
LEN(Table1[[#This Row],[PitStopLaps]])-LEN(SUBSTITUTE(Table1[[#This Row],[PitStopLaps]],",",""))+1)</f>
        <v>0</v>
      </c>
      <c r="U1941">
        <f>Table1[[#This Row],[StartPosition]]-Table1[[#This Row],[FinishPosition]]</f>
        <v>-6</v>
      </c>
    </row>
    <row r="1942" spans="1:21" x14ac:dyDescent="0.3">
      <c r="A1942">
        <v>2022</v>
      </c>
      <c r="B1942">
        <v>18</v>
      </c>
      <c r="C1942" t="s">
        <v>208</v>
      </c>
      <c r="D1942" t="s">
        <v>38</v>
      </c>
      <c r="E1942" t="s">
        <v>39</v>
      </c>
      <c r="F1942" t="s">
        <v>33</v>
      </c>
      <c r="G1942">
        <v>1</v>
      </c>
      <c r="H1942">
        <v>1</v>
      </c>
      <c r="I1942">
        <v>25</v>
      </c>
      <c r="J1942" t="s">
        <v>23</v>
      </c>
      <c r="K1942" t="s">
        <v>24</v>
      </c>
      <c r="L1942">
        <v>29</v>
      </c>
      <c r="M1942">
        <v>104.911</v>
      </c>
      <c r="N1942">
        <v>107.24985700000001</v>
      </c>
      <c r="O1942">
        <v>37.744</v>
      </c>
      <c r="P1942">
        <v>46.811999999999998</v>
      </c>
      <c r="Q1942">
        <v>20.254000000000001</v>
      </c>
      <c r="R1942" t="s">
        <v>958</v>
      </c>
      <c r="S1942" t="s">
        <v>25</v>
      </c>
      <c r="T1942">
        <f>IF(TRIM(Table1[[#This Row],[PitStopLaps]])="",0,
LEN(Table1[[#This Row],[PitStopLaps]])-LEN(SUBSTITUTE(Table1[[#This Row],[PitStopLaps]],",",""))+1)</f>
        <v>2</v>
      </c>
      <c r="U1942">
        <f>Table1[[#This Row],[StartPosition]]-Table1[[#This Row],[FinishPosition]]</f>
        <v>0</v>
      </c>
    </row>
    <row r="1943" spans="1:21" x14ac:dyDescent="0.3">
      <c r="A1943">
        <v>2022</v>
      </c>
      <c r="B1943">
        <v>18</v>
      </c>
      <c r="C1943" t="s">
        <v>208</v>
      </c>
      <c r="D1943" t="s">
        <v>49</v>
      </c>
      <c r="E1943" t="s">
        <v>50</v>
      </c>
      <c r="F1943" t="s">
        <v>33</v>
      </c>
      <c r="G1943">
        <v>4</v>
      </c>
      <c r="H1943">
        <v>2</v>
      </c>
      <c r="I1943">
        <v>18</v>
      </c>
      <c r="J1943" t="s">
        <v>23</v>
      </c>
      <c r="K1943" t="s">
        <v>24</v>
      </c>
      <c r="L1943">
        <v>28</v>
      </c>
      <c r="M1943">
        <v>106.12</v>
      </c>
      <c r="N1943">
        <v>108.332095</v>
      </c>
      <c r="O1943">
        <v>38.034999999999997</v>
      </c>
      <c r="P1943">
        <v>47.250999999999998</v>
      </c>
      <c r="Q1943">
        <v>20.268000000000001</v>
      </c>
      <c r="R1943" t="s">
        <v>958</v>
      </c>
      <c r="S1943" t="s">
        <v>25</v>
      </c>
      <c r="T1943">
        <f>IF(TRIM(Table1[[#This Row],[PitStopLaps]])="",0,
LEN(Table1[[#This Row],[PitStopLaps]])-LEN(SUBSTITUTE(Table1[[#This Row],[PitStopLaps]],",",""))+1)</f>
        <v>2</v>
      </c>
      <c r="U1943">
        <f>Table1[[#This Row],[StartPosition]]-Table1[[#This Row],[FinishPosition]]</f>
        <v>2</v>
      </c>
    </row>
    <row r="1944" spans="1:21" x14ac:dyDescent="0.3">
      <c r="A1944">
        <v>2022</v>
      </c>
      <c r="B1944">
        <v>18</v>
      </c>
      <c r="C1944" t="s">
        <v>208</v>
      </c>
      <c r="D1944" t="s">
        <v>54</v>
      </c>
      <c r="E1944" t="s">
        <v>55</v>
      </c>
      <c r="F1944" t="s">
        <v>22</v>
      </c>
      <c r="G1944">
        <v>2</v>
      </c>
      <c r="H1944">
        <v>3</v>
      </c>
      <c r="I1944">
        <v>15</v>
      </c>
      <c r="J1944" t="s">
        <v>23</v>
      </c>
      <c r="K1944" t="s">
        <v>24</v>
      </c>
      <c r="L1944">
        <v>28</v>
      </c>
      <c r="M1944">
        <v>104.489</v>
      </c>
      <c r="N1944">
        <v>108.40557099999999</v>
      </c>
      <c r="O1944">
        <v>37.549999999999997</v>
      </c>
      <c r="P1944">
        <v>46.76</v>
      </c>
      <c r="Q1944">
        <v>20.02</v>
      </c>
      <c r="R1944" t="s">
        <v>958</v>
      </c>
      <c r="S1944" t="s">
        <v>25</v>
      </c>
      <c r="T1944">
        <f>IF(TRIM(Table1[[#This Row],[PitStopLaps]])="",0,
LEN(Table1[[#This Row],[PitStopLaps]])-LEN(SUBSTITUTE(Table1[[#This Row],[PitStopLaps]],",",""))+1)</f>
        <v>2</v>
      </c>
      <c r="U1944">
        <f>Table1[[#This Row],[StartPosition]]-Table1[[#This Row],[FinishPosition]]</f>
        <v>-1</v>
      </c>
    </row>
    <row r="1945" spans="1:21" x14ac:dyDescent="0.3">
      <c r="A1945">
        <v>2022</v>
      </c>
      <c r="B1945">
        <v>18</v>
      </c>
      <c r="C1945" t="s">
        <v>208</v>
      </c>
      <c r="D1945" t="s">
        <v>52</v>
      </c>
      <c r="E1945" t="s">
        <v>53</v>
      </c>
      <c r="F1945" t="s">
        <v>607</v>
      </c>
      <c r="G1945">
        <v>5</v>
      </c>
      <c r="H1945">
        <v>4</v>
      </c>
      <c r="I1945">
        <v>12</v>
      </c>
      <c r="J1945" t="s">
        <v>34</v>
      </c>
      <c r="K1945" t="s">
        <v>24</v>
      </c>
      <c r="L1945">
        <v>28</v>
      </c>
      <c r="M1945">
        <v>106.559</v>
      </c>
      <c r="N1945">
        <v>108.86823800000001</v>
      </c>
      <c r="O1945">
        <v>38.142000000000003</v>
      </c>
      <c r="P1945">
        <v>47.634</v>
      </c>
      <c r="Q1945">
        <v>20.454000000000001</v>
      </c>
      <c r="R1945" t="s">
        <v>958</v>
      </c>
      <c r="S1945" t="s">
        <v>25</v>
      </c>
      <c r="T1945">
        <f>IF(TRIM(Table1[[#This Row],[PitStopLaps]])="",0,
LEN(Table1[[#This Row],[PitStopLaps]])-LEN(SUBSTITUTE(Table1[[#This Row],[PitStopLaps]],",",""))+1)</f>
        <v>2</v>
      </c>
      <c r="U1945">
        <f>Table1[[#This Row],[StartPosition]]-Table1[[#This Row],[FinishPosition]]</f>
        <v>1</v>
      </c>
    </row>
    <row r="1946" spans="1:21" x14ac:dyDescent="0.3">
      <c r="A1946">
        <v>2022</v>
      </c>
      <c r="B1946">
        <v>18</v>
      </c>
      <c r="C1946" t="s">
        <v>208</v>
      </c>
      <c r="D1946" t="s">
        <v>26</v>
      </c>
      <c r="E1946" t="s">
        <v>27</v>
      </c>
      <c r="F1946" t="s">
        <v>28</v>
      </c>
      <c r="G1946">
        <v>6</v>
      </c>
      <c r="H1946">
        <v>5</v>
      </c>
      <c r="I1946">
        <v>10</v>
      </c>
      <c r="J1946" t="s">
        <v>34</v>
      </c>
      <c r="K1946" t="s">
        <v>24</v>
      </c>
      <c r="L1946">
        <v>28</v>
      </c>
      <c r="M1946">
        <v>105.53</v>
      </c>
      <c r="N1946">
        <v>108.833761</v>
      </c>
      <c r="O1946">
        <v>37.814999999999998</v>
      </c>
      <c r="P1946">
        <v>47.23</v>
      </c>
      <c r="Q1946">
        <v>20.484999999999999</v>
      </c>
      <c r="R1946" t="s">
        <v>958</v>
      </c>
      <c r="S1946" t="s">
        <v>25</v>
      </c>
      <c r="T1946">
        <f>IF(TRIM(Table1[[#This Row],[PitStopLaps]])="",0,
LEN(Table1[[#This Row],[PitStopLaps]])-LEN(SUBSTITUTE(Table1[[#This Row],[PitStopLaps]],",",""))+1)</f>
        <v>2</v>
      </c>
      <c r="U1946">
        <f>Table1[[#This Row],[StartPosition]]-Table1[[#This Row],[FinishPosition]]</f>
        <v>1</v>
      </c>
    </row>
    <row r="1947" spans="1:21" x14ac:dyDescent="0.3">
      <c r="A1947">
        <v>2022</v>
      </c>
      <c r="B1947">
        <v>18</v>
      </c>
      <c r="C1947" t="s">
        <v>208</v>
      </c>
      <c r="D1947" t="s">
        <v>20</v>
      </c>
      <c r="E1947" t="s">
        <v>21</v>
      </c>
      <c r="F1947" t="s">
        <v>603</v>
      </c>
      <c r="G1947">
        <v>9</v>
      </c>
      <c r="H1947">
        <v>6</v>
      </c>
      <c r="I1947">
        <v>8</v>
      </c>
      <c r="J1947" t="s">
        <v>34</v>
      </c>
      <c r="K1947" t="s">
        <v>24</v>
      </c>
      <c r="L1947">
        <v>28</v>
      </c>
      <c r="M1947">
        <v>106.964</v>
      </c>
      <c r="N1947">
        <v>108.804227</v>
      </c>
      <c r="O1947">
        <v>38.332999999999998</v>
      </c>
      <c r="P1947">
        <v>47.670999999999999</v>
      </c>
      <c r="Q1947">
        <v>20.693999999999999</v>
      </c>
      <c r="R1947" t="s">
        <v>959</v>
      </c>
      <c r="S1947" t="s">
        <v>25</v>
      </c>
      <c r="T1947">
        <f>IF(TRIM(Table1[[#This Row],[PitStopLaps]])="",0,
LEN(Table1[[#This Row],[PitStopLaps]])-LEN(SUBSTITUTE(Table1[[#This Row],[PitStopLaps]],",",""))+1)</f>
        <v>2</v>
      </c>
      <c r="U1947">
        <f>Table1[[#This Row],[StartPosition]]-Table1[[#This Row],[FinishPosition]]</f>
        <v>3</v>
      </c>
    </row>
    <row r="1948" spans="1:21" x14ac:dyDescent="0.3">
      <c r="A1948">
        <v>2022</v>
      </c>
      <c r="B1948">
        <v>18</v>
      </c>
      <c r="C1948" t="s">
        <v>208</v>
      </c>
      <c r="D1948" t="s">
        <v>35</v>
      </c>
      <c r="E1948" t="s">
        <v>36</v>
      </c>
      <c r="F1948" t="s">
        <v>607</v>
      </c>
      <c r="G1948">
        <v>7</v>
      </c>
      <c r="H1948">
        <v>7</v>
      </c>
      <c r="I1948">
        <v>6</v>
      </c>
      <c r="J1948" t="s">
        <v>34</v>
      </c>
      <c r="K1948" t="s">
        <v>24</v>
      </c>
      <c r="L1948">
        <v>28</v>
      </c>
      <c r="M1948">
        <v>104.41200000000001</v>
      </c>
      <c r="N1948">
        <v>108.254631</v>
      </c>
      <c r="O1948">
        <v>37.412999999999997</v>
      </c>
      <c r="P1948">
        <v>46.503999999999998</v>
      </c>
      <c r="Q1948">
        <v>20.388000000000002</v>
      </c>
      <c r="R1948" t="s">
        <v>960</v>
      </c>
      <c r="S1948" t="s">
        <v>25</v>
      </c>
      <c r="T1948">
        <f>IF(TRIM(Table1[[#This Row],[PitStopLaps]])="",0,
LEN(Table1[[#This Row],[PitStopLaps]])-LEN(SUBSTITUTE(Table1[[#This Row],[PitStopLaps]],",",""))+1)</f>
        <v>3</v>
      </c>
      <c r="U1948">
        <f>Table1[[#This Row],[StartPosition]]-Table1[[#This Row],[FinishPosition]]</f>
        <v>0</v>
      </c>
    </row>
    <row r="1949" spans="1:21" x14ac:dyDescent="0.3">
      <c r="A1949">
        <v>2022</v>
      </c>
      <c r="B1949">
        <v>18</v>
      </c>
      <c r="C1949" t="s">
        <v>208</v>
      </c>
      <c r="D1949" t="s">
        <v>252</v>
      </c>
      <c r="E1949" t="s">
        <v>253</v>
      </c>
      <c r="F1949" t="s">
        <v>28</v>
      </c>
      <c r="G1949">
        <v>8</v>
      </c>
      <c r="H1949">
        <v>8</v>
      </c>
      <c r="I1949">
        <v>4</v>
      </c>
      <c r="J1949" t="s">
        <v>34</v>
      </c>
      <c r="K1949" t="s">
        <v>24</v>
      </c>
      <c r="L1949">
        <v>28</v>
      </c>
      <c r="M1949">
        <v>107.004</v>
      </c>
      <c r="N1949">
        <v>108.853857</v>
      </c>
      <c r="O1949">
        <v>38.618000000000002</v>
      </c>
      <c r="P1949">
        <v>47.585000000000001</v>
      </c>
      <c r="Q1949">
        <v>20.501999999999999</v>
      </c>
      <c r="R1949" t="s">
        <v>958</v>
      </c>
      <c r="S1949" t="s">
        <v>25</v>
      </c>
      <c r="T1949">
        <f>IF(TRIM(Table1[[#This Row],[PitStopLaps]])="",0,
LEN(Table1[[#This Row],[PitStopLaps]])-LEN(SUBSTITUTE(Table1[[#This Row],[PitStopLaps]],",",""))+1)</f>
        <v>2</v>
      </c>
      <c r="U1949">
        <f>Table1[[#This Row],[StartPosition]]-Table1[[#This Row],[FinishPosition]]</f>
        <v>0</v>
      </c>
    </row>
    <row r="1950" spans="1:21" x14ac:dyDescent="0.3">
      <c r="A1950">
        <v>2022</v>
      </c>
      <c r="B1950">
        <v>18</v>
      </c>
      <c r="C1950" t="s">
        <v>208</v>
      </c>
      <c r="D1950" t="s">
        <v>440</v>
      </c>
      <c r="E1950" t="s">
        <v>441</v>
      </c>
      <c r="F1950" t="s">
        <v>60</v>
      </c>
      <c r="G1950">
        <v>20</v>
      </c>
      <c r="H1950">
        <v>9</v>
      </c>
      <c r="I1950">
        <v>2</v>
      </c>
      <c r="J1950" t="s">
        <v>34</v>
      </c>
      <c r="K1950" t="s">
        <v>24</v>
      </c>
      <c r="L1950">
        <v>28</v>
      </c>
      <c r="M1950">
        <v>108.371</v>
      </c>
      <c r="N1950">
        <v>109.778909</v>
      </c>
      <c r="O1950">
        <v>39.335999999999999</v>
      </c>
      <c r="P1950">
        <v>48.034999999999997</v>
      </c>
      <c r="Q1950">
        <v>20.733000000000001</v>
      </c>
      <c r="R1950" t="s">
        <v>959</v>
      </c>
      <c r="S1950" t="s">
        <v>25</v>
      </c>
      <c r="T1950">
        <f>IF(TRIM(Table1[[#This Row],[PitStopLaps]])="",0,
LEN(Table1[[#This Row],[PitStopLaps]])-LEN(SUBSTITUTE(Table1[[#This Row],[PitStopLaps]],",",""))+1)</f>
        <v>2</v>
      </c>
      <c r="U1950">
        <f>Table1[[#This Row],[StartPosition]]-Table1[[#This Row],[FinishPosition]]</f>
        <v>11</v>
      </c>
    </row>
    <row r="1951" spans="1:21" x14ac:dyDescent="0.3">
      <c r="A1951">
        <v>2022</v>
      </c>
      <c r="B1951">
        <v>18</v>
      </c>
      <c r="C1951" t="s">
        <v>208</v>
      </c>
      <c r="D1951" t="s">
        <v>246</v>
      </c>
      <c r="E1951" t="s">
        <v>247</v>
      </c>
      <c r="F1951" t="s">
        <v>37</v>
      </c>
      <c r="G1951">
        <v>10</v>
      </c>
      <c r="H1951">
        <v>10</v>
      </c>
      <c r="I1951">
        <v>1</v>
      </c>
      <c r="J1951" t="s">
        <v>34</v>
      </c>
      <c r="K1951" t="s">
        <v>24</v>
      </c>
      <c r="L1951">
        <v>28</v>
      </c>
      <c r="M1951">
        <v>108.175</v>
      </c>
      <c r="N1951">
        <v>109.70885699999999</v>
      </c>
      <c r="O1951">
        <v>38.65</v>
      </c>
      <c r="P1951">
        <v>48.517000000000003</v>
      </c>
      <c r="Q1951">
        <v>20.850999999999999</v>
      </c>
      <c r="R1951" t="s">
        <v>961</v>
      </c>
      <c r="S1951" t="s">
        <v>25</v>
      </c>
      <c r="T1951">
        <f>IF(TRIM(Table1[[#This Row],[PitStopLaps]])="",0,
LEN(Table1[[#This Row],[PitStopLaps]])-LEN(SUBSTITUTE(Table1[[#This Row],[PitStopLaps]],",",""))+1)</f>
        <v>2</v>
      </c>
      <c r="U1951">
        <f>Table1[[#This Row],[StartPosition]]-Table1[[#This Row],[FinishPosition]]</f>
        <v>0</v>
      </c>
    </row>
    <row r="1952" spans="1:21" x14ac:dyDescent="0.3">
      <c r="A1952">
        <v>2022</v>
      </c>
      <c r="B1952">
        <v>18</v>
      </c>
      <c r="C1952" t="s">
        <v>208</v>
      </c>
      <c r="D1952" t="s">
        <v>31</v>
      </c>
      <c r="E1952" t="s">
        <v>32</v>
      </c>
      <c r="F1952" t="s">
        <v>37</v>
      </c>
      <c r="G1952">
        <v>11</v>
      </c>
      <c r="H1952">
        <v>11</v>
      </c>
      <c r="I1952">
        <v>0</v>
      </c>
      <c r="J1952" t="s">
        <v>34</v>
      </c>
      <c r="K1952" t="s">
        <v>24</v>
      </c>
      <c r="L1952">
        <v>28</v>
      </c>
      <c r="M1952">
        <v>107.843</v>
      </c>
      <c r="N1952">
        <v>110.177904</v>
      </c>
      <c r="O1952">
        <v>39.036000000000001</v>
      </c>
      <c r="P1952">
        <v>47.988</v>
      </c>
      <c r="Q1952">
        <v>20.745999999999999</v>
      </c>
      <c r="R1952" t="s">
        <v>213</v>
      </c>
      <c r="S1952" t="s">
        <v>25</v>
      </c>
      <c r="T1952">
        <f>IF(TRIM(Table1[[#This Row],[PitStopLaps]])="",0,
LEN(Table1[[#This Row],[PitStopLaps]])-LEN(SUBSTITUTE(Table1[[#This Row],[PitStopLaps]],",",""))+1)</f>
        <v>2</v>
      </c>
      <c r="U1952">
        <f>Table1[[#This Row],[StartPosition]]-Table1[[#This Row],[FinishPosition]]</f>
        <v>0</v>
      </c>
    </row>
    <row r="1953" spans="1:21" x14ac:dyDescent="0.3">
      <c r="A1953">
        <v>2022</v>
      </c>
      <c r="B1953">
        <v>18</v>
      </c>
      <c r="C1953" t="s">
        <v>208</v>
      </c>
      <c r="D1953" t="s">
        <v>58</v>
      </c>
      <c r="E1953" t="s">
        <v>59</v>
      </c>
      <c r="F1953" t="s">
        <v>603</v>
      </c>
      <c r="G1953">
        <v>19</v>
      </c>
      <c r="H1953">
        <v>12</v>
      </c>
      <c r="I1953">
        <v>0</v>
      </c>
      <c r="J1953" t="s">
        <v>34</v>
      </c>
      <c r="K1953" t="s">
        <v>24</v>
      </c>
      <c r="L1953">
        <v>28</v>
      </c>
      <c r="M1953">
        <v>105.205</v>
      </c>
      <c r="N1953">
        <v>109.213578</v>
      </c>
      <c r="O1953">
        <v>37.911999999999999</v>
      </c>
      <c r="P1953">
        <v>46.715000000000003</v>
      </c>
      <c r="Q1953">
        <v>20.475999999999999</v>
      </c>
      <c r="R1953" t="s">
        <v>962</v>
      </c>
      <c r="S1953" t="s">
        <v>25</v>
      </c>
      <c r="T1953">
        <f>IF(TRIM(Table1[[#This Row],[PitStopLaps]])="",0,
LEN(Table1[[#This Row],[PitStopLaps]])-LEN(SUBSTITUTE(Table1[[#This Row],[PitStopLaps]],",",""))+1)</f>
        <v>3</v>
      </c>
      <c r="U1953">
        <f>Table1[[#This Row],[StartPosition]]-Table1[[#This Row],[FinishPosition]]</f>
        <v>7</v>
      </c>
    </row>
    <row r="1954" spans="1:21" x14ac:dyDescent="0.3">
      <c r="A1954">
        <v>2022</v>
      </c>
      <c r="B1954">
        <v>18</v>
      </c>
      <c r="C1954" t="s">
        <v>208</v>
      </c>
      <c r="D1954" t="s">
        <v>601</v>
      </c>
      <c r="E1954" t="s">
        <v>602</v>
      </c>
      <c r="F1954" t="s">
        <v>438</v>
      </c>
      <c r="G1954">
        <v>13</v>
      </c>
      <c r="H1954">
        <v>13</v>
      </c>
      <c r="I1954">
        <v>0</v>
      </c>
      <c r="J1954" t="s">
        <v>34</v>
      </c>
      <c r="K1954" t="s">
        <v>24</v>
      </c>
      <c r="L1954">
        <v>28</v>
      </c>
      <c r="M1954">
        <v>105.893</v>
      </c>
      <c r="N1954">
        <v>109.235</v>
      </c>
      <c r="O1954">
        <v>38.143000000000001</v>
      </c>
      <c r="P1954">
        <v>47.209000000000003</v>
      </c>
      <c r="Q1954">
        <v>20.391999999999999</v>
      </c>
      <c r="R1954" t="s">
        <v>963</v>
      </c>
      <c r="S1954" t="s">
        <v>25</v>
      </c>
      <c r="T1954">
        <f>IF(TRIM(Table1[[#This Row],[PitStopLaps]])="",0,
LEN(Table1[[#This Row],[PitStopLaps]])-LEN(SUBSTITUTE(Table1[[#This Row],[PitStopLaps]],",",""))+1)</f>
        <v>3</v>
      </c>
      <c r="U1954">
        <f>Table1[[#This Row],[StartPosition]]-Table1[[#This Row],[FinishPosition]]</f>
        <v>0</v>
      </c>
    </row>
    <row r="1955" spans="1:21" x14ac:dyDescent="0.3">
      <c r="A1955">
        <v>2022</v>
      </c>
      <c r="B1955">
        <v>18</v>
      </c>
      <c r="C1955" t="s">
        <v>208</v>
      </c>
      <c r="D1955" t="s">
        <v>71</v>
      </c>
      <c r="E1955" t="s">
        <v>72</v>
      </c>
      <c r="F1955" t="s">
        <v>69</v>
      </c>
      <c r="G1955">
        <v>18</v>
      </c>
      <c r="H1955">
        <v>14</v>
      </c>
      <c r="I1955">
        <v>0</v>
      </c>
      <c r="J1955" t="s">
        <v>34</v>
      </c>
      <c r="K1955" t="s">
        <v>24</v>
      </c>
      <c r="L1955">
        <v>28</v>
      </c>
      <c r="M1955">
        <v>108.072</v>
      </c>
      <c r="N1955">
        <v>110.57033300000001</v>
      </c>
      <c r="O1955">
        <v>39.082000000000001</v>
      </c>
      <c r="P1955">
        <v>48.113999999999997</v>
      </c>
      <c r="Q1955">
        <v>20.817</v>
      </c>
      <c r="R1955" t="s">
        <v>958</v>
      </c>
      <c r="S1955" t="s">
        <v>25</v>
      </c>
      <c r="T1955">
        <f>IF(TRIM(Table1[[#This Row],[PitStopLaps]])="",0,
LEN(Table1[[#This Row],[PitStopLaps]])-LEN(SUBSTITUTE(Table1[[#This Row],[PitStopLaps]],",",""))+1)</f>
        <v>2</v>
      </c>
      <c r="U1955">
        <f>Table1[[#This Row],[StartPosition]]-Table1[[#This Row],[FinishPosition]]</f>
        <v>4</v>
      </c>
    </row>
    <row r="1956" spans="1:21" x14ac:dyDescent="0.3">
      <c r="A1956">
        <v>2022</v>
      </c>
      <c r="B1956">
        <v>18</v>
      </c>
      <c r="C1956" t="s">
        <v>208</v>
      </c>
      <c r="D1956" t="s">
        <v>43</v>
      </c>
      <c r="E1956" t="s">
        <v>44</v>
      </c>
      <c r="F1956" t="s">
        <v>789</v>
      </c>
      <c r="G1956">
        <v>12</v>
      </c>
      <c r="H1956">
        <v>15</v>
      </c>
      <c r="I1956">
        <v>0</v>
      </c>
      <c r="J1956" t="s">
        <v>34</v>
      </c>
      <c r="K1956" t="s">
        <v>24</v>
      </c>
      <c r="L1956">
        <v>28</v>
      </c>
      <c r="M1956">
        <v>107.82</v>
      </c>
      <c r="N1956">
        <v>110.269571</v>
      </c>
      <c r="O1956">
        <v>39.122999999999998</v>
      </c>
      <c r="P1956">
        <v>47.762</v>
      </c>
      <c r="Q1956">
        <v>20.754000000000001</v>
      </c>
      <c r="R1956" t="s">
        <v>961</v>
      </c>
      <c r="S1956" t="s">
        <v>25</v>
      </c>
      <c r="T1956">
        <f>IF(TRIM(Table1[[#This Row],[PitStopLaps]])="",0,
LEN(Table1[[#This Row],[PitStopLaps]])-LEN(SUBSTITUTE(Table1[[#This Row],[PitStopLaps]],",",""))+1)</f>
        <v>2</v>
      </c>
      <c r="U1956">
        <f>Table1[[#This Row],[StartPosition]]-Table1[[#This Row],[FinishPosition]]</f>
        <v>-3</v>
      </c>
    </row>
    <row r="1957" spans="1:21" x14ac:dyDescent="0.3">
      <c r="A1957">
        <v>2022</v>
      </c>
      <c r="B1957">
        <v>18</v>
      </c>
      <c r="C1957" t="s">
        <v>208</v>
      </c>
      <c r="D1957" t="s">
        <v>794</v>
      </c>
      <c r="E1957" t="s">
        <v>795</v>
      </c>
      <c r="F1957" t="s">
        <v>789</v>
      </c>
      <c r="G1957">
        <v>14</v>
      </c>
      <c r="H1957">
        <v>16</v>
      </c>
      <c r="I1957">
        <v>0</v>
      </c>
      <c r="J1957" t="s">
        <v>34</v>
      </c>
      <c r="K1957" t="s">
        <v>24</v>
      </c>
      <c r="L1957">
        <v>28</v>
      </c>
      <c r="M1957">
        <v>104.411</v>
      </c>
      <c r="N1957">
        <v>109.57542100000001</v>
      </c>
      <c r="O1957">
        <v>37.585999999999999</v>
      </c>
      <c r="P1957">
        <v>46.792000000000002</v>
      </c>
      <c r="Q1957">
        <v>20.033000000000001</v>
      </c>
      <c r="R1957" t="s">
        <v>964</v>
      </c>
      <c r="S1957" t="s">
        <v>25</v>
      </c>
      <c r="T1957">
        <f>IF(TRIM(Table1[[#This Row],[PitStopLaps]])="",0,
LEN(Table1[[#This Row],[PitStopLaps]])-LEN(SUBSTITUTE(Table1[[#This Row],[PitStopLaps]],",",""))+1)</f>
        <v>3</v>
      </c>
      <c r="U1957">
        <f>Table1[[#This Row],[StartPosition]]-Table1[[#This Row],[FinishPosition]]</f>
        <v>-2</v>
      </c>
    </row>
    <row r="1958" spans="1:21" x14ac:dyDescent="0.3">
      <c r="A1958">
        <v>2022</v>
      </c>
      <c r="B1958">
        <v>18</v>
      </c>
      <c r="C1958" t="s">
        <v>208</v>
      </c>
      <c r="D1958" t="s">
        <v>608</v>
      </c>
      <c r="E1958" t="s">
        <v>609</v>
      </c>
      <c r="F1958" t="s">
        <v>69</v>
      </c>
      <c r="G1958">
        <v>15</v>
      </c>
      <c r="H1958">
        <v>17</v>
      </c>
      <c r="I1958">
        <v>0</v>
      </c>
      <c r="J1958" t="s">
        <v>34</v>
      </c>
      <c r="K1958" t="s">
        <v>24</v>
      </c>
      <c r="L1958">
        <v>28</v>
      </c>
      <c r="M1958">
        <v>106.545</v>
      </c>
      <c r="N1958">
        <v>111.046476</v>
      </c>
      <c r="O1958">
        <v>38.130000000000003</v>
      </c>
      <c r="P1958">
        <v>47.404000000000003</v>
      </c>
      <c r="Q1958">
        <v>20.920999999999999</v>
      </c>
      <c r="R1958" t="s">
        <v>965</v>
      </c>
      <c r="S1958" t="s">
        <v>25</v>
      </c>
      <c r="T1958">
        <f>IF(TRIM(Table1[[#This Row],[PitStopLaps]])="",0,
LEN(Table1[[#This Row],[PitStopLaps]])-LEN(SUBSTITUTE(Table1[[#This Row],[PitStopLaps]],",",""))+1)</f>
        <v>2</v>
      </c>
      <c r="U1958">
        <f>Table1[[#This Row],[StartPosition]]-Table1[[#This Row],[FinishPosition]]</f>
        <v>-2</v>
      </c>
    </row>
    <row r="1959" spans="1:21" x14ac:dyDescent="0.3">
      <c r="A1959">
        <v>2022</v>
      </c>
      <c r="B1959">
        <v>18</v>
      </c>
      <c r="C1959" t="s">
        <v>208</v>
      </c>
      <c r="D1959" t="s">
        <v>73</v>
      </c>
      <c r="E1959" t="s">
        <v>74</v>
      </c>
      <c r="F1959" t="s">
        <v>438</v>
      </c>
      <c r="G1959">
        <v>17</v>
      </c>
      <c r="H1959">
        <v>18</v>
      </c>
      <c r="I1959">
        <v>0</v>
      </c>
      <c r="J1959" t="s">
        <v>34</v>
      </c>
      <c r="K1959" t="s">
        <v>24</v>
      </c>
      <c r="L1959">
        <v>28</v>
      </c>
      <c r="M1959">
        <v>105.387</v>
      </c>
      <c r="N1959">
        <v>109.45684199999999</v>
      </c>
      <c r="O1959">
        <v>37.837000000000003</v>
      </c>
      <c r="P1959">
        <v>46.9</v>
      </c>
      <c r="Q1959">
        <v>20.446000000000002</v>
      </c>
      <c r="R1959" t="s">
        <v>966</v>
      </c>
      <c r="S1959" t="s">
        <v>25</v>
      </c>
      <c r="T1959">
        <f>IF(TRIM(Table1[[#This Row],[PitStopLaps]])="",0,
LEN(Table1[[#This Row],[PitStopLaps]])-LEN(SUBSTITUTE(Table1[[#This Row],[PitStopLaps]],",",""))+1)</f>
        <v>4</v>
      </c>
      <c r="U1959">
        <f>Table1[[#This Row],[StartPosition]]-Table1[[#This Row],[FinishPosition]]</f>
        <v>-1</v>
      </c>
    </row>
    <row r="1960" spans="1:21" x14ac:dyDescent="0.3">
      <c r="A1960">
        <v>2022</v>
      </c>
      <c r="B1960">
        <v>18</v>
      </c>
      <c r="C1960" t="s">
        <v>208</v>
      </c>
      <c r="D1960" t="s">
        <v>47</v>
      </c>
      <c r="E1960" t="s">
        <v>48</v>
      </c>
      <c r="F1960" t="s">
        <v>22</v>
      </c>
      <c r="G1960">
        <v>3</v>
      </c>
      <c r="H1960">
        <v>19</v>
      </c>
      <c r="I1960">
        <v>0</v>
      </c>
      <c r="J1960" t="s">
        <v>34</v>
      </c>
      <c r="K1960" t="s">
        <v>123</v>
      </c>
      <c r="L1960">
        <v>1</v>
      </c>
      <c r="S1960" t="s">
        <v>25</v>
      </c>
      <c r="T1960">
        <f>IF(TRIM(Table1[[#This Row],[PitStopLaps]])="",0,
LEN(Table1[[#This Row],[PitStopLaps]])-LEN(SUBSTITUTE(Table1[[#This Row],[PitStopLaps]],",",""))+1)</f>
        <v>0</v>
      </c>
      <c r="U1960">
        <f>Table1[[#This Row],[StartPosition]]-Table1[[#This Row],[FinishPosition]]</f>
        <v>-16</v>
      </c>
    </row>
    <row r="1961" spans="1:21" x14ac:dyDescent="0.3">
      <c r="A1961">
        <v>2022</v>
      </c>
      <c r="B1961">
        <v>18</v>
      </c>
      <c r="C1961" t="s">
        <v>208</v>
      </c>
      <c r="D1961" t="s">
        <v>248</v>
      </c>
      <c r="E1961" t="s">
        <v>249</v>
      </c>
      <c r="F1961" t="s">
        <v>60</v>
      </c>
      <c r="G1961">
        <v>16</v>
      </c>
      <c r="H1961">
        <v>20</v>
      </c>
      <c r="I1961">
        <v>0</v>
      </c>
      <c r="J1961" t="s">
        <v>34</v>
      </c>
      <c r="K1961" t="s">
        <v>155</v>
      </c>
      <c r="L1961">
        <v>1</v>
      </c>
      <c r="S1961" t="s">
        <v>25</v>
      </c>
      <c r="T1961">
        <f>IF(TRIM(Table1[[#This Row],[PitStopLaps]])="",0,
LEN(Table1[[#This Row],[PitStopLaps]])-LEN(SUBSTITUTE(Table1[[#This Row],[PitStopLaps]],",",""))+1)</f>
        <v>0</v>
      </c>
      <c r="U1961">
        <f>Table1[[#This Row],[StartPosition]]-Table1[[#This Row],[FinishPosition]]</f>
        <v>-4</v>
      </c>
    </row>
    <row r="1962" spans="1:21" x14ac:dyDescent="0.3">
      <c r="A1962">
        <v>2022</v>
      </c>
      <c r="B1962">
        <v>19</v>
      </c>
      <c r="C1962" t="s">
        <v>214</v>
      </c>
      <c r="D1962" t="s">
        <v>38</v>
      </c>
      <c r="E1962" t="s">
        <v>39</v>
      </c>
      <c r="F1962" t="s">
        <v>33</v>
      </c>
      <c r="G1962">
        <v>2</v>
      </c>
      <c r="H1962">
        <v>1</v>
      </c>
      <c r="I1962">
        <v>25</v>
      </c>
      <c r="J1962" t="s">
        <v>23</v>
      </c>
      <c r="K1962" t="s">
        <v>24</v>
      </c>
      <c r="L1962">
        <v>56</v>
      </c>
      <c r="M1962">
        <v>99.540999999999997</v>
      </c>
      <c r="N1962">
        <v>101.18251100000001</v>
      </c>
      <c r="O1962">
        <v>26.876999999999999</v>
      </c>
      <c r="P1962">
        <v>39.756</v>
      </c>
      <c r="Q1962">
        <v>32.692</v>
      </c>
      <c r="R1962" t="s">
        <v>334</v>
      </c>
      <c r="S1962" t="s">
        <v>83</v>
      </c>
      <c r="T1962">
        <f>IF(TRIM(Table1[[#This Row],[PitStopLaps]])="",0,
LEN(Table1[[#This Row],[PitStopLaps]])-LEN(SUBSTITUTE(Table1[[#This Row],[PitStopLaps]],",",""))+1)</f>
        <v>2</v>
      </c>
      <c r="U1962">
        <f>Table1[[#This Row],[StartPosition]]-Table1[[#This Row],[FinishPosition]]</f>
        <v>1</v>
      </c>
    </row>
    <row r="1963" spans="1:21" x14ac:dyDescent="0.3">
      <c r="A1963">
        <v>2022</v>
      </c>
      <c r="B1963">
        <v>19</v>
      </c>
      <c r="C1963" t="s">
        <v>214</v>
      </c>
      <c r="D1963" t="s">
        <v>26</v>
      </c>
      <c r="E1963" t="s">
        <v>27</v>
      </c>
      <c r="F1963" t="s">
        <v>28</v>
      </c>
      <c r="G1963">
        <v>3</v>
      </c>
      <c r="H1963">
        <v>2</v>
      </c>
      <c r="I1963">
        <v>18</v>
      </c>
      <c r="J1963" t="s">
        <v>23</v>
      </c>
      <c r="K1963" t="s">
        <v>24</v>
      </c>
      <c r="L1963">
        <v>56</v>
      </c>
      <c r="M1963">
        <v>99.83</v>
      </c>
      <c r="N1963">
        <v>101.528953</v>
      </c>
      <c r="O1963">
        <v>26.856000000000002</v>
      </c>
      <c r="P1963">
        <v>40.139000000000003</v>
      </c>
      <c r="Q1963">
        <v>32.597999999999999</v>
      </c>
      <c r="R1963" t="s">
        <v>551</v>
      </c>
      <c r="S1963" t="s">
        <v>83</v>
      </c>
      <c r="T1963">
        <f>IF(TRIM(Table1[[#This Row],[PitStopLaps]])="",0,
LEN(Table1[[#This Row],[PitStopLaps]])-LEN(SUBSTITUTE(Table1[[#This Row],[PitStopLaps]],",",""))+1)</f>
        <v>2</v>
      </c>
      <c r="U1963">
        <f>Table1[[#This Row],[StartPosition]]-Table1[[#This Row],[FinishPosition]]</f>
        <v>1</v>
      </c>
    </row>
    <row r="1964" spans="1:21" x14ac:dyDescent="0.3">
      <c r="A1964">
        <v>2022</v>
      </c>
      <c r="B1964">
        <v>19</v>
      </c>
      <c r="C1964" t="s">
        <v>214</v>
      </c>
      <c r="D1964" t="s">
        <v>54</v>
      </c>
      <c r="E1964" t="s">
        <v>55</v>
      </c>
      <c r="F1964" t="s">
        <v>22</v>
      </c>
      <c r="G1964">
        <v>12</v>
      </c>
      <c r="H1964">
        <v>3</v>
      </c>
      <c r="I1964">
        <v>15</v>
      </c>
      <c r="J1964" t="s">
        <v>23</v>
      </c>
      <c r="K1964" t="s">
        <v>24</v>
      </c>
      <c r="L1964">
        <v>56</v>
      </c>
      <c r="M1964">
        <v>99.730999999999995</v>
      </c>
      <c r="N1964">
        <v>101.88075499999999</v>
      </c>
      <c r="O1964">
        <v>26.925000000000001</v>
      </c>
      <c r="P1964">
        <v>39.896999999999998</v>
      </c>
      <c r="Q1964">
        <v>32.793999999999997</v>
      </c>
      <c r="R1964" t="s">
        <v>279</v>
      </c>
      <c r="S1964" t="s">
        <v>83</v>
      </c>
      <c r="T1964">
        <f>IF(TRIM(Table1[[#This Row],[PitStopLaps]])="",0,
LEN(Table1[[#This Row],[PitStopLaps]])-LEN(SUBSTITUTE(Table1[[#This Row],[PitStopLaps]],",",""))+1)</f>
        <v>2</v>
      </c>
      <c r="U1964">
        <f>Table1[[#This Row],[StartPosition]]-Table1[[#This Row],[FinishPosition]]</f>
        <v>9</v>
      </c>
    </row>
    <row r="1965" spans="1:21" x14ac:dyDescent="0.3">
      <c r="A1965">
        <v>2022</v>
      </c>
      <c r="B1965">
        <v>19</v>
      </c>
      <c r="C1965" t="s">
        <v>214</v>
      </c>
      <c r="D1965" t="s">
        <v>49</v>
      </c>
      <c r="E1965" t="s">
        <v>50</v>
      </c>
      <c r="F1965" t="s">
        <v>33</v>
      </c>
      <c r="G1965">
        <v>9</v>
      </c>
      <c r="H1965">
        <v>4</v>
      </c>
      <c r="I1965">
        <v>12</v>
      </c>
      <c r="J1965" t="s">
        <v>34</v>
      </c>
      <c r="K1965" t="s">
        <v>24</v>
      </c>
      <c r="L1965">
        <v>56</v>
      </c>
      <c r="M1965">
        <v>99.563000000000002</v>
      </c>
      <c r="N1965">
        <v>101.680976</v>
      </c>
      <c r="O1965">
        <v>26.933</v>
      </c>
      <c r="P1965">
        <v>40.012</v>
      </c>
      <c r="Q1965">
        <v>32.406999999999996</v>
      </c>
      <c r="R1965" t="s">
        <v>184</v>
      </c>
      <c r="S1965" t="s">
        <v>83</v>
      </c>
      <c r="T1965">
        <f>IF(TRIM(Table1[[#This Row],[PitStopLaps]])="",0,
LEN(Table1[[#This Row],[PitStopLaps]])-LEN(SUBSTITUTE(Table1[[#This Row],[PitStopLaps]],",",""))+1)</f>
        <v>2</v>
      </c>
      <c r="U1965">
        <f>Table1[[#This Row],[StartPosition]]-Table1[[#This Row],[FinishPosition]]</f>
        <v>5</v>
      </c>
    </row>
    <row r="1966" spans="1:21" x14ac:dyDescent="0.3">
      <c r="A1966">
        <v>2022</v>
      </c>
      <c r="B1966">
        <v>19</v>
      </c>
      <c r="C1966" t="s">
        <v>214</v>
      </c>
      <c r="D1966" t="s">
        <v>252</v>
      </c>
      <c r="E1966" t="s">
        <v>253</v>
      </c>
      <c r="F1966" t="s">
        <v>28</v>
      </c>
      <c r="G1966">
        <v>4</v>
      </c>
      <c r="H1966">
        <v>5</v>
      </c>
      <c r="I1966">
        <v>11</v>
      </c>
      <c r="J1966" t="s">
        <v>34</v>
      </c>
      <c r="K1966" t="s">
        <v>24</v>
      </c>
      <c r="L1966">
        <v>56</v>
      </c>
      <c r="M1966">
        <v>98.787999999999997</v>
      </c>
      <c r="N1966">
        <v>101.982829</v>
      </c>
      <c r="O1966">
        <v>26.902999999999999</v>
      </c>
      <c r="P1966">
        <v>39.64</v>
      </c>
      <c r="Q1966">
        <v>32.244999999999997</v>
      </c>
      <c r="R1966" t="s">
        <v>967</v>
      </c>
      <c r="S1966" t="s">
        <v>83</v>
      </c>
      <c r="T1966">
        <f>IF(TRIM(Table1[[#This Row],[PitStopLaps]])="",0,
LEN(Table1[[#This Row],[PitStopLaps]])-LEN(SUBSTITUTE(Table1[[#This Row],[PitStopLaps]],",",""))+1)</f>
        <v>3</v>
      </c>
      <c r="U1966">
        <f>Table1[[#This Row],[StartPosition]]-Table1[[#This Row],[FinishPosition]]</f>
        <v>-1</v>
      </c>
    </row>
    <row r="1967" spans="1:21" x14ac:dyDescent="0.3">
      <c r="A1967">
        <v>2022</v>
      </c>
      <c r="B1967">
        <v>19</v>
      </c>
      <c r="C1967" t="s">
        <v>214</v>
      </c>
      <c r="D1967" t="s">
        <v>246</v>
      </c>
      <c r="E1967" t="s">
        <v>247</v>
      </c>
      <c r="F1967" t="s">
        <v>37</v>
      </c>
      <c r="G1967">
        <v>6</v>
      </c>
      <c r="H1967">
        <v>6</v>
      </c>
      <c r="I1967">
        <v>8</v>
      </c>
      <c r="J1967" t="s">
        <v>34</v>
      </c>
      <c r="K1967" t="s">
        <v>24</v>
      </c>
      <c r="L1967">
        <v>56</v>
      </c>
      <c r="M1967">
        <v>101.322</v>
      </c>
      <c r="N1967">
        <v>103.08151100000001</v>
      </c>
      <c r="O1967">
        <v>27.245000000000001</v>
      </c>
      <c r="P1967">
        <v>40.561999999999998</v>
      </c>
      <c r="Q1967">
        <v>33.067</v>
      </c>
      <c r="R1967" t="s">
        <v>525</v>
      </c>
      <c r="S1967" t="s">
        <v>83</v>
      </c>
      <c r="T1967">
        <f>IF(TRIM(Table1[[#This Row],[PitStopLaps]])="",0,
LEN(Table1[[#This Row],[PitStopLaps]])-LEN(SUBSTITUTE(Table1[[#This Row],[PitStopLaps]],",",""))+1)</f>
        <v>2</v>
      </c>
      <c r="U1967">
        <f>Table1[[#This Row],[StartPosition]]-Table1[[#This Row],[FinishPosition]]</f>
        <v>0</v>
      </c>
    </row>
    <row r="1968" spans="1:21" x14ac:dyDescent="0.3">
      <c r="A1968">
        <v>2022</v>
      </c>
      <c r="B1968">
        <v>19</v>
      </c>
      <c r="C1968" t="s">
        <v>214</v>
      </c>
      <c r="D1968" t="s">
        <v>35</v>
      </c>
      <c r="E1968" t="s">
        <v>36</v>
      </c>
      <c r="F1968" t="s">
        <v>607</v>
      </c>
      <c r="G1968">
        <v>14</v>
      </c>
      <c r="H1968">
        <v>7</v>
      </c>
      <c r="I1968">
        <v>6</v>
      </c>
      <c r="J1968" t="s">
        <v>34</v>
      </c>
      <c r="K1968" t="s">
        <v>24</v>
      </c>
      <c r="L1968">
        <v>56</v>
      </c>
      <c r="M1968">
        <v>101.804</v>
      </c>
      <c r="N1968">
        <v>103.519936</v>
      </c>
      <c r="O1968">
        <v>27.419</v>
      </c>
      <c r="P1968">
        <v>40.81</v>
      </c>
      <c r="Q1968">
        <v>33.402000000000001</v>
      </c>
      <c r="R1968" t="s">
        <v>968</v>
      </c>
      <c r="S1968" t="s">
        <v>83</v>
      </c>
      <c r="T1968">
        <f>IF(TRIM(Table1[[#This Row],[PitStopLaps]])="",0,
LEN(Table1[[#This Row],[PitStopLaps]])-LEN(SUBSTITUTE(Table1[[#This Row],[PitStopLaps]],",",""))+1)</f>
        <v>2</v>
      </c>
      <c r="U1968">
        <f>Table1[[#This Row],[StartPosition]]-Table1[[#This Row],[FinishPosition]]</f>
        <v>7</v>
      </c>
    </row>
    <row r="1969" spans="1:21" x14ac:dyDescent="0.3">
      <c r="A1969">
        <v>2022</v>
      </c>
      <c r="B1969">
        <v>19</v>
      </c>
      <c r="C1969" t="s">
        <v>214</v>
      </c>
      <c r="D1969" t="s">
        <v>20</v>
      </c>
      <c r="E1969" t="s">
        <v>21</v>
      </c>
      <c r="F1969" t="s">
        <v>603</v>
      </c>
      <c r="G1969">
        <v>10</v>
      </c>
      <c r="H1969">
        <v>8</v>
      </c>
      <c r="I1969">
        <v>4</v>
      </c>
      <c r="J1969" t="s">
        <v>34</v>
      </c>
      <c r="K1969" t="s">
        <v>24</v>
      </c>
      <c r="L1969">
        <v>56</v>
      </c>
      <c r="M1969">
        <v>101.538</v>
      </c>
      <c r="N1969">
        <v>102.915177</v>
      </c>
      <c r="O1969">
        <v>27.542000000000002</v>
      </c>
      <c r="P1969">
        <v>40.393000000000001</v>
      </c>
      <c r="Q1969">
        <v>33.155999999999999</v>
      </c>
      <c r="R1969" t="s">
        <v>146</v>
      </c>
      <c r="S1969" t="s">
        <v>83</v>
      </c>
      <c r="T1969">
        <f>IF(TRIM(Table1[[#This Row],[PitStopLaps]])="",0,
LEN(Table1[[#This Row],[PitStopLaps]])-LEN(SUBSTITUTE(Table1[[#This Row],[PitStopLaps]],",",""))+1)</f>
        <v>2</v>
      </c>
      <c r="U1969">
        <f>Table1[[#This Row],[StartPosition]]-Table1[[#This Row],[FinishPosition]]</f>
        <v>2</v>
      </c>
    </row>
    <row r="1970" spans="1:21" x14ac:dyDescent="0.3">
      <c r="A1970">
        <v>2022</v>
      </c>
      <c r="B1970">
        <v>19</v>
      </c>
      <c r="C1970" t="s">
        <v>214</v>
      </c>
      <c r="D1970" t="s">
        <v>71</v>
      </c>
      <c r="E1970" t="s">
        <v>72</v>
      </c>
      <c r="F1970" t="s">
        <v>69</v>
      </c>
      <c r="G1970">
        <v>13</v>
      </c>
      <c r="H1970">
        <v>9</v>
      </c>
      <c r="I1970">
        <v>2</v>
      </c>
      <c r="J1970" t="s">
        <v>34</v>
      </c>
      <c r="K1970" t="s">
        <v>24</v>
      </c>
      <c r="L1970">
        <v>56</v>
      </c>
      <c r="M1970">
        <v>102.54600000000001</v>
      </c>
      <c r="N1970">
        <v>103.98155300000001</v>
      </c>
      <c r="O1970">
        <v>27.587</v>
      </c>
      <c r="P1970">
        <v>41.112000000000002</v>
      </c>
      <c r="Q1970">
        <v>33.524999999999999</v>
      </c>
      <c r="R1970">
        <v>18</v>
      </c>
      <c r="S1970" t="s">
        <v>83</v>
      </c>
      <c r="T1970">
        <f>IF(TRIM(Table1[[#This Row],[PitStopLaps]])="",0,
LEN(Table1[[#This Row],[PitStopLaps]])-LEN(SUBSTITUTE(Table1[[#This Row],[PitStopLaps]],",",""))+1)</f>
        <v>1</v>
      </c>
      <c r="U1970">
        <f>Table1[[#This Row],[StartPosition]]-Table1[[#This Row],[FinishPosition]]</f>
        <v>4</v>
      </c>
    </row>
    <row r="1971" spans="1:21" x14ac:dyDescent="0.3">
      <c r="A1971">
        <v>2022</v>
      </c>
      <c r="B1971">
        <v>19</v>
      </c>
      <c r="C1971" t="s">
        <v>214</v>
      </c>
      <c r="D1971" t="s">
        <v>601</v>
      </c>
      <c r="E1971" t="s">
        <v>602</v>
      </c>
      <c r="F1971" t="s">
        <v>438</v>
      </c>
      <c r="G1971">
        <v>19</v>
      </c>
      <c r="H1971">
        <v>10</v>
      </c>
      <c r="I1971">
        <v>1</v>
      </c>
      <c r="J1971" t="s">
        <v>34</v>
      </c>
      <c r="K1971" t="s">
        <v>24</v>
      </c>
      <c r="L1971">
        <v>56</v>
      </c>
      <c r="M1971">
        <v>102.206</v>
      </c>
      <c r="N1971">
        <v>103.44060399999999</v>
      </c>
      <c r="O1971">
        <v>27.407</v>
      </c>
      <c r="P1971">
        <v>40.685000000000002</v>
      </c>
      <c r="Q1971">
        <v>33.454999999999998</v>
      </c>
      <c r="R1971" t="s">
        <v>549</v>
      </c>
      <c r="S1971" t="s">
        <v>83</v>
      </c>
      <c r="T1971">
        <f>IF(TRIM(Table1[[#This Row],[PitStopLaps]])="",0,
LEN(Table1[[#This Row],[PitStopLaps]])-LEN(SUBSTITUTE(Table1[[#This Row],[PitStopLaps]],",",""))+1)</f>
        <v>2</v>
      </c>
      <c r="U1971">
        <f>Table1[[#This Row],[StartPosition]]-Table1[[#This Row],[FinishPosition]]</f>
        <v>9</v>
      </c>
    </row>
    <row r="1972" spans="1:21" x14ac:dyDescent="0.3">
      <c r="A1972">
        <v>2022</v>
      </c>
      <c r="B1972">
        <v>19</v>
      </c>
      <c r="C1972" t="s">
        <v>214</v>
      </c>
      <c r="D1972" t="s">
        <v>52</v>
      </c>
      <c r="E1972" t="s">
        <v>53</v>
      </c>
      <c r="F1972" t="s">
        <v>607</v>
      </c>
      <c r="G1972">
        <v>0</v>
      </c>
      <c r="H1972">
        <v>11</v>
      </c>
      <c r="I1972">
        <v>0</v>
      </c>
      <c r="J1972" t="s">
        <v>34</v>
      </c>
      <c r="K1972" t="s">
        <v>24</v>
      </c>
      <c r="L1972">
        <v>56</v>
      </c>
      <c r="M1972">
        <v>101.24299999999999</v>
      </c>
      <c r="N1972">
        <v>103.58828800000001</v>
      </c>
      <c r="O1972">
        <v>27.155999999999999</v>
      </c>
      <c r="P1972">
        <v>40.613999999999997</v>
      </c>
      <c r="Q1972">
        <v>32.996000000000002</v>
      </c>
      <c r="R1972" t="s">
        <v>242</v>
      </c>
      <c r="S1972" t="s">
        <v>83</v>
      </c>
      <c r="T1972">
        <f>IF(TRIM(Table1[[#This Row],[PitStopLaps]])="",0,
LEN(Table1[[#This Row],[PitStopLaps]])-LEN(SUBSTITUTE(Table1[[#This Row],[PitStopLaps]],",",""))+1)</f>
        <v>2</v>
      </c>
      <c r="U1972">
        <f>Table1[[#This Row],[StartPosition]]-Table1[[#This Row],[FinishPosition]]</f>
        <v>-11</v>
      </c>
    </row>
    <row r="1973" spans="1:21" x14ac:dyDescent="0.3">
      <c r="A1973">
        <v>2022</v>
      </c>
      <c r="B1973">
        <v>19</v>
      </c>
      <c r="C1973" t="s">
        <v>214</v>
      </c>
      <c r="D1973" t="s">
        <v>794</v>
      </c>
      <c r="E1973" t="s">
        <v>795</v>
      </c>
      <c r="F1973" t="s">
        <v>789</v>
      </c>
      <c r="G1973">
        <v>18</v>
      </c>
      <c r="H1973">
        <v>12</v>
      </c>
      <c r="I1973">
        <v>0</v>
      </c>
      <c r="J1973" t="s">
        <v>34</v>
      </c>
      <c r="K1973" t="s">
        <v>24</v>
      </c>
      <c r="L1973">
        <v>56</v>
      </c>
      <c r="M1973">
        <v>102.39400000000001</v>
      </c>
      <c r="N1973">
        <v>103.8978</v>
      </c>
      <c r="O1973">
        <v>27.469000000000001</v>
      </c>
      <c r="P1973">
        <v>40.963999999999999</v>
      </c>
      <c r="Q1973">
        <v>33.591000000000001</v>
      </c>
      <c r="R1973" t="s">
        <v>862</v>
      </c>
      <c r="S1973" t="s">
        <v>83</v>
      </c>
      <c r="T1973">
        <f>IF(TRIM(Table1[[#This Row],[PitStopLaps]])="",0,
LEN(Table1[[#This Row],[PitStopLaps]])-LEN(SUBSTITUTE(Table1[[#This Row],[PitStopLaps]],",",""))+1)</f>
        <v>2</v>
      </c>
      <c r="U1973">
        <f>Table1[[#This Row],[StartPosition]]-Table1[[#This Row],[FinishPosition]]</f>
        <v>6</v>
      </c>
    </row>
    <row r="1974" spans="1:21" x14ac:dyDescent="0.3">
      <c r="A1974">
        <v>2022</v>
      </c>
      <c r="B1974">
        <v>19</v>
      </c>
      <c r="C1974" t="s">
        <v>214</v>
      </c>
      <c r="D1974" t="s">
        <v>248</v>
      </c>
      <c r="E1974" t="s">
        <v>249</v>
      </c>
      <c r="F1974" t="s">
        <v>60</v>
      </c>
      <c r="G1974">
        <v>8</v>
      </c>
      <c r="H1974">
        <v>13</v>
      </c>
      <c r="I1974">
        <v>0</v>
      </c>
      <c r="J1974" t="s">
        <v>34</v>
      </c>
      <c r="K1974" t="s">
        <v>24</v>
      </c>
      <c r="L1974">
        <v>56</v>
      </c>
      <c r="M1974">
        <v>102.471</v>
      </c>
      <c r="N1974">
        <v>103.947911</v>
      </c>
      <c r="O1974">
        <v>27.698</v>
      </c>
      <c r="P1974">
        <v>40.86</v>
      </c>
      <c r="Q1974">
        <v>33.869999999999997</v>
      </c>
      <c r="R1974" t="s">
        <v>901</v>
      </c>
      <c r="S1974" t="s">
        <v>83</v>
      </c>
      <c r="T1974">
        <f>IF(TRIM(Table1[[#This Row],[PitStopLaps]])="",0,
LEN(Table1[[#This Row],[PitStopLaps]])-LEN(SUBSTITUTE(Table1[[#This Row],[PitStopLaps]],",",""))+1)</f>
        <v>2</v>
      </c>
      <c r="U1974">
        <f>Table1[[#This Row],[StartPosition]]-Table1[[#This Row],[FinishPosition]]</f>
        <v>-5</v>
      </c>
    </row>
    <row r="1975" spans="1:21" x14ac:dyDescent="0.3">
      <c r="A1975">
        <v>2022</v>
      </c>
      <c r="B1975">
        <v>19</v>
      </c>
      <c r="C1975" t="s">
        <v>214</v>
      </c>
      <c r="D1975" t="s">
        <v>73</v>
      </c>
      <c r="E1975" t="s">
        <v>74</v>
      </c>
      <c r="F1975" t="s">
        <v>438</v>
      </c>
      <c r="G1975">
        <v>11</v>
      </c>
      <c r="H1975">
        <v>14</v>
      </c>
      <c r="I1975">
        <v>0</v>
      </c>
      <c r="J1975" t="s">
        <v>34</v>
      </c>
      <c r="K1975" t="s">
        <v>24</v>
      </c>
      <c r="L1975">
        <v>56</v>
      </c>
      <c r="M1975">
        <v>101.67400000000001</v>
      </c>
      <c r="N1975">
        <v>103.283232</v>
      </c>
      <c r="O1975">
        <v>27.228000000000002</v>
      </c>
      <c r="P1975">
        <v>40.762</v>
      </c>
      <c r="Q1975">
        <v>33.470999999999997</v>
      </c>
      <c r="R1975" t="s">
        <v>263</v>
      </c>
      <c r="S1975" t="s">
        <v>83</v>
      </c>
      <c r="T1975">
        <f>IF(TRIM(Table1[[#This Row],[PitStopLaps]])="",0,
LEN(Table1[[#This Row],[PitStopLaps]])-LEN(SUBSTITUTE(Table1[[#This Row],[PitStopLaps]],",",""))+1)</f>
        <v>2</v>
      </c>
      <c r="U1975">
        <f>Table1[[#This Row],[StartPosition]]-Table1[[#This Row],[FinishPosition]]</f>
        <v>-3</v>
      </c>
    </row>
    <row r="1976" spans="1:21" x14ac:dyDescent="0.3">
      <c r="A1976">
        <v>2022</v>
      </c>
      <c r="B1976">
        <v>19</v>
      </c>
      <c r="C1976" t="s">
        <v>214</v>
      </c>
      <c r="D1976" t="s">
        <v>608</v>
      </c>
      <c r="E1976" t="s">
        <v>609</v>
      </c>
      <c r="F1976" t="s">
        <v>69</v>
      </c>
      <c r="G1976">
        <v>16</v>
      </c>
      <c r="H1976">
        <v>15</v>
      </c>
      <c r="I1976">
        <v>0</v>
      </c>
      <c r="J1976" t="s">
        <v>34</v>
      </c>
      <c r="K1976" t="s">
        <v>24</v>
      </c>
      <c r="L1976">
        <v>56</v>
      </c>
      <c r="M1976">
        <v>102.32</v>
      </c>
      <c r="N1976">
        <v>103.82771099999999</v>
      </c>
      <c r="O1976">
        <v>27.613</v>
      </c>
      <c r="P1976">
        <v>40.951999999999998</v>
      </c>
      <c r="Q1976">
        <v>33.578000000000003</v>
      </c>
      <c r="R1976" t="s">
        <v>859</v>
      </c>
      <c r="S1976" t="s">
        <v>83</v>
      </c>
      <c r="T1976">
        <f>IF(TRIM(Table1[[#This Row],[PitStopLaps]])="",0,
LEN(Table1[[#This Row],[PitStopLaps]])-LEN(SUBSTITUTE(Table1[[#This Row],[PitStopLaps]],",",""))+1)</f>
        <v>2</v>
      </c>
      <c r="U1976">
        <f>Table1[[#This Row],[StartPosition]]-Table1[[#This Row],[FinishPosition]]</f>
        <v>1</v>
      </c>
    </row>
    <row r="1977" spans="1:21" x14ac:dyDescent="0.3">
      <c r="A1977">
        <v>2022</v>
      </c>
      <c r="B1977">
        <v>19</v>
      </c>
      <c r="C1977" t="s">
        <v>214</v>
      </c>
      <c r="D1977" t="s">
        <v>31</v>
      </c>
      <c r="E1977" t="s">
        <v>32</v>
      </c>
      <c r="F1977" t="s">
        <v>37</v>
      </c>
      <c r="G1977">
        <v>15</v>
      </c>
      <c r="H1977">
        <v>16</v>
      </c>
      <c r="I1977">
        <v>0</v>
      </c>
      <c r="J1977" t="s">
        <v>34</v>
      </c>
      <c r="K1977" t="s">
        <v>24</v>
      </c>
      <c r="L1977">
        <v>56</v>
      </c>
      <c r="M1977">
        <v>102.42</v>
      </c>
      <c r="N1977">
        <v>103.935069</v>
      </c>
      <c r="O1977">
        <v>27.532</v>
      </c>
      <c r="P1977">
        <v>41.145000000000003</v>
      </c>
      <c r="Q1977">
        <v>33.466000000000001</v>
      </c>
      <c r="R1977" t="s">
        <v>495</v>
      </c>
      <c r="S1977" t="s">
        <v>83</v>
      </c>
      <c r="T1977">
        <f>IF(TRIM(Table1[[#This Row],[PitStopLaps]])="",0,
LEN(Table1[[#This Row],[PitStopLaps]])-LEN(SUBSTITUTE(Table1[[#This Row],[PitStopLaps]],",",""))+1)</f>
        <v>2</v>
      </c>
      <c r="U1977">
        <f>Table1[[#This Row],[StartPosition]]-Table1[[#This Row],[FinishPosition]]</f>
        <v>-1</v>
      </c>
    </row>
    <row r="1978" spans="1:21" x14ac:dyDescent="0.3">
      <c r="A1978">
        <v>2022</v>
      </c>
      <c r="B1978">
        <v>19</v>
      </c>
      <c r="C1978" t="s">
        <v>214</v>
      </c>
      <c r="D1978" t="s">
        <v>440</v>
      </c>
      <c r="E1978" t="s">
        <v>441</v>
      </c>
      <c r="F1978" t="s">
        <v>60</v>
      </c>
      <c r="G1978">
        <v>17</v>
      </c>
      <c r="H1978">
        <v>17</v>
      </c>
      <c r="I1978">
        <v>0</v>
      </c>
      <c r="J1978" t="s">
        <v>34</v>
      </c>
      <c r="K1978" t="s">
        <v>24</v>
      </c>
      <c r="L1978">
        <v>56</v>
      </c>
      <c r="M1978">
        <v>103.485</v>
      </c>
      <c r="N1978">
        <v>104.493666</v>
      </c>
      <c r="O1978">
        <v>27.625</v>
      </c>
      <c r="P1978">
        <v>41.246000000000002</v>
      </c>
      <c r="Q1978">
        <v>34.219000000000001</v>
      </c>
      <c r="R1978" t="s">
        <v>969</v>
      </c>
      <c r="S1978" t="s">
        <v>83</v>
      </c>
      <c r="T1978">
        <f>IF(TRIM(Table1[[#This Row],[PitStopLaps]])="",0,
LEN(Table1[[#This Row],[PitStopLaps]])-LEN(SUBSTITUTE(Table1[[#This Row],[PitStopLaps]],",",""))+1)</f>
        <v>2</v>
      </c>
      <c r="U1978">
        <f>Table1[[#This Row],[StartPosition]]-Table1[[#This Row],[FinishPosition]]</f>
        <v>0</v>
      </c>
    </row>
    <row r="1979" spans="1:21" x14ac:dyDescent="0.3">
      <c r="A1979">
        <v>2022</v>
      </c>
      <c r="B1979">
        <v>19</v>
      </c>
      <c r="C1979" t="s">
        <v>214</v>
      </c>
      <c r="D1979" t="s">
        <v>58</v>
      </c>
      <c r="E1979" t="s">
        <v>59</v>
      </c>
      <c r="F1979" t="s">
        <v>603</v>
      </c>
      <c r="G1979">
        <v>5</v>
      </c>
      <c r="H1979">
        <v>18</v>
      </c>
      <c r="I1979">
        <v>0</v>
      </c>
      <c r="J1979" t="s">
        <v>34</v>
      </c>
      <c r="K1979" t="s">
        <v>124</v>
      </c>
      <c r="L1979">
        <v>22</v>
      </c>
      <c r="M1979">
        <v>103.08</v>
      </c>
      <c r="N1979">
        <v>104.01464199999999</v>
      </c>
      <c r="O1979">
        <v>27.896999999999998</v>
      </c>
      <c r="P1979">
        <v>41.067999999999998</v>
      </c>
      <c r="Q1979">
        <v>33.744</v>
      </c>
      <c r="R1979">
        <v>15</v>
      </c>
      <c r="S1979" t="s">
        <v>83</v>
      </c>
      <c r="T1979">
        <f>IF(TRIM(Table1[[#This Row],[PitStopLaps]])="",0,
LEN(Table1[[#This Row],[PitStopLaps]])-LEN(SUBSTITUTE(Table1[[#This Row],[PitStopLaps]],",",""))+1)</f>
        <v>1</v>
      </c>
      <c r="U1979">
        <f>Table1[[#This Row],[StartPosition]]-Table1[[#This Row],[FinishPosition]]</f>
        <v>-13</v>
      </c>
    </row>
    <row r="1980" spans="1:21" x14ac:dyDescent="0.3">
      <c r="A1980">
        <v>2022</v>
      </c>
      <c r="B1980">
        <v>19</v>
      </c>
      <c r="C1980" t="s">
        <v>214</v>
      </c>
      <c r="D1980" t="s">
        <v>43</v>
      </c>
      <c r="E1980" t="s">
        <v>44</v>
      </c>
      <c r="F1980" t="s">
        <v>789</v>
      </c>
      <c r="G1980">
        <v>7</v>
      </c>
      <c r="H1980">
        <v>19</v>
      </c>
      <c r="I1980">
        <v>0</v>
      </c>
      <c r="J1980" t="s">
        <v>34</v>
      </c>
      <c r="K1980" t="s">
        <v>338</v>
      </c>
      <c r="L1980">
        <v>17</v>
      </c>
      <c r="M1980">
        <v>103.39100000000001</v>
      </c>
      <c r="N1980">
        <v>104.20192299999999</v>
      </c>
      <c r="O1980">
        <v>27.79</v>
      </c>
      <c r="P1980">
        <v>41.207000000000001</v>
      </c>
      <c r="Q1980">
        <v>33.908000000000001</v>
      </c>
      <c r="R1980">
        <v>10</v>
      </c>
      <c r="S1980" t="s">
        <v>83</v>
      </c>
      <c r="T1980">
        <f>IF(TRIM(Table1[[#This Row],[PitStopLaps]])="",0,
LEN(Table1[[#This Row],[PitStopLaps]])-LEN(SUBSTITUTE(Table1[[#This Row],[PitStopLaps]],",",""))+1)</f>
        <v>1</v>
      </c>
      <c r="U1980">
        <f>Table1[[#This Row],[StartPosition]]-Table1[[#This Row],[FinishPosition]]</f>
        <v>-12</v>
      </c>
    </row>
    <row r="1981" spans="1:21" x14ac:dyDescent="0.3">
      <c r="A1981">
        <v>2022</v>
      </c>
      <c r="B1981">
        <v>19</v>
      </c>
      <c r="C1981" t="s">
        <v>214</v>
      </c>
      <c r="D1981" t="s">
        <v>47</v>
      </c>
      <c r="E1981" t="s">
        <v>48</v>
      </c>
      <c r="F1981" t="s">
        <v>22</v>
      </c>
      <c r="G1981">
        <v>1</v>
      </c>
      <c r="H1981">
        <v>20</v>
      </c>
      <c r="I1981">
        <v>0</v>
      </c>
      <c r="J1981" t="s">
        <v>34</v>
      </c>
      <c r="K1981" t="s">
        <v>109</v>
      </c>
      <c r="L1981">
        <v>1</v>
      </c>
      <c r="R1981">
        <v>1</v>
      </c>
      <c r="S1981" t="s">
        <v>83</v>
      </c>
      <c r="T1981">
        <f>IF(TRIM(Table1[[#This Row],[PitStopLaps]])="",0,
LEN(Table1[[#This Row],[PitStopLaps]])-LEN(SUBSTITUTE(Table1[[#This Row],[PitStopLaps]],",",""))+1)</f>
        <v>1</v>
      </c>
      <c r="U1981">
        <f>Table1[[#This Row],[StartPosition]]-Table1[[#This Row],[FinishPosition]]</f>
        <v>-19</v>
      </c>
    </row>
    <row r="1982" spans="1:21" x14ac:dyDescent="0.3">
      <c r="A1982">
        <v>2022</v>
      </c>
      <c r="B1982">
        <v>20</v>
      </c>
      <c r="C1982" t="s">
        <v>736</v>
      </c>
      <c r="D1982" t="s">
        <v>38</v>
      </c>
      <c r="E1982" t="s">
        <v>39</v>
      </c>
      <c r="F1982" t="s">
        <v>33</v>
      </c>
      <c r="G1982">
        <v>1</v>
      </c>
      <c r="H1982">
        <v>1</v>
      </c>
      <c r="I1982">
        <v>25</v>
      </c>
      <c r="J1982" t="s">
        <v>23</v>
      </c>
      <c r="K1982" t="s">
        <v>24</v>
      </c>
      <c r="L1982">
        <v>71</v>
      </c>
      <c r="M1982">
        <v>82.046000000000006</v>
      </c>
      <c r="N1982">
        <v>82.747893000000005</v>
      </c>
      <c r="O1982">
        <v>29.026</v>
      </c>
      <c r="P1982">
        <v>31.718</v>
      </c>
      <c r="Q1982">
        <v>21.097000000000001</v>
      </c>
      <c r="R1982">
        <v>25</v>
      </c>
      <c r="S1982" t="s">
        <v>83</v>
      </c>
      <c r="T1982">
        <f>IF(TRIM(Table1[[#This Row],[PitStopLaps]])="",0,
LEN(Table1[[#This Row],[PitStopLaps]])-LEN(SUBSTITUTE(Table1[[#This Row],[PitStopLaps]],",",""))+1)</f>
        <v>1</v>
      </c>
      <c r="U1982">
        <f>Table1[[#This Row],[StartPosition]]-Table1[[#This Row],[FinishPosition]]</f>
        <v>0</v>
      </c>
    </row>
    <row r="1983" spans="1:21" x14ac:dyDescent="0.3">
      <c r="A1983">
        <v>2022</v>
      </c>
      <c r="B1983">
        <v>20</v>
      </c>
      <c r="C1983" t="s">
        <v>736</v>
      </c>
      <c r="D1983" t="s">
        <v>26</v>
      </c>
      <c r="E1983" t="s">
        <v>27</v>
      </c>
      <c r="F1983" t="s">
        <v>28</v>
      </c>
      <c r="G1983">
        <v>3</v>
      </c>
      <c r="H1983">
        <v>2</v>
      </c>
      <c r="I1983">
        <v>18</v>
      </c>
      <c r="J1983" t="s">
        <v>23</v>
      </c>
      <c r="K1983" t="s">
        <v>24</v>
      </c>
      <c r="L1983">
        <v>71</v>
      </c>
      <c r="M1983">
        <v>82.061999999999998</v>
      </c>
      <c r="N1983">
        <v>82.921195999999995</v>
      </c>
      <c r="O1983">
        <v>28.593</v>
      </c>
      <c r="P1983">
        <v>31.795000000000002</v>
      </c>
      <c r="Q1983">
        <v>21.123999999999999</v>
      </c>
      <c r="R1983">
        <v>29</v>
      </c>
      <c r="S1983" t="s">
        <v>83</v>
      </c>
      <c r="T1983">
        <f>IF(TRIM(Table1[[#This Row],[PitStopLaps]])="",0,
LEN(Table1[[#This Row],[PitStopLaps]])-LEN(SUBSTITUTE(Table1[[#This Row],[PitStopLaps]],",",""))+1)</f>
        <v>1</v>
      </c>
      <c r="U1983">
        <f>Table1[[#This Row],[StartPosition]]-Table1[[#This Row],[FinishPosition]]</f>
        <v>1</v>
      </c>
    </row>
    <row r="1984" spans="1:21" x14ac:dyDescent="0.3">
      <c r="A1984">
        <v>2022</v>
      </c>
      <c r="B1984">
        <v>20</v>
      </c>
      <c r="C1984" t="s">
        <v>736</v>
      </c>
      <c r="D1984" t="s">
        <v>49</v>
      </c>
      <c r="E1984" t="s">
        <v>50</v>
      </c>
      <c r="F1984" t="s">
        <v>33</v>
      </c>
      <c r="G1984">
        <v>4</v>
      </c>
      <c r="H1984">
        <v>3</v>
      </c>
      <c r="I1984">
        <v>15</v>
      </c>
      <c r="J1984" t="s">
        <v>23</v>
      </c>
      <c r="K1984" t="s">
        <v>24</v>
      </c>
      <c r="L1984">
        <v>71</v>
      </c>
      <c r="M1984">
        <v>81.775000000000006</v>
      </c>
      <c r="N1984">
        <v>82.929378</v>
      </c>
      <c r="O1984">
        <v>28.402999999999999</v>
      </c>
      <c r="P1984">
        <v>31.68</v>
      </c>
      <c r="Q1984">
        <v>21.213999999999999</v>
      </c>
      <c r="R1984">
        <v>23</v>
      </c>
      <c r="S1984" t="s">
        <v>83</v>
      </c>
      <c r="T1984">
        <f>IF(TRIM(Table1[[#This Row],[PitStopLaps]])="",0,
LEN(Table1[[#This Row],[PitStopLaps]])-LEN(SUBSTITUTE(Table1[[#This Row],[PitStopLaps]],",",""))+1)</f>
        <v>1</v>
      </c>
      <c r="U1984">
        <f>Table1[[#This Row],[StartPosition]]-Table1[[#This Row],[FinishPosition]]</f>
        <v>1</v>
      </c>
    </row>
    <row r="1985" spans="1:21" x14ac:dyDescent="0.3">
      <c r="A1985">
        <v>2022</v>
      </c>
      <c r="B1985">
        <v>20</v>
      </c>
      <c r="C1985" t="s">
        <v>736</v>
      </c>
      <c r="D1985" t="s">
        <v>252</v>
      </c>
      <c r="E1985" t="s">
        <v>253</v>
      </c>
      <c r="F1985" t="s">
        <v>28</v>
      </c>
      <c r="G1985">
        <v>2</v>
      </c>
      <c r="H1985">
        <v>4</v>
      </c>
      <c r="I1985">
        <v>13</v>
      </c>
      <c r="J1985" t="s">
        <v>34</v>
      </c>
      <c r="K1985" t="s">
        <v>24</v>
      </c>
      <c r="L1985">
        <v>71</v>
      </c>
      <c r="M1985">
        <v>80.153000000000006</v>
      </c>
      <c r="N1985">
        <v>82.973061999999999</v>
      </c>
      <c r="O1985">
        <v>28.186</v>
      </c>
      <c r="P1985">
        <v>31.082000000000001</v>
      </c>
      <c r="Q1985">
        <v>20.885000000000002</v>
      </c>
      <c r="R1985" t="s">
        <v>970</v>
      </c>
      <c r="S1985" t="s">
        <v>83</v>
      </c>
      <c r="T1985">
        <f>IF(TRIM(Table1[[#This Row],[PitStopLaps]])="",0,
LEN(Table1[[#This Row],[PitStopLaps]])-LEN(SUBSTITUTE(Table1[[#This Row],[PitStopLaps]],",",""))+1)</f>
        <v>2</v>
      </c>
      <c r="U1985">
        <f>Table1[[#This Row],[StartPosition]]-Table1[[#This Row],[FinishPosition]]</f>
        <v>-2</v>
      </c>
    </row>
    <row r="1986" spans="1:21" x14ac:dyDescent="0.3">
      <c r="A1986">
        <v>2022</v>
      </c>
      <c r="B1986">
        <v>20</v>
      </c>
      <c r="C1986" t="s">
        <v>736</v>
      </c>
      <c r="D1986" t="s">
        <v>47</v>
      </c>
      <c r="E1986" t="s">
        <v>48</v>
      </c>
      <c r="F1986" t="s">
        <v>22</v>
      </c>
      <c r="G1986">
        <v>5</v>
      </c>
      <c r="H1986">
        <v>5</v>
      </c>
      <c r="I1986">
        <v>10</v>
      </c>
      <c r="J1986" t="s">
        <v>34</v>
      </c>
      <c r="K1986" t="s">
        <v>24</v>
      </c>
      <c r="L1986">
        <v>71</v>
      </c>
      <c r="M1986">
        <v>82.198999999999998</v>
      </c>
      <c r="N1986">
        <v>83.493194000000003</v>
      </c>
      <c r="O1986">
        <v>28.623999999999999</v>
      </c>
      <c r="P1986">
        <v>31.995999999999999</v>
      </c>
      <c r="Q1986">
        <v>21.28</v>
      </c>
      <c r="R1986">
        <v>29</v>
      </c>
      <c r="S1986" t="s">
        <v>83</v>
      </c>
      <c r="T1986">
        <f>IF(TRIM(Table1[[#This Row],[PitStopLaps]])="",0,
LEN(Table1[[#This Row],[PitStopLaps]])-LEN(SUBSTITUTE(Table1[[#This Row],[PitStopLaps]],",",""))+1)</f>
        <v>1</v>
      </c>
      <c r="U1986">
        <f>Table1[[#This Row],[StartPosition]]-Table1[[#This Row],[FinishPosition]]</f>
        <v>0</v>
      </c>
    </row>
    <row r="1987" spans="1:21" x14ac:dyDescent="0.3">
      <c r="A1987">
        <v>2022</v>
      </c>
      <c r="B1987">
        <v>20</v>
      </c>
      <c r="C1987" t="s">
        <v>736</v>
      </c>
      <c r="D1987" t="s">
        <v>54</v>
      </c>
      <c r="E1987" t="s">
        <v>55</v>
      </c>
      <c r="F1987" t="s">
        <v>22</v>
      </c>
      <c r="G1987">
        <v>7</v>
      </c>
      <c r="H1987">
        <v>6</v>
      </c>
      <c r="I1987">
        <v>8</v>
      </c>
      <c r="J1987" t="s">
        <v>34</v>
      </c>
      <c r="K1987" t="s">
        <v>24</v>
      </c>
      <c r="L1987">
        <v>71</v>
      </c>
      <c r="M1987">
        <v>82.602999999999994</v>
      </c>
      <c r="N1987">
        <v>83.655118999999999</v>
      </c>
      <c r="O1987">
        <v>28.66</v>
      </c>
      <c r="P1987">
        <v>31.995999999999999</v>
      </c>
      <c r="Q1987">
        <v>21.317</v>
      </c>
      <c r="R1987">
        <v>28</v>
      </c>
      <c r="S1987" t="s">
        <v>83</v>
      </c>
      <c r="T1987">
        <f>IF(TRIM(Table1[[#This Row],[PitStopLaps]])="",0,
LEN(Table1[[#This Row],[PitStopLaps]])-LEN(SUBSTITUTE(Table1[[#This Row],[PitStopLaps]],",",""))+1)</f>
        <v>1</v>
      </c>
      <c r="U1987">
        <f>Table1[[#This Row],[StartPosition]]-Table1[[#This Row],[FinishPosition]]</f>
        <v>1</v>
      </c>
    </row>
    <row r="1988" spans="1:21" x14ac:dyDescent="0.3">
      <c r="A1988">
        <v>2022</v>
      </c>
      <c r="B1988">
        <v>20</v>
      </c>
      <c r="C1988" t="s">
        <v>736</v>
      </c>
      <c r="D1988" t="s">
        <v>31</v>
      </c>
      <c r="E1988" t="s">
        <v>32</v>
      </c>
      <c r="F1988" t="s">
        <v>37</v>
      </c>
      <c r="G1988">
        <v>11</v>
      </c>
      <c r="H1988">
        <v>7</v>
      </c>
      <c r="I1988">
        <v>6</v>
      </c>
      <c r="J1988" t="s">
        <v>34</v>
      </c>
      <c r="K1988" t="s">
        <v>65</v>
      </c>
      <c r="L1988">
        <v>70</v>
      </c>
      <c r="M1988">
        <v>82.022000000000006</v>
      </c>
      <c r="N1988">
        <v>84.193922999999998</v>
      </c>
      <c r="O1988">
        <v>28.599</v>
      </c>
      <c r="P1988">
        <v>31.893999999999998</v>
      </c>
      <c r="Q1988">
        <v>21.228999999999999</v>
      </c>
      <c r="R1988">
        <v>44</v>
      </c>
      <c r="S1988" t="s">
        <v>83</v>
      </c>
      <c r="T1988">
        <f>IF(TRIM(Table1[[#This Row],[PitStopLaps]])="",0,
LEN(Table1[[#This Row],[PitStopLaps]])-LEN(SUBSTITUTE(Table1[[#This Row],[PitStopLaps]],",",""))+1)</f>
        <v>1</v>
      </c>
      <c r="U1988">
        <f>Table1[[#This Row],[StartPosition]]-Table1[[#This Row],[FinishPosition]]</f>
        <v>4</v>
      </c>
    </row>
    <row r="1989" spans="1:21" x14ac:dyDescent="0.3">
      <c r="A1989">
        <v>2022</v>
      </c>
      <c r="B1989">
        <v>20</v>
      </c>
      <c r="C1989" t="s">
        <v>736</v>
      </c>
      <c r="D1989" t="s">
        <v>52</v>
      </c>
      <c r="E1989" t="s">
        <v>53</v>
      </c>
      <c r="F1989" t="s">
        <v>607</v>
      </c>
      <c r="G1989">
        <v>10</v>
      </c>
      <c r="H1989">
        <v>8</v>
      </c>
      <c r="I1989">
        <v>4</v>
      </c>
      <c r="J1989" t="s">
        <v>34</v>
      </c>
      <c r="K1989" t="s">
        <v>65</v>
      </c>
      <c r="L1989">
        <v>70</v>
      </c>
      <c r="M1989">
        <v>83.278999999999996</v>
      </c>
      <c r="N1989">
        <v>84.354383999999996</v>
      </c>
      <c r="O1989">
        <v>28.875</v>
      </c>
      <c r="P1989">
        <v>32.445999999999998</v>
      </c>
      <c r="Q1989">
        <v>21.52</v>
      </c>
      <c r="R1989">
        <v>33</v>
      </c>
      <c r="S1989" t="s">
        <v>83</v>
      </c>
      <c r="T1989">
        <f>IF(TRIM(Table1[[#This Row],[PitStopLaps]])="",0,
LEN(Table1[[#This Row],[PitStopLaps]])-LEN(SUBSTITUTE(Table1[[#This Row],[PitStopLaps]],",",""))+1)</f>
        <v>1</v>
      </c>
      <c r="U1989">
        <f>Table1[[#This Row],[StartPosition]]-Table1[[#This Row],[FinishPosition]]</f>
        <v>2</v>
      </c>
    </row>
    <row r="1990" spans="1:21" x14ac:dyDescent="0.3">
      <c r="A1990">
        <v>2022</v>
      </c>
      <c r="B1990">
        <v>20</v>
      </c>
      <c r="C1990" t="s">
        <v>736</v>
      </c>
      <c r="D1990" t="s">
        <v>246</v>
      </c>
      <c r="E1990" t="s">
        <v>247</v>
      </c>
      <c r="F1990" t="s">
        <v>37</v>
      </c>
      <c r="G1990">
        <v>8</v>
      </c>
      <c r="H1990">
        <v>9</v>
      </c>
      <c r="I1990">
        <v>2</v>
      </c>
      <c r="J1990" t="s">
        <v>34</v>
      </c>
      <c r="K1990" t="s">
        <v>65</v>
      </c>
      <c r="L1990">
        <v>70</v>
      </c>
      <c r="M1990">
        <v>83.402000000000001</v>
      </c>
      <c r="N1990">
        <v>84.409768999999997</v>
      </c>
      <c r="O1990">
        <v>28.856000000000002</v>
      </c>
      <c r="P1990">
        <v>32.378</v>
      </c>
      <c r="Q1990">
        <v>21.568000000000001</v>
      </c>
      <c r="R1990">
        <v>31</v>
      </c>
      <c r="S1990" t="s">
        <v>83</v>
      </c>
      <c r="T1990">
        <f>IF(TRIM(Table1[[#This Row],[PitStopLaps]])="",0,
LEN(Table1[[#This Row],[PitStopLaps]])-LEN(SUBSTITUTE(Table1[[#This Row],[PitStopLaps]],",",""))+1)</f>
        <v>1</v>
      </c>
      <c r="U1990">
        <f>Table1[[#This Row],[StartPosition]]-Table1[[#This Row],[FinishPosition]]</f>
        <v>-1</v>
      </c>
    </row>
    <row r="1991" spans="1:21" x14ac:dyDescent="0.3">
      <c r="A1991">
        <v>2022</v>
      </c>
      <c r="B1991">
        <v>20</v>
      </c>
      <c r="C1991" t="s">
        <v>736</v>
      </c>
      <c r="D1991" t="s">
        <v>43</v>
      </c>
      <c r="E1991" t="s">
        <v>44</v>
      </c>
      <c r="F1991" t="s">
        <v>789</v>
      </c>
      <c r="G1991">
        <v>6</v>
      </c>
      <c r="H1991">
        <v>10</v>
      </c>
      <c r="I1991">
        <v>1</v>
      </c>
      <c r="J1991" t="s">
        <v>34</v>
      </c>
      <c r="K1991" t="s">
        <v>65</v>
      </c>
      <c r="L1991">
        <v>70</v>
      </c>
      <c r="M1991">
        <v>83.363</v>
      </c>
      <c r="N1991">
        <v>84.421969000000004</v>
      </c>
      <c r="O1991">
        <v>28.844999999999999</v>
      </c>
      <c r="P1991">
        <v>32.383000000000003</v>
      </c>
      <c r="Q1991">
        <v>21.655000000000001</v>
      </c>
      <c r="R1991">
        <v>39</v>
      </c>
      <c r="S1991" t="s">
        <v>83</v>
      </c>
      <c r="T1991">
        <f>IF(TRIM(Table1[[#This Row],[PitStopLaps]])="",0,
LEN(Table1[[#This Row],[PitStopLaps]])-LEN(SUBSTITUTE(Table1[[#This Row],[PitStopLaps]],",",""))+1)</f>
        <v>1</v>
      </c>
      <c r="U1991">
        <f>Table1[[#This Row],[StartPosition]]-Table1[[#This Row],[FinishPosition]]</f>
        <v>-4</v>
      </c>
    </row>
    <row r="1992" spans="1:21" x14ac:dyDescent="0.3">
      <c r="A1992">
        <v>2022</v>
      </c>
      <c r="B1992">
        <v>20</v>
      </c>
      <c r="C1992" t="s">
        <v>736</v>
      </c>
      <c r="D1992" t="s">
        <v>73</v>
      </c>
      <c r="E1992" t="s">
        <v>74</v>
      </c>
      <c r="F1992" t="s">
        <v>438</v>
      </c>
      <c r="G1992">
        <v>14</v>
      </c>
      <c r="H1992">
        <v>11</v>
      </c>
      <c r="I1992">
        <v>0</v>
      </c>
      <c r="J1992" t="s">
        <v>34</v>
      </c>
      <c r="K1992" t="s">
        <v>65</v>
      </c>
      <c r="L1992">
        <v>70</v>
      </c>
      <c r="M1992">
        <v>82.277000000000001</v>
      </c>
      <c r="N1992">
        <v>84.349090000000004</v>
      </c>
      <c r="O1992">
        <v>28.71</v>
      </c>
      <c r="P1992">
        <v>32.125</v>
      </c>
      <c r="Q1992">
        <v>21.206</v>
      </c>
      <c r="R1992">
        <v>40</v>
      </c>
      <c r="S1992" t="s">
        <v>83</v>
      </c>
      <c r="T1992">
        <f>IF(TRIM(Table1[[#This Row],[PitStopLaps]])="",0,
LEN(Table1[[#This Row],[PitStopLaps]])-LEN(SUBSTITUTE(Table1[[#This Row],[PitStopLaps]],",",""))+1)</f>
        <v>1</v>
      </c>
      <c r="U1992">
        <f>Table1[[#This Row],[StartPosition]]-Table1[[#This Row],[FinishPosition]]</f>
        <v>3</v>
      </c>
    </row>
    <row r="1993" spans="1:21" x14ac:dyDescent="0.3">
      <c r="A1993">
        <v>2022</v>
      </c>
      <c r="B1993">
        <v>20</v>
      </c>
      <c r="C1993" t="s">
        <v>736</v>
      </c>
      <c r="D1993" t="s">
        <v>248</v>
      </c>
      <c r="E1993" t="s">
        <v>249</v>
      </c>
      <c r="F1993" t="s">
        <v>60</v>
      </c>
      <c r="G1993">
        <v>17</v>
      </c>
      <c r="H1993">
        <v>12</v>
      </c>
      <c r="I1993">
        <v>0</v>
      </c>
      <c r="J1993" t="s">
        <v>34</v>
      </c>
      <c r="K1993" t="s">
        <v>65</v>
      </c>
      <c r="L1993">
        <v>70</v>
      </c>
      <c r="M1993">
        <v>82.914000000000001</v>
      </c>
      <c r="N1993">
        <v>84.436938999999995</v>
      </c>
      <c r="O1993">
        <v>28.895</v>
      </c>
      <c r="P1993">
        <v>32.414999999999999</v>
      </c>
      <c r="Q1993">
        <v>21.481999999999999</v>
      </c>
      <c r="R1993">
        <v>38</v>
      </c>
      <c r="S1993" t="s">
        <v>83</v>
      </c>
      <c r="T1993">
        <f>IF(TRIM(Table1[[#This Row],[PitStopLaps]])="",0,
LEN(Table1[[#This Row],[PitStopLaps]])-LEN(SUBSTITUTE(Table1[[#This Row],[PitStopLaps]],",",""))+1)</f>
        <v>1</v>
      </c>
      <c r="U1993">
        <f>Table1[[#This Row],[StartPosition]]-Table1[[#This Row],[FinishPosition]]</f>
        <v>5</v>
      </c>
    </row>
    <row r="1994" spans="1:21" x14ac:dyDescent="0.3">
      <c r="A1994">
        <v>2022</v>
      </c>
      <c r="B1994">
        <v>20</v>
      </c>
      <c r="C1994" t="s">
        <v>736</v>
      </c>
      <c r="D1994" t="s">
        <v>794</v>
      </c>
      <c r="E1994" t="s">
        <v>795</v>
      </c>
      <c r="F1994" t="s">
        <v>789</v>
      </c>
      <c r="G1994">
        <v>12</v>
      </c>
      <c r="H1994">
        <v>13</v>
      </c>
      <c r="I1994">
        <v>0</v>
      </c>
      <c r="J1994" t="s">
        <v>34</v>
      </c>
      <c r="K1994" t="s">
        <v>65</v>
      </c>
      <c r="L1994">
        <v>70</v>
      </c>
      <c r="M1994">
        <v>82.26</v>
      </c>
      <c r="N1994">
        <v>84.627574999999993</v>
      </c>
      <c r="O1994">
        <v>28.638999999999999</v>
      </c>
      <c r="P1994">
        <v>31.904</v>
      </c>
      <c r="Q1994">
        <v>21.236000000000001</v>
      </c>
      <c r="R1994">
        <v>45</v>
      </c>
      <c r="S1994" t="s">
        <v>83</v>
      </c>
      <c r="T1994">
        <f>IF(TRIM(Table1[[#This Row],[PitStopLaps]])="",0,
LEN(Table1[[#This Row],[PitStopLaps]])-LEN(SUBSTITUTE(Table1[[#This Row],[PitStopLaps]],",",""))+1)</f>
        <v>1</v>
      </c>
      <c r="U1994">
        <f>Table1[[#This Row],[StartPosition]]-Table1[[#This Row],[FinishPosition]]</f>
        <v>-1</v>
      </c>
    </row>
    <row r="1995" spans="1:21" x14ac:dyDescent="0.3">
      <c r="A1995">
        <v>2022</v>
      </c>
      <c r="B1995">
        <v>20</v>
      </c>
      <c r="C1995" t="s">
        <v>736</v>
      </c>
      <c r="D1995" t="s">
        <v>20</v>
      </c>
      <c r="E1995" t="s">
        <v>21</v>
      </c>
      <c r="F1995" t="s">
        <v>603</v>
      </c>
      <c r="G1995">
        <v>16</v>
      </c>
      <c r="H1995">
        <v>14</v>
      </c>
      <c r="I1995">
        <v>0</v>
      </c>
      <c r="J1995" t="s">
        <v>34</v>
      </c>
      <c r="K1995" t="s">
        <v>65</v>
      </c>
      <c r="L1995">
        <v>70</v>
      </c>
      <c r="M1995">
        <v>83.085999999999999</v>
      </c>
      <c r="N1995">
        <v>84.684635999999998</v>
      </c>
      <c r="O1995">
        <v>29.032</v>
      </c>
      <c r="P1995">
        <v>32.265999999999998</v>
      </c>
      <c r="Q1995">
        <v>21.370999999999999</v>
      </c>
      <c r="R1995">
        <v>38</v>
      </c>
      <c r="S1995" t="s">
        <v>83</v>
      </c>
      <c r="T1995">
        <f>IF(TRIM(Table1[[#This Row],[PitStopLaps]])="",0,
LEN(Table1[[#This Row],[PitStopLaps]])-LEN(SUBSTITUTE(Table1[[#This Row],[PitStopLaps]],",",""))+1)</f>
        <v>1</v>
      </c>
      <c r="U1995">
        <f>Table1[[#This Row],[StartPosition]]-Table1[[#This Row],[FinishPosition]]</f>
        <v>2</v>
      </c>
    </row>
    <row r="1996" spans="1:21" x14ac:dyDescent="0.3">
      <c r="A1996">
        <v>2022</v>
      </c>
      <c r="B1996">
        <v>20</v>
      </c>
      <c r="C1996" t="s">
        <v>736</v>
      </c>
      <c r="D1996" t="s">
        <v>58</v>
      </c>
      <c r="E1996" t="s">
        <v>59</v>
      </c>
      <c r="F1996" t="s">
        <v>603</v>
      </c>
      <c r="G1996">
        <v>20</v>
      </c>
      <c r="H1996">
        <v>15</v>
      </c>
      <c r="I1996">
        <v>0</v>
      </c>
      <c r="J1996" t="s">
        <v>34</v>
      </c>
      <c r="K1996" t="s">
        <v>65</v>
      </c>
      <c r="L1996">
        <v>70</v>
      </c>
      <c r="M1996">
        <v>82.462999999999994</v>
      </c>
      <c r="N1996">
        <v>84.484264999999994</v>
      </c>
      <c r="O1996">
        <v>29.027999999999999</v>
      </c>
      <c r="P1996">
        <v>32.005000000000003</v>
      </c>
      <c r="Q1996">
        <v>21.106000000000002</v>
      </c>
      <c r="R1996" t="s">
        <v>971</v>
      </c>
      <c r="S1996" t="s">
        <v>83</v>
      </c>
      <c r="T1996">
        <f>IF(TRIM(Table1[[#This Row],[PitStopLaps]])="",0,
LEN(Table1[[#This Row],[PitStopLaps]])-LEN(SUBSTITUTE(Table1[[#This Row],[PitStopLaps]],",",""))+1)</f>
        <v>2</v>
      </c>
      <c r="U1996">
        <f>Table1[[#This Row],[StartPosition]]-Table1[[#This Row],[FinishPosition]]</f>
        <v>5</v>
      </c>
    </row>
    <row r="1997" spans="1:21" x14ac:dyDescent="0.3">
      <c r="A1997">
        <v>2022</v>
      </c>
      <c r="B1997">
        <v>20</v>
      </c>
      <c r="C1997" t="s">
        <v>736</v>
      </c>
      <c r="D1997" t="s">
        <v>608</v>
      </c>
      <c r="E1997" t="s">
        <v>609</v>
      </c>
      <c r="F1997" t="s">
        <v>69</v>
      </c>
      <c r="G1997">
        <v>15</v>
      </c>
      <c r="H1997">
        <v>16</v>
      </c>
      <c r="I1997">
        <v>0</v>
      </c>
      <c r="J1997" t="s">
        <v>34</v>
      </c>
      <c r="K1997" t="s">
        <v>65</v>
      </c>
      <c r="L1997">
        <v>70</v>
      </c>
      <c r="M1997">
        <v>83.641000000000005</v>
      </c>
      <c r="N1997">
        <v>84.937106</v>
      </c>
      <c r="O1997">
        <v>29.07</v>
      </c>
      <c r="P1997">
        <v>32.682000000000002</v>
      </c>
      <c r="Q1997">
        <v>21.641999999999999</v>
      </c>
      <c r="R1997">
        <v>24</v>
      </c>
      <c r="S1997" t="s">
        <v>83</v>
      </c>
      <c r="T1997">
        <f>IF(TRIM(Table1[[#This Row],[PitStopLaps]])="",0,
LEN(Table1[[#This Row],[PitStopLaps]])-LEN(SUBSTITUTE(Table1[[#This Row],[PitStopLaps]],",",""))+1)</f>
        <v>1</v>
      </c>
      <c r="U1997">
        <f>Table1[[#This Row],[StartPosition]]-Table1[[#This Row],[FinishPosition]]</f>
        <v>-1</v>
      </c>
    </row>
    <row r="1998" spans="1:21" x14ac:dyDescent="0.3">
      <c r="A1998">
        <v>2022</v>
      </c>
      <c r="B1998">
        <v>20</v>
      </c>
      <c r="C1998" t="s">
        <v>736</v>
      </c>
      <c r="D1998" t="s">
        <v>71</v>
      </c>
      <c r="E1998" t="s">
        <v>72</v>
      </c>
      <c r="F1998" t="s">
        <v>69</v>
      </c>
      <c r="G1998">
        <v>19</v>
      </c>
      <c r="H1998">
        <v>17</v>
      </c>
      <c r="I1998">
        <v>0</v>
      </c>
      <c r="J1998" t="s">
        <v>34</v>
      </c>
      <c r="K1998" t="s">
        <v>65</v>
      </c>
      <c r="L1998">
        <v>70</v>
      </c>
      <c r="M1998">
        <v>83.3</v>
      </c>
      <c r="N1998">
        <v>84.948229999999995</v>
      </c>
      <c r="O1998">
        <v>29.187000000000001</v>
      </c>
      <c r="P1998">
        <v>32.381999999999998</v>
      </c>
      <c r="Q1998">
        <v>21.654</v>
      </c>
      <c r="R1998">
        <v>38</v>
      </c>
      <c r="S1998" t="s">
        <v>83</v>
      </c>
      <c r="T1998">
        <f>IF(TRIM(Table1[[#This Row],[PitStopLaps]])="",0,
LEN(Table1[[#This Row],[PitStopLaps]])-LEN(SUBSTITUTE(Table1[[#This Row],[PitStopLaps]],",",""))+1)</f>
        <v>1</v>
      </c>
      <c r="U1998">
        <f>Table1[[#This Row],[StartPosition]]-Table1[[#This Row],[FinishPosition]]</f>
        <v>2</v>
      </c>
    </row>
    <row r="1999" spans="1:21" x14ac:dyDescent="0.3">
      <c r="A1999">
        <v>2022</v>
      </c>
      <c r="B1999">
        <v>20</v>
      </c>
      <c r="C1999" t="s">
        <v>736</v>
      </c>
      <c r="D1999" t="s">
        <v>440</v>
      </c>
      <c r="E1999" t="s">
        <v>441</v>
      </c>
      <c r="F1999" t="s">
        <v>60</v>
      </c>
      <c r="G1999">
        <v>18</v>
      </c>
      <c r="H1999">
        <v>18</v>
      </c>
      <c r="I1999">
        <v>0</v>
      </c>
      <c r="J1999" t="s">
        <v>34</v>
      </c>
      <c r="K1999" t="s">
        <v>127</v>
      </c>
      <c r="L1999">
        <v>69</v>
      </c>
      <c r="M1999">
        <v>83.709000000000003</v>
      </c>
      <c r="N1999">
        <v>85.498205999999996</v>
      </c>
      <c r="O1999">
        <v>28.835000000000001</v>
      </c>
      <c r="P1999">
        <v>32.844000000000001</v>
      </c>
      <c r="Q1999">
        <v>21.710999999999999</v>
      </c>
      <c r="R1999" t="s">
        <v>972</v>
      </c>
      <c r="S1999" t="s">
        <v>83</v>
      </c>
      <c r="T1999">
        <f>IF(TRIM(Table1[[#This Row],[PitStopLaps]])="",0,
LEN(Table1[[#This Row],[PitStopLaps]])-LEN(SUBSTITUTE(Table1[[#This Row],[PitStopLaps]],",",""))+1)</f>
        <v>2</v>
      </c>
      <c r="U1999">
        <f>Table1[[#This Row],[StartPosition]]-Table1[[#This Row],[FinishPosition]]</f>
        <v>0</v>
      </c>
    </row>
    <row r="2000" spans="1:21" x14ac:dyDescent="0.3">
      <c r="A2000">
        <v>2022</v>
      </c>
      <c r="B2000">
        <v>20</v>
      </c>
      <c r="C2000" t="s">
        <v>736</v>
      </c>
      <c r="D2000" t="s">
        <v>35</v>
      </c>
      <c r="E2000" t="s">
        <v>36</v>
      </c>
      <c r="F2000" t="s">
        <v>607</v>
      </c>
      <c r="G2000">
        <v>9</v>
      </c>
      <c r="H2000">
        <v>19</v>
      </c>
      <c r="I2000">
        <v>0</v>
      </c>
      <c r="J2000" t="s">
        <v>34</v>
      </c>
      <c r="K2000" t="s">
        <v>75</v>
      </c>
      <c r="L2000">
        <v>64</v>
      </c>
      <c r="M2000">
        <v>82.866</v>
      </c>
      <c r="N2000">
        <v>84.425432999999998</v>
      </c>
      <c r="O2000">
        <v>29.347999999999999</v>
      </c>
      <c r="P2000">
        <v>32.128</v>
      </c>
      <c r="Q2000">
        <v>21.338999999999999</v>
      </c>
      <c r="R2000">
        <v>40</v>
      </c>
      <c r="S2000" t="s">
        <v>83</v>
      </c>
      <c r="T2000">
        <f>IF(TRIM(Table1[[#This Row],[PitStopLaps]])="",0,
LEN(Table1[[#This Row],[PitStopLaps]])-LEN(SUBSTITUTE(Table1[[#This Row],[PitStopLaps]],",",""))+1)</f>
        <v>1</v>
      </c>
      <c r="U2000">
        <f>Table1[[#This Row],[StartPosition]]-Table1[[#This Row],[FinishPosition]]</f>
        <v>-10</v>
      </c>
    </row>
    <row r="2001" spans="1:21" x14ac:dyDescent="0.3">
      <c r="A2001">
        <v>2022</v>
      </c>
      <c r="B2001">
        <v>20</v>
      </c>
      <c r="C2001" t="s">
        <v>736</v>
      </c>
      <c r="D2001" t="s">
        <v>601</v>
      </c>
      <c r="E2001" t="s">
        <v>602</v>
      </c>
      <c r="F2001" t="s">
        <v>438</v>
      </c>
      <c r="G2001">
        <v>13</v>
      </c>
      <c r="H2001">
        <v>20</v>
      </c>
      <c r="I2001">
        <v>0</v>
      </c>
      <c r="J2001" t="s">
        <v>34</v>
      </c>
      <c r="K2001" t="s">
        <v>109</v>
      </c>
      <c r="L2001">
        <v>50</v>
      </c>
      <c r="M2001">
        <v>83.403000000000006</v>
      </c>
      <c r="N2001">
        <v>84.553259999999995</v>
      </c>
      <c r="O2001">
        <v>28.866</v>
      </c>
      <c r="P2001">
        <v>32.683999999999997</v>
      </c>
      <c r="Q2001">
        <v>21.600999999999999</v>
      </c>
      <c r="R2001" t="s">
        <v>973</v>
      </c>
      <c r="S2001" t="s">
        <v>83</v>
      </c>
      <c r="T2001">
        <f>IF(TRIM(Table1[[#This Row],[PitStopLaps]])="",0,
LEN(Table1[[#This Row],[PitStopLaps]])-LEN(SUBSTITUTE(Table1[[#This Row],[PitStopLaps]],",",""))+1)</f>
        <v>2</v>
      </c>
      <c r="U2001">
        <f>Table1[[#This Row],[StartPosition]]-Table1[[#This Row],[FinishPosition]]</f>
        <v>-7</v>
      </c>
    </row>
    <row r="2002" spans="1:21" x14ac:dyDescent="0.3">
      <c r="A2002">
        <v>2022</v>
      </c>
      <c r="B2002">
        <v>21</v>
      </c>
      <c r="C2002" t="s">
        <v>741</v>
      </c>
      <c r="D2002" t="s">
        <v>252</v>
      </c>
      <c r="E2002" t="s">
        <v>253</v>
      </c>
      <c r="F2002" t="s">
        <v>28</v>
      </c>
      <c r="G2002">
        <v>1</v>
      </c>
      <c r="H2002">
        <v>1</v>
      </c>
      <c r="I2002">
        <v>26</v>
      </c>
      <c r="J2002" t="s">
        <v>23</v>
      </c>
      <c r="K2002" t="s">
        <v>24</v>
      </c>
      <c r="L2002">
        <v>71</v>
      </c>
      <c r="M2002">
        <v>73.784999999999997</v>
      </c>
      <c r="N2002">
        <v>75.676574000000002</v>
      </c>
      <c r="O2002">
        <v>18.998000000000001</v>
      </c>
      <c r="P2002">
        <v>37.564999999999998</v>
      </c>
      <c r="Q2002">
        <v>17.010000000000002</v>
      </c>
      <c r="R2002" t="s">
        <v>448</v>
      </c>
      <c r="S2002" t="s">
        <v>83</v>
      </c>
      <c r="T2002">
        <f>IF(TRIM(Table1[[#This Row],[PitStopLaps]])="",0,
LEN(Table1[[#This Row],[PitStopLaps]])-LEN(SUBSTITUTE(Table1[[#This Row],[PitStopLaps]],",",""))+1)</f>
        <v>2</v>
      </c>
      <c r="U2002">
        <f>Table1[[#This Row],[StartPosition]]-Table1[[#This Row],[FinishPosition]]</f>
        <v>0</v>
      </c>
    </row>
    <row r="2003" spans="1:21" x14ac:dyDescent="0.3">
      <c r="A2003">
        <v>2022</v>
      </c>
      <c r="B2003">
        <v>21</v>
      </c>
      <c r="C2003" t="s">
        <v>741</v>
      </c>
      <c r="D2003" t="s">
        <v>26</v>
      </c>
      <c r="E2003" t="s">
        <v>27</v>
      </c>
      <c r="F2003" t="s">
        <v>28</v>
      </c>
      <c r="G2003">
        <v>2</v>
      </c>
      <c r="H2003">
        <v>2</v>
      </c>
      <c r="I2003">
        <v>18</v>
      </c>
      <c r="J2003" t="s">
        <v>23</v>
      </c>
      <c r="K2003" t="s">
        <v>24</v>
      </c>
      <c r="L2003">
        <v>71</v>
      </c>
      <c r="M2003">
        <v>73.941999999999993</v>
      </c>
      <c r="N2003">
        <v>75.837406999999999</v>
      </c>
      <c r="O2003">
        <v>18.966000000000001</v>
      </c>
      <c r="P2003">
        <v>37.792000000000002</v>
      </c>
      <c r="Q2003">
        <v>17.084</v>
      </c>
      <c r="R2003" t="s">
        <v>895</v>
      </c>
      <c r="S2003" t="s">
        <v>83</v>
      </c>
      <c r="T2003">
        <f>IF(TRIM(Table1[[#This Row],[PitStopLaps]])="",0,
LEN(Table1[[#This Row],[PitStopLaps]])-LEN(SUBSTITUTE(Table1[[#This Row],[PitStopLaps]],",",""))+1)</f>
        <v>2</v>
      </c>
      <c r="U2003">
        <f>Table1[[#This Row],[StartPosition]]-Table1[[#This Row],[FinishPosition]]</f>
        <v>0</v>
      </c>
    </row>
    <row r="2004" spans="1:21" x14ac:dyDescent="0.3">
      <c r="A2004">
        <v>2022</v>
      </c>
      <c r="B2004">
        <v>21</v>
      </c>
      <c r="C2004" t="s">
        <v>741</v>
      </c>
      <c r="D2004" t="s">
        <v>47</v>
      </c>
      <c r="E2004" t="s">
        <v>48</v>
      </c>
      <c r="F2004" t="s">
        <v>22</v>
      </c>
      <c r="G2004">
        <v>7</v>
      </c>
      <c r="H2004">
        <v>3</v>
      </c>
      <c r="I2004">
        <v>15</v>
      </c>
      <c r="J2004" t="s">
        <v>23</v>
      </c>
      <c r="K2004" t="s">
        <v>24</v>
      </c>
      <c r="L2004">
        <v>71</v>
      </c>
      <c r="M2004">
        <v>73.953000000000003</v>
      </c>
      <c r="N2004">
        <v>75.753962000000001</v>
      </c>
      <c r="O2004">
        <v>18.869</v>
      </c>
      <c r="P2004">
        <v>37.723999999999997</v>
      </c>
      <c r="Q2004">
        <v>16.940999999999999</v>
      </c>
      <c r="R2004" t="s">
        <v>974</v>
      </c>
      <c r="S2004" t="s">
        <v>83</v>
      </c>
      <c r="T2004">
        <f>IF(TRIM(Table1[[#This Row],[PitStopLaps]])="",0,
LEN(Table1[[#This Row],[PitStopLaps]])-LEN(SUBSTITUTE(Table1[[#This Row],[PitStopLaps]],",",""))+1)</f>
        <v>3</v>
      </c>
      <c r="U2004">
        <f>Table1[[#This Row],[StartPosition]]-Table1[[#This Row],[FinishPosition]]</f>
        <v>4</v>
      </c>
    </row>
    <row r="2005" spans="1:21" x14ac:dyDescent="0.3">
      <c r="A2005">
        <v>2022</v>
      </c>
      <c r="B2005">
        <v>21</v>
      </c>
      <c r="C2005" t="s">
        <v>741</v>
      </c>
      <c r="D2005" t="s">
        <v>54</v>
      </c>
      <c r="E2005" t="s">
        <v>55</v>
      </c>
      <c r="F2005" t="s">
        <v>22</v>
      </c>
      <c r="G2005">
        <v>5</v>
      </c>
      <c r="H2005">
        <v>4</v>
      </c>
      <c r="I2005">
        <v>12</v>
      </c>
      <c r="J2005" t="s">
        <v>34</v>
      </c>
      <c r="K2005" t="s">
        <v>24</v>
      </c>
      <c r="L2005">
        <v>71</v>
      </c>
      <c r="M2005">
        <v>74.253</v>
      </c>
      <c r="N2005">
        <v>75.913137000000006</v>
      </c>
      <c r="O2005">
        <v>18.744</v>
      </c>
      <c r="P2005">
        <v>38.051000000000002</v>
      </c>
      <c r="Q2005">
        <v>16.966000000000001</v>
      </c>
      <c r="R2005" t="s">
        <v>975</v>
      </c>
      <c r="S2005" t="s">
        <v>83</v>
      </c>
      <c r="T2005">
        <f>IF(TRIM(Table1[[#This Row],[PitStopLaps]])="",0,
LEN(Table1[[#This Row],[PitStopLaps]])-LEN(SUBSTITUTE(Table1[[#This Row],[PitStopLaps]],",",""))+1)</f>
        <v>3</v>
      </c>
      <c r="U2005">
        <f>Table1[[#This Row],[StartPosition]]-Table1[[#This Row],[FinishPosition]]</f>
        <v>1</v>
      </c>
    </row>
    <row r="2006" spans="1:21" x14ac:dyDescent="0.3">
      <c r="A2006">
        <v>2022</v>
      </c>
      <c r="B2006">
        <v>21</v>
      </c>
      <c r="C2006" t="s">
        <v>741</v>
      </c>
      <c r="D2006" t="s">
        <v>35</v>
      </c>
      <c r="E2006" t="s">
        <v>36</v>
      </c>
      <c r="F2006" t="s">
        <v>607</v>
      </c>
      <c r="G2006">
        <v>17</v>
      </c>
      <c r="H2006">
        <v>5</v>
      </c>
      <c r="I2006">
        <v>10</v>
      </c>
      <c r="J2006" t="s">
        <v>34</v>
      </c>
      <c r="K2006" t="s">
        <v>24</v>
      </c>
      <c r="L2006">
        <v>71</v>
      </c>
      <c r="M2006">
        <v>74.164000000000001</v>
      </c>
      <c r="N2006">
        <v>76.316678999999993</v>
      </c>
      <c r="O2006">
        <v>18.855</v>
      </c>
      <c r="P2006">
        <v>37.941000000000003</v>
      </c>
      <c r="Q2006">
        <v>16.968</v>
      </c>
      <c r="R2006" t="s">
        <v>976</v>
      </c>
      <c r="S2006" t="s">
        <v>83</v>
      </c>
      <c r="T2006">
        <f>IF(TRIM(Table1[[#This Row],[PitStopLaps]])="",0,
LEN(Table1[[#This Row],[PitStopLaps]])-LEN(SUBSTITUTE(Table1[[#This Row],[PitStopLaps]],",",""))+1)</f>
        <v>3</v>
      </c>
      <c r="U2006">
        <f>Table1[[#This Row],[StartPosition]]-Table1[[#This Row],[FinishPosition]]</f>
        <v>12</v>
      </c>
    </row>
    <row r="2007" spans="1:21" x14ac:dyDescent="0.3">
      <c r="A2007">
        <v>2022</v>
      </c>
      <c r="B2007">
        <v>21</v>
      </c>
      <c r="C2007" t="s">
        <v>741</v>
      </c>
      <c r="D2007" t="s">
        <v>38</v>
      </c>
      <c r="E2007" t="s">
        <v>39</v>
      </c>
      <c r="F2007" t="s">
        <v>33</v>
      </c>
      <c r="G2007">
        <v>3</v>
      </c>
      <c r="H2007">
        <v>6</v>
      </c>
      <c r="I2007">
        <v>8</v>
      </c>
      <c r="J2007" t="s">
        <v>34</v>
      </c>
      <c r="K2007" t="s">
        <v>24</v>
      </c>
      <c r="L2007">
        <v>71</v>
      </c>
      <c r="M2007">
        <v>74.194999999999993</v>
      </c>
      <c r="N2007">
        <v>75.991803000000004</v>
      </c>
      <c r="O2007">
        <v>18.914999999999999</v>
      </c>
      <c r="P2007">
        <v>38.067999999999998</v>
      </c>
      <c r="Q2007">
        <v>16.957999999999998</v>
      </c>
      <c r="R2007" t="s">
        <v>977</v>
      </c>
      <c r="S2007" t="s">
        <v>83</v>
      </c>
      <c r="T2007">
        <f>IF(TRIM(Table1[[#This Row],[PitStopLaps]])="",0,
LEN(Table1[[#This Row],[PitStopLaps]])-LEN(SUBSTITUTE(Table1[[#This Row],[PitStopLaps]],",",""))+1)</f>
        <v>3</v>
      </c>
      <c r="U2007">
        <f>Table1[[#This Row],[StartPosition]]-Table1[[#This Row],[FinishPosition]]</f>
        <v>-3</v>
      </c>
    </row>
    <row r="2008" spans="1:21" x14ac:dyDescent="0.3">
      <c r="A2008">
        <v>2022</v>
      </c>
      <c r="B2008">
        <v>21</v>
      </c>
      <c r="C2008" t="s">
        <v>741</v>
      </c>
      <c r="D2008" t="s">
        <v>49</v>
      </c>
      <c r="E2008" t="s">
        <v>50</v>
      </c>
      <c r="F2008" t="s">
        <v>33</v>
      </c>
      <c r="G2008">
        <v>4</v>
      </c>
      <c r="H2008">
        <v>7</v>
      </c>
      <c r="I2008">
        <v>6</v>
      </c>
      <c r="J2008" t="s">
        <v>34</v>
      </c>
      <c r="K2008" t="s">
        <v>24</v>
      </c>
      <c r="L2008">
        <v>71</v>
      </c>
      <c r="M2008">
        <v>74.283000000000001</v>
      </c>
      <c r="N2008">
        <v>76.112313999999998</v>
      </c>
      <c r="O2008">
        <v>19.128</v>
      </c>
      <c r="P2008">
        <v>38.006</v>
      </c>
      <c r="Q2008">
        <v>17.056999999999999</v>
      </c>
      <c r="R2008" t="s">
        <v>947</v>
      </c>
      <c r="S2008" t="s">
        <v>83</v>
      </c>
      <c r="T2008">
        <f>IF(TRIM(Table1[[#This Row],[PitStopLaps]])="",0,
LEN(Table1[[#This Row],[PitStopLaps]])-LEN(SUBSTITUTE(Table1[[#This Row],[PitStopLaps]],",",""))+1)</f>
        <v>2</v>
      </c>
      <c r="U2008">
        <f>Table1[[#This Row],[StartPosition]]-Table1[[#This Row],[FinishPosition]]</f>
        <v>-3</v>
      </c>
    </row>
    <row r="2009" spans="1:21" x14ac:dyDescent="0.3">
      <c r="A2009">
        <v>2022</v>
      </c>
      <c r="B2009">
        <v>21</v>
      </c>
      <c r="C2009" t="s">
        <v>741</v>
      </c>
      <c r="D2009" t="s">
        <v>52</v>
      </c>
      <c r="E2009" t="s">
        <v>53</v>
      </c>
      <c r="F2009" t="s">
        <v>607</v>
      </c>
      <c r="G2009">
        <v>16</v>
      </c>
      <c r="H2009">
        <v>8</v>
      </c>
      <c r="I2009">
        <v>4</v>
      </c>
      <c r="J2009" t="s">
        <v>34</v>
      </c>
      <c r="K2009" t="s">
        <v>24</v>
      </c>
      <c r="L2009">
        <v>71</v>
      </c>
      <c r="M2009">
        <v>75.093000000000004</v>
      </c>
      <c r="N2009">
        <v>76.771528000000004</v>
      </c>
      <c r="O2009">
        <v>19.135999999999999</v>
      </c>
      <c r="P2009">
        <v>38.36</v>
      </c>
      <c r="Q2009">
        <v>17.077000000000002</v>
      </c>
      <c r="R2009" t="s">
        <v>978</v>
      </c>
      <c r="S2009" t="s">
        <v>83</v>
      </c>
      <c r="T2009">
        <f>IF(TRIM(Table1[[#This Row],[PitStopLaps]])="",0,
LEN(Table1[[#This Row],[PitStopLaps]])-LEN(SUBSTITUTE(Table1[[#This Row],[PitStopLaps]],",",""))+1)</f>
        <v>2</v>
      </c>
      <c r="U2009">
        <f>Table1[[#This Row],[StartPosition]]-Table1[[#This Row],[FinishPosition]]</f>
        <v>8</v>
      </c>
    </row>
    <row r="2010" spans="1:21" x14ac:dyDescent="0.3">
      <c r="A2010">
        <v>2022</v>
      </c>
      <c r="B2010">
        <v>21</v>
      </c>
      <c r="C2010" t="s">
        <v>741</v>
      </c>
      <c r="D2010" t="s">
        <v>43</v>
      </c>
      <c r="E2010" t="s">
        <v>44</v>
      </c>
      <c r="F2010" t="s">
        <v>789</v>
      </c>
      <c r="G2010">
        <v>14</v>
      </c>
      <c r="H2010">
        <v>9</v>
      </c>
      <c r="I2010">
        <v>2</v>
      </c>
      <c r="J2010" t="s">
        <v>34</v>
      </c>
      <c r="K2010" t="s">
        <v>24</v>
      </c>
      <c r="L2010">
        <v>71</v>
      </c>
      <c r="M2010">
        <v>75.510999999999996</v>
      </c>
      <c r="N2010">
        <v>76.824055999999999</v>
      </c>
      <c r="O2010">
        <v>19.201000000000001</v>
      </c>
      <c r="P2010">
        <v>38.698</v>
      </c>
      <c r="Q2010">
        <v>17.283999999999999</v>
      </c>
      <c r="R2010" t="s">
        <v>311</v>
      </c>
      <c r="S2010" t="s">
        <v>83</v>
      </c>
      <c r="T2010">
        <f>IF(TRIM(Table1[[#This Row],[PitStopLaps]])="",0,
LEN(Table1[[#This Row],[PitStopLaps]])-LEN(SUBSTITUTE(Table1[[#This Row],[PitStopLaps]],",",""))+1)</f>
        <v>2</v>
      </c>
      <c r="U2010">
        <f>Table1[[#This Row],[StartPosition]]-Table1[[#This Row],[FinishPosition]]</f>
        <v>5</v>
      </c>
    </row>
    <row r="2011" spans="1:21" x14ac:dyDescent="0.3">
      <c r="A2011">
        <v>2022</v>
      </c>
      <c r="B2011">
        <v>21</v>
      </c>
      <c r="C2011" t="s">
        <v>741</v>
      </c>
      <c r="D2011" t="s">
        <v>58</v>
      </c>
      <c r="E2011" t="s">
        <v>59</v>
      </c>
      <c r="F2011" t="s">
        <v>603</v>
      </c>
      <c r="G2011">
        <v>15</v>
      </c>
      <c r="H2011">
        <v>10</v>
      </c>
      <c r="I2011">
        <v>1</v>
      </c>
      <c r="J2011" t="s">
        <v>34</v>
      </c>
      <c r="K2011" t="s">
        <v>24</v>
      </c>
      <c r="L2011">
        <v>71</v>
      </c>
      <c r="M2011">
        <v>74.831000000000003</v>
      </c>
      <c r="N2011">
        <v>77.151452000000006</v>
      </c>
      <c r="O2011">
        <v>19.106999999999999</v>
      </c>
      <c r="P2011">
        <v>38.155000000000001</v>
      </c>
      <c r="Q2011">
        <v>17.265999999999998</v>
      </c>
      <c r="R2011" t="s">
        <v>895</v>
      </c>
      <c r="S2011" t="s">
        <v>83</v>
      </c>
      <c r="T2011">
        <f>IF(TRIM(Table1[[#This Row],[PitStopLaps]])="",0,
LEN(Table1[[#This Row],[PitStopLaps]])-LEN(SUBSTITUTE(Table1[[#This Row],[PitStopLaps]],",",""))+1)</f>
        <v>2</v>
      </c>
      <c r="U2011">
        <f>Table1[[#This Row],[StartPosition]]-Table1[[#This Row],[FinishPosition]]</f>
        <v>5</v>
      </c>
    </row>
    <row r="2012" spans="1:21" x14ac:dyDescent="0.3">
      <c r="A2012">
        <v>2022</v>
      </c>
      <c r="B2012">
        <v>21</v>
      </c>
      <c r="C2012" t="s">
        <v>741</v>
      </c>
      <c r="D2012" t="s">
        <v>20</v>
      </c>
      <c r="E2012" t="s">
        <v>21</v>
      </c>
      <c r="F2012" t="s">
        <v>603</v>
      </c>
      <c r="G2012">
        <v>9</v>
      </c>
      <c r="H2012">
        <v>11</v>
      </c>
      <c r="I2012">
        <v>0</v>
      </c>
      <c r="J2012" t="s">
        <v>34</v>
      </c>
      <c r="K2012" t="s">
        <v>24</v>
      </c>
      <c r="L2012">
        <v>71</v>
      </c>
      <c r="M2012">
        <v>75.549000000000007</v>
      </c>
      <c r="N2012">
        <v>76.917772999999997</v>
      </c>
      <c r="O2012">
        <v>19.184999999999999</v>
      </c>
      <c r="P2012">
        <v>38.9</v>
      </c>
      <c r="Q2012">
        <v>17.327999999999999</v>
      </c>
      <c r="R2012" t="s">
        <v>301</v>
      </c>
      <c r="S2012" t="s">
        <v>83</v>
      </c>
      <c r="T2012">
        <f>IF(TRIM(Table1[[#This Row],[PitStopLaps]])="",0,
LEN(Table1[[#This Row],[PitStopLaps]])-LEN(SUBSTITUTE(Table1[[#This Row],[PitStopLaps]],",",""))+1)</f>
        <v>2</v>
      </c>
      <c r="U2012">
        <f>Table1[[#This Row],[StartPosition]]-Table1[[#This Row],[FinishPosition]]</f>
        <v>-2</v>
      </c>
    </row>
    <row r="2013" spans="1:21" x14ac:dyDescent="0.3">
      <c r="A2013">
        <v>2022</v>
      </c>
      <c r="B2013">
        <v>21</v>
      </c>
      <c r="C2013" t="s">
        <v>741</v>
      </c>
      <c r="D2013" t="s">
        <v>794</v>
      </c>
      <c r="E2013" t="s">
        <v>795</v>
      </c>
      <c r="F2013" t="s">
        <v>789</v>
      </c>
      <c r="G2013">
        <v>13</v>
      </c>
      <c r="H2013">
        <v>12</v>
      </c>
      <c r="I2013">
        <v>0</v>
      </c>
      <c r="J2013" t="s">
        <v>34</v>
      </c>
      <c r="K2013" t="s">
        <v>24</v>
      </c>
      <c r="L2013">
        <v>71</v>
      </c>
      <c r="M2013">
        <v>75.802000000000007</v>
      </c>
      <c r="N2013">
        <v>77.184471000000002</v>
      </c>
      <c r="O2013">
        <v>19.151</v>
      </c>
      <c r="P2013">
        <v>38.96</v>
      </c>
      <c r="Q2013">
        <v>17.216000000000001</v>
      </c>
      <c r="R2013" t="s">
        <v>979</v>
      </c>
      <c r="S2013" t="s">
        <v>83</v>
      </c>
      <c r="T2013">
        <f>IF(TRIM(Table1[[#This Row],[PitStopLaps]])="",0,
LEN(Table1[[#This Row],[PitStopLaps]])-LEN(SUBSTITUTE(Table1[[#This Row],[PitStopLaps]],",",""))+1)</f>
        <v>2</v>
      </c>
      <c r="U2013">
        <f>Table1[[#This Row],[StartPosition]]-Table1[[#This Row],[FinishPosition]]</f>
        <v>1</v>
      </c>
    </row>
    <row r="2014" spans="1:21" x14ac:dyDescent="0.3">
      <c r="A2014">
        <v>2022</v>
      </c>
      <c r="B2014">
        <v>21</v>
      </c>
      <c r="C2014" t="s">
        <v>741</v>
      </c>
      <c r="D2014" t="s">
        <v>608</v>
      </c>
      <c r="E2014" t="s">
        <v>609</v>
      </c>
      <c r="F2014" t="s">
        <v>69</v>
      </c>
      <c r="G2014">
        <v>12</v>
      </c>
      <c r="H2014">
        <v>13</v>
      </c>
      <c r="I2014">
        <v>0</v>
      </c>
      <c r="J2014" t="s">
        <v>34</v>
      </c>
      <c r="K2014" t="s">
        <v>24</v>
      </c>
      <c r="L2014">
        <v>71</v>
      </c>
      <c r="M2014">
        <v>75.251000000000005</v>
      </c>
      <c r="N2014">
        <v>77.188715999999999</v>
      </c>
      <c r="O2014">
        <v>19.2</v>
      </c>
      <c r="P2014">
        <v>38.499000000000002</v>
      </c>
      <c r="Q2014">
        <v>17.273</v>
      </c>
      <c r="R2014" t="s">
        <v>307</v>
      </c>
      <c r="S2014" t="s">
        <v>83</v>
      </c>
      <c r="T2014">
        <f>IF(TRIM(Table1[[#This Row],[PitStopLaps]])="",0,
LEN(Table1[[#This Row],[PitStopLaps]])-LEN(SUBSTITUTE(Table1[[#This Row],[PitStopLaps]],",",""))+1)</f>
        <v>2</v>
      </c>
      <c r="U2014">
        <f>Table1[[#This Row],[StartPosition]]-Table1[[#This Row],[FinishPosition]]</f>
        <v>-1</v>
      </c>
    </row>
    <row r="2015" spans="1:21" x14ac:dyDescent="0.3">
      <c r="A2015">
        <v>2022</v>
      </c>
      <c r="B2015">
        <v>21</v>
      </c>
      <c r="C2015" t="s">
        <v>741</v>
      </c>
      <c r="D2015" t="s">
        <v>73</v>
      </c>
      <c r="E2015" t="s">
        <v>74</v>
      </c>
      <c r="F2015" t="s">
        <v>438</v>
      </c>
      <c r="G2015">
        <v>10</v>
      </c>
      <c r="H2015">
        <v>14</v>
      </c>
      <c r="I2015">
        <v>0</v>
      </c>
      <c r="J2015" t="s">
        <v>34</v>
      </c>
      <c r="K2015" t="s">
        <v>24</v>
      </c>
      <c r="L2015">
        <v>71</v>
      </c>
      <c r="M2015">
        <v>75.326999999999998</v>
      </c>
      <c r="N2015">
        <v>77.011037000000002</v>
      </c>
      <c r="O2015">
        <v>19.123000000000001</v>
      </c>
      <c r="P2015">
        <v>38.94</v>
      </c>
      <c r="Q2015">
        <v>17.146999999999998</v>
      </c>
      <c r="R2015" t="s">
        <v>980</v>
      </c>
      <c r="S2015" t="s">
        <v>83</v>
      </c>
      <c r="T2015">
        <f>IF(TRIM(Table1[[#This Row],[PitStopLaps]])="",0,
LEN(Table1[[#This Row],[PitStopLaps]])-LEN(SUBSTITUTE(Table1[[#This Row],[PitStopLaps]],",",""))+1)</f>
        <v>3</v>
      </c>
      <c r="U2015">
        <f>Table1[[#This Row],[StartPosition]]-Table1[[#This Row],[FinishPosition]]</f>
        <v>-4</v>
      </c>
    </row>
    <row r="2016" spans="1:21" x14ac:dyDescent="0.3">
      <c r="A2016">
        <v>2022</v>
      </c>
      <c r="B2016">
        <v>21</v>
      </c>
      <c r="C2016" t="s">
        <v>741</v>
      </c>
      <c r="D2016" t="s">
        <v>248</v>
      </c>
      <c r="E2016" t="s">
        <v>249</v>
      </c>
      <c r="F2016" t="s">
        <v>60</v>
      </c>
      <c r="G2016">
        <v>19</v>
      </c>
      <c r="H2016">
        <v>15</v>
      </c>
      <c r="I2016">
        <v>0</v>
      </c>
      <c r="J2016" t="s">
        <v>34</v>
      </c>
      <c r="K2016" t="s">
        <v>24</v>
      </c>
      <c r="L2016">
        <v>71</v>
      </c>
      <c r="M2016">
        <v>75.613</v>
      </c>
      <c r="N2016">
        <v>77.594470999999999</v>
      </c>
      <c r="O2016">
        <v>19.263000000000002</v>
      </c>
      <c r="P2016">
        <v>39.113999999999997</v>
      </c>
      <c r="Q2016">
        <v>17.236000000000001</v>
      </c>
      <c r="R2016" t="s">
        <v>981</v>
      </c>
      <c r="S2016" t="s">
        <v>83</v>
      </c>
      <c r="T2016">
        <f>IF(TRIM(Table1[[#This Row],[PitStopLaps]])="",0,
LEN(Table1[[#This Row],[PitStopLaps]])-LEN(SUBSTITUTE(Table1[[#This Row],[PitStopLaps]],",",""))+1)</f>
        <v>3</v>
      </c>
      <c r="U2016">
        <f>Table1[[#This Row],[StartPosition]]-Table1[[#This Row],[FinishPosition]]</f>
        <v>4</v>
      </c>
    </row>
    <row r="2017" spans="1:21" x14ac:dyDescent="0.3">
      <c r="A2017">
        <v>2022</v>
      </c>
      <c r="B2017">
        <v>21</v>
      </c>
      <c r="C2017" t="s">
        <v>741</v>
      </c>
      <c r="D2017" t="s">
        <v>440</v>
      </c>
      <c r="E2017" t="s">
        <v>441</v>
      </c>
      <c r="F2017" t="s">
        <v>60</v>
      </c>
      <c r="G2017">
        <v>18</v>
      </c>
      <c r="H2017">
        <v>16</v>
      </c>
      <c r="I2017">
        <v>0</v>
      </c>
      <c r="J2017" t="s">
        <v>34</v>
      </c>
      <c r="K2017" t="s">
        <v>24</v>
      </c>
      <c r="L2017">
        <v>71</v>
      </c>
      <c r="M2017">
        <v>75.820999999999998</v>
      </c>
      <c r="N2017">
        <v>77.660452000000006</v>
      </c>
      <c r="O2017">
        <v>19.157</v>
      </c>
      <c r="P2017">
        <v>39.198999999999998</v>
      </c>
      <c r="Q2017">
        <v>17.297999999999998</v>
      </c>
      <c r="R2017" t="s">
        <v>982</v>
      </c>
      <c r="S2017" t="s">
        <v>83</v>
      </c>
      <c r="T2017">
        <f>IF(TRIM(Table1[[#This Row],[PitStopLaps]])="",0,
LEN(Table1[[#This Row],[PitStopLaps]])-LEN(SUBSTITUTE(Table1[[#This Row],[PitStopLaps]],",",""))+1)</f>
        <v>3</v>
      </c>
      <c r="U2017">
        <f>Table1[[#This Row],[StartPosition]]-Table1[[#This Row],[FinishPosition]]</f>
        <v>2</v>
      </c>
    </row>
    <row r="2018" spans="1:21" x14ac:dyDescent="0.3">
      <c r="A2018">
        <v>2022</v>
      </c>
      <c r="B2018">
        <v>21</v>
      </c>
      <c r="C2018" t="s">
        <v>741</v>
      </c>
      <c r="D2018" t="s">
        <v>601</v>
      </c>
      <c r="E2018" t="s">
        <v>602</v>
      </c>
      <c r="F2018" t="s">
        <v>438</v>
      </c>
      <c r="G2018">
        <v>0</v>
      </c>
      <c r="H2018">
        <v>17</v>
      </c>
      <c r="I2018">
        <v>0</v>
      </c>
      <c r="J2018" t="s">
        <v>34</v>
      </c>
      <c r="K2018" t="s">
        <v>65</v>
      </c>
      <c r="L2018">
        <v>70</v>
      </c>
      <c r="M2018">
        <v>75.507999999999996</v>
      </c>
      <c r="N2018">
        <v>77.467810999999998</v>
      </c>
      <c r="O2018">
        <v>19.276</v>
      </c>
      <c r="P2018">
        <v>38.856999999999999</v>
      </c>
      <c r="Q2018">
        <v>17.202999999999999</v>
      </c>
      <c r="R2018" t="s">
        <v>983</v>
      </c>
      <c r="S2018" t="s">
        <v>83</v>
      </c>
      <c r="T2018">
        <f>IF(TRIM(Table1[[#This Row],[PitStopLaps]])="",0,
LEN(Table1[[#This Row],[PitStopLaps]])-LEN(SUBSTITUTE(Table1[[#This Row],[PitStopLaps]],",",""))+1)</f>
        <v>3</v>
      </c>
      <c r="U2018">
        <f>Table1[[#This Row],[StartPosition]]-Table1[[#This Row],[FinishPosition]]</f>
        <v>-17</v>
      </c>
    </row>
    <row r="2019" spans="1:21" x14ac:dyDescent="0.3">
      <c r="A2019">
        <v>2022</v>
      </c>
      <c r="B2019">
        <v>21</v>
      </c>
      <c r="C2019" t="s">
        <v>741</v>
      </c>
      <c r="D2019" t="s">
        <v>246</v>
      </c>
      <c r="E2019" t="s">
        <v>247</v>
      </c>
      <c r="F2019" t="s">
        <v>37</v>
      </c>
      <c r="G2019">
        <v>6</v>
      </c>
      <c r="H2019">
        <v>18</v>
      </c>
      <c r="I2019">
        <v>0</v>
      </c>
      <c r="J2019" t="s">
        <v>34</v>
      </c>
      <c r="K2019" t="s">
        <v>132</v>
      </c>
      <c r="L2019">
        <v>51</v>
      </c>
      <c r="M2019">
        <v>75.855000000000004</v>
      </c>
      <c r="N2019">
        <v>77.285899999999998</v>
      </c>
      <c r="O2019">
        <v>19.225000000000001</v>
      </c>
      <c r="P2019">
        <v>39.104999999999997</v>
      </c>
      <c r="Q2019">
        <v>17.413</v>
      </c>
      <c r="R2019" t="s">
        <v>311</v>
      </c>
      <c r="S2019" t="s">
        <v>83</v>
      </c>
      <c r="T2019">
        <f>IF(TRIM(Table1[[#This Row],[PitStopLaps]])="",0,
LEN(Table1[[#This Row],[PitStopLaps]])-LEN(SUBSTITUTE(Table1[[#This Row],[PitStopLaps]],",",""))+1)</f>
        <v>2</v>
      </c>
      <c r="U2019">
        <f>Table1[[#This Row],[StartPosition]]-Table1[[#This Row],[FinishPosition]]</f>
        <v>-12</v>
      </c>
    </row>
    <row r="2020" spans="1:21" x14ac:dyDescent="0.3">
      <c r="A2020">
        <v>2022</v>
      </c>
      <c r="B2020">
        <v>21</v>
      </c>
      <c r="C2020" t="s">
        <v>741</v>
      </c>
      <c r="D2020" t="s">
        <v>71</v>
      </c>
      <c r="E2020" t="s">
        <v>72</v>
      </c>
      <c r="F2020" t="s">
        <v>69</v>
      </c>
      <c r="G2020">
        <v>8</v>
      </c>
      <c r="H2020">
        <v>19</v>
      </c>
      <c r="I2020">
        <v>0</v>
      </c>
      <c r="J2020" t="s">
        <v>34</v>
      </c>
      <c r="K2020" t="s">
        <v>124</v>
      </c>
      <c r="L2020">
        <v>1</v>
      </c>
      <c r="S2020" t="s">
        <v>83</v>
      </c>
      <c r="T2020">
        <f>IF(TRIM(Table1[[#This Row],[PitStopLaps]])="",0,
LEN(Table1[[#This Row],[PitStopLaps]])-LEN(SUBSTITUTE(Table1[[#This Row],[PitStopLaps]],",",""))+1)</f>
        <v>0</v>
      </c>
      <c r="U2020">
        <f>Table1[[#This Row],[StartPosition]]-Table1[[#This Row],[FinishPosition]]</f>
        <v>-11</v>
      </c>
    </row>
    <row r="2021" spans="1:21" x14ac:dyDescent="0.3">
      <c r="A2021">
        <v>2022</v>
      </c>
      <c r="B2021">
        <v>21</v>
      </c>
      <c r="C2021" t="s">
        <v>741</v>
      </c>
      <c r="D2021" t="s">
        <v>31</v>
      </c>
      <c r="E2021" t="s">
        <v>32</v>
      </c>
      <c r="F2021" t="s">
        <v>37</v>
      </c>
      <c r="G2021">
        <v>11</v>
      </c>
      <c r="H2021">
        <v>20</v>
      </c>
      <c r="I2021">
        <v>0</v>
      </c>
      <c r="J2021" t="s">
        <v>34</v>
      </c>
      <c r="K2021" t="s">
        <v>124</v>
      </c>
      <c r="L2021">
        <v>1</v>
      </c>
      <c r="S2021" t="s">
        <v>83</v>
      </c>
      <c r="T2021">
        <f>IF(TRIM(Table1[[#This Row],[PitStopLaps]])="",0,
LEN(Table1[[#This Row],[PitStopLaps]])-LEN(SUBSTITUTE(Table1[[#This Row],[PitStopLaps]],",",""))+1)</f>
        <v>0</v>
      </c>
      <c r="U2021">
        <f>Table1[[#This Row],[StartPosition]]-Table1[[#This Row],[FinishPosition]]</f>
        <v>-9</v>
      </c>
    </row>
    <row r="2022" spans="1:21" x14ac:dyDescent="0.3">
      <c r="A2022">
        <v>2022</v>
      </c>
      <c r="B2022">
        <v>22</v>
      </c>
      <c r="C2022" t="s">
        <v>240</v>
      </c>
      <c r="D2022" t="s">
        <v>38</v>
      </c>
      <c r="E2022" t="s">
        <v>39</v>
      </c>
      <c r="F2022" t="s">
        <v>33</v>
      </c>
      <c r="G2022">
        <v>1</v>
      </c>
      <c r="H2022">
        <v>1</v>
      </c>
      <c r="I2022">
        <v>25</v>
      </c>
      <c r="J2022" t="s">
        <v>23</v>
      </c>
      <c r="K2022" t="s">
        <v>24</v>
      </c>
      <c r="L2022">
        <v>58</v>
      </c>
      <c r="M2022">
        <v>89.391999999999996</v>
      </c>
      <c r="N2022">
        <v>90.336108999999993</v>
      </c>
      <c r="O2022">
        <v>18.077000000000002</v>
      </c>
      <c r="P2022">
        <v>38.253999999999998</v>
      </c>
      <c r="Q2022">
        <v>32.880000000000003</v>
      </c>
      <c r="R2022">
        <v>20</v>
      </c>
      <c r="S2022" t="s">
        <v>83</v>
      </c>
      <c r="T2022">
        <f>IF(TRIM(Table1[[#This Row],[PitStopLaps]])="",0,
LEN(Table1[[#This Row],[PitStopLaps]])-LEN(SUBSTITUTE(Table1[[#This Row],[PitStopLaps]],",",""))+1)</f>
        <v>1</v>
      </c>
      <c r="U2022">
        <f>Table1[[#This Row],[StartPosition]]-Table1[[#This Row],[FinishPosition]]</f>
        <v>0</v>
      </c>
    </row>
    <row r="2023" spans="1:21" x14ac:dyDescent="0.3">
      <c r="A2023">
        <v>2022</v>
      </c>
      <c r="B2023">
        <v>22</v>
      </c>
      <c r="C2023" t="s">
        <v>240</v>
      </c>
      <c r="D2023" t="s">
        <v>54</v>
      </c>
      <c r="E2023" t="s">
        <v>55</v>
      </c>
      <c r="F2023" t="s">
        <v>22</v>
      </c>
      <c r="G2023">
        <v>3</v>
      </c>
      <c r="H2023">
        <v>2</v>
      </c>
      <c r="I2023">
        <v>18</v>
      </c>
      <c r="J2023" t="s">
        <v>23</v>
      </c>
      <c r="K2023" t="s">
        <v>24</v>
      </c>
      <c r="L2023">
        <v>58</v>
      </c>
      <c r="M2023">
        <v>89.718999999999994</v>
      </c>
      <c r="N2023">
        <v>90.468254000000002</v>
      </c>
      <c r="O2023">
        <v>18.059000000000001</v>
      </c>
      <c r="P2023">
        <v>38.353000000000002</v>
      </c>
      <c r="Q2023">
        <v>32.886000000000003</v>
      </c>
      <c r="R2023">
        <v>21</v>
      </c>
      <c r="S2023" t="s">
        <v>83</v>
      </c>
      <c r="T2023">
        <f>IF(TRIM(Table1[[#This Row],[PitStopLaps]])="",0,
LEN(Table1[[#This Row],[PitStopLaps]])-LEN(SUBSTITUTE(Table1[[#This Row],[PitStopLaps]],",",""))+1)</f>
        <v>1</v>
      </c>
      <c r="U2023">
        <f>Table1[[#This Row],[StartPosition]]-Table1[[#This Row],[FinishPosition]]</f>
        <v>1</v>
      </c>
    </row>
    <row r="2024" spans="1:21" x14ac:dyDescent="0.3">
      <c r="A2024">
        <v>2022</v>
      </c>
      <c r="B2024">
        <v>22</v>
      </c>
      <c r="C2024" t="s">
        <v>240</v>
      </c>
      <c r="D2024" t="s">
        <v>49</v>
      </c>
      <c r="E2024" t="s">
        <v>50</v>
      </c>
      <c r="F2024" t="s">
        <v>33</v>
      </c>
      <c r="G2024">
        <v>2</v>
      </c>
      <c r="H2024">
        <v>3</v>
      </c>
      <c r="I2024">
        <v>15</v>
      </c>
      <c r="J2024" t="s">
        <v>23</v>
      </c>
      <c r="K2024" t="s">
        <v>24</v>
      </c>
      <c r="L2024">
        <v>58</v>
      </c>
      <c r="M2024">
        <v>88.971999999999994</v>
      </c>
      <c r="N2024">
        <v>90.083451999999994</v>
      </c>
      <c r="O2024">
        <v>17.902000000000001</v>
      </c>
      <c r="P2024">
        <v>38.122999999999998</v>
      </c>
      <c r="Q2024">
        <v>32.451999999999998</v>
      </c>
      <c r="R2024" t="s">
        <v>364</v>
      </c>
      <c r="S2024" t="s">
        <v>83</v>
      </c>
      <c r="T2024">
        <f>IF(TRIM(Table1[[#This Row],[PitStopLaps]])="",0,
LEN(Table1[[#This Row],[PitStopLaps]])-LEN(SUBSTITUTE(Table1[[#This Row],[PitStopLaps]],",",""))+1)</f>
        <v>2</v>
      </c>
      <c r="U2024">
        <f>Table1[[#This Row],[StartPosition]]-Table1[[#This Row],[FinishPosition]]</f>
        <v>-1</v>
      </c>
    </row>
    <row r="2025" spans="1:21" x14ac:dyDescent="0.3">
      <c r="A2025">
        <v>2022</v>
      </c>
      <c r="B2025">
        <v>22</v>
      </c>
      <c r="C2025" t="s">
        <v>240</v>
      </c>
      <c r="D2025" t="s">
        <v>47</v>
      </c>
      <c r="E2025" t="s">
        <v>48</v>
      </c>
      <c r="F2025" t="s">
        <v>22</v>
      </c>
      <c r="G2025">
        <v>4</v>
      </c>
      <c r="H2025">
        <v>4</v>
      </c>
      <c r="I2025">
        <v>12</v>
      </c>
      <c r="J2025" t="s">
        <v>34</v>
      </c>
      <c r="K2025" t="s">
        <v>24</v>
      </c>
      <c r="L2025">
        <v>58</v>
      </c>
      <c r="M2025">
        <v>88.879000000000005</v>
      </c>
      <c r="N2025">
        <v>90.349149999999995</v>
      </c>
      <c r="O2025">
        <v>17.981000000000002</v>
      </c>
      <c r="P2025">
        <v>38.058</v>
      </c>
      <c r="Q2025">
        <v>32.548999999999999</v>
      </c>
      <c r="R2025" t="s">
        <v>411</v>
      </c>
      <c r="S2025" t="s">
        <v>83</v>
      </c>
      <c r="T2025">
        <f>IF(TRIM(Table1[[#This Row],[PitStopLaps]])="",0,
LEN(Table1[[#This Row],[PitStopLaps]])-LEN(SUBSTITUTE(Table1[[#This Row],[PitStopLaps]],",",""))+1)</f>
        <v>2</v>
      </c>
      <c r="U2025">
        <f>Table1[[#This Row],[StartPosition]]-Table1[[#This Row],[FinishPosition]]</f>
        <v>0</v>
      </c>
    </row>
    <row r="2026" spans="1:21" x14ac:dyDescent="0.3">
      <c r="A2026">
        <v>2022</v>
      </c>
      <c r="B2026">
        <v>22</v>
      </c>
      <c r="C2026" t="s">
        <v>240</v>
      </c>
      <c r="D2026" t="s">
        <v>252</v>
      </c>
      <c r="E2026" t="s">
        <v>253</v>
      </c>
      <c r="F2026" t="s">
        <v>28</v>
      </c>
      <c r="G2026">
        <v>6</v>
      </c>
      <c r="H2026">
        <v>5</v>
      </c>
      <c r="I2026">
        <v>10</v>
      </c>
      <c r="J2026" t="s">
        <v>34</v>
      </c>
      <c r="K2026" t="s">
        <v>24</v>
      </c>
      <c r="L2026">
        <v>58</v>
      </c>
      <c r="M2026">
        <v>88.835999999999999</v>
      </c>
      <c r="N2026">
        <v>90.397000000000006</v>
      </c>
      <c r="O2026">
        <v>17.84</v>
      </c>
      <c r="P2026">
        <v>38.222000000000001</v>
      </c>
      <c r="Q2026">
        <v>32.353000000000002</v>
      </c>
      <c r="R2026" t="s">
        <v>86</v>
      </c>
      <c r="S2026" t="s">
        <v>83</v>
      </c>
      <c r="T2026">
        <f>IF(TRIM(Table1[[#This Row],[PitStopLaps]])="",0,
LEN(Table1[[#This Row],[PitStopLaps]])-LEN(SUBSTITUTE(Table1[[#This Row],[PitStopLaps]],",",""))+1)</f>
        <v>2</v>
      </c>
      <c r="U2026">
        <f>Table1[[#This Row],[StartPosition]]-Table1[[#This Row],[FinishPosition]]</f>
        <v>1</v>
      </c>
    </row>
    <row r="2027" spans="1:21" x14ac:dyDescent="0.3">
      <c r="A2027">
        <v>2022</v>
      </c>
      <c r="B2027">
        <v>22</v>
      </c>
      <c r="C2027" t="s">
        <v>240</v>
      </c>
      <c r="D2027" t="s">
        <v>246</v>
      </c>
      <c r="E2027" t="s">
        <v>247</v>
      </c>
      <c r="F2027" t="s">
        <v>37</v>
      </c>
      <c r="G2027">
        <v>7</v>
      </c>
      <c r="H2027">
        <v>6</v>
      </c>
      <c r="I2027">
        <v>9</v>
      </c>
      <c r="J2027" t="s">
        <v>34</v>
      </c>
      <c r="K2027" t="s">
        <v>24</v>
      </c>
      <c r="L2027">
        <v>58</v>
      </c>
      <c r="M2027">
        <v>88.391000000000005</v>
      </c>
      <c r="N2027">
        <v>90.887056000000001</v>
      </c>
      <c r="O2027">
        <v>17.788</v>
      </c>
      <c r="P2027">
        <v>38.286000000000001</v>
      </c>
      <c r="Q2027">
        <v>32.167000000000002</v>
      </c>
      <c r="R2027" t="s">
        <v>984</v>
      </c>
      <c r="S2027" t="s">
        <v>83</v>
      </c>
      <c r="T2027">
        <f>IF(TRIM(Table1[[#This Row],[PitStopLaps]])="",0,
LEN(Table1[[#This Row],[PitStopLaps]])-LEN(SUBSTITUTE(Table1[[#This Row],[PitStopLaps]],",",""))+1)</f>
        <v>2</v>
      </c>
      <c r="U2027">
        <f>Table1[[#This Row],[StartPosition]]-Table1[[#This Row],[FinishPosition]]</f>
        <v>1</v>
      </c>
    </row>
    <row r="2028" spans="1:21" x14ac:dyDescent="0.3">
      <c r="A2028">
        <v>2022</v>
      </c>
      <c r="B2028">
        <v>22</v>
      </c>
      <c r="C2028" t="s">
        <v>240</v>
      </c>
      <c r="D2028" t="s">
        <v>52</v>
      </c>
      <c r="E2028" t="s">
        <v>53</v>
      </c>
      <c r="F2028" t="s">
        <v>607</v>
      </c>
      <c r="G2028">
        <v>8</v>
      </c>
      <c r="H2028">
        <v>7</v>
      </c>
      <c r="I2028">
        <v>6</v>
      </c>
      <c r="J2028" t="s">
        <v>34</v>
      </c>
      <c r="K2028" t="s">
        <v>24</v>
      </c>
      <c r="L2028">
        <v>58</v>
      </c>
      <c r="M2028">
        <v>89.332999999999998</v>
      </c>
      <c r="N2028">
        <v>90.876075</v>
      </c>
      <c r="O2028">
        <v>17.966999999999999</v>
      </c>
      <c r="P2028">
        <v>38.276000000000003</v>
      </c>
      <c r="Q2028">
        <v>32.75</v>
      </c>
      <c r="R2028" t="s">
        <v>473</v>
      </c>
      <c r="S2028" t="s">
        <v>83</v>
      </c>
      <c r="T2028">
        <f>IF(TRIM(Table1[[#This Row],[PitStopLaps]])="",0,
LEN(Table1[[#This Row],[PitStopLaps]])-LEN(SUBSTITUTE(Table1[[#This Row],[PitStopLaps]],",",""))+1)</f>
        <v>2</v>
      </c>
      <c r="U2028">
        <f>Table1[[#This Row],[StartPosition]]-Table1[[#This Row],[FinishPosition]]</f>
        <v>1</v>
      </c>
    </row>
    <row r="2029" spans="1:21" x14ac:dyDescent="0.3">
      <c r="A2029">
        <v>2022</v>
      </c>
      <c r="B2029">
        <v>22</v>
      </c>
      <c r="C2029" t="s">
        <v>240</v>
      </c>
      <c r="D2029" t="s">
        <v>58</v>
      </c>
      <c r="E2029" t="s">
        <v>59</v>
      </c>
      <c r="F2029" t="s">
        <v>603</v>
      </c>
      <c r="G2029">
        <v>14</v>
      </c>
      <c r="H2029">
        <v>8</v>
      </c>
      <c r="I2029">
        <v>4</v>
      </c>
      <c r="J2029" t="s">
        <v>34</v>
      </c>
      <c r="K2029" t="s">
        <v>24</v>
      </c>
      <c r="L2029">
        <v>58</v>
      </c>
      <c r="M2029">
        <v>89.62</v>
      </c>
      <c r="N2029">
        <v>91.207886000000002</v>
      </c>
      <c r="O2029">
        <v>17.975000000000001</v>
      </c>
      <c r="P2029">
        <v>38.43</v>
      </c>
      <c r="Q2029">
        <v>32.662999999999997</v>
      </c>
      <c r="R2029" t="s">
        <v>985</v>
      </c>
      <c r="S2029" t="s">
        <v>83</v>
      </c>
      <c r="T2029">
        <f>IF(TRIM(Table1[[#This Row],[PitStopLaps]])="",0,
LEN(Table1[[#This Row],[PitStopLaps]])-LEN(SUBSTITUTE(Table1[[#This Row],[PitStopLaps]],",",""))+1)</f>
        <v>2</v>
      </c>
      <c r="U2029">
        <f>Table1[[#This Row],[StartPosition]]-Table1[[#This Row],[FinishPosition]]</f>
        <v>6</v>
      </c>
    </row>
    <row r="2030" spans="1:21" x14ac:dyDescent="0.3">
      <c r="A2030">
        <v>2022</v>
      </c>
      <c r="B2030">
        <v>22</v>
      </c>
      <c r="C2030" t="s">
        <v>240</v>
      </c>
      <c r="D2030" t="s">
        <v>31</v>
      </c>
      <c r="E2030" t="s">
        <v>32</v>
      </c>
      <c r="F2030" t="s">
        <v>37</v>
      </c>
      <c r="G2030">
        <v>13</v>
      </c>
      <c r="H2030">
        <v>9</v>
      </c>
      <c r="I2030">
        <v>2</v>
      </c>
      <c r="J2030" t="s">
        <v>34</v>
      </c>
      <c r="K2030" t="s">
        <v>24</v>
      </c>
      <c r="L2030">
        <v>58</v>
      </c>
      <c r="M2030">
        <v>90.784999999999997</v>
      </c>
      <c r="N2030">
        <v>91.66489</v>
      </c>
      <c r="O2030">
        <v>18.262</v>
      </c>
      <c r="P2030">
        <v>38.351999999999997</v>
      </c>
      <c r="Q2030">
        <v>33.502000000000002</v>
      </c>
      <c r="R2030">
        <v>19</v>
      </c>
      <c r="S2030" t="s">
        <v>83</v>
      </c>
      <c r="T2030">
        <f>IF(TRIM(Table1[[#This Row],[PitStopLaps]])="",0,
LEN(Table1[[#This Row],[PitStopLaps]])-LEN(SUBSTITUTE(Table1[[#This Row],[PitStopLaps]],",",""))+1)</f>
        <v>1</v>
      </c>
      <c r="U2030">
        <f>Table1[[#This Row],[StartPosition]]-Table1[[#This Row],[FinishPosition]]</f>
        <v>4</v>
      </c>
    </row>
    <row r="2031" spans="1:21" x14ac:dyDescent="0.3">
      <c r="A2031">
        <v>2022</v>
      </c>
      <c r="B2031">
        <v>22</v>
      </c>
      <c r="C2031" t="s">
        <v>240</v>
      </c>
      <c r="D2031" t="s">
        <v>20</v>
      </c>
      <c r="E2031" t="s">
        <v>21</v>
      </c>
      <c r="F2031" t="s">
        <v>603</v>
      </c>
      <c r="G2031">
        <v>9</v>
      </c>
      <c r="H2031">
        <v>10</v>
      </c>
      <c r="I2031">
        <v>1</v>
      </c>
      <c r="J2031" t="s">
        <v>34</v>
      </c>
      <c r="K2031" t="s">
        <v>24</v>
      </c>
      <c r="L2031">
        <v>58</v>
      </c>
      <c r="M2031">
        <v>90.311999999999998</v>
      </c>
      <c r="N2031">
        <v>91.697817999999998</v>
      </c>
      <c r="O2031">
        <v>18.131</v>
      </c>
      <c r="P2031">
        <v>38.200000000000003</v>
      </c>
      <c r="Q2031">
        <v>33.219000000000001</v>
      </c>
      <c r="R2031">
        <v>25</v>
      </c>
      <c r="S2031" t="s">
        <v>83</v>
      </c>
      <c r="T2031">
        <f>IF(TRIM(Table1[[#This Row],[PitStopLaps]])="",0,
LEN(Table1[[#This Row],[PitStopLaps]])-LEN(SUBSTITUTE(Table1[[#This Row],[PitStopLaps]],",",""))+1)</f>
        <v>1</v>
      </c>
      <c r="U2031">
        <f>Table1[[#This Row],[StartPosition]]-Table1[[#This Row],[FinishPosition]]</f>
        <v>-1</v>
      </c>
    </row>
    <row r="2032" spans="1:21" x14ac:dyDescent="0.3">
      <c r="A2032">
        <v>2022</v>
      </c>
      <c r="B2032">
        <v>22</v>
      </c>
      <c r="C2032" t="s">
        <v>240</v>
      </c>
      <c r="D2032" t="s">
        <v>601</v>
      </c>
      <c r="E2032" t="s">
        <v>602</v>
      </c>
      <c r="F2032" t="s">
        <v>438</v>
      </c>
      <c r="G2032">
        <v>11</v>
      </c>
      <c r="H2032">
        <v>11</v>
      </c>
      <c r="I2032">
        <v>0</v>
      </c>
      <c r="J2032" t="s">
        <v>34</v>
      </c>
      <c r="K2032" t="s">
        <v>24</v>
      </c>
      <c r="L2032">
        <v>58</v>
      </c>
      <c r="M2032">
        <v>89.489000000000004</v>
      </c>
      <c r="N2032">
        <v>91.407602999999995</v>
      </c>
      <c r="O2032">
        <v>18.16</v>
      </c>
      <c r="P2032">
        <v>38.21</v>
      </c>
      <c r="Q2032">
        <v>33.003999999999998</v>
      </c>
      <c r="R2032" t="s">
        <v>184</v>
      </c>
      <c r="S2032" t="s">
        <v>83</v>
      </c>
      <c r="T2032">
        <f>IF(TRIM(Table1[[#This Row],[PitStopLaps]])="",0,
LEN(Table1[[#This Row],[PitStopLaps]])-LEN(SUBSTITUTE(Table1[[#This Row],[PitStopLaps]],",",""))+1)</f>
        <v>2</v>
      </c>
      <c r="U2032">
        <f>Table1[[#This Row],[StartPosition]]-Table1[[#This Row],[FinishPosition]]</f>
        <v>0</v>
      </c>
    </row>
    <row r="2033" spans="1:21" x14ac:dyDescent="0.3">
      <c r="A2033">
        <v>2022</v>
      </c>
      <c r="B2033">
        <v>22</v>
      </c>
      <c r="C2033" t="s">
        <v>240</v>
      </c>
      <c r="D2033" t="s">
        <v>794</v>
      </c>
      <c r="E2033" t="s">
        <v>795</v>
      </c>
      <c r="F2033" t="s">
        <v>789</v>
      </c>
      <c r="G2033">
        <v>15</v>
      </c>
      <c r="H2033">
        <v>12</v>
      </c>
      <c r="I2033">
        <v>0</v>
      </c>
      <c r="J2033" t="s">
        <v>34</v>
      </c>
      <c r="K2033" t="s">
        <v>65</v>
      </c>
      <c r="L2033">
        <v>57</v>
      </c>
      <c r="M2033">
        <v>89.6</v>
      </c>
      <c r="N2033">
        <v>91.718326000000005</v>
      </c>
      <c r="O2033">
        <v>18.024000000000001</v>
      </c>
      <c r="P2033">
        <v>38.317999999999998</v>
      </c>
      <c r="Q2033">
        <v>33.058</v>
      </c>
      <c r="R2033" t="s">
        <v>444</v>
      </c>
      <c r="S2033" t="s">
        <v>83</v>
      </c>
      <c r="T2033">
        <f>IF(TRIM(Table1[[#This Row],[PitStopLaps]])="",0,
LEN(Table1[[#This Row],[PitStopLaps]])-LEN(SUBSTITUTE(Table1[[#This Row],[PitStopLaps]],",",""))+1)</f>
        <v>2</v>
      </c>
      <c r="U2033">
        <f>Table1[[#This Row],[StartPosition]]-Table1[[#This Row],[FinishPosition]]</f>
        <v>3</v>
      </c>
    </row>
    <row r="2034" spans="1:21" x14ac:dyDescent="0.3">
      <c r="A2034">
        <v>2022</v>
      </c>
      <c r="B2034">
        <v>22</v>
      </c>
      <c r="C2034" t="s">
        <v>240</v>
      </c>
      <c r="D2034" t="s">
        <v>248</v>
      </c>
      <c r="E2034" t="s">
        <v>249</v>
      </c>
      <c r="F2034" t="s">
        <v>60</v>
      </c>
      <c r="G2034">
        <v>19</v>
      </c>
      <c r="H2034">
        <v>13</v>
      </c>
      <c r="I2034">
        <v>0</v>
      </c>
      <c r="J2034" t="s">
        <v>34</v>
      </c>
      <c r="K2034" t="s">
        <v>65</v>
      </c>
      <c r="L2034">
        <v>57</v>
      </c>
      <c r="M2034">
        <v>89.938999999999993</v>
      </c>
      <c r="N2034">
        <v>91.771692000000002</v>
      </c>
      <c r="O2034">
        <v>18.198</v>
      </c>
      <c r="P2034">
        <v>38.143000000000001</v>
      </c>
      <c r="Q2034">
        <v>33.432000000000002</v>
      </c>
      <c r="R2034" t="s">
        <v>797</v>
      </c>
      <c r="S2034" t="s">
        <v>83</v>
      </c>
      <c r="T2034">
        <f>IF(TRIM(Table1[[#This Row],[PitStopLaps]])="",0,
LEN(Table1[[#This Row],[PitStopLaps]])-LEN(SUBSTITUTE(Table1[[#This Row],[PitStopLaps]],",",""))+1)</f>
        <v>2</v>
      </c>
      <c r="U2034">
        <f>Table1[[#This Row],[StartPosition]]-Table1[[#This Row],[FinishPosition]]</f>
        <v>6</v>
      </c>
    </row>
    <row r="2035" spans="1:21" x14ac:dyDescent="0.3">
      <c r="A2035">
        <v>2022</v>
      </c>
      <c r="B2035">
        <v>22</v>
      </c>
      <c r="C2035" t="s">
        <v>240</v>
      </c>
      <c r="D2035" t="s">
        <v>73</v>
      </c>
      <c r="E2035" t="s">
        <v>74</v>
      </c>
      <c r="F2035" t="s">
        <v>438</v>
      </c>
      <c r="G2035">
        <v>17</v>
      </c>
      <c r="H2035">
        <v>14</v>
      </c>
      <c r="I2035">
        <v>0</v>
      </c>
      <c r="J2035" t="s">
        <v>34</v>
      </c>
      <c r="K2035" t="s">
        <v>65</v>
      </c>
      <c r="L2035">
        <v>57</v>
      </c>
      <c r="M2035">
        <v>91.018000000000001</v>
      </c>
      <c r="N2035">
        <v>92.159222</v>
      </c>
      <c r="O2035">
        <v>18.379000000000001</v>
      </c>
      <c r="P2035">
        <v>38.326999999999998</v>
      </c>
      <c r="Q2035">
        <v>33.631</v>
      </c>
      <c r="R2035">
        <v>14</v>
      </c>
      <c r="S2035" t="s">
        <v>83</v>
      </c>
      <c r="T2035">
        <f>IF(TRIM(Table1[[#This Row],[PitStopLaps]])="",0,
LEN(Table1[[#This Row],[PitStopLaps]])-LEN(SUBSTITUTE(Table1[[#This Row],[PitStopLaps]],",",""))+1)</f>
        <v>1</v>
      </c>
      <c r="U2035">
        <f>Table1[[#This Row],[StartPosition]]-Table1[[#This Row],[FinishPosition]]</f>
        <v>3</v>
      </c>
    </row>
    <row r="2036" spans="1:21" x14ac:dyDescent="0.3">
      <c r="A2036">
        <v>2022</v>
      </c>
      <c r="B2036">
        <v>22</v>
      </c>
      <c r="C2036" t="s">
        <v>240</v>
      </c>
      <c r="D2036" t="s">
        <v>43</v>
      </c>
      <c r="E2036" t="s">
        <v>44</v>
      </c>
      <c r="F2036" t="s">
        <v>789</v>
      </c>
      <c r="G2036">
        <v>18</v>
      </c>
      <c r="H2036">
        <v>15</v>
      </c>
      <c r="I2036">
        <v>0</v>
      </c>
      <c r="J2036" t="s">
        <v>34</v>
      </c>
      <c r="K2036" t="s">
        <v>65</v>
      </c>
      <c r="L2036">
        <v>57</v>
      </c>
      <c r="M2036">
        <v>90.352000000000004</v>
      </c>
      <c r="N2036">
        <v>92.279240000000001</v>
      </c>
      <c r="O2036">
        <v>18.196000000000002</v>
      </c>
      <c r="P2036">
        <v>38.686999999999998</v>
      </c>
      <c r="Q2036">
        <v>33.143000000000001</v>
      </c>
      <c r="R2036">
        <v>30</v>
      </c>
      <c r="S2036" t="s">
        <v>83</v>
      </c>
      <c r="T2036">
        <f>IF(TRIM(Table1[[#This Row],[PitStopLaps]])="",0,
LEN(Table1[[#This Row],[PitStopLaps]])-LEN(SUBSTITUTE(Table1[[#This Row],[PitStopLaps]],",",""))+1)</f>
        <v>1</v>
      </c>
      <c r="U2036">
        <f>Table1[[#This Row],[StartPosition]]-Table1[[#This Row],[FinishPosition]]</f>
        <v>3</v>
      </c>
    </row>
    <row r="2037" spans="1:21" x14ac:dyDescent="0.3">
      <c r="A2037">
        <v>2022</v>
      </c>
      <c r="B2037">
        <v>22</v>
      </c>
      <c r="C2037" t="s">
        <v>240</v>
      </c>
      <c r="D2037" t="s">
        <v>608</v>
      </c>
      <c r="E2037" t="s">
        <v>609</v>
      </c>
      <c r="F2037" t="s">
        <v>69</v>
      </c>
      <c r="G2037">
        <v>12</v>
      </c>
      <c r="H2037">
        <v>16</v>
      </c>
      <c r="I2037">
        <v>0</v>
      </c>
      <c r="J2037" t="s">
        <v>34</v>
      </c>
      <c r="K2037" t="s">
        <v>65</v>
      </c>
      <c r="L2037">
        <v>57</v>
      </c>
      <c r="M2037">
        <v>89.832999999999998</v>
      </c>
      <c r="N2037">
        <v>92.126441999999997</v>
      </c>
      <c r="O2037">
        <v>18.169</v>
      </c>
      <c r="P2037">
        <v>38.176000000000002</v>
      </c>
      <c r="Q2037">
        <v>33.097999999999999</v>
      </c>
      <c r="R2037" t="s">
        <v>525</v>
      </c>
      <c r="S2037" t="s">
        <v>83</v>
      </c>
      <c r="T2037">
        <f>IF(TRIM(Table1[[#This Row],[PitStopLaps]])="",0,
LEN(Table1[[#This Row],[PitStopLaps]])-LEN(SUBSTITUTE(Table1[[#This Row],[PitStopLaps]],",",""))+1)</f>
        <v>2</v>
      </c>
      <c r="U2037">
        <f>Table1[[#This Row],[StartPosition]]-Table1[[#This Row],[FinishPosition]]</f>
        <v>-4</v>
      </c>
    </row>
    <row r="2038" spans="1:21" x14ac:dyDescent="0.3">
      <c r="A2038">
        <v>2022</v>
      </c>
      <c r="B2038">
        <v>22</v>
      </c>
      <c r="C2038" t="s">
        <v>240</v>
      </c>
      <c r="D2038" t="s">
        <v>71</v>
      </c>
      <c r="E2038" t="s">
        <v>72</v>
      </c>
      <c r="F2038" t="s">
        <v>69</v>
      </c>
      <c r="G2038">
        <v>16</v>
      </c>
      <c r="H2038">
        <v>17</v>
      </c>
      <c r="I2038">
        <v>0</v>
      </c>
      <c r="J2038" t="s">
        <v>34</v>
      </c>
      <c r="K2038" t="s">
        <v>65</v>
      </c>
      <c r="L2038">
        <v>57</v>
      </c>
      <c r="M2038">
        <v>91.158000000000001</v>
      </c>
      <c r="N2038">
        <v>92.723091999999994</v>
      </c>
      <c r="O2038">
        <v>18.366</v>
      </c>
      <c r="P2038">
        <v>38.904000000000003</v>
      </c>
      <c r="Q2038">
        <v>33.444000000000003</v>
      </c>
      <c r="R2038">
        <v>28</v>
      </c>
      <c r="S2038" t="s">
        <v>83</v>
      </c>
      <c r="T2038">
        <f>IF(TRIM(Table1[[#This Row],[PitStopLaps]])="",0,
LEN(Table1[[#This Row],[PitStopLaps]])-LEN(SUBSTITUTE(Table1[[#This Row],[PitStopLaps]],",",""))+1)</f>
        <v>1</v>
      </c>
      <c r="U2038">
        <f>Table1[[#This Row],[StartPosition]]-Table1[[#This Row],[FinishPosition]]</f>
        <v>-1</v>
      </c>
    </row>
    <row r="2039" spans="1:21" x14ac:dyDescent="0.3">
      <c r="A2039">
        <v>2022</v>
      </c>
      <c r="B2039">
        <v>22</v>
      </c>
      <c r="C2039" t="s">
        <v>240</v>
      </c>
      <c r="D2039" t="s">
        <v>26</v>
      </c>
      <c r="E2039" t="s">
        <v>27</v>
      </c>
      <c r="F2039" t="s">
        <v>28</v>
      </c>
      <c r="G2039">
        <v>5</v>
      </c>
      <c r="H2039">
        <v>18</v>
      </c>
      <c r="I2039">
        <v>0</v>
      </c>
      <c r="J2039" t="s">
        <v>34</v>
      </c>
      <c r="K2039" t="s">
        <v>155</v>
      </c>
      <c r="L2039">
        <v>55</v>
      </c>
      <c r="M2039">
        <v>89.787999999999997</v>
      </c>
      <c r="N2039">
        <v>90.764979999999994</v>
      </c>
      <c r="O2039">
        <v>18.027999999999999</v>
      </c>
      <c r="P2039">
        <v>38.204999999999998</v>
      </c>
      <c r="Q2039">
        <v>32.947000000000003</v>
      </c>
      <c r="R2039" t="s">
        <v>986</v>
      </c>
      <c r="S2039" t="s">
        <v>83</v>
      </c>
      <c r="T2039">
        <f>IF(TRIM(Table1[[#This Row],[PitStopLaps]])="",0,
LEN(Table1[[#This Row],[PitStopLaps]])-LEN(SUBSTITUTE(Table1[[#This Row],[PitStopLaps]],",",""))+1)</f>
        <v>2</v>
      </c>
      <c r="U2039">
        <f>Table1[[#This Row],[StartPosition]]-Table1[[#This Row],[FinishPosition]]</f>
        <v>-13</v>
      </c>
    </row>
    <row r="2040" spans="1:21" x14ac:dyDescent="0.3">
      <c r="A2040">
        <v>2022</v>
      </c>
      <c r="B2040">
        <v>22</v>
      </c>
      <c r="C2040" t="s">
        <v>240</v>
      </c>
      <c r="D2040" t="s">
        <v>440</v>
      </c>
      <c r="E2040" t="s">
        <v>441</v>
      </c>
      <c r="F2040" t="s">
        <v>60</v>
      </c>
      <c r="G2040">
        <v>20</v>
      </c>
      <c r="H2040">
        <v>19</v>
      </c>
      <c r="I2040">
        <v>0</v>
      </c>
      <c r="J2040" t="s">
        <v>34</v>
      </c>
      <c r="K2040" t="s">
        <v>109</v>
      </c>
      <c r="L2040">
        <v>55</v>
      </c>
      <c r="M2040">
        <v>90.308999999999997</v>
      </c>
      <c r="N2040">
        <v>92.375468999999995</v>
      </c>
      <c r="O2040">
        <v>18.201000000000001</v>
      </c>
      <c r="P2040">
        <v>38.347999999999999</v>
      </c>
      <c r="Q2040">
        <v>33.616</v>
      </c>
      <c r="R2040" t="s">
        <v>987</v>
      </c>
      <c r="S2040" t="s">
        <v>83</v>
      </c>
      <c r="T2040">
        <f>IF(TRIM(Table1[[#This Row],[PitStopLaps]])="",0,
LEN(Table1[[#This Row],[PitStopLaps]])-LEN(SUBSTITUTE(Table1[[#This Row],[PitStopLaps]],",",""))+1)</f>
        <v>3</v>
      </c>
      <c r="U2040">
        <f>Table1[[#This Row],[StartPosition]]-Table1[[#This Row],[FinishPosition]]</f>
        <v>1</v>
      </c>
    </row>
    <row r="2041" spans="1:21" x14ac:dyDescent="0.3">
      <c r="A2041">
        <v>2022</v>
      </c>
      <c r="B2041">
        <v>22</v>
      </c>
      <c r="C2041" t="s">
        <v>240</v>
      </c>
      <c r="D2041" t="s">
        <v>35</v>
      </c>
      <c r="E2041" t="s">
        <v>36</v>
      </c>
      <c r="F2041" t="s">
        <v>607</v>
      </c>
      <c r="G2041">
        <v>10</v>
      </c>
      <c r="H2041">
        <v>20</v>
      </c>
      <c r="I2041">
        <v>0</v>
      </c>
      <c r="J2041" t="s">
        <v>34</v>
      </c>
      <c r="K2041" t="s">
        <v>827</v>
      </c>
      <c r="L2041">
        <v>27</v>
      </c>
      <c r="M2041">
        <v>90.578999999999994</v>
      </c>
      <c r="N2041">
        <v>92.027782000000002</v>
      </c>
      <c r="O2041">
        <v>18.245999999999999</v>
      </c>
      <c r="P2041">
        <v>38.435000000000002</v>
      </c>
      <c r="Q2041">
        <v>33.354999999999997</v>
      </c>
      <c r="R2041" t="s">
        <v>988</v>
      </c>
      <c r="S2041" t="s">
        <v>83</v>
      </c>
      <c r="T2041">
        <f>IF(TRIM(Table1[[#This Row],[PitStopLaps]])="",0,
LEN(Table1[[#This Row],[PitStopLaps]])-LEN(SUBSTITUTE(Table1[[#This Row],[PitStopLaps]],",",""))+1)</f>
        <v>2</v>
      </c>
      <c r="U2041">
        <f>Table1[[#This Row],[StartPosition]]-Table1[[#This Row],[FinishPosition]]</f>
        <v>-10</v>
      </c>
    </row>
    <row r="2042" spans="1:21" x14ac:dyDescent="0.3">
      <c r="A2042">
        <v>2023</v>
      </c>
      <c r="B2042">
        <v>1</v>
      </c>
      <c r="C2042" t="s">
        <v>82</v>
      </c>
      <c r="D2042" t="s">
        <v>38</v>
      </c>
      <c r="E2042" t="s">
        <v>39</v>
      </c>
      <c r="F2042" t="s">
        <v>33</v>
      </c>
      <c r="G2042">
        <v>1</v>
      </c>
      <c r="H2042">
        <v>1</v>
      </c>
      <c r="I2042">
        <v>25</v>
      </c>
      <c r="J2042" t="s">
        <v>23</v>
      </c>
      <c r="K2042" t="s">
        <v>24</v>
      </c>
      <c r="L2042">
        <v>57</v>
      </c>
      <c r="M2042">
        <v>96.236000000000004</v>
      </c>
      <c r="N2042">
        <v>97.465419999999995</v>
      </c>
      <c r="O2042">
        <v>30.783000000000001</v>
      </c>
      <c r="P2042">
        <v>41.747</v>
      </c>
      <c r="Q2042">
        <v>23.448</v>
      </c>
      <c r="R2042" t="s">
        <v>202</v>
      </c>
      <c r="S2042" t="s">
        <v>83</v>
      </c>
      <c r="T2042">
        <f>IF(TRIM(Table1[[#This Row],[PitStopLaps]])="",0,
LEN(Table1[[#This Row],[PitStopLaps]])-LEN(SUBSTITUTE(Table1[[#This Row],[PitStopLaps]],",",""))+1)</f>
        <v>2</v>
      </c>
      <c r="U2042">
        <f>Table1[[#This Row],[StartPosition]]-Table1[[#This Row],[FinishPosition]]</f>
        <v>0</v>
      </c>
    </row>
    <row r="2043" spans="1:21" x14ac:dyDescent="0.3">
      <c r="A2043">
        <v>2023</v>
      </c>
      <c r="B2043">
        <v>1</v>
      </c>
      <c r="C2043" t="s">
        <v>82</v>
      </c>
      <c r="D2043" t="s">
        <v>49</v>
      </c>
      <c r="E2043" t="s">
        <v>50</v>
      </c>
      <c r="F2043" t="s">
        <v>33</v>
      </c>
      <c r="G2043">
        <v>2</v>
      </c>
      <c r="H2043">
        <v>2</v>
      </c>
      <c r="I2043">
        <v>18</v>
      </c>
      <c r="J2043" t="s">
        <v>23</v>
      </c>
      <c r="K2043" t="s">
        <v>24</v>
      </c>
      <c r="L2043">
        <v>57</v>
      </c>
      <c r="M2043">
        <v>96.343999999999994</v>
      </c>
      <c r="N2043">
        <v>97.697059999999993</v>
      </c>
      <c r="O2043">
        <v>30.774000000000001</v>
      </c>
      <c r="P2043">
        <v>41.786000000000001</v>
      </c>
      <c r="Q2043">
        <v>23.510999999999999</v>
      </c>
      <c r="R2043" t="s">
        <v>280</v>
      </c>
      <c r="S2043" t="s">
        <v>83</v>
      </c>
      <c r="T2043">
        <f>IF(TRIM(Table1[[#This Row],[PitStopLaps]])="",0,
LEN(Table1[[#This Row],[PitStopLaps]])-LEN(SUBSTITUTE(Table1[[#This Row],[PitStopLaps]],",",""))+1)</f>
        <v>2</v>
      </c>
      <c r="U2043">
        <f>Table1[[#This Row],[StartPosition]]-Table1[[#This Row],[FinishPosition]]</f>
        <v>0</v>
      </c>
    </row>
    <row r="2044" spans="1:21" x14ac:dyDescent="0.3">
      <c r="A2044">
        <v>2023</v>
      </c>
      <c r="B2044">
        <v>1</v>
      </c>
      <c r="C2044" t="s">
        <v>82</v>
      </c>
      <c r="D2044" t="s">
        <v>35</v>
      </c>
      <c r="E2044" t="s">
        <v>36</v>
      </c>
      <c r="F2044" t="s">
        <v>603</v>
      </c>
      <c r="G2044">
        <v>5</v>
      </c>
      <c r="H2044">
        <v>3</v>
      </c>
      <c r="I2044">
        <v>15</v>
      </c>
      <c r="J2044" t="s">
        <v>23</v>
      </c>
      <c r="K2044" t="s">
        <v>24</v>
      </c>
      <c r="L2044">
        <v>57</v>
      </c>
      <c r="M2044">
        <v>96.156000000000006</v>
      </c>
      <c r="N2044">
        <v>98.145214999999993</v>
      </c>
      <c r="O2044">
        <v>30.763000000000002</v>
      </c>
      <c r="P2044">
        <v>41.462000000000003</v>
      </c>
      <c r="Q2044">
        <v>23.634</v>
      </c>
      <c r="R2044" t="s">
        <v>525</v>
      </c>
      <c r="S2044" t="s">
        <v>83</v>
      </c>
      <c r="T2044">
        <f>IF(TRIM(Table1[[#This Row],[PitStopLaps]])="",0,
LEN(Table1[[#This Row],[PitStopLaps]])-LEN(SUBSTITUTE(Table1[[#This Row],[PitStopLaps]],",",""))+1)</f>
        <v>2</v>
      </c>
      <c r="U2044">
        <f>Table1[[#This Row],[StartPosition]]-Table1[[#This Row],[FinishPosition]]</f>
        <v>2</v>
      </c>
    </row>
    <row r="2045" spans="1:21" x14ac:dyDescent="0.3">
      <c r="A2045">
        <v>2023</v>
      </c>
      <c r="B2045">
        <v>1</v>
      </c>
      <c r="C2045" t="s">
        <v>82</v>
      </c>
      <c r="D2045" t="s">
        <v>47</v>
      </c>
      <c r="E2045" t="s">
        <v>48</v>
      </c>
      <c r="F2045" t="s">
        <v>22</v>
      </c>
      <c r="G2045">
        <v>4</v>
      </c>
      <c r="H2045">
        <v>4</v>
      </c>
      <c r="I2045">
        <v>12</v>
      </c>
      <c r="J2045" t="s">
        <v>34</v>
      </c>
      <c r="K2045" t="s">
        <v>24</v>
      </c>
      <c r="L2045">
        <v>57</v>
      </c>
      <c r="M2045">
        <v>97.13</v>
      </c>
      <c r="N2045">
        <v>98.325704999999999</v>
      </c>
      <c r="O2045">
        <v>30.975000000000001</v>
      </c>
      <c r="P2045">
        <v>42.381</v>
      </c>
      <c r="Q2045">
        <v>23.628</v>
      </c>
      <c r="R2045" t="s">
        <v>102</v>
      </c>
      <c r="S2045" t="s">
        <v>83</v>
      </c>
      <c r="T2045">
        <f>IF(TRIM(Table1[[#This Row],[PitStopLaps]])="",0,
LEN(Table1[[#This Row],[PitStopLaps]])-LEN(SUBSTITUTE(Table1[[#This Row],[PitStopLaps]],",",""))+1)</f>
        <v>2</v>
      </c>
      <c r="U2045">
        <f>Table1[[#This Row],[StartPosition]]-Table1[[#This Row],[FinishPosition]]</f>
        <v>0</v>
      </c>
    </row>
    <row r="2046" spans="1:21" x14ac:dyDescent="0.3">
      <c r="A2046">
        <v>2023</v>
      </c>
      <c r="B2046">
        <v>1</v>
      </c>
      <c r="C2046" t="s">
        <v>82</v>
      </c>
      <c r="D2046" t="s">
        <v>26</v>
      </c>
      <c r="E2046" t="s">
        <v>27</v>
      </c>
      <c r="F2046" t="s">
        <v>28</v>
      </c>
      <c r="G2046">
        <v>7</v>
      </c>
      <c r="H2046">
        <v>5</v>
      </c>
      <c r="I2046">
        <v>10</v>
      </c>
      <c r="J2046" t="s">
        <v>34</v>
      </c>
      <c r="K2046" t="s">
        <v>24</v>
      </c>
      <c r="L2046">
        <v>57</v>
      </c>
      <c r="M2046">
        <v>96.546000000000006</v>
      </c>
      <c r="N2046">
        <v>98.347862000000006</v>
      </c>
      <c r="O2046">
        <v>30.768000000000001</v>
      </c>
      <c r="P2046">
        <v>42.012999999999998</v>
      </c>
      <c r="Q2046">
        <v>23.63</v>
      </c>
      <c r="R2046" t="s">
        <v>606</v>
      </c>
      <c r="S2046" t="s">
        <v>83</v>
      </c>
      <c r="T2046">
        <f>IF(TRIM(Table1[[#This Row],[PitStopLaps]])="",0,
LEN(Table1[[#This Row],[PitStopLaps]])-LEN(SUBSTITUTE(Table1[[#This Row],[PitStopLaps]],",",""))+1)</f>
        <v>2</v>
      </c>
      <c r="U2046">
        <f>Table1[[#This Row],[StartPosition]]-Table1[[#This Row],[FinishPosition]]</f>
        <v>2</v>
      </c>
    </row>
    <row r="2047" spans="1:21" x14ac:dyDescent="0.3">
      <c r="A2047">
        <v>2023</v>
      </c>
      <c r="B2047">
        <v>1</v>
      </c>
      <c r="C2047" t="s">
        <v>82</v>
      </c>
      <c r="D2047" t="s">
        <v>58</v>
      </c>
      <c r="E2047" t="s">
        <v>59</v>
      </c>
      <c r="F2047" t="s">
        <v>603</v>
      </c>
      <c r="G2047">
        <v>8</v>
      </c>
      <c r="H2047">
        <v>6</v>
      </c>
      <c r="I2047">
        <v>8</v>
      </c>
      <c r="J2047" t="s">
        <v>34</v>
      </c>
      <c r="K2047" t="s">
        <v>24</v>
      </c>
      <c r="L2047">
        <v>57</v>
      </c>
      <c r="M2047">
        <v>96.546000000000006</v>
      </c>
      <c r="N2047">
        <v>98.411919999999995</v>
      </c>
      <c r="O2047">
        <v>30.853000000000002</v>
      </c>
      <c r="P2047">
        <v>41.993000000000002</v>
      </c>
      <c r="Q2047">
        <v>23.666</v>
      </c>
      <c r="R2047" t="s">
        <v>916</v>
      </c>
      <c r="S2047" t="s">
        <v>83</v>
      </c>
      <c r="T2047">
        <f>IF(TRIM(Table1[[#This Row],[PitStopLaps]])="",0,
LEN(Table1[[#This Row],[PitStopLaps]])-LEN(SUBSTITUTE(Table1[[#This Row],[PitStopLaps]],",",""))+1)</f>
        <v>2</v>
      </c>
      <c r="U2047">
        <f>Table1[[#This Row],[StartPosition]]-Table1[[#This Row],[FinishPosition]]</f>
        <v>2</v>
      </c>
    </row>
    <row r="2048" spans="1:21" x14ac:dyDescent="0.3">
      <c r="A2048">
        <v>2023</v>
      </c>
      <c r="B2048">
        <v>1</v>
      </c>
      <c r="C2048" t="s">
        <v>82</v>
      </c>
      <c r="D2048" t="s">
        <v>252</v>
      </c>
      <c r="E2048" t="s">
        <v>253</v>
      </c>
      <c r="F2048" t="s">
        <v>28</v>
      </c>
      <c r="G2048">
        <v>6</v>
      </c>
      <c r="H2048">
        <v>7</v>
      </c>
      <c r="I2048">
        <v>6</v>
      </c>
      <c r="J2048" t="s">
        <v>34</v>
      </c>
      <c r="K2048" t="s">
        <v>24</v>
      </c>
      <c r="L2048">
        <v>57</v>
      </c>
      <c r="M2048">
        <v>97.034999999999997</v>
      </c>
      <c r="N2048">
        <v>98.397599999999997</v>
      </c>
      <c r="O2048">
        <v>30.782</v>
      </c>
      <c r="P2048">
        <v>42.390999999999998</v>
      </c>
      <c r="Q2048">
        <v>23.55</v>
      </c>
      <c r="R2048" t="s">
        <v>102</v>
      </c>
      <c r="S2048" t="s">
        <v>83</v>
      </c>
      <c r="T2048">
        <f>IF(TRIM(Table1[[#This Row],[PitStopLaps]])="",0,
LEN(Table1[[#This Row],[PitStopLaps]])-LEN(SUBSTITUTE(Table1[[#This Row],[PitStopLaps]],",",""))+1)</f>
        <v>2</v>
      </c>
      <c r="U2048">
        <f>Table1[[#This Row],[StartPosition]]-Table1[[#This Row],[FinishPosition]]</f>
        <v>-1</v>
      </c>
    </row>
    <row r="2049" spans="1:21" x14ac:dyDescent="0.3">
      <c r="A2049">
        <v>2023</v>
      </c>
      <c r="B2049">
        <v>1</v>
      </c>
      <c r="C2049" t="s">
        <v>82</v>
      </c>
      <c r="D2049" t="s">
        <v>43</v>
      </c>
      <c r="E2049" t="s">
        <v>44</v>
      </c>
      <c r="F2049" t="s">
        <v>789</v>
      </c>
      <c r="G2049">
        <v>12</v>
      </c>
      <c r="H2049">
        <v>8</v>
      </c>
      <c r="I2049">
        <v>4</v>
      </c>
      <c r="J2049" t="s">
        <v>34</v>
      </c>
      <c r="K2049" t="s">
        <v>24</v>
      </c>
      <c r="L2049">
        <v>57</v>
      </c>
      <c r="M2049">
        <v>97.379000000000005</v>
      </c>
      <c r="N2049">
        <v>98.714939999999999</v>
      </c>
      <c r="O2049">
        <v>31.059000000000001</v>
      </c>
      <c r="P2049">
        <v>42.241</v>
      </c>
      <c r="Q2049">
        <v>23.875</v>
      </c>
      <c r="R2049" t="s">
        <v>727</v>
      </c>
      <c r="S2049" t="s">
        <v>83</v>
      </c>
      <c r="T2049">
        <f>IF(TRIM(Table1[[#This Row],[PitStopLaps]])="",0,
LEN(Table1[[#This Row],[PitStopLaps]])-LEN(SUBSTITUTE(Table1[[#This Row],[PitStopLaps]],",",""))+1)</f>
        <v>2</v>
      </c>
      <c r="U2049">
        <f>Table1[[#This Row],[StartPosition]]-Table1[[#This Row],[FinishPosition]]</f>
        <v>4</v>
      </c>
    </row>
    <row r="2050" spans="1:21" x14ac:dyDescent="0.3">
      <c r="A2050">
        <v>2023</v>
      </c>
      <c r="B2050">
        <v>1</v>
      </c>
      <c r="C2050" t="s">
        <v>82</v>
      </c>
      <c r="D2050" t="s">
        <v>73</v>
      </c>
      <c r="E2050" t="s">
        <v>74</v>
      </c>
      <c r="F2050" t="s">
        <v>607</v>
      </c>
      <c r="G2050">
        <v>20</v>
      </c>
      <c r="H2050">
        <v>9</v>
      </c>
      <c r="I2050">
        <v>2</v>
      </c>
      <c r="J2050" t="s">
        <v>34</v>
      </c>
      <c r="K2050" t="s">
        <v>24</v>
      </c>
      <c r="L2050">
        <v>57</v>
      </c>
      <c r="M2050">
        <v>95.067999999999998</v>
      </c>
      <c r="N2050">
        <v>98.308679999999995</v>
      </c>
      <c r="O2050">
        <v>30.068999999999999</v>
      </c>
      <c r="P2050">
        <v>41.393000000000001</v>
      </c>
      <c r="Q2050">
        <v>23.465</v>
      </c>
      <c r="R2050" t="s">
        <v>989</v>
      </c>
      <c r="S2050" t="s">
        <v>83</v>
      </c>
      <c r="T2050">
        <f>IF(TRIM(Table1[[#This Row],[PitStopLaps]])="",0,
LEN(Table1[[#This Row],[PitStopLaps]])-LEN(SUBSTITUTE(Table1[[#This Row],[PitStopLaps]],",",""))+1)</f>
        <v>3</v>
      </c>
      <c r="U2050">
        <f>Table1[[#This Row],[StartPosition]]-Table1[[#This Row],[FinishPosition]]</f>
        <v>11</v>
      </c>
    </row>
    <row r="2051" spans="1:21" x14ac:dyDescent="0.3">
      <c r="A2051">
        <v>2023</v>
      </c>
      <c r="B2051">
        <v>1</v>
      </c>
      <c r="C2051" t="s">
        <v>82</v>
      </c>
      <c r="D2051" t="s">
        <v>248</v>
      </c>
      <c r="E2051" t="s">
        <v>249</v>
      </c>
      <c r="F2051" t="s">
        <v>60</v>
      </c>
      <c r="G2051">
        <v>15</v>
      </c>
      <c r="H2051">
        <v>10</v>
      </c>
      <c r="I2051">
        <v>1</v>
      </c>
      <c r="J2051" t="s">
        <v>34</v>
      </c>
      <c r="K2051" t="s">
        <v>24</v>
      </c>
      <c r="L2051">
        <v>57</v>
      </c>
      <c r="M2051">
        <v>97.144000000000005</v>
      </c>
      <c r="N2051">
        <v>98.706959999999995</v>
      </c>
      <c r="O2051">
        <v>30.766999999999999</v>
      </c>
      <c r="P2051">
        <v>42.484999999999999</v>
      </c>
      <c r="Q2051">
        <v>23.664000000000001</v>
      </c>
      <c r="R2051" t="s">
        <v>990</v>
      </c>
      <c r="S2051" t="s">
        <v>83</v>
      </c>
      <c r="T2051">
        <f>IF(TRIM(Table1[[#This Row],[PitStopLaps]])="",0,
LEN(Table1[[#This Row],[PitStopLaps]])-LEN(SUBSTITUTE(Table1[[#This Row],[PitStopLaps]],",",""))+1)</f>
        <v>3</v>
      </c>
      <c r="U2051">
        <f>Table1[[#This Row],[StartPosition]]-Table1[[#This Row],[FinishPosition]]</f>
        <v>5</v>
      </c>
    </row>
    <row r="2052" spans="1:21" x14ac:dyDescent="0.3">
      <c r="A2052">
        <v>2023</v>
      </c>
      <c r="B2052">
        <v>1</v>
      </c>
      <c r="C2052" t="s">
        <v>82</v>
      </c>
      <c r="D2052" t="s">
        <v>601</v>
      </c>
      <c r="E2052" t="s">
        <v>602</v>
      </c>
      <c r="F2052" t="s">
        <v>438</v>
      </c>
      <c r="G2052">
        <v>14</v>
      </c>
      <c r="H2052">
        <v>11</v>
      </c>
      <c r="I2052">
        <v>0</v>
      </c>
      <c r="J2052" t="s">
        <v>34</v>
      </c>
      <c r="K2052" t="s">
        <v>24</v>
      </c>
      <c r="L2052">
        <v>57</v>
      </c>
      <c r="M2052">
        <v>96.637</v>
      </c>
      <c r="N2052">
        <v>98.65128</v>
      </c>
      <c r="O2052">
        <v>30.795000000000002</v>
      </c>
      <c r="P2052">
        <v>41.734999999999999</v>
      </c>
      <c r="Q2052">
        <v>23.832999999999998</v>
      </c>
      <c r="R2052" t="s">
        <v>991</v>
      </c>
      <c r="S2052" t="s">
        <v>83</v>
      </c>
      <c r="T2052">
        <f>IF(TRIM(Table1[[#This Row],[PitStopLaps]])="",0,
LEN(Table1[[#This Row],[PitStopLaps]])-LEN(SUBSTITUTE(Table1[[#This Row],[PitStopLaps]],",",""))+1)</f>
        <v>3</v>
      </c>
      <c r="U2052">
        <f>Table1[[#This Row],[StartPosition]]-Table1[[#This Row],[FinishPosition]]</f>
        <v>3</v>
      </c>
    </row>
    <row r="2053" spans="1:21" x14ac:dyDescent="0.3">
      <c r="A2053">
        <v>2023</v>
      </c>
      <c r="B2053">
        <v>1</v>
      </c>
      <c r="C2053" t="s">
        <v>82</v>
      </c>
      <c r="D2053" t="s">
        <v>992</v>
      </c>
      <c r="E2053" t="s">
        <v>993</v>
      </c>
      <c r="F2053" t="s">
        <v>60</v>
      </c>
      <c r="G2053">
        <v>16</v>
      </c>
      <c r="H2053">
        <v>12</v>
      </c>
      <c r="I2053">
        <v>0</v>
      </c>
      <c r="J2053" t="s">
        <v>34</v>
      </c>
      <c r="K2053" t="s">
        <v>994</v>
      </c>
      <c r="L2053">
        <v>56</v>
      </c>
      <c r="M2053">
        <v>96.037000000000006</v>
      </c>
      <c r="N2053">
        <v>98.893938000000006</v>
      </c>
      <c r="O2053">
        <v>30.492000000000001</v>
      </c>
      <c r="P2053">
        <v>41.875</v>
      </c>
      <c r="Q2053">
        <v>23.67</v>
      </c>
      <c r="R2053" t="s">
        <v>995</v>
      </c>
      <c r="S2053" t="s">
        <v>83</v>
      </c>
      <c r="T2053">
        <f>IF(TRIM(Table1[[#This Row],[PitStopLaps]])="",0,
LEN(Table1[[#This Row],[PitStopLaps]])-LEN(SUBSTITUTE(Table1[[#This Row],[PitStopLaps]],",",""))+1)</f>
        <v>3</v>
      </c>
      <c r="U2053">
        <f>Table1[[#This Row],[StartPosition]]-Table1[[#This Row],[FinishPosition]]</f>
        <v>4</v>
      </c>
    </row>
    <row r="2054" spans="1:21" x14ac:dyDescent="0.3">
      <c r="A2054">
        <v>2023</v>
      </c>
      <c r="B2054">
        <v>1</v>
      </c>
      <c r="C2054" t="s">
        <v>82</v>
      </c>
      <c r="D2054" t="s">
        <v>71</v>
      </c>
      <c r="E2054" t="s">
        <v>72</v>
      </c>
      <c r="F2054" t="s">
        <v>69</v>
      </c>
      <c r="G2054">
        <v>17</v>
      </c>
      <c r="H2054">
        <v>13</v>
      </c>
      <c r="I2054">
        <v>0</v>
      </c>
      <c r="J2054" t="s">
        <v>34</v>
      </c>
      <c r="K2054" t="s">
        <v>994</v>
      </c>
      <c r="L2054">
        <v>56</v>
      </c>
      <c r="M2054">
        <v>96.471000000000004</v>
      </c>
      <c r="N2054">
        <v>99.090224000000006</v>
      </c>
      <c r="O2054">
        <v>30.736999999999998</v>
      </c>
      <c r="P2054">
        <v>42.048999999999999</v>
      </c>
      <c r="Q2054">
        <v>23.620999999999999</v>
      </c>
      <c r="R2054" t="s">
        <v>996</v>
      </c>
      <c r="S2054" t="s">
        <v>83</v>
      </c>
      <c r="T2054">
        <f>IF(TRIM(Table1[[#This Row],[PitStopLaps]])="",0,
LEN(Table1[[#This Row],[PitStopLaps]])-LEN(SUBSTITUTE(Table1[[#This Row],[PitStopLaps]],",",""))+1)</f>
        <v>3</v>
      </c>
      <c r="U2054">
        <f>Table1[[#This Row],[StartPosition]]-Table1[[#This Row],[FinishPosition]]</f>
        <v>4</v>
      </c>
    </row>
    <row r="2055" spans="1:21" x14ac:dyDescent="0.3">
      <c r="A2055">
        <v>2023</v>
      </c>
      <c r="B2055">
        <v>1</v>
      </c>
      <c r="C2055" t="s">
        <v>82</v>
      </c>
      <c r="D2055" t="s">
        <v>951</v>
      </c>
      <c r="E2055" t="s">
        <v>952</v>
      </c>
      <c r="F2055" t="s">
        <v>438</v>
      </c>
      <c r="G2055">
        <v>19</v>
      </c>
      <c r="H2055">
        <v>14</v>
      </c>
      <c r="I2055">
        <v>0</v>
      </c>
      <c r="J2055" t="s">
        <v>34</v>
      </c>
      <c r="K2055" t="s">
        <v>994</v>
      </c>
      <c r="L2055">
        <v>56</v>
      </c>
      <c r="M2055">
        <v>97.709000000000003</v>
      </c>
      <c r="N2055">
        <v>99.435937999999993</v>
      </c>
      <c r="O2055">
        <v>31.114999999999998</v>
      </c>
      <c r="P2055">
        <v>42.604999999999997</v>
      </c>
      <c r="Q2055">
        <v>23.917999999999999</v>
      </c>
      <c r="R2055" t="s">
        <v>273</v>
      </c>
      <c r="S2055" t="s">
        <v>83</v>
      </c>
      <c r="T2055">
        <f>IF(TRIM(Table1[[#This Row],[PitStopLaps]])="",0,
LEN(Table1[[#This Row],[PitStopLaps]])-LEN(SUBSTITUTE(Table1[[#This Row],[PitStopLaps]],",",""))+1)</f>
        <v>2</v>
      </c>
      <c r="U2055">
        <f>Table1[[#This Row],[StartPosition]]-Table1[[#This Row],[FinishPosition]]</f>
        <v>5</v>
      </c>
    </row>
    <row r="2056" spans="1:21" x14ac:dyDescent="0.3">
      <c r="A2056">
        <v>2023</v>
      </c>
      <c r="B2056">
        <v>1</v>
      </c>
      <c r="C2056" t="s">
        <v>82</v>
      </c>
      <c r="D2056" t="s">
        <v>40</v>
      </c>
      <c r="E2056" t="s">
        <v>41</v>
      </c>
      <c r="F2056" t="s">
        <v>69</v>
      </c>
      <c r="G2056">
        <v>10</v>
      </c>
      <c r="H2056">
        <v>15</v>
      </c>
      <c r="I2056">
        <v>0</v>
      </c>
      <c r="J2056" t="s">
        <v>34</v>
      </c>
      <c r="K2056" t="s">
        <v>994</v>
      </c>
      <c r="L2056">
        <v>56</v>
      </c>
      <c r="M2056">
        <v>96.616</v>
      </c>
      <c r="N2056">
        <v>98.877692999999994</v>
      </c>
      <c r="O2056">
        <v>30.788</v>
      </c>
      <c r="P2056">
        <v>41.854999999999997</v>
      </c>
      <c r="Q2056">
        <v>23.817</v>
      </c>
      <c r="R2056" t="s">
        <v>990</v>
      </c>
      <c r="S2056" t="s">
        <v>83</v>
      </c>
      <c r="T2056">
        <f>IF(TRIM(Table1[[#This Row],[PitStopLaps]])="",0,
LEN(Table1[[#This Row],[PitStopLaps]])-LEN(SUBSTITUTE(Table1[[#This Row],[PitStopLaps]],",",""))+1)</f>
        <v>3</v>
      </c>
      <c r="U2056">
        <f>Table1[[#This Row],[StartPosition]]-Table1[[#This Row],[FinishPosition]]</f>
        <v>-5</v>
      </c>
    </row>
    <row r="2057" spans="1:21" x14ac:dyDescent="0.3">
      <c r="A2057">
        <v>2023</v>
      </c>
      <c r="B2057">
        <v>1</v>
      </c>
      <c r="C2057" t="s">
        <v>82</v>
      </c>
      <c r="D2057" t="s">
        <v>794</v>
      </c>
      <c r="E2057" t="s">
        <v>795</v>
      </c>
      <c r="F2057" t="s">
        <v>789</v>
      </c>
      <c r="G2057">
        <v>13</v>
      </c>
      <c r="H2057">
        <v>16</v>
      </c>
      <c r="I2057">
        <v>0</v>
      </c>
      <c r="J2057" t="s">
        <v>34</v>
      </c>
      <c r="K2057" t="s">
        <v>994</v>
      </c>
      <c r="L2057">
        <v>56</v>
      </c>
      <c r="M2057">
        <v>93.995999999999995</v>
      </c>
      <c r="N2057">
        <v>99.246723000000003</v>
      </c>
      <c r="O2057">
        <v>30.183</v>
      </c>
      <c r="P2057">
        <v>40.533000000000001</v>
      </c>
      <c r="Q2057">
        <v>23.28</v>
      </c>
      <c r="R2057" t="s">
        <v>997</v>
      </c>
      <c r="S2057" t="s">
        <v>83</v>
      </c>
      <c r="T2057">
        <f>IF(TRIM(Table1[[#This Row],[PitStopLaps]])="",0,
LEN(Table1[[#This Row],[PitStopLaps]])-LEN(SUBSTITUTE(Table1[[#This Row],[PitStopLaps]],",",""))+1)</f>
        <v>3</v>
      </c>
      <c r="U2057">
        <f>Table1[[#This Row],[StartPosition]]-Table1[[#This Row],[FinishPosition]]</f>
        <v>-3</v>
      </c>
    </row>
    <row r="2058" spans="1:21" x14ac:dyDescent="0.3">
      <c r="A2058">
        <v>2023</v>
      </c>
      <c r="B2058">
        <v>1</v>
      </c>
      <c r="C2058" t="s">
        <v>82</v>
      </c>
      <c r="D2058" t="s">
        <v>246</v>
      </c>
      <c r="E2058" t="s">
        <v>247</v>
      </c>
      <c r="F2058" t="s">
        <v>37</v>
      </c>
      <c r="G2058">
        <v>11</v>
      </c>
      <c r="H2058">
        <v>17</v>
      </c>
      <c r="I2058">
        <v>0</v>
      </c>
      <c r="J2058" t="s">
        <v>34</v>
      </c>
      <c r="K2058" t="s">
        <v>994</v>
      </c>
      <c r="L2058">
        <v>55</v>
      </c>
      <c r="M2058">
        <v>95.257000000000005</v>
      </c>
      <c r="N2058">
        <v>98.464242999999996</v>
      </c>
      <c r="O2058">
        <v>30.533000000000001</v>
      </c>
      <c r="P2058">
        <v>41.13</v>
      </c>
      <c r="Q2058">
        <v>23.594000000000001</v>
      </c>
      <c r="R2058" t="s">
        <v>998</v>
      </c>
      <c r="S2058" t="s">
        <v>83</v>
      </c>
      <c r="T2058">
        <f>IF(TRIM(Table1[[#This Row],[PitStopLaps]])="",0,
LEN(Table1[[#This Row],[PitStopLaps]])-LEN(SUBSTITUTE(Table1[[#This Row],[PitStopLaps]],",",""))+1)</f>
        <v>6</v>
      </c>
      <c r="U2058">
        <f>Table1[[#This Row],[StartPosition]]-Table1[[#This Row],[FinishPosition]]</f>
        <v>-6</v>
      </c>
    </row>
    <row r="2059" spans="1:21" x14ac:dyDescent="0.3">
      <c r="A2059">
        <v>2023</v>
      </c>
      <c r="B2059">
        <v>1</v>
      </c>
      <c r="C2059" t="s">
        <v>82</v>
      </c>
      <c r="D2059" t="s">
        <v>52</v>
      </c>
      <c r="E2059" t="s">
        <v>53</v>
      </c>
      <c r="F2059" t="s">
        <v>607</v>
      </c>
      <c r="G2059">
        <v>9</v>
      </c>
      <c r="H2059">
        <v>18</v>
      </c>
      <c r="I2059">
        <v>0</v>
      </c>
      <c r="J2059" t="s">
        <v>34</v>
      </c>
      <c r="K2059" t="s">
        <v>179</v>
      </c>
      <c r="L2059">
        <v>41</v>
      </c>
      <c r="M2059">
        <v>96.796999999999997</v>
      </c>
      <c r="N2059">
        <v>99.317593000000002</v>
      </c>
      <c r="O2059">
        <v>30.92</v>
      </c>
      <c r="P2059">
        <v>42.106999999999999</v>
      </c>
      <c r="Q2059">
        <v>23.724</v>
      </c>
      <c r="R2059" t="s">
        <v>999</v>
      </c>
      <c r="S2059" t="s">
        <v>83</v>
      </c>
      <c r="T2059">
        <f>IF(TRIM(Table1[[#This Row],[PitStopLaps]])="",0,
LEN(Table1[[#This Row],[PitStopLaps]])-LEN(SUBSTITUTE(Table1[[#This Row],[PitStopLaps]],",",""))+1)</f>
        <v>4</v>
      </c>
      <c r="U2059">
        <f>Table1[[#This Row],[StartPosition]]-Table1[[#This Row],[FinishPosition]]</f>
        <v>-9</v>
      </c>
    </row>
    <row r="2060" spans="1:21" x14ac:dyDescent="0.3">
      <c r="A2060">
        <v>2023</v>
      </c>
      <c r="B2060">
        <v>1</v>
      </c>
      <c r="C2060" t="s">
        <v>82</v>
      </c>
      <c r="D2060" t="s">
        <v>54</v>
      </c>
      <c r="E2060" t="s">
        <v>55</v>
      </c>
      <c r="F2060" t="s">
        <v>22</v>
      </c>
      <c r="G2060">
        <v>3</v>
      </c>
      <c r="H2060">
        <v>19</v>
      </c>
      <c r="I2060">
        <v>0</v>
      </c>
      <c r="J2060" t="s">
        <v>34</v>
      </c>
      <c r="K2060" t="s">
        <v>179</v>
      </c>
      <c r="L2060">
        <v>40</v>
      </c>
      <c r="M2060">
        <v>97.17</v>
      </c>
      <c r="N2060">
        <v>98.360293999999996</v>
      </c>
      <c r="O2060">
        <v>30.859000000000002</v>
      </c>
      <c r="P2060">
        <v>42.384999999999998</v>
      </c>
      <c r="Q2060">
        <v>23.62</v>
      </c>
      <c r="R2060" t="s">
        <v>159</v>
      </c>
      <c r="S2060" t="s">
        <v>83</v>
      </c>
      <c r="T2060">
        <f>IF(TRIM(Table1[[#This Row],[PitStopLaps]])="",0,
LEN(Table1[[#This Row],[PitStopLaps]])-LEN(SUBSTITUTE(Table1[[#This Row],[PitStopLaps]],",",""))+1)</f>
        <v>2</v>
      </c>
      <c r="U2060">
        <f>Table1[[#This Row],[StartPosition]]-Table1[[#This Row],[FinishPosition]]</f>
        <v>-16</v>
      </c>
    </row>
    <row r="2061" spans="1:21" x14ac:dyDescent="0.3">
      <c r="A2061">
        <v>2023</v>
      </c>
      <c r="B2061">
        <v>1</v>
      </c>
      <c r="C2061" t="s">
        <v>82</v>
      </c>
      <c r="D2061" t="s">
        <v>1000</v>
      </c>
      <c r="E2061" t="s">
        <v>1001</v>
      </c>
      <c r="F2061" t="s">
        <v>37</v>
      </c>
      <c r="G2061">
        <v>18</v>
      </c>
      <c r="H2061">
        <v>20</v>
      </c>
      <c r="I2061">
        <v>0</v>
      </c>
      <c r="J2061" t="s">
        <v>34</v>
      </c>
      <c r="K2061" t="s">
        <v>179</v>
      </c>
      <c r="L2061">
        <v>13</v>
      </c>
      <c r="M2061">
        <v>100.691</v>
      </c>
      <c r="N2061">
        <v>101.11818100000001</v>
      </c>
      <c r="O2061">
        <v>31.664999999999999</v>
      </c>
      <c r="P2061">
        <v>43.976999999999997</v>
      </c>
      <c r="Q2061">
        <v>24.667999999999999</v>
      </c>
      <c r="R2061">
        <v>13</v>
      </c>
      <c r="S2061" t="s">
        <v>83</v>
      </c>
      <c r="T2061">
        <f>IF(TRIM(Table1[[#This Row],[PitStopLaps]])="",0,
LEN(Table1[[#This Row],[PitStopLaps]])-LEN(SUBSTITUTE(Table1[[#This Row],[PitStopLaps]],",",""))+1)</f>
        <v>1</v>
      </c>
      <c r="U2061">
        <f>Table1[[#This Row],[StartPosition]]-Table1[[#This Row],[FinishPosition]]</f>
        <v>-2</v>
      </c>
    </row>
    <row r="2062" spans="1:21" x14ac:dyDescent="0.3">
      <c r="A2062">
        <v>2023</v>
      </c>
      <c r="B2062">
        <v>2</v>
      </c>
      <c r="C2062" t="s">
        <v>766</v>
      </c>
      <c r="D2062" t="s">
        <v>49</v>
      </c>
      <c r="E2062" t="s">
        <v>50</v>
      </c>
      <c r="F2062" t="s">
        <v>33</v>
      </c>
      <c r="G2062">
        <v>1</v>
      </c>
      <c r="H2062">
        <v>1</v>
      </c>
      <c r="I2062">
        <v>25</v>
      </c>
      <c r="J2062" t="s">
        <v>23</v>
      </c>
      <c r="K2062" t="s">
        <v>24</v>
      </c>
      <c r="L2062">
        <v>50</v>
      </c>
      <c r="M2062">
        <v>92.188000000000002</v>
      </c>
      <c r="N2062">
        <v>93.459716999999998</v>
      </c>
      <c r="O2062">
        <v>33.720999999999997</v>
      </c>
      <c r="P2062">
        <v>29.04</v>
      </c>
      <c r="Q2062">
        <v>29.292000000000002</v>
      </c>
      <c r="R2062">
        <v>18</v>
      </c>
      <c r="S2062" t="s">
        <v>83</v>
      </c>
      <c r="T2062">
        <f>IF(TRIM(Table1[[#This Row],[PitStopLaps]])="",0,
LEN(Table1[[#This Row],[PitStopLaps]])-LEN(SUBSTITUTE(Table1[[#This Row],[PitStopLaps]],",",""))+1)</f>
        <v>1</v>
      </c>
      <c r="U2062">
        <f>Table1[[#This Row],[StartPosition]]-Table1[[#This Row],[FinishPosition]]</f>
        <v>0</v>
      </c>
    </row>
    <row r="2063" spans="1:21" x14ac:dyDescent="0.3">
      <c r="A2063">
        <v>2023</v>
      </c>
      <c r="B2063">
        <v>2</v>
      </c>
      <c r="C2063" t="s">
        <v>766</v>
      </c>
      <c r="D2063" t="s">
        <v>38</v>
      </c>
      <c r="E2063" t="s">
        <v>39</v>
      </c>
      <c r="F2063" t="s">
        <v>33</v>
      </c>
      <c r="G2063">
        <v>15</v>
      </c>
      <c r="H2063">
        <v>2</v>
      </c>
      <c r="I2063">
        <v>19</v>
      </c>
      <c r="J2063" t="s">
        <v>23</v>
      </c>
      <c r="K2063" t="s">
        <v>24</v>
      </c>
      <c r="L2063">
        <v>50</v>
      </c>
      <c r="M2063">
        <v>91.906000000000006</v>
      </c>
      <c r="N2063">
        <v>93.845847000000006</v>
      </c>
      <c r="O2063">
        <v>33.542999999999999</v>
      </c>
      <c r="P2063">
        <v>29.029</v>
      </c>
      <c r="Q2063">
        <v>29.244</v>
      </c>
      <c r="R2063">
        <v>18</v>
      </c>
      <c r="S2063" t="s">
        <v>83</v>
      </c>
      <c r="T2063">
        <f>IF(TRIM(Table1[[#This Row],[PitStopLaps]])="",0,
LEN(Table1[[#This Row],[PitStopLaps]])-LEN(SUBSTITUTE(Table1[[#This Row],[PitStopLaps]],",",""))+1)</f>
        <v>1</v>
      </c>
      <c r="U2063">
        <f>Table1[[#This Row],[StartPosition]]-Table1[[#This Row],[FinishPosition]]</f>
        <v>13</v>
      </c>
    </row>
    <row r="2064" spans="1:21" x14ac:dyDescent="0.3">
      <c r="A2064">
        <v>2023</v>
      </c>
      <c r="B2064">
        <v>2</v>
      </c>
      <c r="C2064" t="s">
        <v>766</v>
      </c>
      <c r="D2064" t="s">
        <v>35</v>
      </c>
      <c r="E2064" t="s">
        <v>36</v>
      </c>
      <c r="F2064" t="s">
        <v>603</v>
      </c>
      <c r="G2064">
        <v>2</v>
      </c>
      <c r="H2064">
        <v>3</v>
      </c>
      <c r="I2064">
        <v>15</v>
      </c>
      <c r="J2064" t="s">
        <v>23</v>
      </c>
      <c r="K2064" t="s">
        <v>24</v>
      </c>
      <c r="L2064">
        <v>50</v>
      </c>
      <c r="M2064">
        <v>92.24</v>
      </c>
      <c r="N2064">
        <v>94.035826</v>
      </c>
      <c r="O2064">
        <v>33.731000000000002</v>
      </c>
      <c r="P2064">
        <v>29.096</v>
      </c>
      <c r="Q2064">
        <v>29.413</v>
      </c>
      <c r="R2064">
        <v>18</v>
      </c>
      <c r="S2064" t="s">
        <v>83</v>
      </c>
      <c r="T2064">
        <f>IF(TRIM(Table1[[#This Row],[PitStopLaps]])="",0,
LEN(Table1[[#This Row],[PitStopLaps]])-LEN(SUBSTITUTE(Table1[[#This Row],[PitStopLaps]],",",""))+1)</f>
        <v>1</v>
      </c>
      <c r="U2064">
        <f>Table1[[#This Row],[StartPosition]]-Table1[[#This Row],[FinishPosition]]</f>
        <v>-1</v>
      </c>
    </row>
    <row r="2065" spans="1:21" x14ac:dyDescent="0.3">
      <c r="A2065">
        <v>2023</v>
      </c>
      <c r="B2065">
        <v>2</v>
      </c>
      <c r="C2065" t="s">
        <v>766</v>
      </c>
      <c r="D2065" t="s">
        <v>252</v>
      </c>
      <c r="E2065" t="s">
        <v>253</v>
      </c>
      <c r="F2065" t="s">
        <v>28</v>
      </c>
      <c r="G2065">
        <v>3</v>
      </c>
      <c r="H2065">
        <v>4</v>
      </c>
      <c r="I2065">
        <v>12</v>
      </c>
      <c r="J2065" t="s">
        <v>34</v>
      </c>
      <c r="K2065" t="s">
        <v>24</v>
      </c>
      <c r="L2065">
        <v>50</v>
      </c>
      <c r="M2065">
        <v>92.433000000000007</v>
      </c>
      <c r="N2065">
        <v>94.278869</v>
      </c>
      <c r="O2065">
        <v>33.784999999999997</v>
      </c>
      <c r="P2065">
        <v>29.173999999999999</v>
      </c>
      <c r="Q2065">
        <v>29.427</v>
      </c>
      <c r="R2065">
        <v>18</v>
      </c>
      <c r="S2065" t="s">
        <v>83</v>
      </c>
      <c r="T2065">
        <f>IF(TRIM(Table1[[#This Row],[PitStopLaps]])="",0,
LEN(Table1[[#This Row],[PitStopLaps]])-LEN(SUBSTITUTE(Table1[[#This Row],[PitStopLaps]],",",""))+1)</f>
        <v>1</v>
      </c>
      <c r="U2065">
        <f>Table1[[#This Row],[StartPosition]]-Table1[[#This Row],[FinishPosition]]</f>
        <v>-1</v>
      </c>
    </row>
    <row r="2066" spans="1:21" x14ac:dyDescent="0.3">
      <c r="A2066">
        <v>2023</v>
      </c>
      <c r="B2066">
        <v>2</v>
      </c>
      <c r="C2066" t="s">
        <v>766</v>
      </c>
      <c r="D2066" t="s">
        <v>26</v>
      </c>
      <c r="E2066" t="s">
        <v>27</v>
      </c>
      <c r="F2066" t="s">
        <v>28</v>
      </c>
      <c r="G2066">
        <v>7</v>
      </c>
      <c r="H2066">
        <v>5</v>
      </c>
      <c r="I2066">
        <v>10</v>
      </c>
      <c r="J2066" t="s">
        <v>34</v>
      </c>
      <c r="K2066" t="s">
        <v>24</v>
      </c>
      <c r="L2066">
        <v>50</v>
      </c>
      <c r="M2066">
        <v>92.941000000000003</v>
      </c>
      <c r="N2066">
        <v>94.632520999999997</v>
      </c>
      <c r="O2066">
        <v>34.026000000000003</v>
      </c>
      <c r="P2066">
        <v>29.21</v>
      </c>
      <c r="Q2066">
        <v>29.553999999999998</v>
      </c>
      <c r="R2066">
        <v>18</v>
      </c>
      <c r="S2066" t="s">
        <v>83</v>
      </c>
      <c r="T2066">
        <f>IF(TRIM(Table1[[#This Row],[PitStopLaps]])="",0,
LEN(Table1[[#This Row],[PitStopLaps]])-LEN(SUBSTITUTE(Table1[[#This Row],[PitStopLaps]],",",""))+1)</f>
        <v>1</v>
      </c>
      <c r="U2066">
        <f>Table1[[#This Row],[StartPosition]]-Table1[[#This Row],[FinishPosition]]</f>
        <v>2</v>
      </c>
    </row>
    <row r="2067" spans="1:21" x14ac:dyDescent="0.3">
      <c r="A2067">
        <v>2023</v>
      </c>
      <c r="B2067">
        <v>2</v>
      </c>
      <c r="C2067" t="s">
        <v>766</v>
      </c>
      <c r="D2067" t="s">
        <v>47</v>
      </c>
      <c r="E2067" t="s">
        <v>48</v>
      </c>
      <c r="F2067" t="s">
        <v>22</v>
      </c>
      <c r="G2067">
        <v>4</v>
      </c>
      <c r="H2067">
        <v>6</v>
      </c>
      <c r="I2067">
        <v>8</v>
      </c>
      <c r="J2067" t="s">
        <v>34</v>
      </c>
      <c r="K2067" t="s">
        <v>24</v>
      </c>
      <c r="L2067">
        <v>50</v>
      </c>
      <c r="M2067">
        <v>92.822000000000003</v>
      </c>
      <c r="N2067">
        <v>94.525767000000002</v>
      </c>
      <c r="O2067">
        <v>33.929000000000002</v>
      </c>
      <c r="P2067">
        <v>29.300999999999998</v>
      </c>
      <c r="Q2067">
        <v>29.526</v>
      </c>
      <c r="R2067">
        <v>15</v>
      </c>
      <c r="S2067" t="s">
        <v>83</v>
      </c>
      <c r="T2067">
        <f>IF(TRIM(Table1[[#This Row],[PitStopLaps]])="",0,
LEN(Table1[[#This Row],[PitStopLaps]])-LEN(SUBSTITUTE(Table1[[#This Row],[PitStopLaps]],",",""))+1)</f>
        <v>1</v>
      </c>
      <c r="U2067">
        <f>Table1[[#This Row],[StartPosition]]-Table1[[#This Row],[FinishPosition]]</f>
        <v>-2</v>
      </c>
    </row>
    <row r="2068" spans="1:21" x14ac:dyDescent="0.3">
      <c r="A2068">
        <v>2023</v>
      </c>
      <c r="B2068">
        <v>2</v>
      </c>
      <c r="C2068" t="s">
        <v>766</v>
      </c>
      <c r="D2068" t="s">
        <v>54</v>
      </c>
      <c r="E2068" t="s">
        <v>55</v>
      </c>
      <c r="F2068" t="s">
        <v>22</v>
      </c>
      <c r="G2068">
        <v>12</v>
      </c>
      <c r="H2068">
        <v>7</v>
      </c>
      <c r="I2068">
        <v>6</v>
      </c>
      <c r="J2068" t="s">
        <v>34</v>
      </c>
      <c r="K2068" t="s">
        <v>24</v>
      </c>
      <c r="L2068">
        <v>50</v>
      </c>
      <c r="M2068">
        <v>93.055999999999997</v>
      </c>
      <c r="N2068">
        <v>94.689840000000004</v>
      </c>
      <c r="O2068">
        <v>34.048000000000002</v>
      </c>
      <c r="P2068">
        <v>29.407</v>
      </c>
      <c r="Q2068">
        <v>29.550999999999998</v>
      </c>
      <c r="R2068">
        <v>16</v>
      </c>
      <c r="S2068" t="s">
        <v>83</v>
      </c>
      <c r="T2068">
        <f>IF(TRIM(Table1[[#This Row],[PitStopLaps]])="",0,
LEN(Table1[[#This Row],[PitStopLaps]])-LEN(SUBSTITUTE(Table1[[#This Row],[PitStopLaps]],",",""))+1)</f>
        <v>1</v>
      </c>
      <c r="U2068">
        <f>Table1[[#This Row],[StartPosition]]-Table1[[#This Row],[FinishPosition]]</f>
        <v>5</v>
      </c>
    </row>
    <row r="2069" spans="1:21" x14ac:dyDescent="0.3">
      <c r="A2069">
        <v>2023</v>
      </c>
      <c r="B2069">
        <v>2</v>
      </c>
      <c r="C2069" t="s">
        <v>766</v>
      </c>
      <c r="D2069" t="s">
        <v>52</v>
      </c>
      <c r="E2069" t="s">
        <v>53</v>
      </c>
      <c r="F2069" t="s">
        <v>607</v>
      </c>
      <c r="G2069">
        <v>6</v>
      </c>
      <c r="H2069">
        <v>8</v>
      </c>
      <c r="I2069">
        <v>4</v>
      </c>
      <c r="J2069" t="s">
        <v>34</v>
      </c>
      <c r="K2069" t="s">
        <v>24</v>
      </c>
      <c r="L2069">
        <v>50</v>
      </c>
      <c r="M2069">
        <v>93.221999999999994</v>
      </c>
      <c r="N2069">
        <v>95.059818000000007</v>
      </c>
      <c r="O2069">
        <v>34.177999999999997</v>
      </c>
      <c r="P2069">
        <v>29.49</v>
      </c>
      <c r="Q2069">
        <v>29.553999999999998</v>
      </c>
      <c r="R2069">
        <v>16</v>
      </c>
      <c r="S2069" t="s">
        <v>83</v>
      </c>
      <c r="T2069">
        <f>IF(TRIM(Table1[[#This Row],[PitStopLaps]])="",0,
LEN(Table1[[#This Row],[PitStopLaps]])-LEN(SUBSTITUTE(Table1[[#This Row],[PitStopLaps]],",",""))+1)</f>
        <v>1</v>
      </c>
      <c r="U2069">
        <f>Table1[[#This Row],[StartPosition]]-Table1[[#This Row],[FinishPosition]]</f>
        <v>-2</v>
      </c>
    </row>
    <row r="2070" spans="1:21" x14ac:dyDescent="0.3">
      <c r="A2070">
        <v>2023</v>
      </c>
      <c r="B2070">
        <v>2</v>
      </c>
      <c r="C2070" t="s">
        <v>766</v>
      </c>
      <c r="D2070" t="s">
        <v>73</v>
      </c>
      <c r="E2070" t="s">
        <v>74</v>
      </c>
      <c r="F2070" t="s">
        <v>607</v>
      </c>
      <c r="G2070">
        <v>9</v>
      </c>
      <c r="H2070">
        <v>9</v>
      </c>
      <c r="I2070">
        <v>2</v>
      </c>
      <c r="J2070" t="s">
        <v>34</v>
      </c>
      <c r="K2070" t="s">
        <v>24</v>
      </c>
      <c r="L2070">
        <v>50</v>
      </c>
      <c r="M2070">
        <v>93.391999999999996</v>
      </c>
      <c r="N2070">
        <v>95.104626999999994</v>
      </c>
      <c r="O2070">
        <v>34.283999999999999</v>
      </c>
      <c r="P2070">
        <v>29.492999999999999</v>
      </c>
      <c r="Q2070">
        <v>29.609000000000002</v>
      </c>
      <c r="R2070">
        <v>14</v>
      </c>
      <c r="S2070" t="s">
        <v>83</v>
      </c>
      <c r="T2070">
        <f>IF(TRIM(Table1[[#This Row],[PitStopLaps]])="",0,
LEN(Table1[[#This Row],[PitStopLaps]])-LEN(SUBSTITUTE(Table1[[#This Row],[PitStopLaps]],",",""))+1)</f>
        <v>1</v>
      </c>
      <c r="U2070">
        <f>Table1[[#This Row],[StartPosition]]-Table1[[#This Row],[FinishPosition]]</f>
        <v>0</v>
      </c>
    </row>
    <row r="2071" spans="1:21" x14ac:dyDescent="0.3">
      <c r="A2071">
        <v>2023</v>
      </c>
      <c r="B2071">
        <v>2</v>
      </c>
      <c r="C2071" t="s">
        <v>766</v>
      </c>
      <c r="D2071" t="s">
        <v>71</v>
      </c>
      <c r="E2071" t="s">
        <v>72</v>
      </c>
      <c r="F2071" t="s">
        <v>69</v>
      </c>
      <c r="G2071">
        <v>13</v>
      </c>
      <c r="H2071">
        <v>10</v>
      </c>
      <c r="I2071">
        <v>1</v>
      </c>
      <c r="J2071" t="s">
        <v>34</v>
      </c>
      <c r="K2071" t="s">
        <v>24</v>
      </c>
      <c r="L2071">
        <v>50</v>
      </c>
      <c r="M2071">
        <v>93.373999999999995</v>
      </c>
      <c r="N2071">
        <v>95.307883000000004</v>
      </c>
      <c r="O2071">
        <v>34.26</v>
      </c>
      <c r="P2071">
        <v>29.286999999999999</v>
      </c>
      <c r="Q2071">
        <v>29.552</v>
      </c>
      <c r="R2071">
        <v>8</v>
      </c>
      <c r="S2071" t="s">
        <v>83</v>
      </c>
      <c r="T2071">
        <f>IF(TRIM(Table1[[#This Row],[PitStopLaps]])="",0,
LEN(Table1[[#This Row],[PitStopLaps]])-LEN(SUBSTITUTE(Table1[[#This Row],[PitStopLaps]],",",""))+1)</f>
        <v>1</v>
      </c>
      <c r="U2071">
        <f>Table1[[#This Row],[StartPosition]]-Table1[[#This Row],[FinishPosition]]</f>
        <v>3</v>
      </c>
    </row>
    <row r="2072" spans="1:21" x14ac:dyDescent="0.3">
      <c r="A2072">
        <v>2023</v>
      </c>
      <c r="B2072">
        <v>2</v>
      </c>
      <c r="C2072" t="s">
        <v>766</v>
      </c>
      <c r="D2072" t="s">
        <v>601</v>
      </c>
      <c r="E2072" t="s">
        <v>602</v>
      </c>
      <c r="F2072" t="s">
        <v>438</v>
      </c>
      <c r="G2072">
        <v>16</v>
      </c>
      <c r="H2072">
        <v>11</v>
      </c>
      <c r="I2072">
        <v>0</v>
      </c>
      <c r="J2072" t="s">
        <v>34</v>
      </c>
      <c r="K2072" t="s">
        <v>24</v>
      </c>
      <c r="L2072">
        <v>50</v>
      </c>
      <c r="M2072">
        <v>93.930999999999997</v>
      </c>
      <c r="N2072">
        <v>95.512044000000003</v>
      </c>
      <c r="O2072">
        <v>34.343000000000004</v>
      </c>
      <c r="P2072">
        <v>29.704000000000001</v>
      </c>
      <c r="Q2072">
        <v>29.786000000000001</v>
      </c>
      <c r="R2072">
        <v>17</v>
      </c>
      <c r="S2072" t="s">
        <v>83</v>
      </c>
      <c r="T2072">
        <f>IF(TRIM(Table1[[#This Row],[PitStopLaps]])="",0,
LEN(Table1[[#This Row],[PitStopLaps]])-LEN(SUBSTITUTE(Table1[[#This Row],[PitStopLaps]],",",""))+1)</f>
        <v>1</v>
      </c>
      <c r="U2072">
        <f>Table1[[#This Row],[StartPosition]]-Table1[[#This Row],[FinishPosition]]</f>
        <v>5</v>
      </c>
    </row>
    <row r="2073" spans="1:21" x14ac:dyDescent="0.3">
      <c r="A2073">
        <v>2023</v>
      </c>
      <c r="B2073">
        <v>2</v>
      </c>
      <c r="C2073" t="s">
        <v>766</v>
      </c>
      <c r="D2073" t="s">
        <v>40</v>
      </c>
      <c r="E2073" t="s">
        <v>41</v>
      </c>
      <c r="F2073" t="s">
        <v>69</v>
      </c>
      <c r="G2073">
        <v>10</v>
      </c>
      <c r="H2073">
        <v>12</v>
      </c>
      <c r="I2073">
        <v>0</v>
      </c>
      <c r="J2073" t="s">
        <v>34</v>
      </c>
      <c r="K2073" t="s">
        <v>24</v>
      </c>
      <c r="L2073">
        <v>50</v>
      </c>
      <c r="M2073">
        <v>93.78</v>
      </c>
      <c r="N2073">
        <v>95.525999999999996</v>
      </c>
      <c r="O2073">
        <v>34.546999999999997</v>
      </c>
      <c r="P2073">
        <v>29.414999999999999</v>
      </c>
      <c r="Q2073">
        <v>29.744</v>
      </c>
      <c r="R2073">
        <v>11</v>
      </c>
      <c r="S2073" t="s">
        <v>83</v>
      </c>
      <c r="T2073">
        <f>IF(TRIM(Table1[[#This Row],[PitStopLaps]])="",0,
LEN(Table1[[#This Row],[PitStopLaps]])-LEN(SUBSTITUTE(Table1[[#This Row],[PitStopLaps]],",",""))+1)</f>
        <v>1</v>
      </c>
      <c r="U2073">
        <f>Table1[[#This Row],[StartPosition]]-Table1[[#This Row],[FinishPosition]]</f>
        <v>-2</v>
      </c>
    </row>
    <row r="2074" spans="1:21" x14ac:dyDescent="0.3">
      <c r="A2074">
        <v>2023</v>
      </c>
      <c r="B2074">
        <v>2</v>
      </c>
      <c r="C2074" t="s">
        <v>766</v>
      </c>
      <c r="D2074" t="s">
        <v>794</v>
      </c>
      <c r="E2074" t="s">
        <v>795</v>
      </c>
      <c r="F2074" t="s">
        <v>789</v>
      </c>
      <c r="G2074">
        <v>11</v>
      </c>
      <c r="H2074">
        <v>13</v>
      </c>
      <c r="I2074">
        <v>0</v>
      </c>
      <c r="J2074" t="s">
        <v>34</v>
      </c>
      <c r="K2074" t="s">
        <v>24</v>
      </c>
      <c r="L2074">
        <v>50</v>
      </c>
      <c r="M2074">
        <v>93.894000000000005</v>
      </c>
      <c r="N2074">
        <v>95.518952999999996</v>
      </c>
      <c r="O2074">
        <v>34.322000000000003</v>
      </c>
      <c r="P2074">
        <v>29.504999999999999</v>
      </c>
      <c r="Q2074">
        <v>29.725000000000001</v>
      </c>
      <c r="R2074" t="s">
        <v>906</v>
      </c>
      <c r="S2074" t="s">
        <v>83</v>
      </c>
      <c r="T2074">
        <f>IF(TRIM(Table1[[#This Row],[PitStopLaps]])="",0,
LEN(Table1[[#This Row],[PitStopLaps]])-LEN(SUBSTITUTE(Table1[[#This Row],[PitStopLaps]],",",""))+1)</f>
        <v>2</v>
      </c>
      <c r="U2074">
        <f>Table1[[#This Row],[StartPosition]]-Table1[[#This Row],[FinishPosition]]</f>
        <v>-2</v>
      </c>
    </row>
    <row r="2075" spans="1:21" x14ac:dyDescent="0.3">
      <c r="A2075">
        <v>2023</v>
      </c>
      <c r="B2075">
        <v>2</v>
      </c>
      <c r="C2075" t="s">
        <v>766</v>
      </c>
      <c r="D2075" t="s">
        <v>951</v>
      </c>
      <c r="E2075" t="s">
        <v>952</v>
      </c>
      <c r="F2075" t="s">
        <v>438</v>
      </c>
      <c r="G2075">
        <v>18</v>
      </c>
      <c r="H2075">
        <v>14</v>
      </c>
      <c r="I2075">
        <v>0</v>
      </c>
      <c r="J2075" t="s">
        <v>34</v>
      </c>
      <c r="K2075" t="s">
        <v>24</v>
      </c>
      <c r="L2075">
        <v>50</v>
      </c>
      <c r="M2075">
        <v>93.608999999999995</v>
      </c>
      <c r="N2075">
        <v>95.847311000000005</v>
      </c>
      <c r="O2075">
        <v>34.353999999999999</v>
      </c>
      <c r="P2075">
        <v>29.506</v>
      </c>
      <c r="Q2075">
        <v>29.67</v>
      </c>
      <c r="R2075">
        <v>17</v>
      </c>
      <c r="S2075" t="s">
        <v>83</v>
      </c>
      <c r="T2075">
        <f>IF(TRIM(Table1[[#This Row],[PitStopLaps]])="",0,
LEN(Table1[[#This Row],[PitStopLaps]])-LEN(SUBSTITUTE(Table1[[#This Row],[PitStopLaps]],",",""))+1)</f>
        <v>1</v>
      </c>
      <c r="U2075">
        <f>Table1[[#This Row],[StartPosition]]-Table1[[#This Row],[FinishPosition]]</f>
        <v>4</v>
      </c>
    </row>
    <row r="2076" spans="1:21" x14ac:dyDescent="0.3">
      <c r="A2076">
        <v>2023</v>
      </c>
      <c r="B2076">
        <v>2</v>
      </c>
      <c r="C2076" t="s">
        <v>766</v>
      </c>
      <c r="D2076" t="s">
        <v>1000</v>
      </c>
      <c r="E2076" t="s">
        <v>1001</v>
      </c>
      <c r="F2076" t="s">
        <v>37</v>
      </c>
      <c r="G2076">
        <v>8</v>
      </c>
      <c r="H2076">
        <v>15</v>
      </c>
      <c r="I2076">
        <v>0</v>
      </c>
      <c r="J2076" t="s">
        <v>34</v>
      </c>
      <c r="K2076" t="s">
        <v>24</v>
      </c>
      <c r="L2076">
        <v>50</v>
      </c>
      <c r="M2076">
        <v>94.287000000000006</v>
      </c>
      <c r="N2076">
        <v>95.656068000000005</v>
      </c>
      <c r="O2076">
        <v>34.664000000000001</v>
      </c>
      <c r="P2076">
        <v>29.606999999999999</v>
      </c>
      <c r="Q2076">
        <v>29.597999999999999</v>
      </c>
      <c r="R2076">
        <v>1</v>
      </c>
      <c r="S2076" t="s">
        <v>83</v>
      </c>
      <c r="T2076">
        <f>IF(TRIM(Table1[[#This Row],[PitStopLaps]])="",0,
LEN(Table1[[#This Row],[PitStopLaps]])-LEN(SUBSTITUTE(Table1[[#This Row],[PitStopLaps]],",",""))+1)</f>
        <v>1</v>
      </c>
      <c r="U2076">
        <f>Table1[[#This Row],[StartPosition]]-Table1[[#This Row],[FinishPosition]]</f>
        <v>-7</v>
      </c>
    </row>
    <row r="2077" spans="1:21" x14ac:dyDescent="0.3">
      <c r="A2077">
        <v>2023</v>
      </c>
      <c r="B2077">
        <v>2</v>
      </c>
      <c r="C2077" t="s">
        <v>766</v>
      </c>
      <c r="D2077" t="s">
        <v>992</v>
      </c>
      <c r="E2077" t="s">
        <v>993</v>
      </c>
      <c r="F2077" t="s">
        <v>60</v>
      </c>
      <c r="G2077">
        <v>20</v>
      </c>
      <c r="H2077">
        <v>16</v>
      </c>
      <c r="I2077">
        <v>0</v>
      </c>
      <c r="J2077" t="s">
        <v>34</v>
      </c>
      <c r="K2077" t="s">
        <v>24</v>
      </c>
      <c r="L2077">
        <v>50</v>
      </c>
      <c r="M2077">
        <v>94.468999999999994</v>
      </c>
      <c r="N2077">
        <v>96.063576999999995</v>
      </c>
      <c r="O2077">
        <v>34.76</v>
      </c>
      <c r="P2077">
        <v>29.692</v>
      </c>
      <c r="Q2077">
        <v>29.806999999999999</v>
      </c>
      <c r="R2077">
        <v>18</v>
      </c>
      <c r="S2077" t="s">
        <v>83</v>
      </c>
      <c r="T2077">
        <f>IF(TRIM(Table1[[#This Row],[PitStopLaps]])="",0,
LEN(Table1[[#This Row],[PitStopLaps]])-LEN(SUBSTITUTE(Table1[[#This Row],[PitStopLaps]],",",""))+1)</f>
        <v>1</v>
      </c>
      <c r="U2077">
        <f>Table1[[#This Row],[StartPosition]]-Table1[[#This Row],[FinishPosition]]</f>
        <v>4</v>
      </c>
    </row>
    <row r="2078" spans="1:21" x14ac:dyDescent="0.3">
      <c r="A2078">
        <v>2023</v>
      </c>
      <c r="B2078">
        <v>2</v>
      </c>
      <c r="C2078" t="s">
        <v>766</v>
      </c>
      <c r="D2078" t="s">
        <v>246</v>
      </c>
      <c r="E2078" t="s">
        <v>247</v>
      </c>
      <c r="F2078" t="s">
        <v>37</v>
      </c>
      <c r="G2078">
        <v>19</v>
      </c>
      <c r="H2078">
        <v>17</v>
      </c>
      <c r="I2078">
        <v>0</v>
      </c>
      <c r="J2078" t="s">
        <v>34</v>
      </c>
      <c r="K2078" t="s">
        <v>24</v>
      </c>
      <c r="L2078">
        <v>50</v>
      </c>
      <c r="M2078">
        <v>94.122</v>
      </c>
      <c r="N2078">
        <v>95.717603999999994</v>
      </c>
      <c r="O2078">
        <v>34.58</v>
      </c>
      <c r="P2078">
        <v>29.678000000000001</v>
      </c>
      <c r="Q2078">
        <v>29.826000000000001</v>
      </c>
      <c r="R2078" t="s">
        <v>685</v>
      </c>
      <c r="S2078" t="s">
        <v>83</v>
      </c>
      <c r="T2078">
        <f>IF(TRIM(Table1[[#This Row],[PitStopLaps]])="",0,
LEN(Table1[[#This Row],[PitStopLaps]])-LEN(SUBSTITUTE(Table1[[#This Row],[PitStopLaps]],",",""))+1)</f>
        <v>2</v>
      </c>
      <c r="U2078">
        <f>Table1[[#This Row],[StartPosition]]-Table1[[#This Row],[FinishPosition]]</f>
        <v>2</v>
      </c>
    </row>
    <row r="2079" spans="1:21" x14ac:dyDescent="0.3">
      <c r="A2079">
        <v>2023</v>
      </c>
      <c r="B2079">
        <v>2</v>
      </c>
      <c r="C2079" t="s">
        <v>766</v>
      </c>
      <c r="D2079" t="s">
        <v>43</v>
      </c>
      <c r="E2079" t="s">
        <v>44</v>
      </c>
      <c r="F2079" t="s">
        <v>789</v>
      </c>
      <c r="G2079">
        <v>14</v>
      </c>
      <c r="H2079">
        <v>18</v>
      </c>
      <c r="I2079">
        <v>0</v>
      </c>
      <c r="J2079" t="s">
        <v>34</v>
      </c>
      <c r="K2079" t="s">
        <v>994</v>
      </c>
      <c r="L2079">
        <v>49</v>
      </c>
      <c r="M2079">
        <v>94.384</v>
      </c>
      <c r="N2079">
        <v>96.445774999999998</v>
      </c>
      <c r="O2079">
        <v>34.584000000000003</v>
      </c>
      <c r="P2079">
        <v>29.876999999999999</v>
      </c>
      <c r="Q2079">
        <v>29.92</v>
      </c>
      <c r="R2079" t="s">
        <v>1002</v>
      </c>
      <c r="S2079" t="s">
        <v>83</v>
      </c>
      <c r="T2079">
        <f>IF(TRIM(Table1[[#This Row],[PitStopLaps]])="",0,
LEN(Table1[[#This Row],[PitStopLaps]])-LEN(SUBSTITUTE(Table1[[#This Row],[PitStopLaps]],",",""))+1)</f>
        <v>3</v>
      </c>
      <c r="U2079">
        <f>Table1[[#This Row],[StartPosition]]-Table1[[#This Row],[FinishPosition]]</f>
        <v>-4</v>
      </c>
    </row>
    <row r="2080" spans="1:21" x14ac:dyDescent="0.3">
      <c r="A2080">
        <v>2023</v>
      </c>
      <c r="B2080">
        <v>2</v>
      </c>
      <c r="C2080" t="s">
        <v>766</v>
      </c>
      <c r="D2080" t="s">
        <v>248</v>
      </c>
      <c r="E2080" t="s">
        <v>249</v>
      </c>
      <c r="F2080" t="s">
        <v>60</v>
      </c>
      <c r="G2080">
        <v>17</v>
      </c>
      <c r="H2080">
        <v>19</v>
      </c>
      <c r="I2080">
        <v>0</v>
      </c>
      <c r="J2080" t="s">
        <v>34</v>
      </c>
      <c r="K2080" t="s">
        <v>179</v>
      </c>
      <c r="L2080">
        <v>27</v>
      </c>
      <c r="M2080">
        <v>95.566999999999993</v>
      </c>
      <c r="N2080">
        <v>96.849523000000005</v>
      </c>
      <c r="O2080">
        <v>35.39</v>
      </c>
      <c r="P2080">
        <v>29.943000000000001</v>
      </c>
      <c r="Q2080">
        <v>29.818000000000001</v>
      </c>
      <c r="R2080" t="s">
        <v>1003</v>
      </c>
      <c r="S2080" t="s">
        <v>83</v>
      </c>
      <c r="T2080">
        <f>IF(TRIM(Table1[[#This Row],[PitStopLaps]])="",0,
LEN(Table1[[#This Row],[PitStopLaps]])-LEN(SUBSTITUTE(Table1[[#This Row],[PitStopLaps]],",",""))+1)</f>
        <v>2</v>
      </c>
      <c r="U2080">
        <f>Table1[[#This Row],[StartPosition]]-Table1[[#This Row],[FinishPosition]]</f>
        <v>-2</v>
      </c>
    </row>
    <row r="2081" spans="1:21" x14ac:dyDescent="0.3">
      <c r="A2081">
        <v>2023</v>
      </c>
      <c r="B2081">
        <v>2</v>
      </c>
      <c r="C2081" t="s">
        <v>766</v>
      </c>
      <c r="D2081" t="s">
        <v>58</v>
      </c>
      <c r="E2081" t="s">
        <v>59</v>
      </c>
      <c r="F2081" t="s">
        <v>603</v>
      </c>
      <c r="G2081">
        <v>5</v>
      </c>
      <c r="H2081">
        <v>20</v>
      </c>
      <c r="I2081">
        <v>0</v>
      </c>
      <c r="J2081" t="s">
        <v>34</v>
      </c>
      <c r="K2081" t="s">
        <v>179</v>
      </c>
      <c r="L2081">
        <v>17</v>
      </c>
      <c r="M2081">
        <v>95.14</v>
      </c>
      <c r="N2081">
        <v>95.787923000000006</v>
      </c>
      <c r="O2081">
        <v>35.28</v>
      </c>
      <c r="P2081">
        <v>29.803000000000001</v>
      </c>
      <c r="Q2081">
        <v>29.850999999999999</v>
      </c>
      <c r="R2081">
        <v>13</v>
      </c>
      <c r="S2081" t="s">
        <v>83</v>
      </c>
      <c r="T2081">
        <f>IF(TRIM(Table1[[#This Row],[PitStopLaps]])="",0,
LEN(Table1[[#This Row],[PitStopLaps]])-LEN(SUBSTITUTE(Table1[[#This Row],[PitStopLaps]],",",""))+1)</f>
        <v>1</v>
      </c>
      <c r="U2081">
        <f>Table1[[#This Row],[StartPosition]]-Table1[[#This Row],[FinishPosition]]</f>
        <v>-15</v>
      </c>
    </row>
    <row r="2082" spans="1:21" x14ac:dyDescent="0.3">
      <c r="A2082">
        <v>2023</v>
      </c>
      <c r="B2082">
        <v>3</v>
      </c>
      <c r="C2082" t="s">
        <v>19</v>
      </c>
      <c r="D2082" t="s">
        <v>38</v>
      </c>
      <c r="E2082" t="s">
        <v>39</v>
      </c>
      <c r="F2082" t="s">
        <v>33</v>
      </c>
      <c r="G2082">
        <v>1</v>
      </c>
      <c r="H2082">
        <v>1</v>
      </c>
      <c r="I2082">
        <v>25</v>
      </c>
      <c r="J2082" t="s">
        <v>23</v>
      </c>
      <c r="K2082" t="s">
        <v>24</v>
      </c>
      <c r="L2082">
        <v>58</v>
      </c>
      <c r="M2082">
        <v>80.341999999999999</v>
      </c>
      <c r="N2082">
        <v>81.994710999999995</v>
      </c>
      <c r="O2082">
        <v>27.834</v>
      </c>
      <c r="P2082">
        <v>17.951000000000001</v>
      </c>
      <c r="Q2082">
        <v>34.302</v>
      </c>
      <c r="R2082" t="s">
        <v>1004</v>
      </c>
      <c r="S2082" t="s">
        <v>83</v>
      </c>
      <c r="T2082">
        <f>IF(TRIM(Table1[[#This Row],[PitStopLaps]])="",0,
LEN(Table1[[#This Row],[PitStopLaps]])-LEN(SUBSTITUTE(Table1[[#This Row],[PitStopLaps]],",",""))+1)</f>
        <v>3</v>
      </c>
      <c r="U2082">
        <f>Table1[[#This Row],[StartPosition]]-Table1[[#This Row],[FinishPosition]]</f>
        <v>0</v>
      </c>
    </row>
    <row r="2083" spans="1:21" x14ac:dyDescent="0.3">
      <c r="A2083">
        <v>2023</v>
      </c>
      <c r="B2083">
        <v>3</v>
      </c>
      <c r="C2083" t="s">
        <v>19</v>
      </c>
      <c r="D2083" t="s">
        <v>26</v>
      </c>
      <c r="E2083" t="s">
        <v>27</v>
      </c>
      <c r="F2083" t="s">
        <v>28</v>
      </c>
      <c r="G2083">
        <v>3</v>
      </c>
      <c r="H2083">
        <v>2</v>
      </c>
      <c r="I2083">
        <v>18</v>
      </c>
      <c r="J2083" t="s">
        <v>23</v>
      </c>
      <c r="K2083" t="s">
        <v>24</v>
      </c>
      <c r="L2083">
        <v>58</v>
      </c>
      <c r="M2083">
        <v>80.613</v>
      </c>
      <c r="N2083">
        <v>83.007043999999993</v>
      </c>
      <c r="O2083">
        <v>27.911000000000001</v>
      </c>
      <c r="P2083">
        <v>18.05</v>
      </c>
      <c r="Q2083">
        <v>34.47</v>
      </c>
      <c r="R2083" t="s">
        <v>1004</v>
      </c>
      <c r="S2083" t="s">
        <v>83</v>
      </c>
      <c r="T2083">
        <f>IF(TRIM(Table1[[#This Row],[PitStopLaps]])="",0,
LEN(Table1[[#This Row],[PitStopLaps]])-LEN(SUBSTITUTE(Table1[[#This Row],[PitStopLaps]],",",""))+1)</f>
        <v>3</v>
      </c>
      <c r="U2083">
        <f>Table1[[#This Row],[StartPosition]]-Table1[[#This Row],[FinishPosition]]</f>
        <v>1</v>
      </c>
    </row>
    <row r="2084" spans="1:21" x14ac:dyDescent="0.3">
      <c r="A2084">
        <v>2023</v>
      </c>
      <c r="B2084">
        <v>3</v>
      </c>
      <c r="C2084" t="s">
        <v>19</v>
      </c>
      <c r="D2084" t="s">
        <v>35</v>
      </c>
      <c r="E2084" t="s">
        <v>36</v>
      </c>
      <c r="F2084" t="s">
        <v>603</v>
      </c>
      <c r="G2084">
        <v>4</v>
      </c>
      <c r="H2084">
        <v>3</v>
      </c>
      <c r="I2084">
        <v>15</v>
      </c>
      <c r="J2084" t="s">
        <v>23</v>
      </c>
      <c r="K2084" t="s">
        <v>24</v>
      </c>
      <c r="L2084">
        <v>58</v>
      </c>
      <c r="M2084">
        <v>80.475999999999999</v>
      </c>
      <c r="N2084">
        <v>82.231843999999995</v>
      </c>
      <c r="O2084">
        <v>27.891999999999999</v>
      </c>
      <c r="P2084">
        <v>18.03</v>
      </c>
      <c r="Q2084">
        <v>34.420999999999999</v>
      </c>
      <c r="R2084" t="s">
        <v>1004</v>
      </c>
      <c r="S2084" t="s">
        <v>83</v>
      </c>
      <c r="T2084">
        <f>IF(TRIM(Table1[[#This Row],[PitStopLaps]])="",0,
LEN(Table1[[#This Row],[PitStopLaps]])-LEN(SUBSTITUTE(Table1[[#This Row],[PitStopLaps]],",",""))+1)</f>
        <v>3</v>
      </c>
      <c r="U2084">
        <f>Table1[[#This Row],[StartPosition]]-Table1[[#This Row],[FinishPosition]]</f>
        <v>1</v>
      </c>
    </row>
    <row r="2085" spans="1:21" x14ac:dyDescent="0.3">
      <c r="A2085">
        <v>2023</v>
      </c>
      <c r="B2085">
        <v>3</v>
      </c>
      <c r="C2085" t="s">
        <v>19</v>
      </c>
      <c r="D2085" t="s">
        <v>58</v>
      </c>
      <c r="E2085" t="s">
        <v>59</v>
      </c>
      <c r="F2085" t="s">
        <v>603</v>
      </c>
      <c r="G2085">
        <v>6</v>
      </c>
      <c r="H2085">
        <v>4</v>
      </c>
      <c r="I2085">
        <v>12</v>
      </c>
      <c r="J2085" t="s">
        <v>34</v>
      </c>
      <c r="K2085" t="s">
        <v>24</v>
      </c>
      <c r="L2085">
        <v>58</v>
      </c>
      <c r="M2085">
        <v>80.933999999999997</v>
      </c>
      <c r="N2085">
        <v>82.446710999999993</v>
      </c>
      <c r="O2085">
        <v>28.114000000000001</v>
      </c>
      <c r="P2085">
        <v>17.940999999999999</v>
      </c>
      <c r="Q2085">
        <v>34.576000000000001</v>
      </c>
      <c r="R2085" t="s">
        <v>1004</v>
      </c>
      <c r="S2085" t="s">
        <v>83</v>
      </c>
      <c r="T2085">
        <f>IF(TRIM(Table1[[#This Row],[PitStopLaps]])="",0,
LEN(Table1[[#This Row],[PitStopLaps]])-LEN(SUBSTITUTE(Table1[[#This Row],[PitStopLaps]],",",""))+1)</f>
        <v>3</v>
      </c>
      <c r="U2085">
        <f>Table1[[#This Row],[StartPosition]]-Table1[[#This Row],[FinishPosition]]</f>
        <v>2</v>
      </c>
    </row>
    <row r="2086" spans="1:21" x14ac:dyDescent="0.3">
      <c r="A2086">
        <v>2023</v>
      </c>
      <c r="B2086">
        <v>3</v>
      </c>
      <c r="C2086" t="s">
        <v>19</v>
      </c>
      <c r="D2086" t="s">
        <v>49</v>
      </c>
      <c r="E2086" t="s">
        <v>50</v>
      </c>
      <c r="F2086" t="s">
        <v>33</v>
      </c>
      <c r="G2086">
        <v>20</v>
      </c>
      <c r="H2086">
        <v>5</v>
      </c>
      <c r="I2086">
        <v>11</v>
      </c>
      <c r="J2086" t="s">
        <v>34</v>
      </c>
      <c r="K2086" t="s">
        <v>24</v>
      </c>
      <c r="L2086">
        <v>58</v>
      </c>
      <c r="M2086">
        <v>80.234999999999999</v>
      </c>
      <c r="N2086">
        <v>82.457465999999997</v>
      </c>
      <c r="O2086">
        <v>28.044</v>
      </c>
      <c r="P2086">
        <v>17.588999999999999</v>
      </c>
      <c r="Q2086">
        <v>34.389000000000003</v>
      </c>
      <c r="R2086" t="s">
        <v>1005</v>
      </c>
      <c r="S2086" t="s">
        <v>83</v>
      </c>
      <c r="T2086">
        <f>IF(TRIM(Table1[[#This Row],[PitStopLaps]])="",0,
LEN(Table1[[#This Row],[PitStopLaps]])-LEN(SUBSTITUTE(Table1[[#This Row],[PitStopLaps]],",",""))+1)</f>
        <v>5</v>
      </c>
      <c r="U2086">
        <f>Table1[[#This Row],[StartPosition]]-Table1[[#This Row],[FinishPosition]]</f>
        <v>15</v>
      </c>
    </row>
    <row r="2087" spans="1:21" x14ac:dyDescent="0.3">
      <c r="A2087">
        <v>2023</v>
      </c>
      <c r="B2087">
        <v>3</v>
      </c>
      <c r="C2087" t="s">
        <v>19</v>
      </c>
      <c r="D2087" t="s">
        <v>246</v>
      </c>
      <c r="E2087" t="s">
        <v>247</v>
      </c>
      <c r="F2087" t="s">
        <v>37</v>
      </c>
      <c r="G2087">
        <v>13</v>
      </c>
      <c r="H2087">
        <v>6</v>
      </c>
      <c r="I2087">
        <v>8</v>
      </c>
      <c r="J2087" t="s">
        <v>34</v>
      </c>
      <c r="K2087" t="s">
        <v>24</v>
      </c>
      <c r="L2087">
        <v>58</v>
      </c>
      <c r="M2087">
        <v>81.173000000000002</v>
      </c>
      <c r="N2087">
        <v>82.680199999999999</v>
      </c>
      <c r="O2087">
        <v>28.303999999999998</v>
      </c>
      <c r="P2087">
        <v>17.920000000000002</v>
      </c>
      <c r="Q2087">
        <v>34.530999999999999</v>
      </c>
      <c r="R2087" t="s">
        <v>1004</v>
      </c>
      <c r="S2087" t="s">
        <v>83</v>
      </c>
      <c r="T2087">
        <f>IF(TRIM(Table1[[#This Row],[PitStopLaps]])="",0,
LEN(Table1[[#This Row],[PitStopLaps]])-LEN(SUBSTITUTE(Table1[[#This Row],[PitStopLaps]],",",""))+1)</f>
        <v>3</v>
      </c>
      <c r="U2087">
        <f>Table1[[#This Row],[StartPosition]]-Table1[[#This Row],[FinishPosition]]</f>
        <v>7</v>
      </c>
    </row>
    <row r="2088" spans="1:21" x14ac:dyDescent="0.3">
      <c r="A2088">
        <v>2023</v>
      </c>
      <c r="B2088">
        <v>3</v>
      </c>
      <c r="C2088" t="s">
        <v>19</v>
      </c>
      <c r="D2088" t="s">
        <v>40</v>
      </c>
      <c r="E2088" t="s">
        <v>41</v>
      </c>
      <c r="F2088" t="s">
        <v>69</v>
      </c>
      <c r="G2088">
        <v>10</v>
      </c>
      <c r="H2088">
        <v>7</v>
      </c>
      <c r="I2088">
        <v>6</v>
      </c>
      <c r="J2088" t="s">
        <v>34</v>
      </c>
      <c r="K2088" t="s">
        <v>24</v>
      </c>
      <c r="L2088">
        <v>58</v>
      </c>
      <c r="M2088">
        <v>81.123999999999995</v>
      </c>
      <c r="N2088">
        <v>82.744466000000003</v>
      </c>
      <c r="O2088">
        <v>28.273</v>
      </c>
      <c r="P2088">
        <v>17.687000000000001</v>
      </c>
      <c r="Q2088">
        <v>34.862000000000002</v>
      </c>
      <c r="R2088" t="s">
        <v>1004</v>
      </c>
      <c r="S2088" t="s">
        <v>83</v>
      </c>
      <c r="T2088">
        <f>IF(TRIM(Table1[[#This Row],[PitStopLaps]])="",0,
LEN(Table1[[#This Row],[PitStopLaps]])-LEN(SUBSTITUTE(Table1[[#This Row],[PitStopLaps]],",",""))+1)</f>
        <v>3</v>
      </c>
      <c r="U2088">
        <f>Table1[[#This Row],[StartPosition]]-Table1[[#This Row],[FinishPosition]]</f>
        <v>3</v>
      </c>
    </row>
    <row r="2089" spans="1:21" x14ac:dyDescent="0.3">
      <c r="A2089">
        <v>2023</v>
      </c>
      <c r="B2089">
        <v>3</v>
      </c>
      <c r="C2089" t="s">
        <v>19</v>
      </c>
      <c r="D2089" t="s">
        <v>1000</v>
      </c>
      <c r="E2089" t="s">
        <v>1001</v>
      </c>
      <c r="F2089" t="s">
        <v>37</v>
      </c>
      <c r="G2089">
        <v>16</v>
      </c>
      <c r="H2089">
        <v>8</v>
      </c>
      <c r="I2089">
        <v>4</v>
      </c>
      <c r="J2089" t="s">
        <v>34</v>
      </c>
      <c r="K2089" t="s">
        <v>24</v>
      </c>
      <c r="L2089">
        <v>58</v>
      </c>
      <c r="M2089">
        <v>81.334999999999994</v>
      </c>
      <c r="N2089">
        <v>83.085821999999993</v>
      </c>
      <c r="O2089">
        <v>28.297000000000001</v>
      </c>
      <c r="P2089">
        <v>18.117000000000001</v>
      </c>
      <c r="Q2089">
        <v>34.637999999999998</v>
      </c>
      <c r="R2089" t="s">
        <v>1006</v>
      </c>
      <c r="S2089" t="s">
        <v>83</v>
      </c>
      <c r="T2089">
        <f>IF(TRIM(Table1[[#This Row],[PitStopLaps]])="",0,
LEN(Table1[[#This Row],[PitStopLaps]])-LEN(SUBSTITUTE(Table1[[#This Row],[PitStopLaps]],",",""))+1)</f>
        <v>4</v>
      </c>
      <c r="U2089">
        <f>Table1[[#This Row],[StartPosition]]-Table1[[#This Row],[FinishPosition]]</f>
        <v>8</v>
      </c>
    </row>
    <row r="2090" spans="1:21" x14ac:dyDescent="0.3">
      <c r="A2090">
        <v>2023</v>
      </c>
      <c r="B2090">
        <v>3</v>
      </c>
      <c r="C2090" t="s">
        <v>19</v>
      </c>
      <c r="D2090" t="s">
        <v>794</v>
      </c>
      <c r="E2090" t="s">
        <v>795</v>
      </c>
      <c r="F2090" t="s">
        <v>789</v>
      </c>
      <c r="G2090">
        <v>17</v>
      </c>
      <c r="H2090">
        <v>9</v>
      </c>
      <c r="I2090">
        <v>2</v>
      </c>
      <c r="J2090" t="s">
        <v>34</v>
      </c>
      <c r="K2090" t="s">
        <v>24</v>
      </c>
      <c r="L2090">
        <v>58</v>
      </c>
      <c r="M2090">
        <v>81.819000000000003</v>
      </c>
      <c r="N2090">
        <v>83.42559</v>
      </c>
      <c r="O2090">
        <v>28.448</v>
      </c>
      <c r="P2090">
        <v>17.988</v>
      </c>
      <c r="Q2090">
        <v>35.11</v>
      </c>
      <c r="R2090" t="s">
        <v>1007</v>
      </c>
      <c r="S2090" t="s">
        <v>83</v>
      </c>
      <c r="T2090">
        <f>IF(TRIM(Table1[[#This Row],[PitStopLaps]])="",0,
LEN(Table1[[#This Row],[PitStopLaps]])-LEN(SUBSTITUTE(Table1[[#This Row],[PitStopLaps]],",",""))+1)</f>
        <v>5</v>
      </c>
      <c r="U2090">
        <f>Table1[[#This Row],[StartPosition]]-Table1[[#This Row],[FinishPosition]]</f>
        <v>8</v>
      </c>
    </row>
    <row r="2091" spans="1:21" x14ac:dyDescent="0.3">
      <c r="A2091">
        <v>2023</v>
      </c>
      <c r="B2091">
        <v>3</v>
      </c>
      <c r="C2091" t="s">
        <v>19</v>
      </c>
      <c r="D2091" t="s">
        <v>601</v>
      </c>
      <c r="E2091" t="s">
        <v>602</v>
      </c>
      <c r="F2091" t="s">
        <v>438</v>
      </c>
      <c r="G2091">
        <v>12</v>
      </c>
      <c r="H2091">
        <v>10</v>
      </c>
      <c r="I2091">
        <v>1</v>
      </c>
      <c r="J2091" t="s">
        <v>34</v>
      </c>
      <c r="K2091" t="s">
        <v>24</v>
      </c>
      <c r="L2091">
        <v>58</v>
      </c>
      <c r="M2091">
        <v>81.789000000000001</v>
      </c>
      <c r="N2091">
        <v>83.536385999999993</v>
      </c>
      <c r="O2091">
        <v>28.518999999999998</v>
      </c>
      <c r="P2091">
        <v>18.257000000000001</v>
      </c>
      <c r="Q2091">
        <v>34.905000000000001</v>
      </c>
      <c r="R2091" t="s">
        <v>1006</v>
      </c>
      <c r="S2091" t="s">
        <v>83</v>
      </c>
      <c r="T2091">
        <f>IF(TRIM(Table1[[#This Row],[PitStopLaps]])="",0,
LEN(Table1[[#This Row],[PitStopLaps]])-LEN(SUBSTITUTE(Table1[[#This Row],[PitStopLaps]],",",""))+1)</f>
        <v>4</v>
      </c>
      <c r="U2091">
        <f>Table1[[#This Row],[StartPosition]]-Table1[[#This Row],[FinishPosition]]</f>
        <v>2</v>
      </c>
    </row>
    <row r="2092" spans="1:21" x14ac:dyDescent="0.3">
      <c r="A2092">
        <v>2023</v>
      </c>
      <c r="B2092">
        <v>3</v>
      </c>
      <c r="C2092" t="s">
        <v>19</v>
      </c>
      <c r="D2092" t="s">
        <v>43</v>
      </c>
      <c r="E2092" t="s">
        <v>44</v>
      </c>
      <c r="F2092" t="s">
        <v>789</v>
      </c>
      <c r="G2092">
        <v>19</v>
      </c>
      <c r="H2092">
        <v>11</v>
      </c>
      <c r="I2092">
        <v>0</v>
      </c>
      <c r="J2092" t="s">
        <v>34</v>
      </c>
      <c r="K2092" t="s">
        <v>24</v>
      </c>
      <c r="L2092">
        <v>58</v>
      </c>
      <c r="M2092">
        <v>82.233000000000004</v>
      </c>
      <c r="N2092">
        <v>83.785180999999994</v>
      </c>
      <c r="O2092">
        <v>28.414000000000001</v>
      </c>
      <c r="P2092">
        <v>18.192</v>
      </c>
      <c r="Q2092">
        <v>35.195999999999998</v>
      </c>
      <c r="R2092" t="s">
        <v>1008</v>
      </c>
      <c r="S2092" t="s">
        <v>83</v>
      </c>
      <c r="T2092">
        <f>IF(TRIM(Table1[[#This Row],[PitStopLaps]])="",0,
LEN(Table1[[#This Row],[PitStopLaps]])-LEN(SUBSTITUTE(Table1[[#This Row],[PitStopLaps]],",",""))+1)</f>
        <v>6</v>
      </c>
      <c r="U2092">
        <f>Table1[[#This Row],[StartPosition]]-Table1[[#This Row],[FinishPosition]]</f>
        <v>8</v>
      </c>
    </row>
    <row r="2093" spans="1:21" x14ac:dyDescent="0.3">
      <c r="A2093">
        <v>2023</v>
      </c>
      <c r="B2093">
        <v>3</v>
      </c>
      <c r="C2093" t="s">
        <v>19</v>
      </c>
      <c r="D2093" t="s">
        <v>47</v>
      </c>
      <c r="E2093" t="s">
        <v>48</v>
      </c>
      <c r="F2093" t="s">
        <v>22</v>
      </c>
      <c r="G2093">
        <v>5</v>
      </c>
      <c r="H2093">
        <v>12</v>
      </c>
      <c r="I2093">
        <v>0</v>
      </c>
      <c r="J2093" t="s">
        <v>34</v>
      </c>
      <c r="K2093" t="s">
        <v>24</v>
      </c>
      <c r="L2093">
        <v>58</v>
      </c>
      <c r="M2093">
        <v>80.466999999999999</v>
      </c>
      <c r="N2093">
        <v>82.246955</v>
      </c>
      <c r="O2093">
        <v>27.972999999999999</v>
      </c>
      <c r="P2093">
        <v>18.061</v>
      </c>
      <c r="Q2093">
        <v>34.420999999999999</v>
      </c>
      <c r="R2093" t="s">
        <v>1009</v>
      </c>
      <c r="S2093" t="s">
        <v>83</v>
      </c>
      <c r="T2093">
        <f>IF(TRIM(Table1[[#This Row],[PitStopLaps]])="",0,
LEN(Table1[[#This Row],[PitStopLaps]])-LEN(SUBSTITUTE(Table1[[#This Row],[PitStopLaps]],",",""))+1)</f>
        <v>4</v>
      </c>
      <c r="U2093">
        <f>Table1[[#This Row],[StartPosition]]-Table1[[#This Row],[FinishPosition]]</f>
        <v>-7</v>
      </c>
    </row>
    <row r="2094" spans="1:21" x14ac:dyDescent="0.3">
      <c r="A2094">
        <v>2023</v>
      </c>
      <c r="B2094">
        <v>3</v>
      </c>
      <c r="C2094" t="s">
        <v>19</v>
      </c>
      <c r="D2094" t="s">
        <v>73</v>
      </c>
      <c r="E2094" t="s">
        <v>74</v>
      </c>
      <c r="F2094" t="s">
        <v>607</v>
      </c>
      <c r="G2094">
        <v>9</v>
      </c>
      <c r="H2094">
        <v>13</v>
      </c>
      <c r="I2094">
        <v>0</v>
      </c>
      <c r="J2094" t="s">
        <v>34</v>
      </c>
      <c r="K2094" t="s">
        <v>179</v>
      </c>
      <c r="L2094">
        <v>57</v>
      </c>
      <c r="M2094">
        <v>80.995000000000005</v>
      </c>
      <c r="N2094">
        <v>82.438777000000002</v>
      </c>
      <c r="O2094">
        <v>28.158000000000001</v>
      </c>
      <c r="P2094">
        <v>17.821000000000002</v>
      </c>
      <c r="Q2094">
        <v>34.704999999999998</v>
      </c>
      <c r="R2094" t="s">
        <v>1010</v>
      </c>
      <c r="S2094" t="s">
        <v>83</v>
      </c>
      <c r="T2094">
        <f>IF(TRIM(Table1[[#This Row],[PitStopLaps]])="",0,
LEN(Table1[[#This Row],[PitStopLaps]])-LEN(SUBSTITUTE(Table1[[#This Row],[PitStopLaps]],",",""))+1)</f>
        <v>2</v>
      </c>
      <c r="U2094">
        <f>Table1[[#This Row],[StartPosition]]-Table1[[#This Row],[FinishPosition]]</f>
        <v>-4</v>
      </c>
    </row>
    <row r="2095" spans="1:21" x14ac:dyDescent="0.3">
      <c r="A2095">
        <v>2023</v>
      </c>
      <c r="B2095">
        <v>3</v>
      </c>
      <c r="C2095" t="s">
        <v>19</v>
      </c>
      <c r="D2095" t="s">
        <v>52</v>
      </c>
      <c r="E2095" t="s">
        <v>53</v>
      </c>
      <c r="F2095" t="s">
        <v>607</v>
      </c>
      <c r="G2095">
        <v>11</v>
      </c>
      <c r="H2095">
        <v>14</v>
      </c>
      <c r="I2095">
        <v>0</v>
      </c>
      <c r="J2095" t="s">
        <v>34</v>
      </c>
      <c r="K2095" t="s">
        <v>179</v>
      </c>
      <c r="L2095">
        <v>57</v>
      </c>
      <c r="M2095">
        <v>81.203000000000003</v>
      </c>
      <c r="N2095">
        <v>82.800376999999997</v>
      </c>
      <c r="O2095">
        <v>28.292999999999999</v>
      </c>
      <c r="P2095">
        <v>17.873000000000001</v>
      </c>
      <c r="Q2095">
        <v>34.628</v>
      </c>
      <c r="R2095" t="s">
        <v>1011</v>
      </c>
      <c r="S2095" t="s">
        <v>83</v>
      </c>
      <c r="T2095">
        <f>IF(TRIM(Table1[[#This Row],[PitStopLaps]])="",0,
LEN(Table1[[#This Row],[PitStopLaps]])-LEN(SUBSTITUTE(Table1[[#This Row],[PitStopLaps]],",",""))+1)</f>
        <v>3</v>
      </c>
      <c r="U2095">
        <f>Table1[[#This Row],[StartPosition]]-Table1[[#This Row],[FinishPosition]]</f>
        <v>-3</v>
      </c>
    </row>
    <row r="2096" spans="1:21" x14ac:dyDescent="0.3">
      <c r="A2096">
        <v>2023</v>
      </c>
      <c r="B2096">
        <v>3</v>
      </c>
      <c r="C2096" t="s">
        <v>19</v>
      </c>
      <c r="D2096" t="s">
        <v>951</v>
      </c>
      <c r="E2096" t="s">
        <v>952</v>
      </c>
      <c r="F2096" t="s">
        <v>438</v>
      </c>
      <c r="G2096">
        <v>15</v>
      </c>
      <c r="H2096">
        <v>15</v>
      </c>
      <c r="I2096">
        <v>0</v>
      </c>
      <c r="J2096" t="s">
        <v>34</v>
      </c>
      <c r="K2096" t="s">
        <v>179</v>
      </c>
      <c r="L2096">
        <v>57</v>
      </c>
      <c r="M2096">
        <v>81.183000000000007</v>
      </c>
      <c r="N2096">
        <v>84.151403999999999</v>
      </c>
      <c r="O2096">
        <v>28.155000000000001</v>
      </c>
      <c r="P2096">
        <v>18.157</v>
      </c>
      <c r="Q2096">
        <v>34.704000000000001</v>
      </c>
      <c r="R2096" t="s">
        <v>1012</v>
      </c>
      <c r="S2096" t="s">
        <v>83</v>
      </c>
      <c r="T2096">
        <f>IF(TRIM(Table1[[#This Row],[PitStopLaps]])="",0,
LEN(Table1[[#This Row],[PitStopLaps]])-LEN(SUBSTITUTE(Table1[[#This Row],[PitStopLaps]],",",""))+1)</f>
        <v>4</v>
      </c>
      <c r="U2096">
        <f>Table1[[#This Row],[StartPosition]]-Table1[[#This Row],[FinishPosition]]</f>
        <v>0</v>
      </c>
    </row>
    <row r="2097" spans="1:21" x14ac:dyDescent="0.3">
      <c r="A2097">
        <v>2023</v>
      </c>
      <c r="B2097">
        <v>3</v>
      </c>
      <c r="C2097" t="s">
        <v>19</v>
      </c>
      <c r="D2097" t="s">
        <v>992</v>
      </c>
      <c r="E2097" t="s">
        <v>993</v>
      </c>
      <c r="F2097" t="s">
        <v>60</v>
      </c>
      <c r="G2097">
        <v>18</v>
      </c>
      <c r="H2097">
        <v>16</v>
      </c>
      <c r="I2097">
        <v>0</v>
      </c>
      <c r="J2097" t="s">
        <v>34</v>
      </c>
      <c r="K2097" t="s">
        <v>179</v>
      </c>
      <c r="L2097">
        <v>57</v>
      </c>
      <c r="M2097">
        <v>81.456000000000003</v>
      </c>
      <c r="N2097">
        <v>83.924619000000007</v>
      </c>
      <c r="O2097">
        <v>28.207999999999998</v>
      </c>
      <c r="P2097">
        <v>17.922000000000001</v>
      </c>
      <c r="Q2097">
        <v>34.996000000000002</v>
      </c>
      <c r="R2097" t="s">
        <v>1013</v>
      </c>
      <c r="S2097" t="s">
        <v>83</v>
      </c>
      <c r="T2097">
        <f>IF(TRIM(Table1[[#This Row],[PitStopLaps]])="",0,
LEN(Table1[[#This Row],[PitStopLaps]])-LEN(SUBSTITUTE(Table1[[#This Row],[PitStopLaps]],",",""))+1)</f>
        <v>6</v>
      </c>
      <c r="U2097">
        <f>Table1[[#This Row],[StartPosition]]-Table1[[#This Row],[FinishPosition]]</f>
        <v>2</v>
      </c>
    </row>
    <row r="2098" spans="1:21" x14ac:dyDescent="0.3">
      <c r="A2098">
        <v>2023</v>
      </c>
      <c r="B2098">
        <v>3</v>
      </c>
      <c r="C2098" t="s">
        <v>19</v>
      </c>
      <c r="D2098" t="s">
        <v>71</v>
      </c>
      <c r="E2098" t="s">
        <v>72</v>
      </c>
      <c r="F2098" t="s">
        <v>69</v>
      </c>
      <c r="G2098">
        <v>14</v>
      </c>
      <c r="H2098">
        <v>17</v>
      </c>
      <c r="I2098">
        <v>0</v>
      </c>
      <c r="J2098" t="s">
        <v>34</v>
      </c>
      <c r="K2098" t="s">
        <v>179</v>
      </c>
      <c r="L2098">
        <v>53</v>
      </c>
      <c r="M2098">
        <v>81.685000000000002</v>
      </c>
      <c r="N2098">
        <v>83.366112999999999</v>
      </c>
      <c r="O2098">
        <v>28.425000000000001</v>
      </c>
      <c r="P2098">
        <v>17.988</v>
      </c>
      <c r="Q2098">
        <v>34.936999999999998</v>
      </c>
      <c r="R2098" t="s">
        <v>515</v>
      </c>
      <c r="S2098" t="s">
        <v>83</v>
      </c>
      <c r="T2098">
        <f>IF(TRIM(Table1[[#This Row],[PitStopLaps]])="",0,
LEN(Table1[[#This Row],[PitStopLaps]])-LEN(SUBSTITUTE(Table1[[#This Row],[PitStopLaps]],",",""))+1)</f>
        <v>2</v>
      </c>
      <c r="U2098">
        <f>Table1[[#This Row],[StartPosition]]-Table1[[#This Row],[FinishPosition]]</f>
        <v>-3</v>
      </c>
    </row>
    <row r="2099" spans="1:21" x14ac:dyDescent="0.3">
      <c r="A2099">
        <v>2023</v>
      </c>
      <c r="B2099">
        <v>3</v>
      </c>
      <c r="C2099" t="s">
        <v>19</v>
      </c>
      <c r="D2099" t="s">
        <v>252</v>
      </c>
      <c r="E2099" t="s">
        <v>253</v>
      </c>
      <c r="F2099" t="s">
        <v>28</v>
      </c>
      <c r="G2099">
        <v>2</v>
      </c>
      <c r="H2099">
        <v>18</v>
      </c>
      <c r="I2099">
        <v>0</v>
      </c>
      <c r="J2099" t="s">
        <v>34</v>
      </c>
      <c r="K2099" t="s">
        <v>179</v>
      </c>
      <c r="L2099">
        <v>18</v>
      </c>
      <c r="M2099">
        <v>82.68</v>
      </c>
      <c r="N2099">
        <v>84.859635999999995</v>
      </c>
      <c r="O2099">
        <v>28.666</v>
      </c>
      <c r="P2099">
        <v>18.207000000000001</v>
      </c>
      <c r="Q2099">
        <v>35.511000000000003</v>
      </c>
      <c r="R2099" t="s">
        <v>515</v>
      </c>
      <c r="S2099" t="s">
        <v>83</v>
      </c>
      <c r="T2099">
        <f>IF(TRIM(Table1[[#This Row],[PitStopLaps]])="",0,
LEN(Table1[[#This Row],[PitStopLaps]])-LEN(SUBSTITUTE(Table1[[#This Row],[PitStopLaps]],",",""))+1)</f>
        <v>2</v>
      </c>
      <c r="U2099">
        <f>Table1[[#This Row],[StartPosition]]-Table1[[#This Row],[FinishPosition]]</f>
        <v>-16</v>
      </c>
    </row>
    <row r="2100" spans="1:21" x14ac:dyDescent="0.3">
      <c r="A2100">
        <v>2023</v>
      </c>
      <c r="B2100">
        <v>3</v>
      </c>
      <c r="C2100" t="s">
        <v>19</v>
      </c>
      <c r="D2100" t="s">
        <v>248</v>
      </c>
      <c r="E2100" t="s">
        <v>249</v>
      </c>
      <c r="F2100" t="s">
        <v>60</v>
      </c>
      <c r="G2100">
        <v>8</v>
      </c>
      <c r="H2100">
        <v>19</v>
      </c>
      <c r="I2100">
        <v>0</v>
      </c>
      <c r="J2100" t="s">
        <v>34</v>
      </c>
      <c r="K2100" t="s">
        <v>179</v>
      </c>
      <c r="L2100">
        <v>7</v>
      </c>
      <c r="M2100">
        <v>83.349000000000004</v>
      </c>
      <c r="N2100">
        <v>83.771665999999996</v>
      </c>
      <c r="O2100">
        <v>29.155999999999999</v>
      </c>
      <c r="P2100">
        <v>18.308</v>
      </c>
      <c r="Q2100">
        <v>35.877000000000002</v>
      </c>
      <c r="S2100" t="s">
        <v>83</v>
      </c>
      <c r="T2100">
        <f>IF(TRIM(Table1[[#This Row],[PitStopLaps]])="",0,
LEN(Table1[[#This Row],[PitStopLaps]])-LEN(SUBSTITUTE(Table1[[#This Row],[PitStopLaps]],",",""))+1)</f>
        <v>0</v>
      </c>
      <c r="U2100">
        <f>Table1[[#This Row],[StartPosition]]-Table1[[#This Row],[FinishPosition]]</f>
        <v>-11</v>
      </c>
    </row>
    <row r="2101" spans="1:21" x14ac:dyDescent="0.3">
      <c r="A2101">
        <v>2023</v>
      </c>
      <c r="B2101">
        <v>3</v>
      </c>
      <c r="C2101" t="s">
        <v>19</v>
      </c>
      <c r="D2101" t="s">
        <v>54</v>
      </c>
      <c r="E2101" t="s">
        <v>55</v>
      </c>
      <c r="F2101" t="s">
        <v>22</v>
      </c>
      <c r="G2101">
        <v>7</v>
      </c>
      <c r="H2101">
        <v>20</v>
      </c>
      <c r="I2101">
        <v>0</v>
      </c>
      <c r="J2101" t="s">
        <v>34</v>
      </c>
      <c r="K2101" t="s">
        <v>179</v>
      </c>
      <c r="L2101">
        <v>1</v>
      </c>
      <c r="S2101" t="s">
        <v>83</v>
      </c>
      <c r="T2101">
        <f>IF(TRIM(Table1[[#This Row],[PitStopLaps]])="",0,
LEN(Table1[[#This Row],[PitStopLaps]])-LEN(SUBSTITUTE(Table1[[#This Row],[PitStopLaps]],",",""))+1)</f>
        <v>0</v>
      </c>
      <c r="U2101">
        <f>Table1[[#This Row],[StartPosition]]-Table1[[#This Row],[FinishPosition]]</f>
        <v>-13</v>
      </c>
    </row>
    <row r="2102" spans="1:21" x14ac:dyDescent="0.3">
      <c r="A2102">
        <v>2023</v>
      </c>
      <c r="B2102">
        <v>4</v>
      </c>
      <c r="C2102" t="s">
        <v>111</v>
      </c>
      <c r="D2102" t="s">
        <v>49</v>
      </c>
      <c r="E2102" t="s">
        <v>50</v>
      </c>
      <c r="F2102" t="s">
        <v>33</v>
      </c>
      <c r="G2102">
        <v>3</v>
      </c>
      <c r="H2102">
        <v>1</v>
      </c>
      <c r="I2102">
        <v>25</v>
      </c>
      <c r="J2102" t="s">
        <v>23</v>
      </c>
      <c r="K2102" t="s">
        <v>24</v>
      </c>
      <c r="L2102">
        <v>51</v>
      </c>
      <c r="M2102">
        <v>104.589</v>
      </c>
      <c r="N2102">
        <v>105.666659</v>
      </c>
      <c r="O2102">
        <v>37.070999999999998</v>
      </c>
      <c r="P2102">
        <v>42.22</v>
      </c>
      <c r="Q2102">
        <v>25.024999999999999</v>
      </c>
      <c r="R2102">
        <v>11</v>
      </c>
      <c r="S2102" t="s">
        <v>83</v>
      </c>
      <c r="T2102">
        <f>IF(TRIM(Table1[[#This Row],[PitStopLaps]])="",0,
LEN(Table1[[#This Row],[PitStopLaps]])-LEN(SUBSTITUTE(Table1[[#This Row],[PitStopLaps]],",",""))+1)</f>
        <v>1</v>
      </c>
      <c r="U2102">
        <f>Table1[[#This Row],[StartPosition]]-Table1[[#This Row],[FinishPosition]]</f>
        <v>2</v>
      </c>
    </row>
    <row r="2103" spans="1:21" x14ac:dyDescent="0.3">
      <c r="A2103">
        <v>2023</v>
      </c>
      <c r="B2103">
        <v>4</v>
      </c>
      <c r="C2103" t="s">
        <v>111</v>
      </c>
      <c r="D2103" t="s">
        <v>38</v>
      </c>
      <c r="E2103" t="s">
        <v>39</v>
      </c>
      <c r="F2103" t="s">
        <v>33</v>
      </c>
      <c r="G2103">
        <v>2</v>
      </c>
      <c r="H2103">
        <v>2</v>
      </c>
      <c r="I2103">
        <v>18</v>
      </c>
      <c r="J2103" t="s">
        <v>23</v>
      </c>
      <c r="K2103" t="s">
        <v>24</v>
      </c>
      <c r="L2103">
        <v>51</v>
      </c>
      <c r="M2103">
        <v>104.232</v>
      </c>
      <c r="N2103">
        <v>105.68489099999999</v>
      </c>
      <c r="O2103">
        <v>36.807000000000002</v>
      </c>
      <c r="P2103">
        <v>42.286999999999999</v>
      </c>
      <c r="Q2103">
        <v>25.018999999999998</v>
      </c>
      <c r="R2103">
        <v>10</v>
      </c>
      <c r="S2103" t="s">
        <v>83</v>
      </c>
      <c r="T2103">
        <f>IF(TRIM(Table1[[#This Row],[PitStopLaps]])="",0,
LEN(Table1[[#This Row],[PitStopLaps]])-LEN(SUBSTITUTE(Table1[[#This Row],[PitStopLaps]],",",""))+1)</f>
        <v>1</v>
      </c>
      <c r="U2103">
        <f>Table1[[#This Row],[StartPosition]]-Table1[[#This Row],[FinishPosition]]</f>
        <v>0</v>
      </c>
    </row>
    <row r="2104" spans="1:21" x14ac:dyDescent="0.3">
      <c r="A2104">
        <v>2023</v>
      </c>
      <c r="B2104">
        <v>4</v>
      </c>
      <c r="C2104" t="s">
        <v>111</v>
      </c>
      <c r="D2104" t="s">
        <v>54</v>
      </c>
      <c r="E2104" t="s">
        <v>55</v>
      </c>
      <c r="F2104" t="s">
        <v>22</v>
      </c>
      <c r="G2104">
        <v>1</v>
      </c>
      <c r="H2104">
        <v>3</v>
      </c>
      <c r="I2104">
        <v>15</v>
      </c>
      <c r="J2104" t="s">
        <v>23</v>
      </c>
      <c r="K2104" t="s">
        <v>24</v>
      </c>
      <c r="L2104">
        <v>51</v>
      </c>
      <c r="M2104">
        <v>104.56100000000001</v>
      </c>
      <c r="N2104">
        <v>106.208106</v>
      </c>
      <c r="O2104">
        <v>36.906999999999996</v>
      </c>
      <c r="P2104">
        <v>42.265999999999998</v>
      </c>
      <c r="Q2104">
        <v>25.082999999999998</v>
      </c>
      <c r="R2104">
        <v>11</v>
      </c>
      <c r="S2104" t="s">
        <v>83</v>
      </c>
      <c r="T2104">
        <f>IF(TRIM(Table1[[#This Row],[PitStopLaps]])="",0,
LEN(Table1[[#This Row],[PitStopLaps]])-LEN(SUBSTITUTE(Table1[[#This Row],[PitStopLaps]],",",""))+1)</f>
        <v>1</v>
      </c>
      <c r="U2104">
        <f>Table1[[#This Row],[StartPosition]]-Table1[[#This Row],[FinishPosition]]</f>
        <v>-2</v>
      </c>
    </row>
    <row r="2105" spans="1:21" x14ac:dyDescent="0.3">
      <c r="A2105">
        <v>2023</v>
      </c>
      <c r="B2105">
        <v>4</v>
      </c>
      <c r="C2105" t="s">
        <v>111</v>
      </c>
      <c r="D2105" t="s">
        <v>35</v>
      </c>
      <c r="E2105" t="s">
        <v>36</v>
      </c>
      <c r="F2105" t="s">
        <v>603</v>
      </c>
      <c r="G2105">
        <v>6</v>
      </c>
      <c r="H2105">
        <v>4</v>
      </c>
      <c r="I2105">
        <v>12</v>
      </c>
      <c r="J2105" t="s">
        <v>34</v>
      </c>
      <c r="K2105" t="s">
        <v>24</v>
      </c>
      <c r="L2105">
        <v>51</v>
      </c>
      <c r="M2105">
        <v>104.241</v>
      </c>
      <c r="N2105">
        <v>106.261297</v>
      </c>
      <c r="O2105">
        <v>36.804000000000002</v>
      </c>
      <c r="P2105">
        <v>42.359000000000002</v>
      </c>
      <c r="Q2105">
        <v>24.928999999999998</v>
      </c>
      <c r="R2105">
        <v>11</v>
      </c>
      <c r="S2105" t="s">
        <v>83</v>
      </c>
      <c r="T2105">
        <f>IF(TRIM(Table1[[#This Row],[PitStopLaps]])="",0,
LEN(Table1[[#This Row],[PitStopLaps]])-LEN(SUBSTITUTE(Table1[[#This Row],[PitStopLaps]],",",""))+1)</f>
        <v>1</v>
      </c>
      <c r="U2105">
        <f>Table1[[#This Row],[StartPosition]]-Table1[[#This Row],[FinishPosition]]</f>
        <v>2</v>
      </c>
    </row>
    <row r="2106" spans="1:21" x14ac:dyDescent="0.3">
      <c r="A2106">
        <v>2023</v>
      </c>
      <c r="B2106">
        <v>4</v>
      </c>
      <c r="C2106" t="s">
        <v>111</v>
      </c>
      <c r="D2106" t="s">
        <v>47</v>
      </c>
      <c r="E2106" t="s">
        <v>48</v>
      </c>
      <c r="F2106" t="s">
        <v>22</v>
      </c>
      <c r="G2106">
        <v>4</v>
      </c>
      <c r="H2106">
        <v>5</v>
      </c>
      <c r="I2106">
        <v>10</v>
      </c>
      <c r="J2106" t="s">
        <v>34</v>
      </c>
      <c r="K2106" t="s">
        <v>24</v>
      </c>
      <c r="L2106">
        <v>51</v>
      </c>
      <c r="M2106">
        <v>105.175</v>
      </c>
      <c r="N2106">
        <v>106.72236100000001</v>
      </c>
      <c r="O2106">
        <v>37.326999999999998</v>
      </c>
      <c r="P2106">
        <v>42.542000000000002</v>
      </c>
      <c r="Q2106">
        <v>25.135999999999999</v>
      </c>
      <c r="R2106">
        <v>11</v>
      </c>
      <c r="S2106" t="s">
        <v>83</v>
      </c>
      <c r="T2106">
        <f>IF(TRIM(Table1[[#This Row],[PitStopLaps]])="",0,
LEN(Table1[[#This Row],[PitStopLaps]])-LEN(SUBSTITUTE(Table1[[#This Row],[PitStopLaps]],",",""))+1)</f>
        <v>1</v>
      </c>
      <c r="U2106">
        <f>Table1[[#This Row],[StartPosition]]-Table1[[#This Row],[FinishPosition]]</f>
        <v>-1</v>
      </c>
    </row>
    <row r="2107" spans="1:21" x14ac:dyDescent="0.3">
      <c r="A2107">
        <v>2023</v>
      </c>
      <c r="B2107">
        <v>4</v>
      </c>
      <c r="C2107" t="s">
        <v>111</v>
      </c>
      <c r="D2107" t="s">
        <v>26</v>
      </c>
      <c r="E2107" t="s">
        <v>27</v>
      </c>
      <c r="F2107" t="s">
        <v>28</v>
      </c>
      <c r="G2107">
        <v>5</v>
      </c>
      <c r="H2107">
        <v>6</v>
      </c>
      <c r="I2107">
        <v>8</v>
      </c>
      <c r="J2107" t="s">
        <v>34</v>
      </c>
      <c r="K2107" t="s">
        <v>24</v>
      </c>
      <c r="L2107">
        <v>51</v>
      </c>
      <c r="M2107">
        <v>105.346</v>
      </c>
      <c r="N2107">
        <v>106.68855499999999</v>
      </c>
      <c r="O2107">
        <v>37.116</v>
      </c>
      <c r="P2107">
        <v>42.81</v>
      </c>
      <c r="Q2107">
        <v>25.065999999999999</v>
      </c>
      <c r="R2107">
        <v>9</v>
      </c>
      <c r="S2107" t="s">
        <v>83</v>
      </c>
      <c r="T2107">
        <f>IF(TRIM(Table1[[#This Row],[PitStopLaps]])="",0,
LEN(Table1[[#This Row],[PitStopLaps]])-LEN(SUBSTITUTE(Table1[[#This Row],[PitStopLaps]],",",""))+1)</f>
        <v>1</v>
      </c>
      <c r="U2107">
        <f>Table1[[#This Row],[StartPosition]]-Table1[[#This Row],[FinishPosition]]</f>
        <v>-1</v>
      </c>
    </row>
    <row r="2108" spans="1:21" x14ac:dyDescent="0.3">
      <c r="A2108">
        <v>2023</v>
      </c>
      <c r="B2108">
        <v>4</v>
      </c>
      <c r="C2108" t="s">
        <v>111</v>
      </c>
      <c r="D2108" t="s">
        <v>58</v>
      </c>
      <c r="E2108" t="s">
        <v>59</v>
      </c>
      <c r="F2108" t="s">
        <v>603</v>
      </c>
      <c r="G2108">
        <v>9</v>
      </c>
      <c r="H2108">
        <v>7</v>
      </c>
      <c r="I2108">
        <v>6</v>
      </c>
      <c r="J2108" t="s">
        <v>34</v>
      </c>
      <c r="K2108" t="s">
        <v>24</v>
      </c>
      <c r="L2108">
        <v>51</v>
      </c>
      <c r="M2108">
        <v>105.627</v>
      </c>
      <c r="N2108">
        <v>106.89534</v>
      </c>
      <c r="O2108">
        <v>37.344999999999999</v>
      </c>
      <c r="P2108">
        <v>42.997999999999998</v>
      </c>
      <c r="Q2108">
        <v>25.18</v>
      </c>
      <c r="R2108">
        <v>11</v>
      </c>
      <c r="S2108" t="s">
        <v>83</v>
      </c>
      <c r="T2108">
        <f>IF(TRIM(Table1[[#This Row],[PitStopLaps]])="",0,
LEN(Table1[[#This Row],[PitStopLaps]])-LEN(SUBSTITUTE(Table1[[#This Row],[PitStopLaps]],",",""))+1)</f>
        <v>1</v>
      </c>
      <c r="U2108">
        <f>Table1[[#This Row],[StartPosition]]-Table1[[#This Row],[FinishPosition]]</f>
        <v>2</v>
      </c>
    </row>
    <row r="2109" spans="1:21" x14ac:dyDescent="0.3">
      <c r="A2109">
        <v>2023</v>
      </c>
      <c r="B2109">
        <v>4</v>
      </c>
      <c r="C2109" t="s">
        <v>111</v>
      </c>
      <c r="D2109" t="s">
        <v>252</v>
      </c>
      <c r="E2109" t="s">
        <v>253</v>
      </c>
      <c r="F2109" t="s">
        <v>28</v>
      </c>
      <c r="G2109">
        <v>11</v>
      </c>
      <c r="H2109">
        <v>8</v>
      </c>
      <c r="I2109">
        <v>5</v>
      </c>
      <c r="J2109" t="s">
        <v>34</v>
      </c>
      <c r="K2109" t="s">
        <v>24</v>
      </c>
      <c r="L2109">
        <v>51</v>
      </c>
      <c r="M2109">
        <v>103.37</v>
      </c>
      <c r="N2109">
        <v>106.9182</v>
      </c>
      <c r="O2109">
        <v>36.396999999999998</v>
      </c>
      <c r="P2109">
        <v>41.715000000000003</v>
      </c>
      <c r="Q2109">
        <v>25.052</v>
      </c>
      <c r="R2109" t="s">
        <v>739</v>
      </c>
      <c r="S2109" t="s">
        <v>83</v>
      </c>
      <c r="T2109">
        <f>IF(TRIM(Table1[[#This Row],[PitStopLaps]])="",0,
LEN(Table1[[#This Row],[PitStopLaps]])-LEN(SUBSTITUTE(Table1[[#This Row],[PitStopLaps]],",",""))+1)</f>
        <v>2</v>
      </c>
      <c r="U2109">
        <f>Table1[[#This Row],[StartPosition]]-Table1[[#This Row],[FinishPosition]]</f>
        <v>3</v>
      </c>
    </row>
    <row r="2110" spans="1:21" x14ac:dyDescent="0.3">
      <c r="A2110">
        <v>2023</v>
      </c>
      <c r="B2110">
        <v>4</v>
      </c>
      <c r="C2110" t="s">
        <v>111</v>
      </c>
      <c r="D2110" t="s">
        <v>246</v>
      </c>
      <c r="E2110" t="s">
        <v>247</v>
      </c>
      <c r="F2110" t="s">
        <v>37</v>
      </c>
      <c r="G2110">
        <v>7</v>
      </c>
      <c r="H2110">
        <v>9</v>
      </c>
      <c r="I2110">
        <v>2</v>
      </c>
      <c r="J2110" t="s">
        <v>34</v>
      </c>
      <c r="K2110" t="s">
        <v>24</v>
      </c>
      <c r="L2110">
        <v>51</v>
      </c>
      <c r="M2110">
        <v>105.738</v>
      </c>
      <c r="N2110">
        <v>107.510311</v>
      </c>
      <c r="O2110">
        <v>37.543999999999997</v>
      </c>
      <c r="P2110">
        <v>42.771000000000001</v>
      </c>
      <c r="Q2110">
        <v>25.096</v>
      </c>
      <c r="R2110">
        <v>9</v>
      </c>
      <c r="S2110" t="s">
        <v>83</v>
      </c>
      <c r="T2110">
        <f>IF(TRIM(Table1[[#This Row],[PitStopLaps]])="",0,
LEN(Table1[[#This Row],[PitStopLaps]])-LEN(SUBSTITUTE(Table1[[#This Row],[PitStopLaps]],",",""))+1)</f>
        <v>1</v>
      </c>
      <c r="U2110">
        <f>Table1[[#This Row],[StartPosition]]-Table1[[#This Row],[FinishPosition]]</f>
        <v>-2</v>
      </c>
    </row>
    <row r="2111" spans="1:21" x14ac:dyDescent="0.3">
      <c r="A2111">
        <v>2023</v>
      </c>
      <c r="B2111">
        <v>4</v>
      </c>
      <c r="C2111" t="s">
        <v>111</v>
      </c>
      <c r="D2111" t="s">
        <v>601</v>
      </c>
      <c r="E2111" t="s">
        <v>602</v>
      </c>
      <c r="F2111" t="s">
        <v>438</v>
      </c>
      <c r="G2111">
        <v>8</v>
      </c>
      <c r="H2111">
        <v>10</v>
      </c>
      <c r="I2111">
        <v>1</v>
      </c>
      <c r="J2111" t="s">
        <v>34</v>
      </c>
      <c r="K2111" t="s">
        <v>24</v>
      </c>
      <c r="L2111">
        <v>51</v>
      </c>
      <c r="M2111">
        <v>105.727</v>
      </c>
      <c r="N2111">
        <v>107.60250000000001</v>
      </c>
      <c r="O2111">
        <v>37.576000000000001</v>
      </c>
      <c r="P2111">
        <v>42.720999999999997</v>
      </c>
      <c r="Q2111">
        <v>24.954999999999998</v>
      </c>
      <c r="R2111">
        <v>8</v>
      </c>
      <c r="S2111" t="s">
        <v>83</v>
      </c>
      <c r="T2111">
        <f>IF(TRIM(Table1[[#This Row],[PitStopLaps]])="",0,
LEN(Table1[[#This Row],[PitStopLaps]])-LEN(SUBSTITUTE(Table1[[#This Row],[PitStopLaps]],",",""))+1)</f>
        <v>1</v>
      </c>
      <c r="U2111">
        <f>Table1[[#This Row],[StartPosition]]-Table1[[#This Row],[FinishPosition]]</f>
        <v>-2</v>
      </c>
    </row>
    <row r="2112" spans="1:21" x14ac:dyDescent="0.3">
      <c r="A2112">
        <v>2023</v>
      </c>
      <c r="B2112">
        <v>4</v>
      </c>
      <c r="C2112" t="s">
        <v>111</v>
      </c>
      <c r="D2112" t="s">
        <v>1000</v>
      </c>
      <c r="E2112" t="s">
        <v>1001</v>
      </c>
      <c r="F2112" t="s">
        <v>37</v>
      </c>
      <c r="G2112">
        <v>10</v>
      </c>
      <c r="H2112">
        <v>11</v>
      </c>
      <c r="I2112">
        <v>0</v>
      </c>
      <c r="J2112" t="s">
        <v>34</v>
      </c>
      <c r="K2112" t="s">
        <v>24</v>
      </c>
      <c r="L2112">
        <v>51</v>
      </c>
      <c r="M2112">
        <v>105.631</v>
      </c>
      <c r="N2112">
        <v>107.694295</v>
      </c>
      <c r="O2112">
        <v>37.460999999999999</v>
      </c>
      <c r="P2112">
        <v>42.88</v>
      </c>
      <c r="Q2112">
        <v>25.062000000000001</v>
      </c>
      <c r="R2112">
        <v>8</v>
      </c>
      <c r="S2112" t="s">
        <v>83</v>
      </c>
      <c r="T2112">
        <f>IF(TRIM(Table1[[#This Row],[PitStopLaps]])="",0,
LEN(Table1[[#This Row],[PitStopLaps]])-LEN(SUBSTITUTE(Table1[[#This Row],[PitStopLaps]],",",""))+1)</f>
        <v>1</v>
      </c>
      <c r="U2112">
        <f>Table1[[#This Row],[StartPosition]]-Table1[[#This Row],[FinishPosition]]</f>
        <v>-1</v>
      </c>
    </row>
    <row r="2113" spans="1:21" x14ac:dyDescent="0.3">
      <c r="A2113">
        <v>2023</v>
      </c>
      <c r="B2113">
        <v>4</v>
      </c>
      <c r="C2113" t="s">
        <v>111</v>
      </c>
      <c r="D2113" t="s">
        <v>248</v>
      </c>
      <c r="E2113" t="s">
        <v>249</v>
      </c>
      <c r="F2113" t="s">
        <v>60</v>
      </c>
      <c r="G2113">
        <v>12</v>
      </c>
      <c r="H2113">
        <v>12</v>
      </c>
      <c r="I2113">
        <v>0</v>
      </c>
      <c r="J2113" t="s">
        <v>34</v>
      </c>
      <c r="K2113" t="s">
        <v>24</v>
      </c>
      <c r="L2113">
        <v>51</v>
      </c>
      <c r="M2113">
        <v>105.925</v>
      </c>
      <c r="N2113">
        <v>107.729727</v>
      </c>
      <c r="O2113">
        <v>37.548999999999999</v>
      </c>
      <c r="P2113">
        <v>43.149000000000001</v>
      </c>
      <c r="Q2113">
        <v>24.994</v>
      </c>
      <c r="R2113">
        <v>7</v>
      </c>
      <c r="S2113" t="s">
        <v>83</v>
      </c>
      <c r="T2113">
        <f>IF(TRIM(Table1[[#This Row],[PitStopLaps]])="",0,
LEN(Table1[[#This Row],[PitStopLaps]])-LEN(SUBSTITUTE(Table1[[#This Row],[PitStopLaps]],",",""))+1)</f>
        <v>1</v>
      </c>
      <c r="U2113">
        <f>Table1[[#This Row],[StartPosition]]-Table1[[#This Row],[FinishPosition]]</f>
        <v>0</v>
      </c>
    </row>
    <row r="2114" spans="1:21" x14ac:dyDescent="0.3">
      <c r="A2114">
        <v>2023</v>
      </c>
      <c r="B2114">
        <v>4</v>
      </c>
      <c r="C2114" t="s">
        <v>111</v>
      </c>
      <c r="D2114" t="s">
        <v>71</v>
      </c>
      <c r="E2114" t="s">
        <v>72</v>
      </c>
      <c r="F2114" t="s">
        <v>69</v>
      </c>
      <c r="G2114">
        <v>16</v>
      </c>
      <c r="H2114">
        <v>13</v>
      </c>
      <c r="I2114">
        <v>0</v>
      </c>
      <c r="J2114" t="s">
        <v>34</v>
      </c>
      <c r="K2114" t="s">
        <v>24</v>
      </c>
      <c r="L2114">
        <v>51</v>
      </c>
      <c r="M2114">
        <v>105.85</v>
      </c>
      <c r="N2114">
        <v>107.810847</v>
      </c>
      <c r="O2114">
        <v>37.78</v>
      </c>
      <c r="P2114">
        <v>42.898000000000003</v>
      </c>
      <c r="Q2114">
        <v>24.97</v>
      </c>
      <c r="R2114">
        <v>10</v>
      </c>
      <c r="S2114" t="s">
        <v>83</v>
      </c>
      <c r="T2114">
        <f>IF(TRIM(Table1[[#This Row],[PitStopLaps]])="",0,
LEN(Table1[[#This Row],[PitStopLaps]])-LEN(SUBSTITUTE(Table1[[#This Row],[PitStopLaps]],",",""))+1)</f>
        <v>1</v>
      </c>
      <c r="U2114">
        <f>Table1[[#This Row],[StartPosition]]-Table1[[#This Row],[FinishPosition]]</f>
        <v>3</v>
      </c>
    </row>
    <row r="2115" spans="1:21" x14ac:dyDescent="0.3">
      <c r="A2115">
        <v>2023</v>
      </c>
      <c r="B2115">
        <v>4</v>
      </c>
      <c r="C2115" t="s">
        <v>111</v>
      </c>
      <c r="D2115" t="s">
        <v>73</v>
      </c>
      <c r="E2115" t="s">
        <v>74</v>
      </c>
      <c r="F2115" t="s">
        <v>607</v>
      </c>
      <c r="G2115">
        <v>17</v>
      </c>
      <c r="H2115">
        <v>14</v>
      </c>
      <c r="I2115">
        <v>0</v>
      </c>
      <c r="J2115" t="s">
        <v>34</v>
      </c>
      <c r="K2115" t="s">
        <v>24</v>
      </c>
      <c r="L2115">
        <v>51</v>
      </c>
      <c r="M2115">
        <v>105.54</v>
      </c>
      <c r="N2115">
        <v>107.271333</v>
      </c>
      <c r="O2115">
        <v>37.395000000000003</v>
      </c>
      <c r="P2115">
        <v>42.91</v>
      </c>
      <c r="Q2115">
        <v>25.074000000000002</v>
      </c>
      <c r="R2115" t="s">
        <v>1014</v>
      </c>
      <c r="S2115" t="s">
        <v>83</v>
      </c>
      <c r="T2115">
        <f>IF(TRIM(Table1[[#This Row],[PitStopLaps]])="",0,
LEN(Table1[[#This Row],[PitStopLaps]])-LEN(SUBSTITUTE(Table1[[#This Row],[PitStopLaps]],",",""))+1)</f>
        <v>2</v>
      </c>
      <c r="U2115">
        <f>Table1[[#This Row],[StartPosition]]-Table1[[#This Row],[FinishPosition]]</f>
        <v>3</v>
      </c>
    </row>
    <row r="2116" spans="1:21" x14ac:dyDescent="0.3">
      <c r="A2116">
        <v>2023</v>
      </c>
      <c r="B2116">
        <v>4</v>
      </c>
      <c r="C2116" t="s">
        <v>111</v>
      </c>
      <c r="D2116" t="s">
        <v>52</v>
      </c>
      <c r="E2116" t="s">
        <v>53</v>
      </c>
      <c r="F2116" t="s">
        <v>607</v>
      </c>
      <c r="G2116">
        <v>19</v>
      </c>
      <c r="H2116">
        <v>15</v>
      </c>
      <c r="I2116">
        <v>0</v>
      </c>
      <c r="J2116" t="s">
        <v>34</v>
      </c>
      <c r="K2116" t="s">
        <v>24</v>
      </c>
      <c r="L2116">
        <v>51</v>
      </c>
      <c r="M2116">
        <v>105.908</v>
      </c>
      <c r="N2116">
        <v>107.71299999999999</v>
      </c>
      <c r="O2116">
        <v>37.405000000000001</v>
      </c>
      <c r="P2116">
        <v>43.093000000000004</v>
      </c>
      <c r="Q2116">
        <v>25.283000000000001</v>
      </c>
      <c r="R2116">
        <v>50</v>
      </c>
      <c r="S2116" t="s">
        <v>83</v>
      </c>
      <c r="T2116">
        <f>IF(TRIM(Table1[[#This Row],[PitStopLaps]])="",0,
LEN(Table1[[#This Row],[PitStopLaps]])-LEN(SUBSTITUTE(Table1[[#This Row],[PitStopLaps]],",",""))+1)</f>
        <v>1</v>
      </c>
      <c r="U2116">
        <f>Table1[[#This Row],[StartPosition]]-Table1[[#This Row],[FinishPosition]]</f>
        <v>4</v>
      </c>
    </row>
    <row r="2117" spans="1:21" x14ac:dyDescent="0.3">
      <c r="A2117">
        <v>2023</v>
      </c>
      <c r="B2117">
        <v>4</v>
      </c>
      <c r="C2117" t="s">
        <v>111</v>
      </c>
      <c r="D2117" t="s">
        <v>992</v>
      </c>
      <c r="E2117" t="s">
        <v>993</v>
      </c>
      <c r="F2117" t="s">
        <v>60</v>
      </c>
      <c r="G2117">
        <v>14</v>
      </c>
      <c r="H2117">
        <v>16</v>
      </c>
      <c r="I2117">
        <v>0</v>
      </c>
      <c r="J2117" t="s">
        <v>34</v>
      </c>
      <c r="K2117" t="s">
        <v>24</v>
      </c>
      <c r="L2117">
        <v>51</v>
      </c>
      <c r="M2117">
        <v>106.501</v>
      </c>
      <c r="N2117">
        <v>108.044068</v>
      </c>
      <c r="O2117">
        <v>37.521000000000001</v>
      </c>
      <c r="P2117">
        <v>43.531999999999996</v>
      </c>
      <c r="Q2117">
        <v>25.131</v>
      </c>
      <c r="R2117">
        <v>8</v>
      </c>
      <c r="S2117" t="s">
        <v>83</v>
      </c>
      <c r="T2117">
        <f>IF(TRIM(Table1[[#This Row],[PitStopLaps]])="",0,
LEN(Table1[[#This Row],[PitStopLaps]])-LEN(SUBSTITUTE(Table1[[#This Row],[PitStopLaps]],",",""))+1)</f>
        <v>1</v>
      </c>
      <c r="U2117">
        <f>Table1[[#This Row],[StartPosition]]-Table1[[#This Row],[FinishPosition]]</f>
        <v>-2</v>
      </c>
    </row>
    <row r="2118" spans="1:21" x14ac:dyDescent="0.3">
      <c r="A2118">
        <v>2023</v>
      </c>
      <c r="B2118">
        <v>4</v>
      </c>
      <c r="C2118" t="s">
        <v>111</v>
      </c>
      <c r="D2118" t="s">
        <v>40</v>
      </c>
      <c r="E2118" t="s">
        <v>41</v>
      </c>
      <c r="F2118" t="s">
        <v>69</v>
      </c>
      <c r="G2118">
        <v>20</v>
      </c>
      <c r="H2118">
        <v>17</v>
      </c>
      <c r="I2118">
        <v>0</v>
      </c>
      <c r="J2118" t="s">
        <v>34</v>
      </c>
      <c r="K2118" t="s">
        <v>994</v>
      </c>
      <c r="L2118">
        <v>50</v>
      </c>
      <c r="M2118">
        <v>106.73099999999999</v>
      </c>
      <c r="N2118">
        <v>108.00286</v>
      </c>
      <c r="O2118">
        <v>37.831000000000003</v>
      </c>
      <c r="P2118">
        <v>43.484999999999999</v>
      </c>
      <c r="Q2118">
        <v>25.184999999999999</v>
      </c>
      <c r="R2118">
        <v>49</v>
      </c>
      <c r="S2118" t="s">
        <v>83</v>
      </c>
      <c r="T2118">
        <f>IF(TRIM(Table1[[#This Row],[PitStopLaps]])="",0,
LEN(Table1[[#This Row],[PitStopLaps]])-LEN(SUBSTITUTE(Table1[[#This Row],[PitStopLaps]],",",""))+1)</f>
        <v>1</v>
      </c>
      <c r="U2118">
        <f>Table1[[#This Row],[StartPosition]]-Table1[[#This Row],[FinishPosition]]</f>
        <v>3</v>
      </c>
    </row>
    <row r="2119" spans="1:21" x14ac:dyDescent="0.3">
      <c r="A2119">
        <v>2023</v>
      </c>
      <c r="B2119">
        <v>4</v>
      </c>
      <c r="C2119" t="s">
        <v>111</v>
      </c>
      <c r="D2119" t="s">
        <v>43</v>
      </c>
      <c r="E2119" t="s">
        <v>44</v>
      </c>
      <c r="F2119" t="s">
        <v>789</v>
      </c>
      <c r="G2119">
        <v>13</v>
      </c>
      <c r="H2119">
        <v>18</v>
      </c>
      <c r="I2119">
        <v>0</v>
      </c>
      <c r="J2119" t="s">
        <v>34</v>
      </c>
      <c r="K2119" t="s">
        <v>994</v>
      </c>
      <c r="L2119">
        <v>50</v>
      </c>
      <c r="M2119">
        <v>106.304</v>
      </c>
      <c r="N2119">
        <v>108.15043900000001</v>
      </c>
      <c r="O2119">
        <v>37.728999999999999</v>
      </c>
      <c r="P2119">
        <v>42.942</v>
      </c>
      <c r="Q2119">
        <v>25.335999999999999</v>
      </c>
      <c r="R2119" t="s">
        <v>1015</v>
      </c>
      <c r="S2119" t="s">
        <v>83</v>
      </c>
      <c r="T2119">
        <f>IF(TRIM(Table1[[#This Row],[PitStopLaps]])="",0,
LEN(Table1[[#This Row],[PitStopLaps]])-LEN(SUBSTITUTE(Table1[[#This Row],[PitStopLaps]],",",""))+1)</f>
        <v>3</v>
      </c>
      <c r="U2119">
        <f>Table1[[#This Row],[StartPosition]]-Table1[[#This Row],[FinishPosition]]</f>
        <v>-5</v>
      </c>
    </row>
    <row r="2120" spans="1:21" x14ac:dyDescent="0.3">
      <c r="A2120">
        <v>2023</v>
      </c>
      <c r="B2120">
        <v>4</v>
      </c>
      <c r="C2120" t="s">
        <v>111</v>
      </c>
      <c r="D2120" t="s">
        <v>794</v>
      </c>
      <c r="E2120" t="s">
        <v>795</v>
      </c>
      <c r="F2120" t="s">
        <v>789</v>
      </c>
      <c r="G2120">
        <v>15</v>
      </c>
      <c r="H2120">
        <v>19</v>
      </c>
      <c r="I2120">
        <v>0</v>
      </c>
      <c r="J2120" t="s">
        <v>34</v>
      </c>
      <c r="K2120" t="s">
        <v>179</v>
      </c>
      <c r="L2120">
        <v>36</v>
      </c>
      <c r="M2120">
        <v>107.553</v>
      </c>
      <c r="N2120">
        <v>108.66883300000001</v>
      </c>
      <c r="O2120">
        <v>38.195</v>
      </c>
      <c r="P2120">
        <v>43.716000000000001</v>
      </c>
      <c r="Q2120">
        <v>25.295999999999999</v>
      </c>
      <c r="R2120" t="s">
        <v>1016</v>
      </c>
      <c r="S2120" t="s">
        <v>83</v>
      </c>
      <c r="T2120">
        <f>IF(TRIM(Table1[[#This Row],[PitStopLaps]])="",0,
LEN(Table1[[#This Row],[PitStopLaps]])-LEN(SUBSTITUTE(Table1[[#This Row],[PitStopLaps]],",",""))+1)</f>
        <v>2</v>
      </c>
      <c r="U2120">
        <f>Table1[[#This Row],[StartPosition]]-Table1[[#This Row],[FinishPosition]]</f>
        <v>-4</v>
      </c>
    </row>
    <row r="2121" spans="1:21" x14ac:dyDescent="0.3">
      <c r="A2121">
        <v>2023</v>
      </c>
      <c r="B2121">
        <v>4</v>
      </c>
      <c r="C2121" t="s">
        <v>111</v>
      </c>
      <c r="D2121" t="s">
        <v>951</v>
      </c>
      <c r="E2121" t="s">
        <v>952</v>
      </c>
      <c r="F2121" t="s">
        <v>438</v>
      </c>
      <c r="G2121">
        <v>18</v>
      </c>
      <c r="H2121">
        <v>20</v>
      </c>
      <c r="I2121">
        <v>0</v>
      </c>
      <c r="J2121" t="s">
        <v>34</v>
      </c>
      <c r="K2121" t="s">
        <v>179</v>
      </c>
      <c r="L2121">
        <v>10</v>
      </c>
      <c r="M2121">
        <v>108.78100000000001</v>
      </c>
      <c r="N2121">
        <v>109.32325</v>
      </c>
      <c r="O2121">
        <v>38.654000000000003</v>
      </c>
      <c r="P2121">
        <v>44.579000000000001</v>
      </c>
      <c r="Q2121">
        <v>25.396999999999998</v>
      </c>
      <c r="S2121" t="s">
        <v>83</v>
      </c>
      <c r="T2121">
        <f>IF(TRIM(Table1[[#This Row],[PitStopLaps]])="",0,
LEN(Table1[[#This Row],[PitStopLaps]])-LEN(SUBSTITUTE(Table1[[#This Row],[PitStopLaps]],",",""))+1)</f>
        <v>0</v>
      </c>
      <c r="U2121">
        <f>Table1[[#This Row],[StartPosition]]-Table1[[#This Row],[FinishPosition]]</f>
        <v>-2</v>
      </c>
    </row>
    <row r="2122" spans="1:21" x14ac:dyDescent="0.3">
      <c r="A2122">
        <v>2023</v>
      </c>
      <c r="B2122">
        <v>5</v>
      </c>
      <c r="C2122" t="s">
        <v>819</v>
      </c>
      <c r="D2122" t="s">
        <v>38</v>
      </c>
      <c r="E2122" t="s">
        <v>39</v>
      </c>
      <c r="F2122" t="s">
        <v>33</v>
      </c>
      <c r="G2122">
        <v>9</v>
      </c>
      <c r="H2122">
        <v>1</v>
      </c>
      <c r="I2122">
        <v>26</v>
      </c>
      <c r="J2122" t="s">
        <v>23</v>
      </c>
      <c r="K2122" t="s">
        <v>24</v>
      </c>
      <c r="L2122">
        <v>57</v>
      </c>
      <c r="M2122">
        <v>89.707999999999998</v>
      </c>
      <c r="N2122">
        <v>91.750703000000001</v>
      </c>
      <c r="O2122">
        <v>30.233000000000001</v>
      </c>
      <c r="P2122">
        <v>34.097999999999999</v>
      </c>
      <c r="Q2122">
        <v>25.376999999999999</v>
      </c>
      <c r="R2122">
        <v>45</v>
      </c>
      <c r="S2122" t="s">
        <v>83</v>
      </c>
      <c r="T2122">
        <f>IF(TRIM(Table1[[#This Row],[PitStopLaps]])="",0,
LEN(Table1[[#This Row],[PitStopLaps]])-LEN(SUBSTITUTE(Table1[[#This Row],[PitStopLaps]],",",""))+1)</f>
        <v>1</v>
      </c>
      <c r="U2122">
        <f>Table1[[#This Row],[StartPosition]]-Table1[[#This Row],[FinishPosition]]</f>
        <v>8</v>
      </c>
    </row>
    <row r="2123" spans="1:21" x14ac:dyDescent="0.3">
      <c r="A2123">
        <v>2023</v>
      </c>
      <c r="B2123">
        <v>5</v>
      </c>
      <c r="C2123" t="s">
        <v>819</v>
      </c>
      <c r="D2123" t="s">
        <v>49</v>
      </c>
      <c r="E2123" t="s">
        <v>50</v>
      </c>
      <c r="F2123" t="s">
        <v>33</v>
      </c>
      <c r="G2123">
        <v>1</v>
      </c>
      <c r="H2123">
        <v>2</v>
      </c>
      <c r="I2123">
        <v>18</v>
      </c>
      <c r="J2123" t="s">
        <v>23</v>
      </c>
      <c r="K2123" t="s">
        <v>24</v>
      </c>
      <c r="L2123">
        <v>57</v>
      </c>
      <c r="M2123">
        <v>90.56</v>
      </c>
      <c r="N2123">
        <v>91.902685000000005</v>
      </c>
      <c r="O2123">
        <v>30.440999999999999</v>
      </c>
      <c r="P2123">
        <v>34.356000000000002</v>
      </c>
      <c r="Q2123">
        <v>25.427</v>
      </c>
      <c r="R2123">
        <v>20</v>
      </c>
      <c r="S2123" t="s">
        <v>83</v>
      </c>
      <c r="T2123">
        <f>IF(TRIM(Table1[[#This Row],[PitStopLaps]])="",0,
LEN(Table1[[#This Row],[PitStopLaps]])-LEN(SUBSTITUTE(Table1[[#This Row],[PitStopLaps]],",",""))+1)</f>
        <v>1</v>
      </c>
      <c r="U2123">
        <f>Table1[[#This Row],[StartPosition]]-Table1[[#This Row],[FinishPosition]]</f>
        <v>-1</v>
      </c>
    </row>
    <row r="2124" spans="1:21" x14ac:dyDescent="0.3">
      <c r="A2124">
        <v>2023</v>
      </c>
      <c r="B2124">
        <v>5</v>
      </c>
      <c r="C2124" t="s">
        <v>819</v>
      </c>
      <c r="D2124" t="s">
        <v>35</v>
      </c>
      <c r="E2124" t="s">
        <v>36</v>
      </c>
      <c r="F2124" t="s">
        <v>603</v>
      </c>
      <c r="G2124">
        <v>2</v>
      </c>
      <c r="H2124">
        <v>3</v>
      </c>
      <c r="I2124">
        <v>15</v>
      </c>
      <c r="J2124" t="s">
        <v>23</v>
      </c>
      <c r="K2124" t="s">
        <v>24</v>
      </c>
      <c r="L2124">
        <v>57</v>
      </c>
      <c r="M2124">
        <v>90.519000000000005</v>
      </c>
      <c r="N2124">
        <v>92.277129000000002</v>
      </c>
      <c r="O2124">
        <v>30.434999999999999</v>
      </c>
      <c r="P2124">
        <v>34.582999999999998</v>
      </c>
      <c r="Q2124">
        <v>25.501000000000001</v>
      </c>
      <c r="R2124">
        <v>24</v>
      </c>
      <c r="S2124" t="s">
        <v>83</v>
      </c>
      <c r="T2124">
        <f>IF(TRIM(Table1[[#This Row],[PitStopLaps]])="",0,
LEN(Table1[[#This Row],[PitStopLaps]])-LEN(SUBSTITUTE(Table1[[#This Row],[PitStopLaps]],",",""))+1)</f>
        <v>1</v>
      </c>
      <c r="U2124">
        <f>Table1[[#This Row],[StartPosition]]-Table1[[#This Row],[FinishPosition]]</f>
        <v>-1</v>
      </c>
    </row>
    <row r="2125" spans="1:21" x14ac:dyDescent="0.3">
      <c r="A2125">
        <v>2023</v>
      </c>
      <c r="B2125">
        <v>5</v>
      </c>
      <c r="C2125" t="s">
        <v>819</v>
      </c>
      <c r="D2125" t="s">
        <v>252</v>
      </c>
      <c r="E2125" t="s">
        <v>253</v>
      </c>
      <c r="F2125" t="s">
        <v>28</v>
      </c>
      <c r="G2125">
        <v>6</v>
      </c>
      <c r="H2125">
        <v>4</v>
      </c>
      <c r="I2125">
        <v>12</v>
      </c>
      <c r="J2125" t="s">
        <v>34</v>
      </c>
      <c r="K2125" t="s">
        <v>24</v>
      </c>
      <c r="L2125">
        <v>57</v>
      </c>
      <c r="M2125">
        <v>91.015000000000001</v>
      </c>
      <c r="N2125">
        <v>92.342665999999994</v>
      </c>
      <c r="O2125">
        <v>30.626000000000001</v>
      </c>
      <c r="P2125">
        <v>34.587000000000003</v>
      </c>
      <c r="Q2125">
        <v>25.593</v>
      </c>
      <c r="R2125">
        <v>17</v>
      </c>
      <c r="S2125" t="s">
        <v>83</v>
      </c>
      <c r="T2125">
        <f>IF(TRIM(Table1[[#This Row],[PitStopLaps]])="",0,
LEN(Table1[[#This Row],[PitStopLaps]])-LEN(SUBSTITUTE(Table1[[#This Row],[PitStopLaps]],",",""))+1)</f>
        <v>1</v>
      </c>
      <c r="U2125">
        <f>Table1[[#This Row],[StartPosition]]-Table1[[#This Row],[FinishPosition]]</f>
        <v>2</v>
      </c>
    </row>
    <row r="2126" spans="1:21" x14ac:dyDescent="0.3">
      <c r="A2126">
        <v>2023</v>
      </c>
      <c r="B2126">
        <v>5</v>
      </c>
      <c r="C2126" t="s">
        <v>819</v>
      </c>
      <c r="D2126" t="s">
        <v>47</v>
      </c>
      <c r="E2126" t="s">
        <v>48</v>
      </c>
      <c r="F2126" t="s">
        <v>22</v>
      </c>
      <c r="G2126">
        <v>3</v>
      </c>
      <c r="H2126">
        <v>5</v>
      </c>
      <c r="I2126">
        <v>10</v>
      </c>
      <c r="J2126" t="s">
        <v>34</v>
      </c>
      <c r="K2126" t="s">
        <v>24</v>
      </c>
      <c r="L2126">
        <v>57</v>
      </c>
      <c r="M2126">
        <v>91.361999999999995</v>
      </c>
      <c r="N2126">
        <v>92.478313999999997</v>
      </c>
      <c r="O2126">
        <v>30.94</v>
      </c>
      <c r="P2126">
        <v>34.64</v>
      </c>
      <c r="Q2126">
        <v>25.632000000000001</v>
      </c>
      <c r="R2126">
        <v>18</v>
      </c>
      <c r="S2126" t="s">
        <v>83</v>
      </c>
      <c r="T2126">
        <f>IF(TRIM(Table1[[#This Row],[PitStopLaps]])="",0,
LEN(Table1[[#This Row],[PitStopLaps]])-LEN(SUBSTITUTE(Table1[[#This Row],[PitStopLaps]],",",""))+1)</f>
        <v>1</v>
      </c>
      <c r="U2126">
        <f>Table1[[#This Row],[StartPosition]]-Table1[[#This Row],[FinishPosition]]</f>
        <v>-2</v>
      </c>
    </row>
    <row r="2127" spans="1:21" x14ac:dyDescent="0.3">
      <c r="A2127">
        <v>2023</v>
      </c>
      <c r="B2127">
        <v>5</v>
      </c>
      <c r="C2127" t="s">
        <v>819</v>
      </c>
      <c r="D2127" t="s">
        <v>26</v>
      </c>
      <c r="E2127" t="s">
        <v>27</v>
      </c>
      <c r="F2127" t="s">
        <v>28</v>
      </c>
      <c r="G2127">
        <v>13</v>
      </c>
      <c r="H2127">
        <v>6</v>
      </c>
      <c r="I2127">
        <v>8</v>
      </c>
      <c r="J2127" t="s">
        <v>34</v>
      </c>
      <c r="K2127" t="s">
        <v>24</v>
      </c>
      <c r="L2127">
        <v>57</v>
      </c>
      <c r="M2127">
        <v>90.668999999999997</v>
      </c>
      <c r="N2127">
        <v>92.633685</v>
      </c>
      <c r="O2127">
        <v>30.349</v>
      </c>
      <c r="P2127">
        <v>34.25</v>
      </c>
      <c r="Q2127">
        <v>25.425000000000001</v>
      </c>
      <c r="R2127">
        <v>37</v>
      </c>
      <c r="S2127" t="s">
        <v>83</v>
      </c>
      <c r="T2127">
        <f>IF(TRIM(Table1[[#This Row],[PitStopLaps]])="",0,
LEN(Table1[[#This Row],[PitStopLaps]])-LEN(SUBSTITUTE(Table1[[#This Row],[PitStopLaps]],",",""))+1)</f>
        <v>1</v>
      </c>
      <c r="U2127">
        <f>Table1[[#This Row],[StartPosition]]-Table1[[#This Row],[FinishPosition]]</f>
        <v>7</v>
      </c>
    </row>
    <row r="2128" spans="1:21" x14ac:dyDescent="0.3">
      <c r="A2128">
        <v>2023</v>
      </c>
      <c r="B2128">
        <v>5</v>
      </c>
      <c r="C2128" t="s">
        <v>819</v>
      </c>
      <c r="D2128" t="s">
        <v>54</v>
      </c>
      <c r="E2128" t="s">
        <v>55</v>
      </c>
      <c r="F2128" t="s">
        <v>22</v>
      </c>
      <c r="G2128">
        <v>7</v>
      </c>
      <c r="H2128">
        <v>7</v>
      </c>
      <c r="I2128">
        <v>6</v>
      </c>
      <c r="J2128" t="s">
        <v>34</v>
      </c>
      <c r="K2128" t="s">
        <v>24</v>
      </c>
      <c r="L2128">
        <v>57</v>
      </c>
      <c r="M2128">
        <v>91.433999999999997</v>
      </c>
      <c r="N2128">
        <v>92.684314000000001</v>
      </c>
      <c r="O2128">
        <v>30.867000000000001</v>
      </c>
      <c r="P2128">
        <v>34.698</v>
      </c>
      <c r="Q2128">
        <v>25.43</v>
      </c>
      <c r="R2128">
        <v>17</v>
      </c>
      <c r="S2128" t="s">
        <v>83</v>
      </c>
      <c r="T2128">
        <f>IF(TRIM(Table1[[#This Row],[PitStopLaps]])="",0,
LEN(Table1[[#This Row],[PitStopLaps]])-LEN(SUBSTITUTE(Table1[[#This Row],[PitStopLaps]],",",""))+1)</f>
        <v>1</v>
      </c>
      <c r="U2128">
        <f>Table1[[#This Row],[StartPosition]]-Table1[[#This Row],[FinishPosition]]</f>
        <v>0</v>
      </c>
    </row>
    <row r="2129" spans="1:21" x14ac:dyDescent="0.3">
      <c r="A2129">
        <v>2023</v>
      </c>
      <c r="B2129">
        <v>5</v>
      </c>
      <c r="C2129" t="s">
        <v>819</v>
      </c>
      <c r="D2129" t="s">
        <v>73</v>
      </c>
      <c r="E2129" t="s">
        <v>74</v>
      </c>
      <c r="F2129" t="s">
        <v>607</v>
      </c>
      <c r="G2129">
        <v>5</v>
      </c>
      <c r="H2129">
        <v>8</v>
      </c>
      <c r="I2129">
        <v>4</v>
      </c>
      <c r="J2129" t="s">
        <v>34</v>
      </c>
      <c r="K2129" t="s">
        <v>24</v>
      </c>
      <c r="L2129">
        <v>57</v>
      </c>
      <c r="M2129">
        <v>91.971000000000004</v>
      </c>
      <c r="N2129">
        <v>92.753555000000006</v>
      </c>
      <c r="O2129">
        <v>31.061</v>
      </c>
      <c r="P2129">
        <v>34.761000000000003</v>
      </c>
      <c r="Q2129">
        <v>25.734000000000002</v>
      </c>
      <c r="R2129">
        <v>15</v>
      </c>
      <c r="S2129" t="s">
        <v>83</v>
      </c>
      <c r="T2129">
        <f>IF(TRIM(Table1[[#This Row],[PitStopLaps]])="",0,
LEN(Table1[[#This Row],[PitStopLaps]])-LEN(SUBSTITUTE(Table1[[#This Row],[PitStopLaps]],",",""))+1)</f>
        <v>1</v>
      </c>
      <c r="U2129">
        <f>Table1[[#This Row],[StartPosition]]-Table1[[#This Row],[FinishPosition]]</f>
        <v>-3</v>
      </c>
    </row>
    <row r="2130" spans="1:21" x14ac:dyDescent="0.3">
      <c r="A2130">
        <v>2023</v>
      </c>
      <c r="B2130">
        <v>5</v>
      </c>
      <c r="C2130" t="s">
        <v>819</v>
      </c>
      <c r="D2130" t="s">
        <v>52</v>
      </c>
      <c r="E2130" t="s">
        <v>53</v>
      </c>
      <c r="F2130" t="s">
        <v>607</v>
      </c>
      <c r="G2130">
        <v>8</v>
      </c>
      <c r="H2130">
        <v>9</v>
      </c>
      <c r="I2130">
        <v>2</v>
      </c>
      <c r="J2130" t="s">
        <v>34</v>
      </c>
      <c r="K2130" t="s">
        <v>24</v>
      </c>
      <c r="L2130">
        <v>57</v>
      </c>
      <c r="M2130">
        <v>91.143000000000001</v>
      </c>
      <c r="N2130">
        <v>92.795240000000007</v>
      </c>
      <c r="O2130">
        <v>30.724</v>
      </c>
      <c r="P2130">
        <v>34.75</v>
      </c>
      <c r="Q2130">
        <v>25.536999999999999</v>
      </c>
      <c r="R2130">
        <v>39</v>
      </c>
      <c r="S2130" t="s">
        <v>83</v>
      </c>
      <c r="T2130">
        <f>IF(TRIM(Table1[[#This Row],[PitStopLaps]])="",0,
LEN(Table1[[#This Row],[PitStopLaps]])-LEN(SUBSTITUTE(Table1[[#This Row],[PitStopLaps]],",",""))+1)</f>
        <v>1</v>
      </c>
      <c r="U2130">
        <f>Table1[[#This Row],[StartPosition]]-Table1[[#This Row],[FinishPosition]]</f>
        <v>-1</v>
      </c>
    </row>
    <row r="2131" spans="1:21" x14ac:dyDescent="0.3">
      <c r="A2131">
        <v>2023</v>
      </c>
      <c r="B2131">
        <v>5</v>
      </c>
      <c r="C2131" t="s">
        <v>819</v>
      </c>
      <c r="D2131" t="s">
        <v>71</v>
      </c>
      <c r="E2131" t="s">
        <v>72</v>
      </c>
      <c r="F2131" t="s">
        <v>69</v>
      </c>
      <c r="G2131">
        <v>4</v>
      </c>
      <c r="H2131">
        <v>10</v>
      </c>
      <c r="I2131">
        <v>1</v>
      </c>
      <c r="J2131" t="s">
        <v>34</v>
      </c>
      <c r="K2131" t="s">
        <v>24</v>
      </c>
      <c r="L2131">
        <v>57</v>
      </c>
      <c r="M2131">
        <v>91.691000000000003</v>
      </c>
      <c r="N2131">
        <v>92.856202999999994</v>
      </c>
      <c r="O2131">
        <v>30.922999999999998</v>
      </c>
      <c r="P2131">
        <v>34.906999999999996</v>
      </c>
      <c r="Q2131">
        <v>25.478000000000002</v>
      </c>
      <c r="R2131">
        <v>14</v>
      </c>
      <c r="S2131" t="s">
        <v>83</v>
      </c>
      <c r="T2131">
        <f>IF(TRIM(Table1[[#This Row],[PitStopLaps]])="",0,
LEN(Table1[[#This Row],[PitStopLaps]])-LEN(SUBSTITUTE(Table1[[#This Row],[PitStopLaps]],",",""))+1)</f>
        <v>1</v>
      </c>
      <c r="U2131">
        <f>Table1[[#This Row],[StartPosition]]-Table1[[#This Row],[FinishPosition]]</f>
        <v>-6</v>
      </c>
    </row>
    <row r="2132" spans="1:21" x14ac:dyDescent="0.3">
      <c r="A2132">
        <v>2023</v>
      </c>
      <c r="B2132">
        <v>5</v>
      </c>
      <c r="C2132" t="s">
        <v>819</v>
      </c>
      <c r="D2132" t="s">
        <v>601</v>
      </c>
      <c r="E2132" t="s">
        <v>602</v>
      </c>
      <c r="F2132" t="s">
        <v>438</v>
      </c>
      <c r="G2132">
        <v>17</v>
      </c>
      <c r="H2132">
        <v>11</v>
      </c>
      <c r="I2132">
        <v>0</v>
      </c>
      <c r="J2132" t="s">
        <v>34</v>
      </c>
      <c r="K2132" t="s">
        <v>24</v>
      </c>
      <c r="L2132">
        <v>57</v>
      </c>
      <c r="M2132">
        <v>91.037999999999997</v>
      </c>
      <c r="N2132">
        <v>92.838740000000001</v>
      </c>
      <c r="O2132">
        <v>30.756</v>
      </c>
      <c r="P2132">
        <v>34.619</v>
      </c>
      <c r="Q2132">
        <v>25.498999999999999</v>
      </c>
      <c r="R2132">
        <v>36</v>
      </c>
      <c r="S2132" t="s">
        <v>83</v>
      </c>
      <c r="T2132">
        <f>IF(TRIM(Table1[[#This Row],[PitStopLaps]])="",0,
LEN(Table1[[#This Row],[PitStopLaps]])-LEN(SUBSTITUTE(Table1[[#This Row],[PitStopLaps]],",",""))+1)</f>
        <v>1</v>
      </c>
      <c r="U2132">
        <f>Table1[[#This Row],[StartPosition]]-Table1[[#This Row],[FinishPosition]]</f>
        <v>6</v>
      </c>
    </row>
    <row r="2133" spans="1:21" x14ac:dyDescent="0.3">
      <c r="A2133">
        <v>2023</v>
      </c>
      <c r="B2133">
        <v>5</v>
      </c>
      <c r="C2133" t="s">
        <v>819</v>
      </c>
      <c r="D2133" t="s">
        <v>58</v>
      </c>
      <c r="E2133" t="s">
        <v>59</v>
      </c>
      <c r="F2133" t="s">
        <v>603</v>
      </c>
      <c r="G2133">
        <v>18</v>
      </c>
      <c r="H2133">
        <v>12</v>
      </c>
      <c r="I2133">
        <v>0</v>
      </c>
      <c r="J2133" t="s">
        <v>34</v>
      </c>
      <c r="K2133" t="s">
        <v>24</v>
      </c>
      <c r="L2133">
        <v>57</v>
      </c>
      <c r="M2133">
        <v>90.861999999999995</v>
      </c>
      <c r="N2133">
        <v>92.832981000000004</v>
      </c>
      <c r="O2133">
        <v>30.765000000000001</v>
      </c>
      <c r="P2133">
        <v>34.542000000000002</v>
      </c>
      <c r="Q2133">
        <v>25.326000000000001</v>
      </c>
      <c r="R2133">
        <v>42</v>
      </c>
      <c r="S2133" t="s">
        <v>83</v>
      </c>
      <c r="T2133">
        <f>IF(TRIM(Table1[[#This Row],[PitStopLaps]])="",0,
LEN(Table1[[#This Row],[PitStopLaps]])-LEN(SUBSTITUTE(Table1[[#This Row],[PitStopLaps]],",",""))+1)</f>
        <v>1</v>
      </c>
      <c r="U2133">
        <f>Table1[[#This Row],[StartPosition]]-Table1[[#This Row],[FinishPosition]]</f>
        <v>6</v>
      </c>
    </row>
    <row r="2134" spans="1:21" x14ac:dyDescent="0.3">
      <c r="A2134">
        <v>2023</v>
      </c>
      <c r="B2134">
        <v>5</v>
      </c>
      <c r="C2134" t="s">
        <v>819</v>
      </c>
      <c r="D2134" t="s">
        <v>43</v>
      </c>
      <c r="E2134" t="s">
        <v>44</v>
      </c>
      <c r="F2134" t="s">
        <v>789</v>
      </c>
      <c r="G2134">
        <v>10</v>
      </c>
      <c r="H2134">
        <v>13</v>
      </c>
      <c r="I2134">
        <v>0</v>
      </c>
      <c r="J2134" t="s">
        <v>34</v>
      </c>
      <c r="K2134" t="s">
        <v>24</v>
      </c>
      <c r="L2134">
        <v>57</v>
      </c>
      <c r="M2134">
        <v>91.837999999999994</v>
      </c>
      <c r="N2134">
        <v>92.971444000000005</v>
      </c>
      <c r="O2134">
        <v>30.911000000000001</v>
      </c>
      <c r="P2134">
        <v>34.921999999999997</v>
      </c>
      <c r="Q2134">
        <v>25.829000000000001</v>
      </c>
      <c r="R2134">
        <v>15</v>
      </c>
      <c r="S2134" t="s">
        <v>83</v>
      </c>
      <c r="T2134">
        <f>IF(TRIM(Table1[[#This Row],[PitStopLaps]])="",0,
LEN(Table1[[#This Row],[PitStopLaps]])-LEN(SUBSTITUTE(Table1[[#This Row],[PitStopLaps]],",",""))+1)</f>
        <v>1</v>
      </c>
      <c r="U2134">
        <f>Table1[[#This Row],[StartPosition]]-Table1[[#This Row],[FinishPosition]]</f>
        <v>-3</v>
      </c>
    </row>
    <row r="2135" spans="1:21" x14ac:dyDescent="0.3">
      <c r="A2135">
        <v>2023</v>
      </c>
      <c r="B2135">
        <v>5</v>
      </c>
      <c r="C2135" t="s">
        <v>819</v>
      </c>
      <c r="D2135" t="s">
        <v>248</v>
      </c>
      <c r="E2135" t="s">
        <v>249</v>
      </c>
      <c r="F2135" t="s">
        <v>60</v>
      </c>
      <c r="G2135">
        <v>11</v>
      </c>
      <c r="H2135">
        <v>14</v>
      </c>
      <c r="I2135">
        <v>0</v>
      </c>
      <c r="J2135" t="s">
        <v>34</v>
      </c>
      <c r="K2135" t="s">
        <v>24</v>
      </c>
      <c r="L2135">
        <v>57</v>
      </c>
      <c r="M2135">
        <v>91.852000000000004</v>
      </c>
      <c r="N2135">
        <v>92.979776999999999</v>
      </c>
      <c r="O2135">
        <v>31.207000000000001</v>
      </c>
      <c r="P2135">
        <v>34.755000000000003</v>
      </c>
      <c r="Q2135">
        <v>25.733000000000001</v>
      </c>
      <c r="R2135">
        <v>22</v>
      </c>
      <c r="S2135" t="s">
        <v>83</v>
      </c>
      <c r="T2135">
        <f>IF(TRIM(Table1[[#This Row],[PitStopLaps]])="",0,
LEN(Table1[[#This Row],[PitStopLaps]])-LEN(SUBSTITUTE(Table1[[#This Row],[PitStopLaps]],",",""))+1)</f>
        <v>1</v>
      </c>
      <c r="U2135">
        <f>Table1[[#This Row],[StartPosition]]-Table1[[#This Row],[FinishPosition]]</f>
        <v>-3</v>
      </c>
    </row>
    <row r="2136" spans="1:21" x14ac:dyDescent="0.3">
      <c r="A2136">
        <v>2023</v>
      </c>
      <c r="B2136">
        <v>5</v>
      </c>
      <c r="C2136" t="s">
        <v>819</v>
      </c>
      <c r="D2136" t="s">
        <v>40</v>
      </c>
      <c r="E2136" t="s">
        <v>41</v>
      </c>
      <c r="F2136" t="s">
        <v>69</v>
      </c>
      <c r="G2136">
        <v>12</v>
      </c>
      <c r="H2136">
        <v>15</v>
      </c>
      <c r="I2136">
        <v>0</v>
      </c>
      <c r="J2136" t="s">
        <v>34</v>
      </c>
      <c r="K2136" t="s">
        <v>24</v>
      </c>
      <c r="L2136">
        <v>57</v>
      </c>
      <c r="M2136">
        <v>90.900999999999996</v>
      </c>
      <c r="N2136">
        <v>92.999425000000002</v>
      </c>
      <c r="O2136">
        <v>30.905000000000001</v>
      </c>
      <c r="P2136">
        <v>34.514000000000003</v>
      </c>
      <c r="Q2136">
        <v>25.446999999999999</v>
      </c>
      <c r="R2136">
        <v>33</v>
      </c>
      <c r="S2136" t="s">
        <v>83</v>
      </c>
      <c r="T2136">
        <f>IF(TRIM(Table1[[#This Row],[PitStopLaps]])="",0,
LEN(Table1[[#This Row],[PitStopLaps]])-LEN(SUBSTITUTE(Table1[[#This Row],[PitStopLaps]],",",""))+1)</f>
        <v>1</v>
      </c>
      <c r="U2136">
        <f>Table1[[#This Row],[StartPosition]]-Table1[[#This Row],[FinishPosition]]</f>
        <v>-3</v>
      </c>
    </row>
    <row r="2137" spans="1:21" x14ac:dyDescent="0.3">
      <c r="A2137">
        <v>2023</v>
      </c>
      <c r="B2137">
        <v>5</v>
      </c>
      <c r="C2137" t="s">
        <v>819</v>
      </c>
      <c r="D2137" t="s">
        <v>794</v>
      </c>
      <c r="E2137" t="s">
        <v>795</v>
      </c>
      <c r="F2137" t="s">
        <v>789</v>
      </c>
      <c r="G2137">
        <v>14</v>
      </c>
      <c r="H2137">
        <v>16</v>
      </c>
      <c r="I2137">
        <v>0</v>
      </c>
      <c r="J2137" t="s">
        <v>34</v>
      </c>
      <c r="K2137" t="s">
        <v>24</v>
      </c>
      <c r="L2137">
        <v>57</v>
      </c>
      <c r="M2137">
        <v>91.736000000000004</v>
      </c>
      <c r="N2137">
        <v>93.060518000000002</v>
      </c>
      <c r="O2137">
        <v>30.96</v>
      </c>
      <c r="P2137">
        <v>34.692999999999998</v>
      </c>
      <c r="Q2137">
        <v>25.678000000000001</v>
      </c>
      <c r="R2137">
        <v>31</v>
      </c>
      <c r="S2137" t="s">
        <v>83</v>
      </c>
      <c r="T2137">
        <f>IF(TRIM(Table1[[#This Row],[PitStopLaps]])="",0,
LEN(Table1[[#This Row],[PitStopLaps]])-LEN(SUBSTITUTE(Table1[[#This Row],[PitStopLaps]],",",""))+1)</f>
        <v>1</v>
      </c>
      <c r="U2137">
        <f>Table1[[#This Row],[StartPosition]]-Table1[[#This Row],[FinishPosition]]</f>
        <v>-2</v>
      </c>
    </row>
    <row r="2138" spans="1:21" x14ac:dyDescent="0.3">
      <c r="A2138">
        <v>2023</v>
      </c>
      <c r="B2138">
        <v>5</v>
      </c>
      <c r="C2138" t="s">
        <v>819</v>
      </c>
      <c r="D2138" t="s">
        <v>246</v>
      </c>
      <c r="E2138" t="s">
        <v>247</v>
      </c>
      <c r="F2138" t="s">
        <v>37</v>
      </c>
      <c r="G2138">
        <v>16</v>
      </c>
      <c r="H2138">
        <v>17</v>
      </c>
      <c r="I2138">
        <v>0</v>
      </c>
      <c r="J2138" t="s">
        <v>34</v>
      </c>
      <c r="K2138" t="s">
        <v>24</v>
      </c>
      <c r="L2138">
        <v>57</v>
      </c>
      <c r="M2138">
        <v>92.400999999999996</v>
      </c>
      <c r="N2138">
        <v>93.127796000000004</v>
      </c>
      <c r="O2138">
        <v>31.137</v>
      </c>
      <c r="P2138">
        <v>35.081000000000003</v>
      </c>
      <c r="Q2138">
        <v>25.757999999999999</v>
      </c>
      <c r="R2138">
        <v>4</v>
      </c>
      <c r="S2138" t="s">
        <v>83</v>
      </c>
      <c r="T2138">
        <f>IF(TRIM(Table1[[#This Row],[PitStopLaps]])="",0,
LEN(Table1[[#This Row],[PitStopLaps]])-LEN(SUBSTITUTE(Table1[[#This Row],[PitStopLaps]],",",""))+1)</f>
        <v>1</v>
      </c>
      <c r="U2138">
        <f>Table1[[#This Row],[StartPosition]]-Table1[[#This Row],[FinishPosition]]</f>
        <v>-1</v>
      </c>
    </row>
    <row r="2139" spans="1:21" x14ac:dyDescent="0.3">
      <c r="A2139">
        <v>2023</v>
      </c>
      <c r="B2139">
        <v>5</v>
      </c>
      <c r="C2139" t="s">
        <v>819</v>
      </c>
      <c r="D2139" t="s">
        <v>951</v>
      </c>
      <c r="E2139" t="s">
        <v>952</v>
      </c>
      <c r="F2139" t="s">
        <v>438</v>
      </c>
      <c r="G2139">
        <v>15</v>
      </c>
      <c r="H2139">
        <v>18</v>
      </c>
      <c r="I2139">
        <v>0</v>
      </c>
      <c r="J2139" t="s">
        <v>34</v>
      </c>
      <c r="K2139" t="s">
        <v>24</v>
      </c>
      <c r="L2139">
        <v>57</v>
      </c>
      <c r="M2139">
        <v>91.561999999999998</v>
      </c>
      <c r="N2139">
        <v>93.149480999999994</v>
      </c>
      <c r="O2139">
        <v>30.768000000000001</v>
      </c>
      <c r="P2139">
        <v>34.978000000000002</v>
      </c>
      <c r="Q2139">
        <v>25.815999999999999</v>
      </c>
      <c r="R2139">
        <v>15</v>
      </c>
      <c r="S2139" t="s">
        <v>83</v>
      </c>
      <c r="T2139">
        <f>IF(TRIM(Table1[[#This Row],[PitStopLaps]])="",0,
LEN(Table1[[#This Row],[PitStopLaps]])-LEN(SUBSTITUTE(Table1[[#This Row],[PitStopLaps]],",",""))+1)</f>
        <v>1</v>
      </c>
      <c r="U2139">
        <f>Table1[[#This Row],[StartPosition]]-Table1[[#This Row],[FinishPosition]]</f>
        <v>-3</v>
      </c>
    </row>
    <row r="2140" spans="1:21" x14ac:dyDescent="0.3">
      <c r="A2140">
        <v>2023</v>
      </c>
      <c r="B2140">
        <v>5</v>
      </c>
      <c r="C2140" t="s">
        <v>819</v>
      </c>
      <c r="D2140" t="s">
        <v>1000</v>
      </c>
      <c r="E2140" t="s">
        <v>1001</v>
      </c>
      <c r="F2140" t="s">
        <v>37</v>
      </c>
      <c r="G2140">
        <v>19</v>
      </c>
      <c r="H2140">
        <v>19</v>
      </c>
      <c r="I2140">
        <v>0</v>
      </c>
      <c r="J2140" t="s">
        <v>34</v>
      </c>
      <c r="K2140" t="s">
        <v>994</v>
      </c>
      <c r="L2140">
        <v>56</v>
      </c>
      <c r="M2140">
        <v>92.006</v>
      </c>
      <c r="N2140">
        <v>93.717112999999998</v>
      </c>
      <c r="O2140">
        <v>31.088999999999999</v>
      </c>
      <c r="P2140">
        <v>35.036999999999999</v>
      </c>
      <c r="Q2140">
        <v>25.870999999999999</v>
      </c>
      <c r="R2140">
        <v>5</v>
      </c>
      <c r="S2140" t="s">
        <v>83</v>
      </c>
      <c r="T2140">
        <f>IF(TRIM(Table1[[#This Row],[PitStopLaps]])="",0,
LEN(Table1[[#This Row],[PitStopLaps]])-LEN(SUBSTITUTE(Table1[[#This Row],[PitStopLaps]],",",""))+1)</f>
        <v>1</v>
      </c>
      <c r="U2140">
        <f>Table1[[#This Row],[StartPosition]]-Table1[[#This Row],[FinishPosition]]</f>
        <v>0</v>
      </c>
    </row>
    <row r="2141" spans="1:21" x14ac:dyDescent="0.3">
      <c r="A2141">
        <v>2023</v>
      </c>
      <c r="B2141">
        <v>5</v>
      </c>
      <c r="C2141" t="s">
        <v>819</v>
      </c>
      <c r="D2141" t="s">
        <v>992</v>
      </c>
      <c r="E2141" t="s">
        <v>993</v>
      </c>
      <c r="F2141" t="s">
        <v>60</v>
      </c>
      <c r="G2141">
        <v>20</v>
      </c>
      <c r="H2141">
        <v>20</v>
      </c>
      <c r="I2141">
        <v>0</v>
      </c>
      <c r="J2141" t="s">
        <v>34</v>
      </c>
      <c r="K2141" t="s">
        <v>994</v>
      </c>
      <c r="L2141">
        <v>56</v>
      </c>
      <c r="M2141">
        <v>92.384</v>
      </c>
      <c r="N2141">
        <v>93.378679000000005</v>
      </c>
      <c r="O2141">
        <v>31.372</v>
      </c>
      <c r="P2141">
        <v>34.954999999999998</v>
      </c>
      <c r="Q2141">
        <v>25.783000000000001</v>
      </c>
      <c r="R2141">
        <v>2</v>
      </c>
      <c r="S2141" t="s">
        <v>83</v>
      </c>
      <c r="T2141">
        <f>IF(TRIM(Table1[[#This Row],[PitStopLaps]])="",0,
LEN(Table1[[#This Row],[PitStopLaps]])-LEN(SUBSTITUTE(Table1[[#This Row],[PitStopLaps]],",",""))+1)</f>
        <v>1</v>
      </c>
      <c r="U2141">
        <f>Table1[[#This Row],[StartPosition]]-Table1[[#This Row],[FinishPosition]]</f>
        <v>0</v>
      </c>
    </row>
    <row r="2142" spans="1:21" x14ac:dyDescent="0.3">
      <c r="A2142">
        <v>2023</v>
      </c>
      <c r="B2142">
        <v>6</v>
      </c>
      <c r="C2142" t="s">
        <v>136</v>
      </c>
      <c r="D2142" t="s">
        <v>38</v>
      </c>
      <c r="E2142" t="s">
        <v>39</v>
      </c>
      <c r="F2142" t="s">
        <v>33</v>
      </c>
      <c r="G2142">
        <v>1</v>
      </c>
      <c r="H2142">
        <v>1</v>
      </c>
      <c r="I2142">
        <v>25</v>
      </c>
      <c r="J2142" t="s">
        <v>23</v>
      </c>
      <c r="K2142" t="s">
        <v>24</v>
      </c>
      <c r="L2142">
        <v>78</v>
      </c>
      <c r="M2142">
        <v>76.603999999999999</v>
      </c>
      <c r="N2142">
        <v>82.813919999999996</v>
      </c>
      <c r="O2142">
        <v>19.913</v>
      </c>
      <c r="P2142">
        <v>36.052999999999997</v>
      </c>
      <c r="Q2142">
        <v>20.32</v>
      </c>
      <c r="R2142">
        <v>55</v>
      </c>
      <c r="S2142" t="s">
        <v>25</v>
      </c>
      <c r="T2142">
        <f>IF(TRIM(Table1[[#This Row],[PitStopLaps]])="",0,
LEN(Table1[[#This Row],[PitStopLaps]])-LEN(SUBSTITUTE(Table1[[#This Row],[PitStopLaps]],",",""))+1)</f>
        <v>1</v>
      </c>
      <c r="U2142">
        <f>Table1[[#This Row],[StartPosition]]-Table1[[#This Row],[FinishPosition]]</f>
        <v>0</v>
      </c>
    </row>
    <row r="2143" spans="1:21" x14ac:dyDescent="0.3">
      <c r="A2143">
        <v>2023</v>
      </c>
      <c r="B2143">
        <v>6</v>
      </c>
      <c r="C2143" t="s">
        <v>136</v>
      </c>
      <c r="D2143" t="s">
        <v>35</v>
      </c>
      <c r="E2143" t="s">
        <v>36</v>
      </c>
      <c r="F2143" t="s">
        <v>603</v>
      </c>
      <c r="G2143">
        <v>2</v>
      </c>
      <c r="H2143">
        <v>2</v>
      </c>
      <c r="I2143">
        <v>18</v>
      </c>
      <c r="J2143" t="s">
        <v>23</v>
      </c>
      <c r="K2143" t="s">
        <v>24</v>
      </c>
      <c r="L2143">
        <v>78</v>
      </c>
      <c r="M2143">
        <v>76.674000000000007</v>
      </c>
      <c r="N2143">
        <v>82.822931999999994</v>
      </c>
      <c r="O2143">
        <v>19.800999999999998</v>
      </c>
      <c r="P2143">
        <v>36.332000000000001</v>
      </c>
      <c r="Q2143">
        <v>20.347999999999999</v>
      </c>
      <c r="R2143" t="s">
        <v>1017</v>
      </c>
      <c r="S2143" t="s">
        <v>25</v>
      </c>
      <c r="T2143">
        <f>IF(TRIM(Table1[[#This Row],[PitStopLaps]])="",0,
LEN(Table1[[#This Row],[PitStopLaps]])-LEN(SUBSTITUTE(Table1[[#This Row],[PitStopLaps]],",",""))+1)</f>
        <v>2</v>
      </c>
      <c r="U2143">
        <f>Table1[[#This Row],[StartPosition]]-Table1[[#This Row],[FinishPosition]]</f>
        <v>0</v>
      </c>
    </row>
    <row r="2144" spans="1:21" x14ac:dyDescent="0.3">
      <c r="A2144">
        <v>2023</v>
      </c>
      <c r="B2144">
        <v>6</v>
      </c>
      <c r="C2144" t="s">
        <v>136</v>
      </c>
      <c r="D2144" t="s">
        <v>52</v>
      </c>
      <c r="E2144" t="s">
        <v>53</v>
      </c>
      <c r="F2144" t="s">
        <v>607</v>
      </c>
      <c r="G2144">
        <v>3</v>
      </c>
      <c r="H2144">
        <v>3</v>
      </c>
      <c r="I2144">
        <v>15</v>
      </c>
      <c r="J2144" t="s">
        <v>23</v>
      </c>
      <c r="K2144" t="s">
        <v>24</v>
      </c>
      <c r="L2144">
        <v>78</v>
      </c>
      <c r="M2144">
        <v>76.528000000000006</v>
      </c>
      <c r="N2144">
        <v>83.444492999999994</v>
      </c>
      <c r="O2144">
        <v>19.931999999999999</v>
      </c>
      <c r="P2144">
        <v>35.987000000000002</v>
      </c>
      <c r="Q2144">
        <v>20.463000000000001</v>
      </c>
      <c r="R2144" t="s">
        <v>1018</v>
      </c>
      <c r="S2144" t="s">
        <v>25</v>
      </c>
      <c r="T2144">
        <f>IF(TRIM(Table1[[#This Row],[PitStopLaps]])="",0,
LEN(Table1[[#This Row],[PitStopLaps]])-LEN(SUBSTITUTE(Table1[[#This Row],[PitStopLaps]],",",""))+1)</f>
        <v>2</v>
      </c>
      <c r="U2144">
        <f>Table1[[#This Row],[StartPosition]]-Table1[[#This Row],[FinishPosition]]</f>
        <v>0</v>
      </c>
    </row>
    <row r="2145" spans="1:21" x14ac:dyDescent="0.3">
      <c r="A2145">
        <v>2023</v>
      </c>
      <c r="B2145">
        <v>6</v>
      </c>
      <c r="C2145" t="s">
        <v>136</v>
      </c>
      <c r="D2145" t="s">
        <v>26</v>
      </c>
      <c r="E2145" t="s">
        <v>27</v>
      </c>
      <c r="F2145" t="s">
        <v>28</v>
      </c>
      <c r="G2145">
        <v>5</v>
      </c>
      <c r="H2145">
        <v>4</v>
      </c>
      <c r="I2145">
        <v>13</v>
      </c>
      <c r="J2145" t="s">
        <v>34</v>
      </c>
      <c r="K2145" t="s">
        <v>24</v>
      </c>
      <c r="L2145">
        <v>78</v>
      </c>
      <c r="M2145">
        <v>75.650000000000006</v>
      </c>
      <c r="N2145">
        <v>83.480560999999994</v>
      </c>
      <c r="O2145">
        <v>19.760000000000002</v>
      </c>
      <c r="P2145">
        <v>35.646999999999998</v>
      </c>
      <c r="Q2145">
        <v>20.242999999999999</v>
      </c>
      <c r="R2145" t="s">
        <v>1019</v>
      </c>
      <c r="S2145" t="s">
        <v>25</v>
      </c>
      <c r="T2145">
        <f>IF(TRIM(Table1[[#This Row],[PitStopLaps]])="",0,
LEN(Table1[[#This Row],[PitStopLaps]])-LEN(SUBSTITUTE(Table1[[#This Row],[PitStopLaps]],",",""))+1)</f>
        <v>2</v>
      </c>
      <c r="U2145">
        <f>Table1[[#This Row],[StartPosition]]-Table1[[#This Row],[FinishPosition]]</f>
        <v>1</v>
      </c>
    </row>
    <row r="2146" spans="1:21" x14ac:dyDescent="0.3">
      <c r="A2146">
        <v>2023</v>
      </c>
      <c r="B2146">
        <v>6</v>
      </c>
      <c r="C2146" t="s">
        <v>136</v>
      </c>
      <c r="D2146" t="s">
        <v>252</v>
      </c>
      <c r="E2146" t="s">
        <v>253</v>
      </c>
      <c r="F2146" t="s">
        <v>28</v>
      </c>
      <c r="G2146">
        <v>8</v>
      </c>
      <c r="H2146">
        <v>5</v>
      </c>
      <c r="I2146">
        <v>10</v>
      </c>
      <c r="J2146" t="s">
        <v>34</v>
      </c>
      <c r="K2146" t="s">
        <v>24</v>
      </c>
      <c r="L2146">
        <v>78</v>
      </c>
      <c r="M2146">
        <v>76.798000000000002</v>
      </c>
      <c r="N2146">
        <v>83.460373000000004</v>
      </c>
      <c r="O2146">
        <v>19.925000000000001</v>
      </c>
      <c r="P2146">
        <v>36.259</v>
      </c>
      <c r="Q2146">
        <v>20.469000000000001</v>
      </c>
      <c r="R2146">
        <v>54</v>
      </c>
      <c r="S2146" t="s">
        <v>25</v>
      </c>
      <c r="T2146">
        <f>IF(TRIM(Table1[[#This Row],[PitStopLaps]])="",0,
LEN(Table1[[#This Row],[PitStopLaps]])-LEN(SUBSTITUTE(Table1[[#This Row],[PitStopLaps]],",",""))+1)</f>
        <v>1</v>
      </c>
      <c r="U2146">
        <f>Table1[[#This Row],[StartPosition]]-Table1[[#This Row],[FinishPosition]]</f>
        <v>3</v>
      </c>
    </row>
    <row r="2147" spans="1:21" x14ac:dyDescent="0.3">
      <c r="A2147">
        <v>2023</v>
      </c>
      <c r="B2147">
        <v>6</v>
      </c>
      <c r="C2147" t="s">
        <v>136</v>
      </c>
      <c r="D2147" t="s">
        <v>54</v>
      </c>
      <c r="E2147" t="s">
        <v>55</v>
      </c>
      <c r="F2147" t="s">
        <v>22</v>
      </c>
      <c r="G2147">
        <v>6</v>
      </c>
      <c r="H2147">
        <v>6</v>
      </c>
      <c r="I2147">
        <v>8</v>
      </c>
      <c r="J2147" t="s">
        <v>34</v>
      </c>
      <c r="K2147" t="s">
        <v>24</v>
      </c>
      <c r="L2147">
        <v>78</v>
      </c>
      <c r="M2147">
        <v>75.772999999999996</v>
      </c>
      <c r="N2147">
        <v>83.527438000000004</v>
      </c>
      <c r="O2147">
        <v>19.73</v>
      </c>
      <c r="P2147">
        <v>35.718000000000004</v>
      </c>
      <c r="Q2147">
        <v>20.059000000000001</v>
      </c>
      <c r="R2147" t="s">
        <v>1020</v>
      </c>
      <c r="S2147" t="s">
        <v>25</v>
      </c>
      <c r="T2147">
        <f>IF(TRIM(Table1[[#This Row],[PitStopLaps]])="",0,
LEN(Table1[[#This Row],[PitStopLaps]])-LEN(SUBSTITUTE(Table1[[#This Row],[PitStopLaps]],",",""))+1)</f>
        <v>2</v>
      </c>
      <c r="U2147">
        <f>Table1[[#This Row],[StartPosition]]-Table1[[#This Row],[FinishPosition]]</f>
        <v>0</v>
      </c>
    </row>
    <row r="2148" spans="1:21" x14ac:dyDescent="0.3">
      <c r="A2148">
        <v>2023</v>
      </c>
      <c r="B2148">
        <v>6</v>
      </c>
      <c r="C2148" t="s">
        <v>136</v>
      </c>
      <c r="D2148" t="s">
        <v>73</v>
      </c>
      <c r="E2148" t="s">
        <v>74</v>
      </c>
      <c r="F2148" t="s">
        <v>607</v>
      </c>
      <c r="G2148">
        <v>7</v>
      </c>
      <c r="H2148">
        <v>7</v>
      </c>
      <c r="I2148">
        <v>6</v>
      </c>
      <c r="J2148" t="s">
        <v>34</v>
      </c>
      <c r="K2148" t="s">
        <v>24</v>
      </c>
      <c r="L2148">
        <v>78</v>
      </c>
      <c r="M2148">
        <v>75.831000000000003</v>
      </c>
      <c r="N2148">
        <v>83.659903999999997</v>
      </c>
      <c r="O2148">
        <v>19.843</v>
      </c>
      <c r="P2148">
        <v>35.628</v>
      </c>
      <c r="Q2148">
        <v>20.282</v>
      </c>
      <c r="R2148" t="s">
        <v>1021</v>
      </c>
      <c r="S2148" t="s">
        <v>25</v>
      </c>
      <c r="T2148">
        <f>IF(TRIM(Table1[[#This Row],[PitStopLaps]])="",0,
LEN(Table1[[#This Row],[PitStopLaps]])-LEN(SUBSTITUTE(Table1[[#This Row],[PitStopLaps]],",",""))+1)</f>
        <v>2</v>
      </c>
      <c r="U2148">
        <f>Table1[[#This Row],[StartPosition]]-Table1[[#This Row],[FinishPosition]]</f>
        <v>0</v>
      </c>
    </row>
    <row r="2149" spans="1:21" x14ac:dyDescent="0.3">
      <c r="A2149">
        <v>2023</v>
      </c>
      <c r="B2149">
        <v>6</v>
      </c>
      <c r="C2149" t="s">
        <v>136</v>
      </c>
      <c r="D2149" t="s">
        <v>47</v>
      </c>
      <c r="E2149" t="s">
        <v>48</v>
      </c>
      <c r="F2149" t="s">
        <v>22</v>
      </c>
      <c r="G2149">
        <v>4</v>
      </c>
      <c r="H2149">
        <v>8</v>
      </c>
      <c r="I2149">
        <v>4</v>
      </c>
      <c r="J2149" t="s">
        <v>34</v>
      </c>
      <c r="K2149" t="s">
        <v>24</v>
      </c>
      <c r="L2149">
        <v>78</v>
      </c>
      <c r="M2149">
        <v>76.448999999999998</v>
      </c>
      <c r="N2149">
        <v>83.450698000000003</v>
      </c>
      <c r="O2149">
        <v>19.911000000000001</v>
      </c>
      <c r="P2149">
        <v>36.003</v>
      </c>
      <c r="Q2149">
        <v>20.262</v>
      </c>
      <c r="R2149" t="s">
        <v>1022</v>
      </c>
      <c r="S2149" t="s">
        <v>25</v>
      </c>
      <c r="T2149">
        <f>IF(TRIM(Table1[[#This Row],[PitStopLaps]])="",0,
LEN(Table1[[#This Row],[PitStopLaps]])-LEN(SUBSTITUTE(Table1[[#This Row],[PitStopLaps]],",",""))+1)</f>
        <v>2</v>
      </c>
      <c r="U2149">
        <f>Table1[[#This Row],[StartPosition]]-Table1[[#This Row],[FinishPosition]]</f>
        <v>-4</v>
      </c>
    </row>
    <row r="2150" spans="1:21" x14ac:dyDescent="0.3">
      <c r="A2150">
        <v>2023</v>
      </c>
      <c r="B2150">
        <v>6</v>
      </c>
      <c r="C2150" t="s">
        <v>136</v>
      </c>
      <c r="D2150" t="s">
        <v>246</v>
      </c>
      <c r="E2150" t="s">
        <v>247</v>
      </c>
      <c r="F2150" t="s">
        <v>37</v>
      </c>
      <c r="G2150">
        <v>10</v>
      </c>
      <c r="H2150">
        <v>9</v>
      </c>
      <c r="I2150">
        <v>2</v>
      </c>
      <c r="J2150" t="s">
        <v>34</v>
      </c>
      <c r="K2150" t="s">
        <v>994</v>
      </c>
      <c r="L2150">
        <v>77</v>
      </c>
      <c r="M2150">
        <v>77.843999999999994</v>
      </c>
      <c r="N2150">
        <v>83.679777000000001</v>
      </c>
      <c r="O2150">
        <v>20.257999999999999</v>
      </c>
      <c r="P2150">
        <v>36.814</v>
      </c>
      <c r="Q2150">
        <v>20.597000000000001</v>
      </c>
      <c r="R2150" t="s">
        <v>1023</v>
      </c>
      <c r="S2150" t="s">
        <v>25</v>
      </c>
      <c r="T2150">
        <f>IF(TRIM(Table1[[#This Row],[PitStopLaps]])="",0,
LEN(Table1[[#This Row],[PitStopLaps]])-LEN(SUBSTITUTE(Table1[[#This Row],[PitStopLaps]],",",""))+1)</f>
        <v>2</v>
      </c>
      <c r="U2150">
        <f>Table1[[#This Row],[StartPosition]]-Table1[[#This Row],[FinishPosition]]</f>
        <v>1</v>
      </c>
    </row>
    <row r="2151" spans="1:21" x14ac:dyDescent="0.3">
      <c r="A2151">
        <v>2023</v>
      </c>
      <c r="B2151">
        <v>6</v>
      </c>
      <c r="C2151" t="s">
        <v>136</v>
      </c>
      <c r="D2151" t="s">
        <v>1000</v>
      </c>
      <c r="E2151" t="s">
        <v>1001</v>
      </c>
      <c r="F2151" t="s">
        <v>37</v>
      </c>
      <c r="G2151">
        <v>11</v>
      </c>
      <c r="H2151">
        <v>10</v>
      </c>
      <c r="I2151">
        <v>1</v>
      </c>
      <c r="J2151" t="s">
        <v>34</v>
      </c>
      <c r="K2151" t="s">
        <v>994</v>
      </c>
      <c r="L2151">
        <v>77</v>
      </c>
      <c r="M2151">
        <v>77.513000000000005</v>
      </c>
      <c r="N2151">
        <v>83.986270000000005</v>
      </c>
      <c r="O2151">
        <v>20.001000000000001</v>
      </c>
      <c r="P2151">
        <v>36.643000000000001</v>
      </c>
      <c r="Q2151">
        <v>20.579000000000001</v>
      </c>
      <c r="R2151">
        <v>54</v>
      </c>
      <c r="S2151" t="s">
        <v>25</v>
      </c>
      <c r="T2151">
        <f>IF(TRIM(Table1[[#This Row],[PitStopLaps]])="",0,
LEN(Table1[[#This Row],[PitStopLaps]])-LEN(SUBSTITUTE(Table1[[#This Row],[PitStopLaps]],",",""))+1)</f>
        <v>1</v>
      </c>
      <c r="U2151">
        <f>Table1[[#This Row],[StartPosition]]-Table1[[#This Row],[FinishPosition]]</f>
        <v>1</v>
      </c>
    </row>
    <row r="2152" spans="1:21" x14ac:dyDescent="0.3">
      <c r="A2152">
        <v>2023</v>
      </c>
      <c r="B2152">
        <v>6</v>
      </c>
      <c r="C2152" t="s">
        <v>136</v>
      </c>
      <c r="D2152" t="s">
        <v>43</v>
      </c>
      <c r="E2152" t="s">
        <v>44</v>
      </c>
      <c r="F2152" t="s">
        <v>789</v>
      </c>
      <c r="G2152">
        <v>15</v>
      </c>
      <c r="H2152">
        <v>11</v>
      </c>
      <c r="I2152">
        <v>0</v>
      </c>
      <c r="J2152" t="s">
        <v>34</v>
      </c>
      <c r="K2152" t="s">
        <v>994</v>
      </c>
      <c r="L2152">
        <v>77</v>
      </c>
      <c r="M2152">
        <v>77.823999999999998</v>
      </c>
      <c r="N2152">
        <v>84.625527000000005</v>
      </c>
      <c r="O2152">
        <v>20.221</v>
      </c>
      <c r="P2152">
        <v>36.607999999999997</v>
      </c>
      <c r="Q2152">
        <v>20.638000000000002</v>
      </c>
      <c r="R2152">
        <v>51</v>
      </c>
      <c r="S2152" t="s">
        <v>25</v>
      </c>
      <c r="T2152">
        <f>IF(TRIM(Table1[[#This Row],[PitStopLaps]])="",0,
LEN(Table1[[#This Row],[PitStopLaps]])-LEN(SUBSTITUTE(Table1[[#This Row],[PitStopLaps]],",",""))+1)</f>
        <v>1</v>
      </c>
      <c r="U2152">
        <f>Table1[[#This Row],[StartPosition]]-Table1[[#This Row],[FinishPosition]]</f>
        <v>4</v>
      </c>
    </row>
    <row r="2153" spans="1:21" x14ac:dyDescent="0.3">
      <c r="A2153">
        <v>2023</v>
      </c>
      <c r="B2153">
        <v>6</v>
      </c>
      <c r="C2153" t="s">
        <v>136</v>
      </c>
      <c r="D2153" t="s">
        <v>951</v>
      </c>
      <c r="E2153" t="s">
        <v>952</v>
      </c>
      <c r="F2153" t="s">
        <v>438</v>
      </c>
      <c r="G2153">
        <v>12</v>
      </c>
      <c r="H2153">
        <v>12</v>
      </c>
      <c r="I2153">
        <v>0</v>
      </c>
      <c r="J2153" t="s">
        <v>34</v>
      </c>
      <c r="K2153" t="s">
        <v>994</v>
      </c>
      <c r="L2153">
        <v>77</v>
      </c>
      <c r="M2153">
        <v>77.561000000000007</v>
      </c>
      <c r="N2153">
        <v>84.718851000000001</v>
      </c>
      <c r="O2153">
        <v>20.210999999999999</v>
      </c>
      <c r="P2153">
        <v>36.57</v>
      </c>
      <c r="Q2153">
        <v>20.573</v>
      </c>
      <c r="R2153">
        <v>53</v>
      </c>
      <c r="S2153" t="s">
        <v>25</v>
      </c>
      <c r="T2153">
        <f>IF(TRIM(Table1[[#This Row],[PitStopLaps]])="",0,
LEN(Table1[[#This Row],[PitStopLaps]])-LEN(SUBSTITUTE(Table1[[#This Row],[PitStopLaps]],",",""))+1)</f>
        <v>1</v>
      </c>
      <c r="U2153">
        <f>Table1[[#This Row],[StartPosition]]-Table1[[#This Row],[FinishPosition]]</f>
        <v>0</v>
      </c>
    </row>
    <row r="2154" spans="1:21" x14ac:dyDescent="0.3">
      <c r="A2154">
        <v>2023</v>
      </c>
      <c r="B2154">
        <v>6</v>
      </c>
      <c r="C2154" t="s">
        <v>136</v>
      </c>
      <c r="D2154" t="s">
        <v>794</v>
      </c>
      <c r="E2154" t="s">
        <v>795</v>
      </c>
      <c r="F2154" t="s">
        <v>789</v>
      </c>
      <c r="G2154">
        <v>19</v>
      </c>
      <c r="H2154">
        <v>13</v>
      </c>
      <c r="I2154">
        <v>0</v>
      </c>
      <c r="J2154" t="s">
        <v>34</v>
      </c>
      <c r="K2154" t="s">
        <v>994</v>
      </c>
      <c r="L2154">
        <v>77</v>
      </c>
      <c r="M2154">
        <v>76.926000000000002</v>
      </c>
      <c r="N2154">
        <v>84.867917000000006</v>
      </c>
      <c r="O2154">
        <v>20.260000000000002</v>
      </c>
      <c r="P2154">
        <v>36.051000000000002</v>
      </c>
      <c r="Q2154">
        <v>20.495999999999999</v>
      </c>
      <c r="R2154" t="s">
        <v>1024</v>
      </c>
      <c r="S2154" t="s">
        <v>25</v>
      </c>
      <c r="T2154">
        <f>IF(TRIM(Table1[[#This Row],[PitStopLaps]])="",0,
LEN(Table1[[#This Row],[PitStopLaps]])-LEN(SUBSTITUTE(Table1[[#This Row],[PitStopLaps]],",",""))+1)</f>
        <v>2</v>
      </c>
      <c r="U2154">
        <f>Table1[[#This Row],[StartPosition]]-Table1[[#This Row],[FinishPosition]]</f>
        <v>6</v>
      </c>
    </row>
    <row r="2155" spans="1:21" x14ac:dyDescent="0.3">
      <c r="A2155">
        <v>2023</v>
      </c>
      <c r="B2155">
        <v>6</v>
      </c>
      <c r="C2155" t="s">
        <v>136</v>
      </c>
      <c r="D2155" t="s">
        <v>248</v>
      </c>
      <c r="E2155" t="s">
        <v>249</v>
      </c>
      <c r="F2155" t="s">
        <v>60</v>
      </c>
      <c r="G2155">
        <v>13</v>
      </c>
      <c r="H2155">
        <v>14</v>
      </c>
      <c r="I2155">
        <v>0</v>
      </c>
      <c r="J2155" t="s">
        <v>34</v>
      </c>
      <c r="K2155" t="s">
        <v>994</v>
      </c>
      <c r="L2155">
        <v>77</v>
      </c>
      <c r="M2155">
        <v>76.671999999999997</v>
      </c>
      <c r="N2155">
        <v>85.039361</v>
      </c>
      <c r="O2155">
        <v>20.193999999999999</v>
      </c>
      <c r="P2155">
        <v>36.015000000000001</v>
      </c>
      <c r="Q2155">
        <v>20.384</v>
      </c>
      <c r="R2155" t="s">
        <v>779</v>
      </c>
      <c r="S2155" t="s">
        <v>25</v>
      </c>
      <c r="T2155">
        <f>IF(TRIM(Table1[[#This Row],[PitStopLaps]])="",0,
LEN(Table1[[#This Row],[PitStopLaps]])-LEN(SUBSTITUTE(Table1[[#This Row],[PitStopLaps]],",",""))+1)</f>
        <v>2</v>
      </c>
      <c r="U2155">
        <f>Table1[[#This Row],[StartPosition]]-Table1[[#This Row],[FinishPosition]]</f>
        <v>-1</v>
      </c>
    </row>
    <row r="2156" spans="1:21" x14ac:dyDescent="0.3">
      <c r="A2156">
        <v>2023</v>
      </c>
      <c r="B2156">
        <v>6</v>
      </c>
      <c r="C2156" t="s">
        <v>136</v>
      </c>
      <c r="D2156" t="s">
        <v>601</v>
      </c>
      <c r="E2156" t="s">
        <v>602</v>
      </c>
      <c r="F2156" t="s">
        <v>438</v>
      </c>
      <c r="G2156">
        <v>9</v>
      </c>
      <c r="H2156">
        <v>15</v>
      </c>
      <c r="I2156">
        <v>0</v>
      </c>
      <c r="J2156" t="s">
        <v>34</v>
      </c>
      <c r="K2156" t="s">
        <v>994</v>
      </c>
      <c r="L2156">
        <v>76</v>
      </c>
      <c r="M2156">
        <v>77.680000000000007</v>
      </c>
      <c r="N2156">
        <v>85.226178000000004</v>
      </c>
      <c r="O2156">
        <v>20.294</v>
      </c>
      <c r="P2156">
        <v>36.521999999999998</v>
      </c>
      <c r="Q2156">
        <v>20.702999999999999</v>
      </c>
      <c r="R2156">
        <v>53</v>
      </c>
      <c r="S2156" t="s">
        <v>25</v>
      </c>
      <c r="T2156">
        <f>IF(TRIM(Table1[[#This Row],[PitStopLaps]])="",0,
LEN(Table1[[#This Row],[PitStopLaps]])-LEN(SUBSTITUTE(Table1[[#This Row],[PitStopLaps]],",",""))+1)</f>
        <v>1</v>
      </c>
      <c r="U2156">
        <f>Table1[[#This Row],[StartPosition]]-Table1[[#This Row],[FinishPosition]]</f>
        <v>-6</v>
      </c>
    </row>
    <row r="2157" spans="1:21" x14ac:dyDescent="0.3">
      <c r="A2157">
        <v>2023</v>
      </c>
      <c r="B2157">
        <v>6</v>
      </c>
      <c r="C2157" t="s">
        <v>136</v>
      </c>
      <c r="D2157" t="s">
        <v>49</v>
      </c>
      <c r="E2157" t="s">
        <v>50</v>
      </c>
      <c r="F2157" t="s">
        <v>33</v>
      </c>
      <c r="G2157">
        <v>20</v>
      </c>
      <c r="H2157">
        <v>16</v>
      </c>
      <c r="I2157">
        <v>0</v>
      </c>
      <c r="J2157" t="s">
        <v>34</v>
      </c>
      <c r="K2157" t="s">
        <v>994</v>
      </c>
      <c r="L2157">
        <v>76</v>
      </c>
      <c r="M2157">
        <v>76.269000000000005</v>
      </c>
      <c r="N2157">
        <v>83.826727000000005</v>
      </c>
      <c r="O2157">
        <v>19.978999999999999</v>
      </c>
      <c r="P2157">
        <v>35.734000000000002</v>
      </c>
      <c r="Q2157">
        <v>20.241</v>
      </c>
      <c r="R2157" t="s">
        <v>1025</v>
      </c>
      <c r="S2157" t="s">
        <v>25</v>
      </c>
      <c r="T2157">
        <f>IF(TRIM(Table1[[#This Row],[PitStopLaps]])="",0,
LEN(Table1[[#This Row],[PitStopLaps]])-LEN(SUBSTITUTE(Table1[[#This Row],[PitStopLaps]],",",""))+1)</f>
        <v>5</v>
      </c>
      <c r="U2157">
        <f>Table1[[#This Row],[StartPosition]]-Table1[[#This Row],[FinishPosition]]</f>
        <v>4</v>
      </c>
    </row>
    <row r="2158" spans="1:21" x14ac:dyDescent="0.3">
      <c r="A2158">
        <v>2023</v>
      </c>
      <c r="B2158">
        <v>6</v>
      </c>
      <c r="C2158" t="s">
        <v>136</v>
      </c>
      <c r="D2158" t="s">
        <v>40</v>
      </c>
      <c r="E2158" t="s">
        <v>41</v>
      </c>
      <c r="F2158" t="s">
        <v>69</v>
      </c>
      <c r="G2158">
        <v>18</v>
      </c>
      <c r="H2158">
        <v>17</v>
      </c>
      <c r="I2158">
        <v>0</v>
      </c>
      <c r="J2158" t="s">
        <v>34</v>
      </c>
      <c r="K2158" t="s">
        <v>994</v>
      </c>
      <c r="L2158">
        <v>76</v>
      </c>
      <c r="M2158">
        <v>76.991</v>
      </c>
      <c r="N2158">
        <v>84.483599999999996</v>
      </c>
      <c r="O2158">
        <v>20.215</v>
      </c>
      <c r="P2158">
        <v>35.951000000000001</v>
      </c>
      <c r="Q2158">
        <v>20.425999999999998</v>
      </c>
      <c r="R2158" t="s">
        <v>1026</v>
      </c>
      <c r="S2158" t="s">
        <v>25</v>
      </c>
      <c r="T2158">
        <f>IF(TRIM(Table1[[#This Row],[PitStopLaps]])="",0,
LEN(Table1[[#This Row],[PitStopLaps]])-LEN(SUBSTITUTE(Table1[[#This Row],[PitStopLaps]],",",""))+1)</f>
        <v>3</v>
      </c>
      <c r="U2158">
        <f>Table1[[#This Row],[StartPosition]]-Table1[[#This Row],[FinishPosition]]</f>
        <v>1</v>
      </c>
    </row>
    <row r="2159" spans="1:21" x14ac:dyDescent="0.3">
      <c r="A2159">
        <v>2023</v>
      </c>
      <c r="B2159">
        <v>6</v>
      </c>
      <c r="C2159" t="s">
        <v>136</v>
      </c>
      <c r="D2159" t="s">
        <v>992</v>
      </c>
      <c r="E2159" t="s">
        <v>993</v>
      </c>
      <c r="F2159" t="s">
        <v>60</v>
      </c>
      <c r="G2159">
        <v>16</v>
      </c>
      <c r="H2159">
        <v>18</v>
      </c>
      <c r="I2159">
        <v>0</v>
      </c>
      <c r="J2159" t="s">
        <v>34</v>
      </c>
      <c r="K2159" t="s">
        <v>994</v>
      </c>
      <c r="L2159">
        <v>76</v>
      </c>
      <c r="M2159">
        <v>77.302000000000007</v>
      </c>
      <c r="N2159">
        <v>85.935956000000004</v>
      </c>
      <c r="O2159">
        <v>20.076000000000001</v>
      </c>
      <c r="P2159">
        <v>36.457999999999998</v>
      </c>
      <c r="Q2159">
        <v>20.443999999999999</v>
      </c>
      <c r="R2159" t="s">
        <v>1027</v>
      </c>
      <c r="S2159" t="s">
        <v>25</v>
      </c>
      <c r="T2159">
        <f>IF(TRIM(Table1[[#This Row],[PitStopLaps]])="",0,
LEN(Table1[[#This Row],[PitStopLaps]])-LEN(SUBSTITUTE(Table1[[#This Row],[PitStopLaps]],",",""))+1)</f>
        <v>3</v>
      </c>
      <c r="U2159">
        <f>Table1[[#This Row],[StartPosition]]-Table1[[#This Row],[FinishPosition]]</f>
        <v>-2</v>
      </c>
    </row>
    <row r="2160" spans="1:21" x14ac:dyDescent="0.3">
      <c r="A2160">
        <v>2023</v>
      </c>
      <c r="B2160">
        <v>6</v>
      </c>
      <c r="C2160" t="s">
        <v>136</v>
      </c>
      <c r="D2160" t="s">
        <v>71</v>
      </c>
      <c r="E2160" t="s">
        <v>72</v>
      </c>
      <c r="F2160" t="s">
        <v>69</v>
      </c>
      <c r="G2160">
        <v>17</v>
      </c>
      <c r="H2160">
        <v>19</v>
      </c>
      <c r="I2160">
        <v>0</v>
      </c>
      <c r="J2160" t="s">
        <v>34</v>
      </c>
      <c r="K2160" t="s">
        <v>179</v>
      </c>
      <c r="L2160">
        <v>71</v>
      </c>
      <c r="M2160">
        <v>78.350999999999999</v>
      </c>
      <c r="N2160">
        <v>85.944671</v>
      </c>
      <c r="O2160">
        <v>20.231000000000002</v>
      </c>
      <c r="P2160">
        <v>36.962000000000003</v>
      </c>
      <c r="Q2160">
        <v>20.797999999999998</v>
      </c>
      <c r="R2160" t="s">
        <v>1028</v>
      </c>
      <c r="S2160" t="s">
        <v>25</v>
      </c>
      <c r="T2160">
        <f>IF(TRIM(Table1[[#This Row],[PitStopLaps]])="",0,
LEN(Table1[[#This Row],[PitStopLaps]])-LEN(SUBSTITUTE(Table1[[#This Row],[PitStopLaps]],",",""))+1)</f>
        <v>2</v>
      </c>
      <c r="U2160">
        <f>Table1[[#This Row],[StartPosition]]-Table1[[#This Row],[FinishPosition]]</f>
        <v>-2</v>
      </c>
    </row>
    <row r="2161" spans="1:21" x14ac:dyDescent="0.3">
      <c r="A2161">
        <v>2023</v>
      </c>
      <c r="B2161">
        <v>6</v>
      </c>
      <c r="C2161" t="s">
        <v>136</v>
      </c>
      <c r="D2161" t="s">
        <v>58</v>
      </c>
      <c r="E2161" t="s">
        <v>59</v>
      </c>
      <c r="F2161" t="s">
        <v>603</v>
      </c>
      <c r="G2161">
        <v>14</v>
      </c>
      <c r="H2161">
        <v>20</v>
      </c>
      <c r="I2161">
        <v>0</v>
      </c>
      <c r="J2161" t="s">
        <v>34</v>
      </c>
      <c r="K2161" t="s">
        <v>179</v>
      </c>
      <c r="L2161">
        <v>54</v>
      </c>
      <c r="M2161">
        <v>77.769000000000005</v>
      </c>
      <c r="N2161">
        <v>79.70438</v>
      </c>
      <c r="O2161">
        <v>20.145</v>
      </c>
      <c r="P2161">
        <v>36.546999999999997</v>
      </c>
      <c r="Q2161">
        <v>20.736999999999998</v>
      </c>
      <c r="R2161">
        <v>51</v>
      </c>
      <c r="S2161" t="s">
        <v>25</v>
      </c>
      <c r="T2161">
        <f>IF(TRIM(Table1[[#This Row],[PitStopLaps]])="",0,
LEN(Table1[[#This Row],[PitStopLaps]])-LEN(SUBSTITUTE(Table1[[#This Row],[PitStopLaps]],",",""))+1)</f>
        <v>1</v>
      </c>
      <c r="U2161">
        <f>Table1[[#This Row],[StartPosition]]-Table1[[#This Row],[FinishPosition]]</f>
        <v>-6</v>
      </c>
    </row>
    <row r="2162" spans="1:21" x14ac:dyDescent="0.3">
      <c r="A2162">
        <v>2023</v>
      </c>
      <c r="B2162">
        <v>7</v>
      </c>
      <c r="C2162" t="s">
        <v>125</v>
      </c>
      <c r="D2162" t="s">
        <v>38</v>
      </c>
      <c r="E2162" t="s">
        <v>39</v>
      </c>
      <c r="F2162" t="s">
        <v>33</v>
      </c>
      <c r="G2162">
        <v>1</v>
      </c>
      <c r="H2162">
        <v>1</v>
      </c>
      <c r="I2162">
        <v>26</v>
      </c>
      <c r="J2162" t="s">
        <v>23</v>
      </c>
      <c r="K2162" t="s">
        <v>24</v>
      </c>
      <c r="L2162">
        <v>66</v>
      </c>
      <c r="M2162">
        <v>76.33</v>
      </c>
      <c r="N2162">
        <v>79.207459</v>
      </c>
      <c r="O2162">
        <v>22.706</v>
      </c>
      <c r="P2162">
        <v>30.588999999999999</v>
      </c>
      <c r="Q2162">
        <v>23.035</v>
      </c>
      <c r="R2162" t="s">
        <v>1029</v>
      </c>
      <c r="S2162" t="s">
        <v>83</v>
      </c>
      <c r="T2162">
        <f>IF(TRIM(Table1[[#This Row],[PitStopLaps]])="",0,
LEN(Table1[[#This Row],[PitStopLaps]])-LEN(SUBSTITUTE(Table1[[#This Row],[PitStopLaps]],",",""))+1)</f>
        <v>2</v>
      </c>
      <c r="U2162">
        <f>Table1[[#This Row],[StartPosition]]-Table1[[#This Row],[FinishPosition]]</f>
        <v>0</v>
      </c>
    </row>
    <row r="2163" spans="1:21" x14ac:dyDescent="0.3">
      <c r="A2163">
        <v>2023</v>
      </c>
      <c r="B2163">
        <v>7</v>
      </c>
      <c r="C2163" t="s">
        <v>125</v>
      </c>
      <c r="D2163" t="s">
        <v>26</v>
      </c>
      <c r="E2163" t="s">
        <v>27</v>
      </c>
      <c r="F2163" t="s">
        <v>28</v>
      </c>
      <c r="G2163">
        <v>4</v>
      </c>
      <c r="H2163">
        <v>2</v>
      </c>
      <c r="I2163">
        <v>18</v>
      </c>
      <c r="J2163" t="s">
        <v>23</v>
      </c>
      <c r="K2163" t="s">
        <v>24</v>
      </c>
      <c r="L2163">
        <v>66</v>
      </c>
      <c r="M2163">
        <v>76.676000000000002</v>
      </c>
      <c r="N2163">
        <v>79.512786000000006</v>
      </c>
      <c r="O2163">
        <v>22.513999999999999</v>
      </c>
      <c r="P2163">
        <v>30.954999999999998</v>
      </c>
      <c r="Q2163">
        <v>23.207000000000001</v>
      </c>
      <c r="R2163" t="s">
        <v>423</v>
      </c>
      <c r="S2163" t="s">
        <v>83</v>
      </c>
      <c r="T2163">
        <f>IF(TRIM(Table1[[#This Row],[PitStopLaps]])="",0,
LEN(Table1[[#This Row],[PitStopLaps]])-LEN(SUBSTITUTE(Table1[[#This Row],[PitStopLaps]],",",""))+1)</f>
        <v>2</v>
      </c>
      <c r="U2163">
        <f>Table1[[#This Row],[StartPosition]]-Table1[[#This Row],[FinishPosition]]</f>
        <v>2</v>
      </c>
    </row>
    <row r="2164" spans="1:21" x14ac:dyDescent="0.3">
      <c r="A2164">
        <v>2023</v>
      </c>
      <c r="B2164">
        <v>7</v>
      </c>
      <c r="C2164" t="s">
        <v>125</v>
      </c>
      <c r="D2164" t="s">
        <v>252</v>
      </c>
      <c r="E2164" t="s">
        <v>253</v>
      </c>
      <c r="F2164" t="s">
        <v>28</v>
      </c>
      <c r="G2164">
        <v>12</v>
      </c>
      <c r="H2164">
        <v>3</v>
      </c>
      <c r="I2164">
        <v>15</v>
      </c>
      <c r="J2164" t="s">
        <v>23</v>
      </c>
      <c r="K2164" t="s">
        <v>24</v>
      </c>
      <c r="L2164">
        <v>66</v>
      </c>
      <c r="M2164">
        <v>77.875</v>
      </c>
      <c r="N2164">
        <v>79.649180000000001</v>
      </c>
      <c r="O2164">
        <v>22.867999999999999</v>
      </c>
      <c r="P2164">
        <v>31.123000000000001</v>
      </c>
      <c r="Q2164">
        <v>23.367000000000001</v>
      </c>
      <c r="R2164" t="s">
        <v>310</v>
      </c>
      <c r="S2164" t="s">
        <v>83</v>
      </c>
      <c r="T2164">
        <f>IF(TRIM(Table1[[#This Row],[PitStopLaps]])="",0,
LEN(Table1[[#This Row],[PitStopLaps]])-LEN(SUBSTITUTE(Table1[[#This Row],[PitStopLaps]],",",""))+1)</f>
        <v>2</v>
      </c>
      <c r="U2164">
        <f>Table1[[#This Row],[StartPosition]]-Table1[[#This Row],[FinishPosition]]</f>
        <v>9</v>
      </c>
    </row>
    <row r="2165" spans="1:21" x14ac:dyDescent="0.3">
      <c r="A2165">
        <v>2023</v>
      </c>
      <c r="B2165">
        <v>7</v>
      </c>
      <c r="C2165" t="s">
        <v>125</v>
      </c>
      <c r="D2165" t="s">
        <v>49</v>
      </c>
      <c r="E2165" t="s">
        <v>50</v>
      </c>
      <c r="F2165" t="s">
        <v>33</v>
      </c>
      <c r="G2165">
        <v>11</v>
      </c>
      <c r="H2165">
        <v>4</v>
      </c>
      <c r="I2165">
        <v>12</v>
      </c>
      <c r="J2165" t="s">
        <v>34</v>
      </c>
      <c r="K2165" t="s">
        <v>24</v>
      </c>
      <c r="L2165">
        <v>66</v>
      </c>
      <c r="M2165">
        <v>76.665999999999997</v>
      </c>
      <c r="N2165">
        <v>79.694721000000001</v>
      </c>
      <c r="O2165">
        <v>22.940999999999999</v>
      </c>
      <c r="P2165">
        <v>30.792000000000002</v>
      </c>
      <c r="Q2165">
        <v>22.716999999999999</v>
      </c>
      <c r="R2165" t="s">
        <v>897</v>
      </c>
      <c r="S2165" t="s">
        <v>83</v>
      </c>
      <c r="T2165">
        <f>IF(TRIM(Table1[[#This Row],[PitStopLaps]])="",0,
LEN(Table1[[#This Row],[PitStopLaps]])-LEN(SUBSTITUTE(Table1[[#This Row],[PitStopLaps]],",",""))+1)</f>
        <v>2</v>
      </c>
      <c r="U2165">
        <f>Table1[[#This Row],[StartPosition]]-Table1[[#This Row],[FinishPosition]]</f>
        <v>7</v>
      </c>
    </row>
    <row r="2166" spans="1:21" x14ac:dyDescent="0.3">
      <c r="A2166">
        <v>2023</v>
      </c>
      <c r="B2166">
        <v>7</v>
      </c>
      <c r="C2166" t="s">
        <v>125</v>
      </c>
      <c r="D2166" t="s">
        <v>47</v>
      </c>
      <c r="E2166" t="s">
        <v>48</v>
      </c>
      <c r="F2166" t="s">
        <v>22</v>
      </c>
      <c r="G2166">
        <v>2</v>
      </c>
      <c r="H2166">
        <v>5</v>
      </c>
      <c r="I2166">
        <v>10</v>
      </c>
      <c r="J2166" t="s">
        <v>34</v>
      </c>
      <c r="K2166" t="s">
        <v>24</v>
      </c>
      <c r="L2166">
        <v>66</v>
      </c>
      <c r="M2166">
        <v>78.403000000000006</v>
      </c>
      <c r="N2166">
        <v>79.854622000000006</v>
      </c>
      <c r="O2166">
        <v>23.283000000000001</v>
      </c>
      <c r="P2166">
        <v>31.454000000000001</v>
      </c>
      <c r="Q2166">
        <v>23.472000000000001</v>
      </c>
      <c r="R2166" t="s">
        <v>891</v>
      </c>
      <c r="S2166" t="s">
        <v>83</v>
      </c>
      <c r="T2166">
        <f>IF(TRIM(Table1[[#This Row],[PitStopLaps]])="",0,
LEN(Table1[[#This Row],[PitStopLaps]])-LEN(SUBSTITUTE(Table1[[#This Row],[PitStopLaps]],",",""))+1)</f>
        <v>2</v>
      </c>
      <c r="U2166">
        <f>Table1[[#This Row],[StartPosition]]-Table1[[#This Row],[FinishPosition]]</f>
        <v>-3</v>
      </c>
    </row>
    <row r="2167" spans="1:21" x14ac:dyDescent="0.3">
      <c r="A2167">
        <v>2023</v>
      </c>
      <c r="B2167">
        <v>7</v>
      </c>
      <c r="C2167" t="s">
        <v>125</v>
      </c>
      <c r="D2167" t="s">
        <v>58</v>
      </c>
      <c r="E2167" t="s">
        <v>59</v>
      </c>
      <c r="F2167" t="s">
        <v>603</v>
      </c>
      <c r="G2167">
        <v>5</v>
      </c>
      <c r="H2167">
        <v>6</v>
      </c>
      <c r="I2167">
        <v>8</v>
      </c>
      <c r="J2167" t="s">
        <v>34</v>
      </c>
      <c r="K2167" t="s">
        <v>24</v>
      </c>
      <c r="L2167">
        <v>66</v>
      </c>
      <c r="M2167">
        <v>78.721999999999994</v>
      </c>
      <c r="N2167">
        <v>80.078310999999999</v>
      </c>
      <c r="O2167">
        <v>23.321999999999999</v>
      </c>
      <c r="P2167">
        <v>31.678999999999998</v>
      </c>
      <c r="Q2167">
        <v>23.645</v>
      </c>
      <c r="R2167" t="s">
        <v>525</v>
      </c>
      <c r="S2167" t="s">
        <v>83</v>
      </c>
      <c r="T2167">
        <f>IF(TRIM(Table1[[#This Row],[PitStopLaps]])="",0,
LEN(Table1[[#This Row],[PitStopLaps]])-LEN(SUBSTITUTE(Table1[[#This Row],[PitStopLaps]],",",""))+1)</f>
        <v>2</v>
      </c>
      <c r="U2167">
        <f>Table1[[#This Row],[StartPosition]]-Table1[[#This Row],[FinishPosition]]</f>
        <v>-1</v>
      </c>
    </row>
    <row r="2168" spans="1:21" x14ac:dyDescent="0.3">
      <c r="A2168">
        <v>2023</v>
      </c>
      <c r="B2168">
        <v>7</v>
      </c>
      <c r="C2168" t="s">
        <v>125</v>
      </c>
      <c r="D2168" t="s">
        <v>35</v>
      </c>
      <c r="E2168" t="s">
        <v>36</v>
      </c>
      <c r="F2168" t="s">
        <v>603</v>
      </c>
      <c r="G2168">
        <v>8</v>
      </c>
      <c r="H2168">
        <v>7</v>
      </c>
      <c r="I2168">
        <v>6</v>
      </c>
      <c r="J2168" t="s">
        <v>34</v>
      </c>
      <c r="K2168" t="s">
        <v>24</v>
      </c>
      <c r="L2168">
        <v>66</v>
      </c>
      <c r="M2168">
        <v>78.082999999999998</v>
      </c>
      <c r="N2168">
        <v>80.121015999999997</v>
      </c>
      <c r="O2168">
        <v>22.891999999999999</v>
      </c>
      <c r="P2168">
        <v>31.32</v>
      </c>
      <c r="Q2168">
        <v>23.402999999999999</v>
      </c>
      <c r="R2168" t="s">
        <v>1030</v>
      </c>
      <c r="S2168" t="s">
        <v>83</v>
      </c>
      <c r="T2168">
        <f>IF(TRIM(Table1[[#This Row],[PitStopLaps]])="",0,
LEN(Table1[[#This Row],[PitStopLaps]])-LEN(SUBSTITUTE(Table1[[#This Row],[PitStopLaps]],",",""))+1)</f>
        <v>2</v>
      </c>
      <c r="U2168">
        <f>Table1[[#This Row],[StartPosition]]-Table1[[#This Row],[FinishPosition]]</f>
        <v>1</v>
      </c>
    </row>
    <row r="2169" spans="1:21" x14ac:dyDescent="0.3">
      <c r="A2169">
        <v>2023</v>
      </c>
      <c r="B2169">
        <v>7</v>
      </c>
      <c r="C2169" t="s">
        <v>125</v>
      </c>
      <c r="D2169" t="s">
        <v>52</v>
      </c>
      <c r="E2169" t="s">
        <v>53</v>
      </c>
      <c r="F2169" t="s">
        <v>607</v>
      </c>
      <c r="G2169">
        <v>6</v>
      </c>
      <c r="H2169">
        <v>8</v>
      </c>
      <c r="I2169">
        <v>4</v>
      </c>
      <c r="J2169" t="s">
        <v>34</v>
      </c>
      <c r="K2169" t="s">
        <v>24</v>
      </c>
      <c r="L2169">
        <v>66</v>
      </c>
      <c r="M2169">
        <v>78.945999999999998</v>
      </c>
      <c r="N2169">
        <v>80.174098000000001</v>
      </c>
      <c r="O2169">
        <v>23.292000000000002</v>
      </c>
      <c r="P2169">
        <v>31.731999999999999</v>
      </c>
      <c r="Q2169">
        <v>23.701000000000001</v>
      </c>
      <c r="R2169" t="s">
        <v>334</v>
      </c>
      <c r="S2169" t="s">
        <v>83</v>
      </c>
      <c r="T2169">
        <f>IF(TRIM(Table1[[#This Row],[PitStopLaps]])="",0,
LEN(Table1[[#This Row],[PitStopLaps]])-LEN(SUBSTITUTE(Table1[[#This Row],[PitStopLaps]],",",""))+1)</f>
        <v>2</v>
      </c>
      <c r="U2169">
        <f>Table1[[#This Row],[StartPosition]]-Table1[[#This Row],[FinishPosition]]</f>
        <v>-2</v>
      </c>
    </row>
    <row r="2170" spans="1:21" x14ac:dyDescent="0.3">
      <c r="A2170">
        <v>2023</v>
      </c>
      <c r="B2170">
        <v>7</v>
      </c>
      <c r="C2170" t="s">
        <v>125</v>
      </c>
      <c r="D2170" t="s">
        <v>794</v>
      </c>
      <c r="E2170" t="s">
        <v>795</v>
      </c>
      <c r="F2170" t="s">
        <v>789</v>
      </c>
      <c r="G2170">
        <v>13</v>
      </c>
      <c r="H2170">
        <v>9</v>
      </c>
      <c r="I2170">
        <v>2</v>
      </c>
      <c r="J2170" t="s">
        <v>34</v>
      </c>
      <c r="K2170" t="s">
        <v>24</v>
      </c>
      <c r="L2170">
        <v>66</v>
      </c>
      <c r="M2170">
        <v>78.753</v>
      </c>
      <c r="N2170">
        <v>80.145114000000007</v>
      </c>
      <c r="O2170">
        <v>23.013999999999999</v>
      </c>
      <c r="P2170">
        <v>31.460999999999999</v>
      </c>
      <c r="Q2170">
        <v>23.558</v>
      </c>
      <c r="R2170" t="s">
        <v>552</v>
      </c>
      <c r="S2170" t="s">
        <v>83</v>
      </c>
      <c r="T2170">
        <f>IF(TRIM(Table1[[#This Row],[PitStopLaps]])="",0,
LEN(Table1[[#This Row],[PitStopLaps]])-LEN(SUBSTITUTE(Table1[[#This Row],[PitStopLaps]],",",""))+1)</f>
        <v>2</v>
      </c>
      <c r="U2170">
        <f>Table1[[#This Row],[StartPosition]]-Table1[[#This Row],[FinishPosition]]</f>
        <v>4</v>
      </c>
    </row>
    <row r="2171" spans="1:21" x14ac:dyDescent="0.3">
      <c r="A2171">
        <v>2023</v>
      </c>
      <c r="B2171">
        <v>7</v>
      </c>
      <c r="C2171" t="s">
        <v>125</v>
      </c>
      <c r="D2171" t="s">
        <v>73</v>
      </c>
      <c r="E2171" t="s">
        <v>74</v>
      </c>
      <c r="F2171" t="s">
        <v>607</v>
      </c>
      <c r="G2171">
        <v>10</v>
      </c>
      <c r="H2171">
        <v>10</v>
      </c>
      <c r="I2171">
        <v>1</v>
      </c>
      <c r="J2171" t="s">
        <v>34</v>
      </c>
      <c r="K2171" t="s">
        <v>24</v>
      </c>
      <c r="L2171">
        <v>66</v>
      </c>
      <c r="M2171">
        <v>78.375</v>
      </c>
      <c r="N2171">
        <v>80.143754000000001</v>
      </c>
      <c r="O2171">
        <v>23.236000000000001</v>
      </c>
      <c r="P2171">
        <v>31.655000000000001</v>
      </c>
      <c r="Q2171">
        <v>23.405000000000001</v>
      </c>
      <c r="R2171" t="s">
        <v>1031</v>
      </c>
      <c r="S2171" t="s">
        <v>83</v>
      </c>
      <c r="T2171">
        <f>IF(TRIM(Table1[[#This Row],[PitStopLaps]])="",0,
LEN(Table1[[#This Row],[PitStopLaps]])-LEN(SUBSTITUTE(Table1[[#This Row],[PitStopLaps]],",",""))+1)</f>
        <v>2</v>
      </c>
      <c r="U2171">
        <f>Table1[[#This Row],[StartPosition]]-Table1[[#This Row],[FinishPosition]]</f>
        <v>0</v>
      </c>
    </row>
    <row r="2172" spans="1:21" x14ac:dyDescent="0.3">
      <c r="A2172">
        <v>2023</v>
      </c>
      <c r="B2172">
        <v>7</v>
      </c>
      <c r="C2172" t="s">
        <v>125</v>
      </c>
      <c r="D2172" t="s">
        <v>54</v>
      </c>
      <c r="E2172" t="s">
        <v>55</v>
      </c>
      <c r="F2172" t="s">
        <v>22</v>
      </c>
      <c r="G2172">
        <v>19</v>
      </c>
      <c r="H2172">
        <v>11</v>
      </c>
      <c r="I2172">
        <v>0</v>
      </c>
      <c r="J2172" t="s">
        <v>34</v>
      </c>
      <c r="K2172" t="s">
        <v>24</v>
      </c>
      <c r="L2172">
        <v>66</v>
      </c>
      <c r="M2172">
        <v>78.356999999999999</v>
      </c>
      <c r="N2172">
        <v>80.120327000000003</v>
      </c>
      <c r="O2172">
        <v>23.007999999999999</v>
      </c>
      <c r="P2172">
        <v>31.338000000000001</v>
      </c>
      <c r="Q2172">
        <v>23.545000000000002</v>
      </c>
      <c r="R2172" t="s">
        <v>1032</v>
      </c>
      <c r="S2172" t="s">
        <v>83</v>
      </c>
      <c r="T2172">
        <f>IF(TRIM(Table1[[#This Row],[PitStopLaps]])="",0,
LEN(Table1[[#This Row],[PitStopLaps]])-LEN(SUBSTITUTE(Table1[[#This Row],[PitStopLaps]],",",""))+1)</f>
        <v>2</v>
      </c>
      <c r="U2172">
        <f>Table1[[#This Row],[StartPosition]]-Table1[[#This Row],[FinishPosition]]</f>
        <v>8</v>
      </c>
    </row>
    <row r="2173" spans="1:21" x14ac:dyDescent="0.3">
      <c r="A2173">
        <v>2023</v>
      </c>
      <c r="B2173">
        <v>7</v>
      </c>
      <c r="C2173" t="s">
        <v>125</v>
      </c>
      <c r="D2173" t="s">
        <v>601</v>
      </c>
      <c r="E2173" t="s">
        <v>602</v>
      </c>
      <c r="F2173" t="s">
        <v>438</v>
      </c>
      <c r="G2173">
        <v>15</v>
      </c>
      <c r="H2173">
        <v>12</v>
      </c>
      <c r="I2173">
        <v>0</v>
      </c>
      <c r="J2173" t="s">
        <v>34</v>
      </c>
      <c r="K2173" t="s">
        <v>24</v>
      </c>
      <c r="L2173">
        <v>66</v>
      </c>
      <c r="M2173">
        <v>78.903999999999996</v>
      </c>
      <c r="N2173">
        <v>80.156704000000005</v>
      </c>
      <c r="O2173">
        <v>23.311</v>
      </c>
      <c r="P2173">
        <v>31.628</v>
      </c>
      <c r="Q2173">
        <v>23.713999999999999</v>
      </c>
      <c r="R2173" t="s">
        <v>265</v>
      </c>
      <c r="S2173" t="s">
        <v>83</v>
      </c>
      <c r="T2173">
        <f>IF(TRIM(Table1[[#This Row],[PitStopLaps]])="",0,
LEN(Table1[[#This Row],[PitStopLaps]])-LEN(SUBSTITUTE(Table1[[#This Row],[PitStopLaps]],",",""))+1)</f>
        <v>2</v>
      </c>
      <c r="U2173">
        <f>Table1[[#This Row],[StartPosition]]-Table1[[#This Row],[FinishPosition]]</f>
        <v>3</v>
      </c>
    </row>
    <row r="2174" spans="1:21" x14ac:dyDescent="0.3">
      <c r="A2174">
        <v>2023</v>
      </c>
      <c r="B2174">
        <v>7</v>
      </c>
      <c r="C2174" t="s">
        <v>125</v>
      </c>
      <c r="D2174" t="s">
        <v>1000</v>
      </c>
      <c r="E2174" t="s">
        <v>1001</v>
      </c>
      <c r="F2174" t="s">
        <v>37</v>
      </c>
      <c r="G2174">
        <v>9</v>
      </c>
      <c r="H2174">
        <v>13</v>
      </c>
      <c r="I2174">
        <v>0</v>
      </c>
      <c r="J2174" t="s">
        <v>34</v>
      </c>
      <c r="K2174" t="s">
        <v>994</v>
      </c>
      <c r="L2174">
        <v>65</v>
      </c>
      <c r="M2174">
        <v>78.679000000000002</v>
      </c>
      <c r="N2174">
        <v>80.398266000000007</v>
      </c>
      <c r="O2174">
        <v>23.367999999999999</v>
      </c>
      <c r="P2174">
        <v>31.523</v>
      </c>
      <c r="Q2174">
        <v>23.57</v>
      </c>
      <c r="R2174" t="s">
        <v>411</v>
      </c>
      <c r="S2174" t="s">
        <v>83</v>
      </c>
      <c r="T2174">
        <f>IF(TRIM(Table1[[#This Row],[PitStopLaps]])="",0,
LEN(Table1[[#This Row],[PitStopLaps]])-LEN(SUBSTITUTE(Table1[[#This Row],[PitStopLaps]],",",""))+1)</f>
        <v>2</v>
      </c>
      <c r="U2174">
        <f>Table1[[#This Row],[StartPosition]]-Table1[[#This Row],[FinishPosition]]</f>
        <v>-4</v>
      </c>
    </row>
    <row r="2175" spans="1:21" x14ac:dyDescent="0.3">
      <c r="A2175">
        <v>2023</v>
      </c>
      <c r="B2175">
        <v>7</v>
      </c>
      <c r="C2175" t="s">
        <v>125</v>
      </c>
      <c r="D2175" t="s">
        <v>951</v>
      </c>
      <c r="E2175" t="s">
        <v>952</v>
      </c>
      <c r="F2175" t="s">
        <v>438</v>
      </c>
      <c r="G2175">
        <v>14</v>
      </c>
      <c r="H2175">
        <v>14</v>
      </c>
      <c r="I2175">
        <v>0</v>
      </c>
      <c r="J2175" t="s">
        <v>34</v>
      </c>
      <c r="K2175" t="s">
        <v>994</v>
      </c>
      <c r="L2175">
        <v>65</v>
      </c>
      <c r="M2175">
        <v>78.593999999999994</v>
      </c>
      <c r="N2175">
        <v>80.383915999999999</v>
      </c>
      <c r="O2175">
        <v>23.187999999999999</v>
      </c>
      <c r="P2175">
        <v>31.576000000000001</v>
      </c>
      <c r="Q2175">
        <v>23.701000000000001</v>
      </c>
      <c r="R2175" t="s">
        <v>861</v>
      </c>
      <c r="S2175" t="s">
        <v>83</v>
      </c>
      <c r="T2175">
        <f>IF(TRIM(Table1[[#This Row],[PitStopLaps]])="",0,
LEN(Table1[[#This Row],[PitStopLaps]])-LEN(SUBSTITUTE(Table1[[#This Row],[PitStopLaps]],",",""))+1)</f>
        <v>2</v>
      </c>
      <c r="U2175">
        <f>Table1[[#This Row],[StartPosition]]-Table1[[#This Row],[FinishPosition]]</f>
        <v>0</v>
      </c>
    </row>
    <row r="2176" spans="1:21" x14ac:dyDescent="0.3">
      <c r="A2176">
        <v>2023</v>
      </c>
      <c r="B2176">
        <v>7</v>
      </c>
      <c r="C2176" t="s">
        <v>125</v>
      </c>
      <c r="D2176" t="s">
        <v>40</v>
      </c>
      <c r="E2176" t="s">
        <v>41</v>
      </c>
      <c r="F2176" t="s">
        <v>69</v>
      </c>
      <c r="G2176">
        <v>7</v>
      </c>
      <c r="H2176">
        <v>15</v>
      </c>
      <c r="I2176">
        <v>0</v>
      </c>
      <c r="J2176" t="s">
        <v>34</v>
      </c>
      <c r="K2176" t="s">
        <v>994</v>
      </c>
      <c r="L2176">
        <v>65</v>
      </c>
      <c r="M2176">
        <v>78.775999999999996</v>
      </c>
      <c r="N2176">
        <v>80.171223999999995</v>
      </c>
      <c r="O2176">
        <v>22.959</v>
      </c>
      <c r="P2176">
        <v>31.631</v>
      </c>
      <c r="Q2176">
        <v>23.535</v>
      </c>
      <c r="R2176" t="s">
        <v>1033</v>
      </c>
      <c r="S2176" t="s">
        <v>83</v>
      </c>
      <c r="T2176">
        <f>IF(TRIM(Table1[[#This Row],[PitStopLaps]])="",0,
LEN(Table1[[#This Row],[PitStopLaps]])-LEN(SUBSTITUTE(Table1[[#This Row],[PitStopLaps]],",",""))+1)</f>
        <v>3</v>
      </c>
      <c r="U2176">
        <f>Table1[[#This Row],[StartPosition]]-Table1[[#This Row],[FinishPosition]]</f>
        <v>-8</v>
      </c>
    </row>
    <row r="2177" spans="1:21" x14ac:dyDescent="0.3">
      <c r="A2177">
        <v>2023</v>
      </c>
      <c r="B2177">
        <v>7</v>
      </c>
      <c r="C2177" t="s">
        <v>125</v>
      </c>
      <c r="D2177" t="s">
        <v>248</v>
      </c>
      <c r="E2177" t="s">
        <v>249</v>
      </c>
      <c r="F2177" t="s">
        <v>60</v>
      </c>
      <c r="G2177">
        <v>18</v>
      </c>
      <c r="H2177">
        <v>16</v>
      </c>
      <c r="I2177">
        <v>0</v>
      </c>
      <c r="J2177" t="s">
        <v>34</v>
      </c>
      <c r="K2177" t="s">
        <v>994</v>
      </c>
      <c r="L2177">
        <v>65</v>
      </c>
      <c r="M2177">
        <v>79.132999999999996</v>
      </c>
      <c r="N2177">
        <v>80.653350000000003</v>
      </c>
      <c r="O2177">
        <v>23.312000000000001</v>
      </c>
      <c r="P2177">
        <v>31.763999999999999</v>
      </c>
      <c r="Q2177">
        <v>23.798999999999999</v>
      </c>
      <c r="R2177" t="s">
        <v>979</v>
      </c>
      <c r="S2177" t="s">
        <v>83</v>
      </c>
      <c r="T2177">
        <f>IF(TRIM(Table1[[#This Row],[PitStopLaps]])="",0,
LEN(Table1[[#This Row],[PitStopLaps]])-LEN(SUBSTITUTE(Table1[[#This Row],[PitStopLaps]],",",""))+1)</f>
        <v>2</v>
      </c>
      <c r="U2177">
        <f>Table1[[#This Row],[StartPosition]]-Table1[[#This Row],[FinishPosition]]</f>
        <v>2</v>
      </c>
    </row>
    <row r="2178" spans="1:21" x14ac:dyDescent="0.3">
      <c r="A2178">
        <v>2023</v>
      </c>
      <c r="B2178">
        <v>7</v>
      </c>
      <c r="C2178" t="s">
        <v>125</v>
      </c>
      <c r="D2178" t="s">
        <v>246</v>
      </c>
      <c r="E2178" t="s">
        <v>247</v>
      </c>
      <c r="F2178" t="s">
        <v>37</v>
      </c>
      <c r="G2178">
        <v>3</v>
      </c>
      <c r="H2178">
        <v>17</v>
      </c>
      <c r="I2178">
        <v>0</v>
      </c>
      <c r="J2178" t="s">
        <v>34</v>
      </c>
      <c r="K2178" t="s">
        <v>994</v>
      </c>
      <c r="L2178">
        <v>65</v>
      </c>
      <c r="M2178">
        <v>77.182000000000002</v>
      </c>
      <c r="N2178">
        <v>80.223405999999997</v>
      </c>
      <c r="O2178">
        <v>22.638999999999999</v>
      </c>
      <c r="P2178">
        <v>31.053000000000001</v>
      </c>
      <c r="Q2178">
        <v>23.411999999999999</v>
      </c>
      <c r="R2178" t="s">
        <v>1034</v>
      </c>
      <c r="S2178" t="s">
        <v>83</v>
      </c>
      <c r="T2178">
        <f>IF(TRIM(Table1[[#This Row],[PitStopLaps]])="",0,
LEN(Table1[[#This Row],[PitStopLaps]])-LEN(SUBSTITUTE(Table1[[#This Row],[PitStopLaps]],",",""))+1)</f>
        <v>3</v>
      </c>
      <c r="U2178">
        <f>Table1[[#This Row],[StartPosition]]-Table1[[#This Row],[FinishPosition]]</f>
        <v>-14</v>
      </c>
    </row>
    <row r="2179" spans="1:21" x14ac:dyDescent="0.3">
      <c r="A2179">
        <v>2023</v>
      </c>
      <c r="B2179">
        <v>7</v>
      </c>
      <c r="C2179" t="s">
        <v>125</v>
      </c>
      <c r="D2179" t="s">
        <v>71</v>
      </c>
      <c r="E2179" t="s">
        <v>72</v>
      </c>
      <c r="F2179" t="s">
        <v>69</v>
      </c>
      <c r="G2179">
        <v>17</v>
      </c>
      <c r="H2179">
        <v>18</v>
      </c>
      <c r="I2179">
        <v>0</v>
      </c>
      <c r="J2179" t="s">
        <v>34</v>
      </c>
      <c r="K2179" t="s">
        <v>994</v>
      </c>
      <c r="L2179">
        <v>65</v>
      </c>
      <c r="M2179">
        <v>78.069000000000003</v>
      </c>
      <c r="N2179">
        <v>80.458085999999994</v>
      </c>
      <c r="O2179">
        <v>23.03</v>
      </c>
      <c r="P2179">
        <v>31.318999999999999</v>
      </c>
      <c r="Q2179">
        <v>23.4</v>
      </c>
      <c r="R2179" t="s">
        <v>1035</v>
      </c>
      <c r="S2179" t="s">
        <v>83</v>
      </c>
      <c r="T2179">
        <f>IF(TRIM(Table1[[#This Row],[PitStopLaps]])="",0,
LEN(Table1[[#This Row],[PitStopLaps]])-LEN(SUBSTITUTE(Table1[[#This Row],[PitStopLaps]],",",""))+1)</f>
        <v>3</v>
      </c>
      <c r="U2179">
        <f>Table1[[#This Row],[StartPosition]]-Table1[[#This Row],[FinishPosition]]</f>
        <v>-1</v>
      </c>
    </row>
    <row r="2180" spans="1:21" x14ac:dyDescent="0.3">
      <c r="A2180">
        <v>2023</v>
      </c>
      <c r="B2180">
        <v>7</v>
      </c>
      <c r="C2180" t="s">
        <v>125</v>
      </c>
      <c r="D2180" t="s">
        <v>43</v>
      </c>
      <c r="E2180" t="s">
        <v>44</v>
      </c>
      <c r="F2180" t="s">
        <v>789</v>
      </c>
      <c r="G2180">
        <v>16</v>
      </c>
      <c r="H2180">
        <v>19</v>
      </c>
      <c r="I2180">
        <v>0</v>
      </c>
      <c r="J2180" t="s">
        <v>34</v>
      </c>
      <c r="K2180" t="s">
        <v>994</v>
      </c>
      <c r="L2180">
        <v>65</v>
      </c>
      <c r="M2180">
        <v>78.242000000000004</v>
      </c>
      <c r="N2180">
        <v>80.970100000000002</v>
      </c>
      <c r="O2180">
        <v>22.949000000000002</v>
      </c>
      <c r="P2180">
        <v>31.402000000000001</v>
      </c>
      <c r="Q2180">
        <v>23.8</v>
      </c>
      <c r="R2180" t="s">
        <v>1036</v>
      </c>
      <c r="S2180" t="s">
        <v>83</v>
      </c>
      <c r="T2180">
        <f>IF(TRIM(Table1[[#This Row],[PitStopLaps]])="",0,
LEN(Table1[[#This Row],[PitStopLaps]])-LEN(SUBSTITUTE(Table1[[#This Row],[PitStopLaps]],",",""))+1)</f>
        <v>2</v>
      </c>
      <c r="U2180">
        <f>Table1[[#This Row],[StartPosition]]-Table1[[#This Row],[FinishPosition]]</f>
        <v>-3</v>
      </c>
    </row>
    <row r="2181" spans="1:21" x14ac:dyDescent="0.3">
      <c r="A2181">
        <v>2023</v>
      </c>
      <c r="B2181">
        <v>7</v>
      </c>
      <c r="C2181" t="s">
        <v>125</v>
      </c>
      <c r="D2181" t="s">
        <v>992</v>
      </c>
      <c r="E2181" t="s">
        <v>993</v>
      </c>
      <c r="F2181" t="s">
        <v>60</v>
      </c>
      <c r="G2181">
        <v>20</v>
      </c>
      <c r="H2181">
        <v>20</v>
      </c>
      <c r="I2181">
        <v>0</v>
      </c>
      <c r="J2181" t="s">
        <v>34</v>
      </c>
      <c r="K2181" t="s">
        <v>994</v>
      </c>
      <c r="L2181">
        <v>65</v>
      </c>
      <c r="M2181">
        <v>79.247</v>
      </c>
      <c r="N2181">
        <v>81.006182999999993</v>
      </c>
      <c r="O2181">
        <v>23.448</v>
      </c>
      <c r="P2181">
        <v>31.850999999999999</v>
      </c>
      <c r="Q2181">
        <v>23.841999999999999</v>
      </c>
      <c r="R2181" t="s">
        <v>387</v>
      </c>
      <c r="S2181" t="s">
        <v>83</v>
      </c>
      <c r="T2181">
        <f>IF(TRIM(Table1[[#This Row],[PitStopLaps]])="",0,
LEN(Table1[[#This Row],[PitStopLaps]])-LEN(SUBSTITUTE(Table1[[#This Row],[PitStopLaps]],",",""))+1)</f>
        <v>2</v>
      </c>
      <c r="U2181">
        <f>Table1[[#This Row],[StartPosition]]-Table1[[#This Row],[FinishPosition]]</f>
        <v>0</v>
      </c>
    </row>
    <row r="2182" spans="1:21" x14ac:dyDescent="0.3">
      <c r="A2182">
        <v>2023</v>
      </c>
      <c r="B2182">
        <v>8</v>
      </c>
      <c r="C2182" t="s">
        <v>142</v>
      </c>
      <c r="D2182" t="s">
        <v>38</v>
      </c>
      <c r="E2182" t="s">
        <v>39</v>
      </c>
      <c r="F2182" t="s">
        <v>33</v>
      </c>
      <c r="G2182">
        <v>1</v>
      </c>
      <c r="H2182">
        <v>1</v>
      </c>
      <c r="I2182">
        <v>25</v>
      </c>
      <c r="J2182" t="s">
        <v>23</v>
      </c>
      <c r="K2182" t="s">
        <v>24</v>
      </c>
      <c r="L2182">
        <v>70</v>
      </c>
      <c r="M2182">
        <v>75.593999999999994</v>
      </c>
      <c r="N2182">
        <v>76.601720999999998</v>
      </c>
      <c r="O2182">
        <v>20.978999999999999</v>
      </c>
      <c r="P2182">
        <v>24.047999999999998</v>
      </c>
      <c r="Q2182">
        <v>30.128</v>
      </c>
      <c r="R2182" t="s">
        <v>1037</v>
      </c>
      <c r="S2182" t="s">
        <v>83</v>
      </c>
      <c r="T2182">
        <f>IF(TRIM(Table1[[#This Row],[PitStopLaps]])="",0,
LEN(Table1[[#This Row],[PitStopLaps]])-LEN(SUBSTITUTE(Table1[[#This Row],[PitStopLaps]],",",""))+1)</f>
        <v>2</v>
      </c>
      <c r="U2182">
        <f>Table1[[#This Row],[StartPosition]]-Table1[[#This Row],[FinishPosition]]</f>
        <v>0</v>
      </c>
    </row>
    <row r="2183" spans="1:21" x14ac:dyDescent="0.3">
      <c r="A2183">
        <v>2023</v>
      </c>
      <c r="B2183">
        <v>8</v>
      </c>
      <c r="C2183" t="s">
        <v>142</v>
      </c>
      <c r="D2183" t="s">
        <v>35</v>
      </c>
      <c r="E2183" t="s">
        <v>36</v>
      </c>
      <c r="F2183" t="s">
        <v>603</v>
      </c>
      <c r="G2183">
        <v>2</v>
      </c>
      <c r="H2183">
        <v>2</v>
      </c>
      <c r="I2183">
        <v>18</v>
      </c>
      <c r="J2183" t="s">
        <v>23</v>
      </c>
      <c r="K2183" t="s">
        <v>24</v>
      </c>
      <c r="L2183">
        <v>70</v>
      </c>
      <c r="M2183">
        <v>75.778999999999996</v>
      </c>
      <c r="N2183">
        <v>76.776933999999997</v>
      </c>
      <c r="O2183">
        <v>20.901</v>
      </c>
      <c r="P2183">
        <v>24.105</v>
      </c>
      <c r="Q2183">
        <v>30.571999999999999</v>
      </c>
      <c r="R2183" t="s">
        <v>430</v>
      </c>
      <c r="S2183" t="s">
        <v>83</v>
      </c>
      <c r="T2183">
        <f>IF(TRIM(Table1[[#This Row],[PitStopLaps]])="",0,
LEN(Table1[[#This Row],[PitStopLaps]])-LEN(SUBSTITUTE(Table1[[#This Row],[PitStopLaps]],",",""))+1)</f>
        <v>2</v>
      </c>
      <c r="U2183">
        <f>Table1[[#This Row],[StartPosition]]-Table1[[#This Row],[FinishPosition]]</f>
        <v>0</v>
      </c>
    </row>
    <row r="2184" spans="1:21" x14ac:dyDescent="0.3">
      <c r="A2184">
        <v>2023</v>
      </c>
      <c r="B2184">
        <v>8</v>
      </c>
      <c r="C2184" t="s">
        <v>142</v>
      </c>
      <c r="D2184" t="s">
        <v>26</v>
      </c>
      <c r="E2184" t="s">
        <v>27</v>
      </c>
      <c r="F2184" t="s">
        <v>28</v>
      </c>
      <c r="G2184">
        <v>3</v>
      </c>
      <c r="H2184">
        <v>3</v>
      </c>
      <c r="I2184">
        <v>15</v>
      </c>
      <c r="J2184" t="s">
        <v>23</v>
      </c>
      <c r="K2184" t="s">
        <v>24</v>
      </c>
      <c r="L2184">
        <v>70</v>
      </c>
      <c r="M2184">
        <v>75.396000000000001</v>
      </c>
      <c r="N2184">
        <v>76.842556999999999</v>
      </c>
      <c r="O2184">
        <v>20.768000000000001</v>
      </c>
      <c r="P2184">
        <v>24.05</v>
      </c>
      <c r="Q2184">
        <v>30.516999999999999</v>
      </c>
      <c r="R2184" t="s">
        <v>896</v>
      </c>
      <c r="S2184" t="s">
        <v>83</v>
      </c>
      <c r="T2184">
        <f>IF(TRIM(Table1[[#This Row],[PitStopLaps]])="",0,
LEN(Table1[[#This Row],[PitStopLaps]])-LEN(SUBSTITUTE(Table1[[#This Row],[PitStopLaps]],",",""))+1)</f>
        <v>2</v>
      </c>
      <c r="U2184">
        <f>Table1[[#This Row],[StartPosition]]-Table1[[#This Row],[FinishPosition]]</f>
        <v>0</v>
      </c>
    </row>
    <row r="2185" spans="1:21" x14ac:dyDescent="0.3">
      <c r="A2185">
        <v>2023</v>
      </c>
      <c r="B2185">
        <v>8</v>
      </c>
      <c r="C2185" t="s">
        <v>142</v>
      </c>
      <c r="D2185" t="s">
        <v>54</v>
      </c>
      <c r="E2185" t="s">
        <v>55</v>
      </c>
      <c r="F2185" t="s">
        <v>22</v>
      </c>
      <c r="G2185">
        <v>10</v>
      </c>
      <c r="H2185">
        <v>4</v>
      </c>
      <c r="I2185">
        <v>12</v>
      </c>
      <c r="J2185" t="s">
        <v>34</v>
      </c>
      <c r="K2185" t="s">
        <v>24</v>
      </c>
      <c r="L2185">
        <v>70</v>
      </c>
      <c r="M2185">
        <v>75.906999999999996</v>
      </c>
      <c r="N2185">
        <v>77.061524000000006</v>
      </c>
      <c r="O2185">
        <v>21.027000000000001</v>
      </c>
      <c r="P2185">
        <v>24.266999999999999</v>
      </c>
      <c r="Q2185">
        <v>30.215</v>
      </c>
      <c r="R2185">
        <v>39</v>
      </c>
      <c r="S2185" t="s">
        <v>83</v>
      </c>
      <c r="T2185">
        <f>IF(TRIM(Table1[[#This Row],[PitStopLaps]])="",0,
LEN(Table1[[#This Row],[PitStopLaps]])-LEN(SUBSTITUTE(Table1[[#This Row],[PitStopLaps]],",",""))+1)</f>
        <v>1</v>
      </c>
      <c r="U2185">
        <f>Table1[[#This Row],[StartPosition]]-Table1[[#This Row],[FinishPosition]]</f>
        <v>6</v>
      </c>
    </row>
    <row r="2186" spans="1:21" x14ac:dyDescent="0.3">
      <c r="A2186">
        <v>2023</v>
      </c>
      <c r="B2186">
        <v>8</v>
      </c>
      <c r="C2186" t="s">
        <v>142</v>
      </c>
      <c r="D2186" t="s">
        <v>47</v>
      </c>
      <c r="E2186" t="s">
        <v>48</v>
      </c>
      <c r="F2186" t="s">
        <v>22</v>
      </c>
      <c r="G2186">
        <v>11</v>
      </c>
      <c r="H2186">
        <v>5</v>
      </c>
      <c r="I2186">
        <v>10</v>
      </c>
      <c r="J2186" t="s">
        <v>34</v>
      </c>
      <c r="K2186" t="s">
        <v>24</v>
      </c>
      <c r="L2186">
        <v>70</v>
      </c>
      <c r="M2186">
        <v>75.911000000000001</v>
      </c>
      <c r="N2186">
        <v>77.055499999999995</v>
      </c>
      <c r="O2186">
        <v>21.084</v>
      </c>
      <c r="P2186">
        <v>24.227</v>
      </c>
      <c r="Q2186">
        <v>30.456</v>
      </c>
      <c r="R2186">
        <v>38</v>
      </c>
      <c r="S2186" t="s">
        <v>83</v>
      </c>
      <c r="T2186">
        <f>IF(TRIM(Table1[[#This Row],[PitStopLaps]])="",0,
LEN(Table1[[#This Row],[PitStopLaps]])-LEN(SUBSTITUTE(Table1[[#This Row],[PitStopLaps]],",",""))+1)</f>
        <v>1</v>
      </c>
      <c r="U2186">
        <f>Table1[[#This Row],[StartPosition]]-Table1[[#This Row],[FinishPosition]]</f>
        <v>6</v>
      </c>
    </row>
    <row r="2187" spans="1:21" x14ac:dyDescent="0.3">
      <c r="A2187">
        <v>2023</v>
      </c>
      <c r="B2187">
        <v>8</v>
      </c>
      <c r="C2187" t="s">
        <v>142</v>
      </c>
      <c r="D2187" t="s">
        <v>49</v>
      </c>
      <c r="E2187" t="s">
        <v>50</v>
      </c>
      <c r="F2187" t="s">
        <v>33</v>
      </c>
      <c r="G2187">
        <v>12</v>
      </c>
      <c r="H2187">
        <v>6</v>
      </c>
      <c r="I2187">
        <v>9</v>
      </c>
      <c r="J2187" t="s">
        <v>34</v>
      </c>
      <c r="K2187" t="s">
        <v>24</v>
      </c>
      <c r="L2187">
        <v>70</v>
      </c>
      <c r="M2187">
        <v>74.480999999999995</v>
      </c>
      <c r="N2187">
        <v>77.233034000000004</v>
      </c>
      <c r="O2187">
        <v>20.626999999999999</v>
      </c>
      <c r="P2187">
        <v>23.762</v>
      </c>
      <c r="Q2187">
        <v>30.085999999999999</v>
      </c>
      <c r="R2187" t="s">
        <v>1038</v>
      </c>
      <c r="S2187" t="s">
        <v>83</v>
      </c>
      <c r="T2187">
        <f>IF(TRIM(Table1[[#This Row],[PitStopLaps]])="",0,
LEN(Table1[[#This Row],[PitStopLaps]])-LEN(SUBSTITUTE(Table1[[#This Row],[PitStopLaps]],",",""))+1)</f>
        <v>2</v>
      </c>
      <c r="U2187">
        <f>Table1[[#This Row],[StartPosition]]-Table1[[#This Row],[FinishPosition]]</f>
        <v>6</v>
      </c>
    </row>
    <row r="2188" spans="1:21" x14ac:dyDescent="0.3">
      <c r="A2188">
        <v>2023</v>
      </c>
      <c r="B2188">
        <v>8</v>
      </c>
      <c r="C2188" t="s">
        <v>142</v>
      </c>
      <c r="D2188" t="s">
        <v>248</v>
      </c>
      <c r="E2188" t="s">
        <v>249</v>
      </c>
      <c r="F2188" t="s">
        <v>60</v>
      </c>
      <c r="G2188">
        <v>9</v>
      </c>
      <c r="H2188">
        <v>7</v>
      </c>
      <c r="I2188">
        <v>6</v>
      </c>
      <c r="J2188" t="s">
        <v>34</v>
      </c>
      <c r="K2188" t="s">
        <v>24</v>
      </c>
      <c r="L2188">
        <v>70</v>
      </c>
      <c r="M2188">
        <v>76.917000000000002</v>
      </c>
      <c r="N2188">
        <v>77.973789999999994</v>
      </c>
      <c r="O2188">
        <v>21.507000000000001</v>
      </c>
      <c r="P2188">
        <v>24.488</v>
      </c>
      <c r="Q2188">
        <v>30.774000000000001</v>
      </c>
      <c r="R2188">
        <v>12</v>
      </c>
      <c r="S2188" t="s">
        <v>83</v>
      </c>
      <c r="T2188">
        <f>IF(TRIM(Table1[[#This Row],[PitStopLaps]])="",0,
LEN(Table1[[#This Row],[PitStopLaps]])-LEN(SUBSTITUTE(Table1[[#This Row],[PitStopLaps]],",",""))+1)</f>
        <v>1</v>
      </c>
      <c r="U2188">
        <f>Table1[[#This Row],[StartPosition]]-Table1[[#This Row],[FinishPosition]]</f>
        <v>2</v>
      </c>
    </row>
    <row r="2189" spans="1:21" x14ac:dyDescent="0.3">
      <c r="A2189">
        <v>2023</v>
      </c>
      <c r="B2189">
        <v>8</v>
      </c>
      <c r="C2189" t="s">
        <v>142</v>
      </c>
      <c r="D2189" t="s">
        <v>52</v>
      </c>
      <c r="E2189" t="s">
        <v>53</v>
      </c>
      <c r="F2189" t="s">
        <v>607</v>
      </c>
      <c r="G2189">
        <v>6</v>
      </c>
      <c r="H2189">
        <v>8</v>
      </c>
      <c r="I2189">
        <v>4</v>
      </c>
      <c r="J2189" t="s">
        <v>34</v>
      </c>
      <c r="K2189" t="s">
        <v>24</v>
      </c>
      <c r="L2189">
        <v>70</v>
      </c>
      <c r="M2189">
        <v>76.781999999999996</v>
      </c>
      <c r="N2189">
        <v>77.647524000000004</v>
      </c>
      <c r="O2189">
        <v>21.311</v>
      </c>
      <c r="P2189">
        <v>24.542000000000002</v>
      </c>
      <c r="Q2189">
        <v>30.623000000000001</v>
      </c>
      <c r="R2189" t="s">
        <v>379</v>
      </c>
      <c r="S2189" t="s">
        <v>83</v>
      </c>
      <c r="T2189">
        <f>IF(TRIM(Table1[[#This Row],[PitStopLaps]])="",0,
LEN(Table1[[#This Row],[PitStopLaps]])-LEN(SUBSTITUTE(Table1[[#This Row],[PitStopLaps]],",",""))+1)</f>
        <v>2</v>
      </c>
      <c r="U2189">
        <f>Table1[[#This Row],[StartPosition]]-Table1[[#This Row],[FinishPosition]]</f>
        <v>-2</v>
      </c>
    </row>
    <row r="2190" spans="1:21" x14ac:dyDescent="0.3">
      <c r="A2190">
        <v>2023</v>
      </c>
      <c r="B2190">
        <v>8</v>
      </c>
      <c r="C2190" t="s">
        <v>142</v>
      </c>
      <c r="D2190" t="s">
        <v>58</v>
      </c>
      <c r="E2190" t="s">
        <v>59</v>
      </c>
      <c r="F2190" t="s">
        <v>603</v>
      </c>
      <c r="G2190">
        <v>16</v>
      </c>
      <c r="H2190">
        <v>9</v>
      </c>
      <c r="I2190">
        <v>2</v>
      </c>
      <c r="J2190" t="s">
        <v>34</v>
      </c>
      <c r="K2190" t="s">
        <v>24</v>
      </c>
      <c r="L2190">
        <v>70</v>
      </c>
      <c r="M2190">
        <v>76.563999999999993</v>
      </c>
      <c r="N2190">
        <v>77.639610000000005</v>
      </c>
      <c r="O2190">
        <v>21.234000000000002</v>
      </c>
      <c r="P2190">
        <v>24.498000000000001</v>
      </c>
      <c r="Q2190">
        <v>30.555</v>
      </c>
      <c r="R2190" t="s">
        <v>273</v>
      </c>
      <c r="S2190" t="s">
        <v>83</v>
      </c>
      <c r="T2190">
        <f>IF(TRIM(Table1[[#This Row],[PitStopLaps]])="",0,
LEN(Table1[[#This Row],[PitStopLaps]])-LEN(SUBSTITUTE(Table1[[#This Row],[PitStopLaps]],",",""))+1)</f>
        <v>2</v>
      </c>
      <c r="U2190">
        <f>Table1[[#This Row],[StartPosition]]-Table1[[#This Row],[FinishPosition]]</f>
        <v>7</v>
      </c>
    </row>
    <row r="2191" spans="1:21" x14ac:dyDescent="0.3">
      <c r="A2191">
        <v>2023</v>
      </c>
      <c r="B2191">
        <v>8</v>
      </c>
      <c r="C2191" t="s">
        <v>142</v>
      </c>
      <c r="D2191" t="s">
        <v>43</v>
      </c>
      <c r="E2191" t="s">
        <v>44</v>
      </c>
      <c r="F2191" t="s">
        <v>789</v>
      </c>
      <c r="G2191">
        <v>14</v>
      </c>
      <c r="H2191">
        <v>10</v>
      </c>
      <c r="I2191">
        <v>1</v>
      </c>
      <c r="J2191" t="s">
        <v>34</v>
      </c>
      <c r="K2191" t="s">
        <v>24</v>
      </c>
      <c r="L2191">
        <v>70</v>
      </c>
      <c r="M2191">
        <v>76.625</v>
      </c>
      <c r="N2191">
        <v>77.792983000000007</v>
      </c>
      <c r="O2191">
        <v>21.411000000000001</v>
      </c>
      <c r="P2191">
        <v>24.495999999999999</v>
      </c>
      <c r="Q2191">
        <v>30.652999999999999</v>
      </c>
      <c r="R2191">
        <v>36</v>
      </c>
      <c r="S2191" t="s">
        <v>83</v>
      </c>
      <c r="T2191">
        <f>IF(TRIM(Table1[[#This Row],[PitStopLaps]])="",0,
LEN(Table1[[#This Row],[PitStopLaps]])-LEN(SUBSTITUTE(Table1[[#This Row],[PitStopLaps]],",",""))+1)</f>
        <v>1</v>
      </c>
      <c r="U2191">
        <f>Table1[[#This Row],[StartPosition]]-Table1[[#This Row],[FinishPosition]]</f>
        <v>4</v>
      </c>
    </row>
    <row r="2192" spans="1:21" x14ac:dyDescent="0.3">
      <c r="A2192">
        <v>2023</v>
      </c>
      <c r="B2192">
        <v>8</v>
      </c>
      <c r="C2192" t="s">
        <v>142</v>
      </c>
      <c r="D2192" t="s">
        <v>1000</v>
      </c>
      <c r="E2192" t="s">
        <v>1001</v>
      </c>
      <c r="F2192" t="s">
        <v>37</v>
      </c>
      <c r="G2192">
        <v>8</v>
      </c>
      <c r="H2192">
        <v>11</v>
      </c>
      <c r="I2192">
        <v>0</v>
      </c>
      <c r="J2192" t="s">
        <v>34</v>
      </c>
      <c r="K2192" t="s">
        <v>24</v>
      </c>
      <c r="L2192">
        <v>70</v>
      </c>
      <c r="M2192">
        <v>76.597999999999999</v>
      </c>
      <c r="N2192">
        <v>77.748458999999997</v>
      </c>
      <c r="O2192">
        <v>21.355</v>
      </c>
      <c r="P2192">
        <v>24.495999999999999</v>
      </c>
      <c r="Q2192">
        <v>30.527999999999999</v>
      </c>
      <c r="R2192" t="s">
        <v>261</v>
      </c>
      <c r="S2192" t="s">
        <v>83</v>
      </c>
      <c r="T2192">
        <f>IF(TRIM(Table1[[#This Row],[PitStopLaps]])="",0,
LEN(Table1[[#This Row],[PitStopLaps]])-LEN(SUBSTITUTE(Table1[[#This Row],[PitStopLaps]],",",""))+1)</f>
        <v>2</v>
      </c>
      <c r="U2192">
        <f>Table1[[#This Row],[StartPosition]]-Table1[[#This Row],[FinishPosition]]</f>
        <v>-3</v>
      </c>
    </row>
    <row r="2193" spans="1:21" x14ac:dyDescent="0.3">
      <c r="A2193">
        <v>2023</v>
      </c>
      <c r="B2193">
        <v>8</v>
      </c>
      <c r="C2193" t="s">
        <v>142</v>
      </c>
      <c r="D2193" t="s">
        <v>73</v>
      </c>
      <c r="E2193" t="s">
        <v>74</v>
      </c>
      <c r="F2193" t="s">
        <v>607</v>
      </c>
      <c r="G2193">
        <v>15</v>
      </c>
      <c r="H2193">
        <v>12</v>
      </c>
      <c r="I2193">
        <v>0</v>
      </c>
      <c r="J2193" t="s">
        <v>34</v>
      </c>
      <c r="K2193" t="s">
        <v>24</v>
      </c>
      <c r="L2193">
        <v>70</v>
      </c>
      <c r="M2193">
        <v>76.424999999999997</v>
      </c>
      <c r="N2193">
        <v>77.607982000000007</v>
      </c>
      <c r="O2193">
        <v>21.233000000000001</v>
      </c>
      <c r="P2193">
        <v>24.43</v>
      </c>
      <c r="Q2193">
        <v>30.542000000000002</v>
      </c>
      <c r="R2193" t="s">
        <v>549</v>
      </c>
      <c r="S2193" t="s">
        <v>83</v>
      </c>
      <c r="T2193">
        <f>IF(TRIM(Table1[[#This Row],[PitStopLaps]])="",0,
LEN(Table1[[#This Row],[PitStopLaps]])-LEN(SUBSTITUTE(Table1[[#This Row],[PitStopLaps]],",",""))+1)</f>
        <v>2</v>
      </c>
      <c r="U2193">
        <f>Table1[[#This Row],[StartPosition]]-Table1[[#This Row],[FinishPosition]]</f>
        <v>3</v>
      </c>
    </row>
    <row r="2194" spans="1:21" x14ac:dyDescent="0.3">
      <c r="A2194">
        <v>2023</v>
      </c>
      <c r="B2194">
        <v>8</v>
      </c>
      <c r="C2194" t="s">
        <v>142</v>
      </c>
      <c r="D2194" t="s">
        <v>246</v>
      </c>
      <c r="E2194" t="s">
        <v>247</v>
      </c>
      <c r="F2194" t="s">
        <v>37</v>
      </c>
      <c r="G2194">
        <v>7</v>
      </c>
      <c r="H2194">
        <v>13</v>
      </c>
      <c r="I2194">
        <v>0</v>
      </c>
      <c r="J2194" t="s">
        <v>34</v>
      </c>
      <c r="K2194" t="s">
        <v>24</v>
      </c>
      <c r="L2194">
        <v>70</v>
      </c>
      <c r="M2194">
        <v>76.373999999999995</v>
      </c>
      <c r="N2194">
        <v>77.754097999999999</v>
      </c>
      <c r="O2194">
        <v>21.411000000000001</v>
      </c>
      <c r="P2194">
        <v>24.454000000000001</v>
      </c>
      <c r="Q2194">
        <v>30.23</v>
      </c>
      <c r="R2194" t="s">
        <v>797</v>
      </c>
      <c r="S2194" t="s">
        <v>83</v>
      </c>
      <c r="T2194">
        <f>IF(TRIM(Table1[[#This Row],[PitStopLaps]])="",0,
LEN(Table1[[#This Row],[PitStopLaps]])-LEN(SUBSTITUTE(Table1[[#This Row],[PitStopLaps]],",",""))+1)</f>
        <v>2</v>
      </c>
      <c r="U2194">
        <f>Table1[[#This Row],[StartPosition]]-Table1[[#This Row],[FinishPosition]]</f>
        <v>-6</v>
      </c>
    </row>
    <row r="2195" spans="1:21" x14ac:dyDescent="0.3">
      <c r="A2195">
        <v>2023</v>
      </c>
      <c r="B2195">
        <v>8</v>
      </c>
      <c r="C2195" t="s">
        <v>142</v>
      </c>
      <c r="D2195" t="s">
        <v>601</v>
      </c>
      <c r="E2195" t="s">
        <v>602</v>
      </c>
      <c r="F2195" t="s">
        <v>438</v>
      </c>
      <c r="G2195">
        <v>19</v>
      </c>
      <c r="H2195">
        <v>14</v>
      </c>
      <c r="I2195">
        <v>0</v>
      </c>
      <c r="J2195" t="s">
        <v>34</v>
      </c>
      <c r="K2195" t="s">
        <v>24</v>
      </c>
      <c r="L2195">
        <v>70</v>
      </c>
      <c r="M2195">
        <v>76.665999999999997</v>
      </c>
      <c r="N2195">
        <v>77.686881</v>
      </c>
      <c r="O2195">
        <v>21.367999999999999</v>
      </c>
      <c r="P2195">
        <v>24.393000000000001</v>
      </c>
      <c r="Q2195">
        <v>30.645</v>
      </c>
      <c r="R2195" t="s">
        <v>1039</v>
      </c>
      <c r="S2195" t="s">
        <v>83</v>
      </c>
      <c r="T2195">
        <f>IF(TRIM(Table1[[#This Row],[PitStopLaps]])="",0,
LEN(Table1[[#This Row],[PitStopLaps]])-LEN(SUBSTITUTE(Table1[[#This Row],[PitStopLaps]],",",""))+1)</f>
        <v>2</v>
      </c>
      <c r="U2195">
        <f>Table1[[#This Row],[StartPosition]]-Table1[[#This Row],[FinishPosition]]</f>
        <v>5</v>
      </c>
    </row>
    <row r="2196" spans="1:21" x14ac:dyDescent="0.3">
      <c r="A2196">
        <v>2023</v>
      </c>
      <c r="B2196">
        <v>8</v>
      </c>
      <c r="C2196" t="s">
        <v>142</v>
      </c>
      <c r="D2196" t="s">
        <v>40</v>
      </c>
      <c r="E2196" t="s">
        <v>41</v>
      </c>
      <c r="F2196" t="s">
        <v>69</v>
      </c>
      <c r="G2196">
        <v>5</v>
      </c>
      <c r="H2196">
        <v>15</v>
      </c>
      <c r="I2196">
        <v>0</v>
      </c>
      <c r="J2196" t="s">
        <v>34</v>
      </c>
      <c r="K2196" t="s">
        <v>994</v>
      </c>
      <c r="L2196">
        <v>69</v>
      </c>
      <c r="M2196">
        <v>77.231999999999999</v>
      </c>
      <c r="N2196">
        <v>78.236931999999996</v>
      </c>
      <c r="O2196">
        <v>21.463999999999999</v>
      </c>
      <c r="P2196">
        <v>24.544</v>
      </c>
      <c r="Q2196">
        <v>30.81</v>
      </c>
      <c r="R2196" t="s">
        <v>104</v>
      </c>
      <c r="S2196" t="s">
        <v>83</v>
      </c>
      <c r="T2196">
        <f>IF(TRIM(Table1[[#This Row],[PitStopLaps]])="",0,
LEN(Table1[[#This Row],[PitStopLaps]])-LEN(SUBSTITUTE(Table1[[#This Row],[PitStopLaps]],",",""))+1)</f>
        <v>2</v>
      </c>
      <c r="U2196">
        <f>Table1[[#This Row],[StartPosition]]-Table1[[#This Row],[FinishPosition]]</f>
        <v>-10</v>
      </c>
    </row>
    <row r="2197" spans="1:21" x14ac:dyDescent="0.3">
      <c r="A2197">
        <v>2023</v>
      </c>
      <c r="B2197">
        <v>8</v>
      </c>
      <c r="C2197" t="s">
        <v>142</v>
      </c>
      <c r="D2197" t="s">
        <v>794</v>
      </c>
      <c r="E2197" t="s">
        <v>795</v>
      </c>
      <c r="F2197" t="s">
        <v>789</v>
      </c>
      <c r="G2197">
        <v>20</v>
      </c>
      <c r="H2197">
        <v>16</v>
      </c>
      <c r="I2197">
        <v>0</v>
      </c>
      <c r="J2197" t="s">
        <v>34</v>
      </c>
      <c r="K2197" t="s">
        <v>994</v>
      </c>
      <c r="L2197">
        <v>69</v>
      </c>
      <c r="M2197">
        <v>77.09</v>
      </c>
      <c r="N2197">
        <v>78.172847000000004</v>
      </c>
      <c r="O2197">
        <v>21.471</v>
      </c>
      <c r="P2197">
        <v>24.43</v>
      </c>
      <c r="Q2197">
        <v>30.928999999999998</v>
      </c>
      <c r="R2197" t="s">
        <v>105</v>
      </c>
      <c r="S2197" t="s">
        <v>83</v>
      </c>
      <c r="T2197">
        <f>IF(TRIM(Table1[[#This Row],[PitStopLaps]])="",0,
LEN(Table1[[#This Row],[PitStopLaps]])-LEN(SUBSTITUTE(Table1[[#This Row],[PitStopLaps]],",",""))+1)</f>
        <v>2</v>
      </c>
      <c r="U2197">
        <f>Table1[[#This Row],[StartPosition]]-Table1[[#This Row],[FinishPosition]]</f>
        <v>4</v>
      </c>
    </row>
    <row r="2198" spans="1:21" x14ac:dyDescent="0.3">
      <c r="A2198">
        <v>2023</v>
      </c>
      <c r="B2198">
        <v>8</v>
      </c>
      <c r="C2198" t="s">
        <v>142</v>
      </c>
      <c r="D2198" t="s">
        <v>71</v>
      </c>
      <c r="E2198" t="s">
        <v>72</v>
      </c>
      <c r="F2198" t="s">
        <v>69</v>
      </c>
      <c r="G2198">
        <v>13</v>
      </c>
      <c r="H2198">
        <v>17</v>
      </c>
      <c r="I2198">
        <v>0</v>
      </c>
      <c r="J2198" t="s">
        <v>34</v>
      </c>
      <c r="K2198" t="s">
        <v>994</v>
      </c>
      <c r="L2198">
        <v>69</v>
      </c>
      <c r="M2198">
        <v>76.126000000000005</v>
      </c>
      <c r="N2198">
        <v>78.030525999999995</v>
      </c>
      <c r="O2198">
        <v>21.23</v>
      </c>
      <c r="P2198">
        <v>24.375</v>
      </c>
      <c r="Q2198">
        <v>30.477</v>
      </c>
      <c r="R2198" t="s">
        <v>1040</v>
      </c>
      <c r="S2198" t="s">
        <v>83</v>
      </c>
      <c r="T2198">
        <f>IF(TRIM(Table1[[#This Row],[PitStopLaps]])="",0,
LEN(Table1[[#This Row],[PitStopLaps]])-LEN(SUBSTITUTE(Table1[[#This Row],[PitStopLaps]],",",""))+1)</f>
        <v>2</v>
      </c>
      <c r="U2198">
        <f>Table1[[#This Row],[StartPosition]]-Table1[[#This Row],[FinishPosition]]</f>
        <v>-4</v>
      </c>
    </row>
    <row r="2199" spans="1:21" x14ac:dyDescent="0.3">
      <c r="A2199">
        <v>2023</v>
      </c>
      <c r="B2199">
        <v>8</v>
      </c>
      <c r="C2199" t="s">
        <v>142</v>
      </c>
      <c r="D2199" t="s">
        <v>951</v>
      </c>
      <c r="E2199" t="s">
        <v>952</v>
      </c>
      <c r="F2199" t="s">
        <v>438</v>
      </c>
      <c r="G2199">
        <v>17</v>
      </c>
      <c r="H2199">
        <v>18</v>
      </c>
      <c r="I2199">
        <v>0</v>
      </c>
      <c r="J2199" t="s">
        <v>34</v>
      </c>
      <c r="K2199" t="s">
        <v>994</v>
      </c>
      <c r="L2199">
        <v>69</v>
      </c>
      <c r="M2199">
        <v>76.656000000000006</v>
      </c>
      <c r="N2199">
        <v>79.228189</v>
      </c>
      <c r="O2199">
        <v>21.350999999999999</v>
      </c>
      <c r="P2199">
        <v>24.459</v>
      </c>
      <c r="Q2199">
        <v>30.657</v>
      </c>
      <c r="R2199" t="s">
        <v>1041</v>
      </c>
      <c r="S2199" t="s">
        <v>83</v>
      </c>
      <c r="T2199">
        <f>IF(TRIM(Table1[[#This Row],[PitStopLaps]])="",0,
LEN(Table1[[#This Row],[PitStopLaps]])-LEN(SUBSTITUTE(Table1[[#This Row],[PitStopLaps]],",",""))+1)</f>
        <v>2</v>
      </c>
      <c r="U2199">
        <f>Table1[[#This Row],[StartPosition]]-Table1[[#This Row],[FinishPosition]]</f>
        <v>-1</v>
      </c>
    </row>
    <row r="2200" spans="1:21" x14ac:dyDescent="0.3">
      <c r="A2200">
        <v>2023</v>
      </c>
      <c r="B2200">
        <v>8</v>
      </c>
      <c r="C2200" t="s">
        <v>142</v>
      </c>
      <c r="D2200" t="s">
        <v>252</v>
      </c>
      <c r="E2200" t="s">
        <v>253</v>
      </c>
      <c r="F2200" t="s">
        <v>28</v>
      </c>
      <c r="G2200">
        <v>4</v>
      </c>
      <c r="H2200">
        <v>19</v>
      </c>
      <c r="I2200">
        <v>0</v>
      </c>
      <c r="J2200" t="s">
        <v>34</v>
      </c>
      <c r="K2200" t="s">
        <v>179</v>
      </c>
      <c r="L2200">
        <v>54</v>
      </c>
      <c r="M2200">
        <v>77.096999999999994</v>
      </c>
      <c r="N2200">
        <v>78.029978</v>
      </c>
      <c r="O2200">
        <v>21.494</v>
      </c>
      <c r="P2200">
        <v>24.460999999999999</v>
      </c>
      <c r="Q2200">
        <v>30.888000000000002</v>
      </c>
      <c r="R2200" t="s">
        <v>1042</v>
      </c>
      <c r="S2200" t="s">
        <v>83</v>
      </c>
      <c r="T2200">
        <f>IF(TRIM(Table1[[#This Row],[PitStopLaps]])="",0,
LEN(Table1[[#This Row],[PitStopLaps]])-LEN(SUBSTITUTE(Table1[[#This Row],[PitStopLaps]],",",""))+1)</f>
        <v>2</v>
      </c>
      <c r="U2200">
        <f>Table1[[#This Row],[StartPosition]]-Table1[[#This Row],[FinishPosition]]</f>
        <v>-15</v>
      </c>
    </row>
    <row r="2201" spans="1:21" x14ac:dyDescent="0.3">
      <c r="A2201">
        <v>2023</v>
      </c>
      <c r="B2201">
        <v>8</v>
      </c>
      <c r="C2201" t="s">
        <v>142</v>
      </c>
      <c r="D2201" t="s">
        <v>992</v>
      </c>
      <c r="E2201" t="s">
        <v>993</v>
      </c>
      <c r="F2201" t="s">
        <v>60</v>
      </c>
      <c r="G2201">
        <v>18</v>
      </c>
      <c r="H2201">
        <v>20</v>
      </c>
      <c r="I2201">
        <v>0</v>
      </c>
      <c r="J2201" t="s">
        <v>34</v>
      </c>
      <c r="K2201" t="s">
        <v>179</v>
      </c>
      <c r="L2201">
        <v>7</v>
      </c>
      <c r="M2201">
        <v>78.436999999999998</v>
      </c>
      <c r="N2201">
        <v>79.407799999999995</v>
      </c>
      <c r="O2201">
        <v>22.244</v>
      </c>
      <c r="P2201">
        <v>25.178999999999998</v>
      </c>
      <c r="Q2201">
        <v>31.013999999999999</v>
      </c>
      <c r="S2201" t="s">
        <v>83</v>
      </c>
      <c r="T2201">
        <f>IF(TRIM(Table1[[#This Row],[PitStopLaps]])="",0,
LEN(Table1[[#This Row],[PitStopLaps]])-LEN(SUBSTITUTE(Table1[[#This Row],[PitStopLaps]],",",""))+1)</f>
        <v>0</v>
      </c>
      <c r="U2201">
        <f>Table1[[#This Row],[StartPosition]]-Table1[[#This Row],[FinishPosition]]</f>
        <v>-2</v>
      </c>
    </row>
    <row r="2202" spans="1:21" x14ac:dyDescent="0.3">
      <c r="A2202">
        <v>2023</v>
      </c>
      <c r="B2202">
        <v>9</v>
      </c>
      <c r="C2202" t="s">
        <v>149</v>
      </c>
      <c r="D2202" t="s">
        <v>38</v>
      </c>
      <c r="E2202" t="s">
        <v>39</v>
      </c>
      <c r="F2202" t="s">
        <v>33</v>
      </c>
      <c r="G2202">
        <v>1</v>
      </c>
      <c r="H2202">
        <v>1</v>
      </c>
      <c r="I2202">
        <v>26</v>
      </c>
      <c r="J2202" t="s">
        <v>23</v>
      </c>
      <c r="K2202" t="s">
        <v>24</v>
      </c>
      <c r="L2202">
        <v>71</v>
      </c>
      <c r="M2202">
        <v>67.012</v>
      </c>
      <c r="N2202">
        <v>69.308508000000003</v>
      </c>
      <c r="O2202">
        <v>17.04</v>
      </c>
      <c r="P2202">
        <v>29.896000000000001</v>
      </c>
      <c r="Q2202">
        <v>20.076000000000001</v>
      </c>
      <c r="R2202" t="s">
        <v>1043</v>
      </c>
      <c r="S2202" t="s">
        <v>25</v>
      </c>
      <c r="T2202">
        <f>IF(TRIM(Table1[[#This Row],[PitStopLaps]])="",0,
LEN(Table1[[#This Row],[PitStopLaps]])-LEN(SUBSTITUTE(Table1[[#This Row],[PitStopLaps]],",",""))+1)</f>
        <v>4</v>
      </c>
      <c r="U2202">
        <f>Table1[[#This Row],[StartPosition]]-Table1[[#This Row],[FinishPosition]]</f>
        <v>0</v>
      </c>
    </row>
    <row r="2203" spans="1:21" x14ac:dyDescent="0.3">
      <c r="A2203">
        <v>2023</v>
      </c>
      <c r="B2203">
        <v>9</v>
      </c>
      <c r="C2203" t="s">
        <v>149</v>
      </c>
      <c r="D2203" t="s">
        <v>54</v>
      </c>
      <c r="E2203" t="s">
        <v>55</v>
      </c>
      <c r="F2203" t="s">
        <v>22</v>
      </c>
      <c r="G2203">
        <v>2</v>
      </c>
      <c r="H2203">
        <v>2</v>
      </c>
      <c r="I2203">
        <v>18</v>
      </c>
      <c r="J2203" t="s">
        <v>23</v>
      </c>
      <c r="K2203" t="s">
        <v>24</v>
      </c>
      <c r="L2203">
        <v>71</v>
      </c>
      <c r="M2203">
        <v>68.819999999999993</v>
      </c>
      <c r="N2203">
        <v>69.859078999999994</v>
      </c>
      <c r="O2203">
        <v>17.350000000000001</v>
      </c>
      <c r="P2203">
        <v>30.631</v>
      </c>
      <c r="Q2203">
        <v>20.73</v>
      </c>
      <c r="R2203" t="s">
        <v>1044</v>
      </c>
      <c r="S2203" t="s">
        <v>25</v>
      </c>
      <c r="T2203">
        <f>IF(TRIM(Table1[[#This Row],[PitStopLaps]])="",0,
LEN(Table1[[#This Row],[PitStopLaps]])-LEN(SUBSTITUTE(Table1[[#This Row],[PitStopLaps]],",",""))+1)</f>
        <v>3</v>
      </c>
      <c r="U2203">
        <f>Table1[[#This Row],[StartPosition]]-Table1[[#This Row],[FinishPosition]]</f>
        <v>0</v>
      </c>
    </row>
    <row r="2204" spans="1:21" x14ac:dyDescent="0.3">
      <c r="A2204">
        <v>2023</v>
      </c>
      <c r="B2204">
        <v>9</v>
      </c>
      <c r="C2204" t="s">
        <v>149</v>
      </c>
      <c r="D2204" t="s">
        <v>49</v>
      </c>
      <c r="E2204" t="s">
        <v>50</v>
      </c>
      <c r="F2204" t="s">
        <v>33</v>
      </c>
      <c r="G2204">
        <v>15</v>
      </c>
      <c r="H2204">
        <v>3</v>
      </c>
      <c r="I2204">
        <v>15</v>
      </c>
      <c r="J2204" t="s">
        <v>23</v>
      </c>
      <c r="K2204" t="s">
        <v>24</v>
      </c>
      <c r="L2204">
        <v>71</v>
      </c>
      <c r="M2204">
        <v>68.111000000000004</v>
      </c>
      <c r="N2204">
        <v>69.836900999999997</v>
      </c>
      <c r="O2204">
        <v>16.835000000000001</v>
      </c>
      <c r="P2204">
        <v>30.274999999999999</v>
      </c>
      <c r="Q2204">
        <v>20.568000000000001</v>
      </c>
      <c r="R2204" t="s">
        <v>1045</v>
      </c>
      <c r="S2204" t="s">
        <v>25</v>
      </c>
      <c r="T2204">
        <f>IF(TRIM(Table1[[#This Row],[PitStopLaps]])="",0,
LEN(Table1[[#This Row],[PitStopLaps]])-LEN(SUBSTITUTE(Table1[[#This Row],[PitStopLaps]],",",""))+1)</f>
        <v>3</v>
      </c>
      <c r="U2204">
        <f>Table1[[#This Row],[StartPosition]]-Table1[[#This Row],[FinishPosition]]</f>
        <v>12</v>
      </c>
    </row>
    <row r="2205" spans="1:21" x14ac:dyDescent="0.3">
      <c r="A2205">
        <v>2023</v>
      </c>
      <c r="B2205">
        <v>9</v>
      </c>
      <c r="C2205" t="s">
        <v>149</v>
      </c>
      <c r="D2205" t="s">
        <v>246</v>
      </c>
      <c r="E2205" t="s">
        <v>247</v>
      </c>
      <c r="F2205" t="s">
        <v>37</v>
      </c>
      <c r="G2205">
        <v>4</v>
      </c>
      <c r="H2205">
        <v>4</v>
      </c>
      <c r="I2205">
        <v>12</v>
      </c>
      <c r="J2205" t="s">
        <v>34</v>
      </c>
      <c r="K2205" t="s">
        <v>24</v>
      </c>
      <c r="L2205">
        <v>71</v>
      </c>
      <c r="M2205">
        <v>68.739000000000004</v>
      </c>
      <c r="N2205">
        <v>70.143698000000001</v>
      </c>
      <c r="O2205">
        <v>17.085000000000001</v>
      </c>
      <c r="P2205">
        <v>30.687000000000001</v>
      </c>
      <c r="Q2205">
        <v>20.731000000000002</v>
      </c>
      <c r="R2205" t="s">
        <v>1046</v>
      </c>
      <c r="S2205" t="s">
        <v>25</v>
      </c>
      <c r="T2205">
        <f>IF(TRIM(Table1[[#This Row],[PitStopLaps]])="",0,
LEN(Table1[[#This Row],[PitStopLaps]])-LEN(SUBSTITUTE(Table1[[#This Row],[PitStopLaps]],",",""))+1)</f>
        <v>3</v>
      </c>
      <c r="U2205">
        <f>Table1[[#This Row],[StartPosition]]-Table1[[#This Row],[FinishPosition]]</f>
        <v>0</v>
      </c>
    </row>
    <row r="2206" spans="1:21" x14ac:dyDescent="0.3">
      <c r="A2206">
        <v>2023</v>
      </c>
      <c r="B2206">
        <v>9</v>
      </c>
      <c r="C2206" t="s">
        <v>149</v>
      </c>
      <c r="D2206" t="s">
        <v>35</v>
      </c>
      <c r="E2206" t="s">
        <v>36</v>
      </c>
      <c r="F2206" t="s">
        <v>603</v>
      </c>
      <c r="G2206">
        <v>7</v>
      </c>
      <c r="H2206">
        <v>5</v>
      </c>
      <c r="I2206">
        <v>10</v>
      </c>
      <c r="J2206" t="s">
        <v>34</v>
      </c>
      <c r="K2206" t="s">
        <v>24</v>
      </c>
      <c r="L2206">
        <v>71</v>
      </c>
      <c r="M2206">
        <v>69.108000000000004</v>
      </c>
      <c r="N2206">
        <v>70.162587000000002</v>
      </c>
      <c r="O2206">
        <v>17.071000000000002</v>
      </c>
      <c r="P2206">
        <v>30.684000000000001</v>
      </c>
      <c r="Q2206">
        <v>20.768999999999998</v>
      </c>
      <c r="R2206" t="s">
        <v>1047</v>
      </c>
      <c r="S2206" t="s">
        <v>25</v>
      </c>
      <c r="T2206">
        <f>IF(TRIM(Table1[[#This Row],[PitStopLaps]])="",0,
LEN(Table1[[#This Row],[PitStopLaps]])-LEN(SUBSTITUTE(Table1[[#This Row],[PitStopLaps]],",",""))+1)</f>
        <v>3</v>
      </c>
      <c r="U2206">
        <f>Table1[[#This Row],[StartPosition]]-Table1[[#This Row],[FinishPosition]]</f>
        <v>2</v>
      </c>
    </row>
    <row r="2207" spans="1:21" x14ac:dyDescent="0.3">
      <c r="A2207">
        <v>2023</v>
      </c>
      <c r="B2207">
        <v>9</v>
      </c>
      <c r="C2207" t="s">
        <v>149</v>
      </c>
      <c r="D2207" t="s">
        <v>47</v>
      </c>
      <c r="E2207" t="s">
        <v>48</v>
      </c>
      <c r="F2207" t="s">
        <v>22</v>
      </c>
      <c r="G2207">
        <v>3</v>
      </c>
      <c r="H2207">
        <v>6</v>
      </c>
      <c r="I2207">
        <v>8</v>
      </c>
      <c r="J2207" t="s">
        <v>34</v>
      </c>
      <c r="K2207" t="s">
        <v>24</v>
      </c>
      <c r="L2207">
        <v>71</v>
      </c>
      <c r="M2207">
        <v>68.88</v>
      </c>
      <c r="N2207">
        <v>69.908856999999998</v>
      </c>
      <c r="O2207">
        <v>17.018000000000001</v>
      </c>
      <c r="P2207">
        <v>30.574000000000002</v>
      </c>
      <c r="Q2207">
        <v>20.795999999999999</v>
      </c>
      <c r="R2207" t="s">
        <v>1048</v>
      </c>
      <c r="S2207" t="s">
        <v>25</v>
      </c>
      <c r="T2207">
        <f>IF(TRIM(Table1[[#This Row],[PitStopLaps]])="",0,
LEN(Table1[[#This Row],[PitStopLaps]])-LEN(SUBSTITUTE(Table1[[#This Row],[PitStopLaps]],",",""))+1)</f>
        <v>3</v>
      </c>
      <c r="U2207">
        <f>Table1[[#This Row],[StartPosition]]-Table1[[#This Row],[FinishPosition]]</f>
        <v>-3</v>
      </c>
    </row>
    <row r="2208" spans="1:21" x14ac:dyDescent="0.3">
      <c r="A2208">
        <v>2023</v>
      </c>
      <c r="B2208">
        <v>9</v>
      </c>
      <c r="C2208" t="s">
        <v>149</v>
      </c>
      <c r="D2208" t="s">
        <v>252</v>
      </c>
      <c r="E2208" t="s">
        <v>253</v>
      </c>
      <c r="F2208" t="s">
        <v>28</v>
      </c>
      <c r="G2208">
        <v>11</v>
      </c>
      <c r="H2208">
        <v>7</v>
      </c>
      <c r="I2208">
        <v>6</v>
      </c>
      <c r="J2208" t="s">
        <v>34</v>
      </c>
      <c r="K2208" t="s">
        <v>24</v>
      </c>
      <c r="L2208">
        <v>71</v>
      </c>
      <c r="M2208">
        <v>69.283000000000001</v>
      </c>
      <c r="N2208">
        <v>70.464421000000002</v>
      </c>
      <c r="O2208">
        <v>17.247</v>
      </c>
      <c r="P2208">
        <v>30.943000000000001</v>
      </c>
      <c r="Q2208">
        <v>20.795000000000002</v>
      </c>
      <c r="R2208" t="s">
        <v>1046</v>
      </c>
      <c r="S2208" t="s">
        <v>25</v>
      </c>
      <c r="T2208">
        <f>IF(TRIM(Table1[[#This Row],[PitStopLaps]])="",0,
LEN(Table1[[#This Row],[PitStopLaps]])-LEN(SUBSTITUTE(Table1[[#This Row],[PitStopLaps]],",",""))+1)</f>
        <v>3</v>
      </c>
      <c r="U2208">
        <f>Table1[[#This Row],[StartPosition]]-Table1[[#This Row],[FinishPosition]]</f>
        <v>4</v>
      </c>
    </row>
    <row r="2209" spans="1:21" x14ac:dyDescent="0.3">
      <c r="A2209">
        <v>2023</v>
      </c>
      <c r="B2209">
        <v>9</v>
      </c>
      <c r="C2209" t="s">
        <v>149</v>
      </c>
      <c r="D2209" t="s">
        <v>26</v>
      </c>
      <c r="E2209" t="s">
        <v>27</v>
      </c>
      <c r="F2209" t="s">
        <v>28</v>
      </c>
      <c r="G2209">
        <v>5</v>
      </c>
      <c r="H2209">
        <v>8</v>
      </c>
      <c r="I2209">
        <v>4</v>
      </c>
      <c r="J2209" t="s">
        <v>34</v>
      </c>
      <c r="K2209" t="s">
        <v>24</v>
      </c>
      <c r="L2209">
        <v>71</v>
      </c>
      <c r="M2209">
        <v>69.16</v>
      </c>
      <c r="N2209">
        <v>70.265221999999994</v>
      </c>
      <c r="O2209">
        <v>17.149000000000001</v>
      </c>
      <c r="P2209">
        <v>30.928000000000001</v>
      </c>
      <c r="Q2209">
        <v>20.789000000000001</v>
      </c>
      <c r="R2209" t="s">
        <v>1049</v>
      </c>
      <c r="S2209" t="s">
        <v>25</v>
      </c>
      <c r="T2209">
        <f>IF(TRIM(Table1[[#This Row],[PitStopLaps]])="",0,
LEN(Table1[[#This Row],[PitStopLaps]])-LEN(SUBSTITUTE(Table1[[#This Row],[PitStopLaps]],",",""))+1)</f>
        <v>3</v>
      </c>
      <c r="U2209">
        <f>Table1[[#This Row],[StartPosition]]-Table1[[#This Row],[FinishPosition]]</f>
        <v>-3</v>
      </c>
    </row>
    <row r="2210" spans="1:21" x14ac:dyDescent="0.3">
      <c r="A2210">
        <v>2023</v>
      </c>
      <c r="B2210">
        <v>9</v>
      </c>
      <c r="C2210" t="s">
        <v>149</v>
      </c>
      <c r="D2210" t="s">
        <v>58</v>
      </c>
      <c r="E2210" t="s">
        <v>59</v>
      </c>
      <c r="F2210" t="s">
        <v>603</v>
      </c>
      <c r="G2210">
        <v>6</v>
      </c>
      <c r="H2210">
        <v>9</v>
      </c>
      <c r="I2210">
        <v>2</v>
      </c>
      <c r="J2210" t="s">
        <v>34</v>
      </c>
      <c r="K2210" t="s">
        <v>24</v>
      </c>
      <c r="L2210">
        <v>71</v>
      </c>
      <c r="M2210">
        <v>68.462999999999994</v>
      </c>
      <c r="N2210">
        <v>70.199262000000004</v>
      </c>
      <c r="O2210">
        <v>17.21</v>
      </c>
      <c r="P2210">
        <v>30.401</v>
      </c>
      <c r="Q2210">
        <v>20.661999999999999</v>
      </c>
      <c r="R2210" t="s">
        <v>1050</v>
      </c>
      <c r="S2210" t="s">
        <v>25</v>
      </c>
      <c r="T2210">
        <f>IF(TRIM(Table1[[#This Row],[PitStopLaps]])="",0,
LEN(Table1[[#This Row],[PitStopLaps]])-LEN(SUBSTITUTE(Table1[[#This Row],[PitStopLaps]],",",""))+1)</f>
        <v>4</v>
      </c>
      <c r="U2210">
        <f>Table1[[#This Row],[StartPosition]]-Table1[[#This Row],[FinishPosition]]</f>
        <v>-3</v>
      </c>
    </row>
    <row r="2211" spans="1:21" x14ac:dyDescent="0.3">
      <c r="A2211">
        <v>2023</v>
      </c>
      <c r="B2211">
        <v>9</v>
      </c>
      <c r="C2211" t="s">
        <v>149</v>
      </c>
      <c r="D2211" t="s">
        <v>73</v>
      </c>
      <c r="E2211" t="s">
        <v>74</v>
      </c>
      <c r="F2211" t="s">
        <v>607</v>
      </c>
      <c r="G2211">
        <v>9</v>
      </c>
      <c r="H2211">
        <v>10</v>
      </c>
      <c r="I2211">
        <v>1</v>
      </c>
      <c r="J2211" t="s">
        <v>34</v>
      </c>
      <c r="K2211" t="s">
        <v>24</v>
      </c>
      <c r="L2211">
        <v>71</v>
      </c>
      <c r="M2211">
        <v>69.046000000000006</v>
      </c>
      <c r="N2211">
        <v>70.471649999999997</v>
      </c>
      <c r="O2211">
        <v>17.364000000000001</v>
      </c>
      <c r="P2211">
        <v>30.574000000000002</v>
      </c>
      <c r="Q2211">
        <v>20.806000000000001</v>
      </c>
      <c r="R2211" t="s">
        <v>1051</v>
      </c>
      <c r="S2211" t="s">
        <v>25</v>
      </c>
      <c r="T2211">
        <f>IF(TRIM(Table1[[#This Row],[PitStopLaps]])="",0,
LEN(Table1[[#This Row],[PitStopLaps]])-LEN(SUBSTITUTE(Table1[[#This Row],[PitStopLaps]],",",""))+1)</f>
        <v>3</v>
      </c>
      <c r="U2211">
        <f>Table1[[#This Row],[StartPosition]]-Table1[[#This Row],[FinishPosition]]</f>
        <v>-1</v>
      </c>
    </row>
    <row r="2212" spans="1:21" x14ac:dyDescent="0.3">
      <c r="A2212">
        <v>2023</v>
      </c>
      <c r="B2212">
        <v>9</v>
      </c>
      <c r="C2212" t="s">
        <v>149</v>
      </c>
      <c r="D2212" t="s">
        <v>248</v>
      </c>
      <c r="E2212" t="s">
        <v>249</v>
      </c>
      <c r="F2212" t="s">
        <v>60</v>
      </c>
      <c r="G2212">
        <v>10</v>
      </c>
      <c r="H2212">
        <v>11</v>
      </c>
      <c r="I2212">
        <v>0</v>
      </c>
      <c r="J2212" t="s">
        <v>34</v>
      </c>
      <c r="K2212" t="s">
        <v>24</v>
      </c>
      <c r="L2212">
        <v>71</v>
      </c>
      <c r="M2212">
        <v>69.56</v>
      </c>
      <c r="N2212">
        <v>70.716812000000004</v>
      </c>
      <c r="O2212">
        <v>17.254000000000001</v>
      </c>
      <c r="P2212">
        <v>31.123000000000001</v>
      </c>
      <c r="Q2212">
        <v>20.951000000000001</v>
      </c>
      <c r="R2212" t="s">
        <v>1046</v>
      </c>
      <c r="S2212" t="s">
        <v>25</v>
      </c>
      <c r="T2212">
        <f>IF(TRIM(Table1[[#This Row],[PitStopLaps]])="",0,
LEN(Table1[[#This Row],[PitStopLaps]])-LEN(SUBSTITUTE(Table1[[#This Row],[PitStopLaps]],",",""))+1)</f>
        <v>3</v>
      </c>
      <c r="U2212">
        <f>Table1[[#This Row],[StartPosition]]-Table1[[#This Row],[FinishPosition]]</f>
        <v>-1</v>
      </c>
    </row>
    <row r="2213" spans="1:21" x14ac:dyDescent="0.3">
      <c r="A2213">
        <v>2023</v>
      </c>
      <c r="B2213">
        <v>9</v>
      </c>
      <c r="C2213" t="s">
        <v>149</v>
      </c>
      <c r="D2213" t="s">
        <v>794</v>
      </c>
      <c r="E2213" t="s">
        <v>795</v>
      </c>
      <c r="F2213" t="s">
        <v>789</v>
      </c>
      <c r="G2213">
        <v>17</v>
      </c>
      <c r="H2213">
        <v>12</v>
      </c>
      <c r="I2213">
        <v>0</v>
      </c>
      <c r="J2213" t="s">
        <v>34</v>
      </c>
      <c r="K2213" t="s">
        <v>994</v>
      </c>
      <c r="L2213">
        <v>70</v>
      </c>
      <c r="M2213">
        <v>69.786000000000001</v>
      </c>
      <c r="N2213">
        <v>70.958245000000005</v>
      </c>
      <c r="O2213">
        <v>17.175000000000001</v>
      </c>
      <c r="P2213">
        <v>31.061</v>
      </c>
      <c r="Q2213">
        <v>20.998999999999999</v>
      </c>
      <c r="R2213" t="s">
        <v>1052</v>
      </c>
      <c r="S2213" t="s">
        <v>25</v>
      </c>
      <c r="T2213">
        <f>IF(TRIM(Table1[[#This Row],[PitStopLaps]])="",0,
LEN(Table1[[#This Row],[PitStopLaps]])-LEN(SUBSTITUTE(Table1[[#This Row],[PitStopLaps]],",",""))+1)</f>
        <v>3</v>
      </c>
      <c r="U2213">
        <f>Table1[[#This Row],[StartPosition]]-Table1[[#This Row],[FinishPosition]]</f>
        <v>5</v>
      </c>
    </row>
    <row r="2214" spans="1:21" x14ac:dyDescent="0.3">
      <c r="A2214">
        <v>2023</v>
      </c>
      <c r="B2214">
        <v>9</v>
      </c>
      <c r="C2214" t="s">
        <v>149</v>
      </c>
      <c r="D2214" t="s">
        <v>992</v>
      </c>
      <c r="E2214" t="s">
        <v>993</v>
      </c>
      <c r="F2214" t="s">
        <v>60</v>
      </c>
      <c r="G2214">
        <v>18</v>
      </c>
      <c r="H2214">
        <v>13</v>
      </c>
      <c r="I2214">
        <v>0</v>
      </c>
      <c r="J2214" t="s">
        <v>34</v>
      </c>
      <c r="K2214" t="s">
        <v>994</v>
      </c>
      <c r="L2214">
        <v>70</v>
      </c>
      <c r="M2214">
        <v>69.611000000000004</v>
      </c>
      <c r="N2214">
        <v>70.986238</v>
      </c>
      <c r="O2214">
        <v>17.219000000000001</v>
      </c>
      <c r="P2214">
        <v>31.157</v>
      </c>
      <c r="Q2214">
        <v>21.07</v>
      </c>
      <c r="R2214" t="s">
        <v>1053</v>
      </c>
      <c r="S2214" t="s">
        <v>25</v>
      </c>
      <c r="T2214">
        <f>IF(TRIM(Table1[[#This Row],[PitStopLaps]])="",0,
LEN(Table1[[#This Row],[PitStopLaps]])-LEN(SUBSTITUTE(Table1[[#This Row],[PitStopLaps]],",",""))+1)</f>
        <v>3</v>
      </c>
      <c r="U2214">
        <f>Table1[[#This Row],[StartPosition]]-Table1[[#This Row],[FinishPosition]]</f>
        <v>5</v>
      </c>
    </row>
    <row r="2215" spans="1:21" x14ac:dyDescent="0.3">
      <c r="A2215">
        <v>2023</v>
      </c>
      <c r="B2215">
        <v>9</v>
      </c>
      <c r="C2215" t="s">
        <v>149</v>
      </c>
      <c r="D2215" t="s">
        <v>52</v>
      </c>
      <c r="E2215" t="s">
        <v>53</v>
      </c>
      <c r="F2215" t="s">
        <v>607</v>
      </c>
      <c r="G2215">
        <v>12</v>
      </c>
      <c r="H2215">
        <v>14</v>
      </c>
      <c r="I2215">
        <v>0</v>
      </c>
      <c r="J2215" t="s">
        <v>34</v>
      </c>
      <c r="K2215" t="s">
        <v>994</v>
      </c>
      <c r="L2215">
        <v>70</v>
      </c>
      <c r="M2215">
        <v>69.796999999999997</v>
      </c>
      <c r="N2215">
        <v>70.838618999999994</v>
      </c>
      <c r="O2215">
        <v>17.242000000000001</v>
      </c>
      <c r="P2215">
        <v>31.120999999999999</v>
      </c>
      <c r="Q2215">
        <v>20.954999999999998</v>
      </c>
      <c r="R2215" t="s">
        <v>1054</v>
      </c>
      <c r="S2215" t="s">
        <v>25</v>
      </c>
      <c r="T2215">
        <f>IF(TRIM(Table1[[#This Row],[PitStopLaps]])="",0,
LEN(Table1[[#This Row],[PitStopLaps]])-LEN(SUBSTITUTE(Table1[[#This Row],[PitStopLaps]],",",""))+1)</f>
        <v>3</v>
      </c>
      <c r="U2215">
        <f>Table1[[#This Row],[StartPosition]]-Table1[[#This Row],[FinishPosition]]</f>
        <v>-2</v>
      </c>
    </row>
    <row r="2216" spans="1:21" x14ac:dyDescent="0.3">
      <c r="A2216">
        <v>2023</v>
      </c>
      <c r="B2216">
        <v>9</v>
      </c>
      <c r="C2216" t="s">
        <v>149</v>
      </c>
      <c r="D2216" t="s">
        <v>43</v>
      </c>
      <c r="E2216" t="s">
        <v>44</v>
      </c>
      <c r="F2216" t="s">
        <v>789</v>
      </c>
      <c r="G2216">
        <v>14</v>
      </c>
      <c r="H2216">
        <v>15</v>
      </c>
      <c r="I2216">
        <v>0</v>
      </c>
      <c r="J2216" t="s">
        <v>34</v>
      </c>
      <c r="K2216" t="s">
        <v>994</v>
      </c>
      <c r="L2216">
        <v>70</v>
      </c>
      <c r="M2216">
        <v>69.94</v>
      </c>
      <c r="N2216">
        <v>71.055183</v>
      </c>
      <c r="O2216">
        <v>17.193000000000001</v>
      </c>
      <c r="P2216">
        <v>31.141999999999999</v>
      </c>
      <c r="Q2216">
        <v>21.013999999999999</v>
      </c>
      <c r="R2216" t="s">
        <v>913</v>
      </c>
      <c r="S2216" t="s">
        <v>25</v>
      </c>
      <c r="T2216">
        <f>IF(TRIM(Table1[[#This Row],[PitStopLaps]])="",0,
LEN(Table1[[#This Row],[PitStopLaps]])-LEN(SUBSTITUTE(Table1[[#This Row],[PitStopLaps]],",",""))+1)</f>
        <v>3</v>
      </c>
      <c r="U2216">
        <f>Table1[[#This Row],[StartPosition]]-Table1[[#This Row],[FinishPosition]]</f>
        <v>-1</v>
      </c>
    </row>
    <row r="2217" spans="1:21" x14ac:dyDescent="0.3">
      <c r="A2217">
        <v>2023</v>
      </c>
      <c r="B2217">
        <v>9</v>
      </c>
      <c r="C2217" t="s">
        <v>149</v>
      </c>
      <c r="D2217" t="s">
        <v>1000</v>
      </c>
      <c r="E2217" t="s">
        <v>1001</v>
      </c>
      <c r="F2217" t="s">
        <v>37</v>
      </c>
      <c r="G2217">
        <v>13</v>
      </c>
      <c r="H2217">
        <v>16</v>
      </c>
      <c r="I2217">
        <v>0</v>
      </c>
      <c r="J2217" t="s">
        <v>34</v>
      </c>
      <c r="K2217" t="s">
        <v>994</v>
      </c>
      <c r="L2217">
        <v>70</v>
      </c>
      <c r="M2217">
        <v>69.861999999999995</v>
      </c>
      <c r="N2217">
        <v>71.001311000000001</v>
      </c>
      <c r="O2217">
        <v>17.273</v>
      </c>
      <c r="P2217">
        <v>31.07</v>
      </c>
      <c r="Q2217">
        <v>20.963000000000001</v>
      </c>
      <c r="R2217" t="s">
        <v>1055</v>
      </c>
      <c r="S2217" t="s">
        <v>25</v>
      </c>
      <c r="T2217">
        <f>IF(TRIM(Table1[[#This Row],[PitStopLaps]])="",0,
LEN(Table1[[#This Row],[PitStopLaps]])-LEN(SUBSTITUTE(Table1[[#This Row],[PitStopLaps]],",",""))+1)</f>
        <v>4</v>
      </c>
      <c r="U2217">
        <f>Table1[[#This Row],[StartPosition]]-Table1[[#This Row],[FinishPosition]]</f>
        <v>-3</v>
      </c>
    </row>
    <row r="2218" spans="1:21" x14ac:dyDescent="0.3">
      <c r="A2218">
        <v>2023</v>
      </c>
      <c r="B2218">
        <v>9</v>
      </c>
      <c r="C2218" t="s">
        <v>149</v>
      </c>
      <c r="D2218" t="s">
        <v>951</v>
      </c>
      <c r="E2218" t="s">
        <v>952</v>
      </c>
      <c r="F2218" t="s">
        <v>438</v>
      </c>
      <c r="G2218">
        <v>20</v>
      </c>
      <c r="H2218">
        <v>17</v>
      </c>
      <c r="I2218">
        <v>0</v>
      </c>
      <c r="J2218" t="s">
        <v>34</v>
      </c>
      <c r="K2218" t="s">
        <v>994</v>
      </c>
      <c r="L2218">
        <v>70</v>
      </c>
      <c r="M2218">
        <v>69.852000000000004</v>
      </c>
      <c r="N2218">
        <v>71.083803000000003</v>
      </c>
      <c r="O2218">
        <v>17.318999999999999</v>
      </c>
      <c r="P2218">
        <v>31.166</v>
      </c>
      <c r="Q2218">
        <v>21.09</v>
      </c>
      <c r="R2218" t="s">
        <v>1056</v>
      </c>
      <c r="S2218" t="s">
        <v>25</v>
      </c>
      <c r="T2218">
        <f>IF(TRIM(Table1[[#This Row],[PitStopLaps]])="",0,
LEN(Table1[[#This Row],[PitStopLaps]])-LEN(SUBSTITUTE(Table1[[#This Row],[PitStopLaps]],",",""))+1)</f>
        <v>3</v>
      </c>
      <c r="U2218">
        <f>Table1[[#This Row],[StartPosition]]-Table1[[#This Row],[FinishPosition]]</f>
        <v>3</v>
      </c>
    </row>
    <row r="2219" spans="1:21" x14ac:dyDescent="0.3">
      <c r="A2219">
        <v>2023</v>
      </c>
      <c r="B2219">
        <v>9</v>
      </c>
      <c r="C2219" t="s">
        <v>149</v>
      </c>
      <c r="D2219" t="s">
        <v>71</v>
      </c>
      <c r="E2219" t="s">
        <v>72</v>
      </c>
      <c r="F2219" t="s">
        <v>69</v>
      </c>
      <c r="G2219">
        <v>19</v>
      </c>
      <c r="H2219">
        <v>18</v>
      </c>
      <c r="I2219">
        <v>0</v>
      </c>
      <c r="J2219" t="s">
        <v>34</v>
      </c>
      <c r="K2219" t="s">
        <v>994</v>
      </c>
      <c r="L2219">
        <v>70</v>
      </c>
      <c r="M2219">
        <v>70.176000000000002</v>
      </c>
      <c r="N2219">
        <v>71.685730000000007</v>
      </c>
      <c r="O2219">
        <v>17.251999999999999</v>
      </c>
      <c r="P2219">
        <v>31.241</v>
      </c>
      <c r="Q2219">
        <v>21.201000000000001</v>
      </c>
      <c r="R2219" t="s">
        <v>1057</v>
      </c>
      <c r="S2219" t="s">
        <v>25</v>
      </c>
      <c r="T2219">
        <f>IF(TRIM(Table1[[#This Row],[PitStopLaps]])="",0,
LEN(Table1[[#This Row],[PitStopLaps]])-LEN(SUBSTITUTE(Table1[[#This Row],[PitStopLaps]],",",""))+1)</f>
        <v>3</v>
      </c>
      <c r="U2219">
        <f>Table1[[#This Row],[StartPosition]]-Table1[[#This Row],[FinishPosition]]</f>
        <v>1</v>
      </c>
    </row>
    <row r="2220" spans="1:21" x14ac:dyDescent="0.3">
      <c r="A2220">
        <v>2023</v>
      </c>
      <c r="B2220">
        <v>9</v>
      </c>
      <c r="C2220" t="s">
        <v>149</v>
      </c>
      <c r="D2220" t="s">
        <v>601</v>
      </c>
      <c r="E2220" t="s">
        <v>602</v>
      </c>
      <c r="F2220" t="s">
        <v>438</v>
      </c>
      <c r="G2220">
        <v>16</v>
      </c>
      <c r="H2220">
        <v>19</v>
      </c>
      <c r="I2220">
        <v>0</v>
      </c>
      <c r="J2220" t="s">
        <v>34</v>
      </c>
      <c r="K2220" t="s">
        <v>994</v>
      </c>
      <c r="L2220">
        <v>70</v>
      </c>
      <c r="M2220">
        <v>69.62</v>
      </c>
      <c r="N2220">
        <v>71.157133000000002</v>
      </c>
      <c r="O2220">
        <v>17.198</v>
      </c>
      <c r="P2220">
        <v>30.92</v>
      </c>
      <c r="Q2220">
        <v>21.143999999999998</v>
      </c>
      <c r="R2220" t="s">
        <v>1058</v>
      </c>
      <c r="S2220" t="s">
        <v>25</v>
      </c>
      <c r="T2220">
        <f>IF(TRIM(Table1[[#This Row],[PitStopLaps]])="",0,
LEN(Table1[[#This Row],[PitStopLaps]])-LEN(SUBSTITUTE(Table1[[#This Row],[PitStopLaps]],",",""))+1)</f>
        <v>4</v>
      </c>
      <c r="U2220">
        <f>Table1[[#This Row],[StartPosition]]-Table1[[#This Row],[FinishPosition]]</f>
        <v>-3</v>
      </c>
    </row>
    <row r="2221" spans="1:21" x14ac:dyDescent="0.3">
      <c r="A2221">
        <v>2023</v>
      </c>
      <c r="B2221">
        <v>9</v>
      </c>
      <c r="C2221" t="s">
        <v>149</v>
      </c>
      <c r="D2221" t="s">
        <v>40</v>
      </c>
      <c r="E2221" t="s">
        <v>41</v>
      </c>
      <c r="F2221" t="s">
        <v>69</v>
      </c>
      <c r="G2221">
        <v>8</v>
      </c>
      <c r="H2221">
        <v>20</v>
      </c>
      <c r="I2221">
        <v>0</v>
      </c>
      <c r="J2221" t="s">
        <v>34</v>
      </c>
      <c r="K2221" t="s">
        <v>179</v>
      </c>
      <c r="L2221">
        <v>13</v>
      </c>
      <c r="M2221">
        <v>71.066000000000003</v>
      </c>
      <c r="N2221">
        <v>71.516428000000005</v>
      </c>
      <c r="O2221">
        <v>17.306999999999999</v>
      </c>
      <c r="P2221">
        <v>31.672000000000001</v>
      </c>
      <c r="Q2221">
        <v>21.657</v>
      </c>
      <c r="R2221" t="s">
        <v>965</v>
      </c>
      <c r="S2221" t="s">
        <v>25</v>
      </c>
      <c r="T2221">
        <f>IF(TRIM(Table1[[#This Row],[PitStopLaps]])="",0,
LEN(Table1[[#This Row],[PitStopLaps]])-LEN(SUBSTITUTE(Table1[[#This Row],[PitStopLaps]],",",""))+1)</f>
        <v>2</v>
      </c>
      <c r="U2221">
        <f>Table1[[#This Row],[StartPosition]]-Table1[[#This Row],[FinishPosition]]</f>
        <v>-12</v>
      </c>
    </row>
    <row r="2222" spans="1:21" x14ac:dyDescent="0.3">
      <c r="A2222">
        <v>2023</v>
      </c>
      <c r="B2222">
        <v>10</v>
      </c>
      <c r="C2222" t="s">
        <v>157</v>
      </c>
      <c r="D2222" t="s">
        <v>38</v>
      </c>
      <c r="E2222" t="s">
        <v>39</v>
      </c>
      <c r="F2222" t="s">
        <v>33</v>
      </c>
      <c r="G2222">
        <v>1</v>
      </c>
      <c r="H2222">
        <v>1</v>
      </c>
      <c r="I2222">
        <v>26</v>
      </c>
      <c r="J2222" t="s">
        <v>23</v>
      </c>
      <c r="K2222" t="s">
        <v>24</v>
      </c>
      <c r="L2222">
        <v>52</v>
      </c>
      <c r="M2222">
        <v>90.275000000000006</v>
      </c>
      <c r="N2222">
        <v>92.063643999999996</v>
      </c>
      <c r="O2222">
        <v>28.667999999999999</v>
      </c>
      <c r="P2222">
        <v>36.344000000000001</v>
      </c>
      <c r="Q2222">
        <v>24.844000000000001</v>
      </c>
      <c r="R2222">
        <v>33</v>
      </c>
      <c r="S2222" t="s">
        <v>83</v>
      </c>
      <c r="T2222">
        <f>IF(TRIM(Table1[[#This Row],[PitStopLaps]])="",0,
LEN(Table1[[#This Row],[PitStopLaps]])-LEN(SUBSTITUTE(Table1[[#This Row],[PitStopLaps]],",",""))+1)</f>
        <v>1</v>
      </c>
      <c r="U2222">
        <f>Table1[[#This Row],[StartPosition]]-Table1[[#This Row],[FinishPosition]]</f>
        <v>0</v>
      </c>
    </row>
    <row r="2223" spans="1:21" x14ac:dyDescent="0.3">
      <c r="A2223">
        <v>2023</v>
      </c>
      <c r="B2223">
        <v>10</v>
      </c>
      <c r="C2223" t="s">
        <v>157</v>
      </c>
      <c r="D2223" t="s">
        <v>246</v>
      </c>
      <c r="E2223" t="s">
        <v>247</v>
      </c>
      <c r="F2223" t="s">
        <v>37</v>
      </c>
      <c r="G2223">
        <v>2</v>
      </c>
      <c r="H2223">
        <v>2</v>
      </c>
      <c r="I2223">
        <v>18</v>
      </c>
      <c r="J2223" t="s">
        <v>23</v>
      </c>
      <c r="K2223" t="s">
        <v>24</v>
      </c>
      <c r="L2223">
        <v>52</v>
      </c>
      <c r="M2223">
        <v>90.543000000000006</v>
      </c>
      <c r="N2223">
        <v>92.351133000000004</v>
      </c>
      <c r="O2223">
        <v>29.004999999999999</v>
      </c>
      <c r="P2223">
        <v>36.383000000000003</v>
      </c>
      <c r="Q2223">
        <v>24.908000000000001</v>
      </c>
      <c r="R2223">
        <v>33</v>
      </c>
      <c r="S2223" t="s">
        <v>83</v>
      </c>
      <c r="T2223">
        <f>IF(TRIM(Table1[[#This Row],[PitStopLaps]])="",0,
LEN(Table1[[#This Row],[PitStopLaps]])-LEN(SUBSTITUTE(Table1[[#This Row],[PitStopLaps]],",",""))+1)</f>
        <v>1</v>
      </c>
      <c r="U2223">
        <f>Table1[[#This Row],[StartPosition]]-Table1[[#This Row],[FinishPosition]]</f>
        <v>0</v>
      </c>
    </row>
    <row r="2224" spans="1:21" x14ac:dyDescent="0.3">
      <c r="A2224">
        <v>2023</v>
      </c>
      <c r="B2224">
        <v>10</v>
      </c>
      <c r="C2224" t="s">
        <v>157</v>
      </c>
      <c r="D2224" t="s">
        <v>26</v>
      </c>
      <c r="E2224" t="s">
        <v>27</v>
      </c>
      <c r="F2224" t="s">
        <v>28</v>
      </c>
      <c r="G2224">
        <v>7</v>
      </c>
      <c r="H2224">
        <v>3</v>
      </c>
      <c r="I2224">
        <v>15</v>
      </c>
      <c r="J2224" t="s">
        <v>23</v>
      </c>
      <c r="K2224" t="s">
        <v>24</v>
      </c>
      <c r="L2224">
        <v>52</v>
      </c>
      <c r="M2224">
        <v>90.545000000000002</v>
      </c>
      <c r="N2224">
        <v>92.576818000000003</v>
      </c>
      <c r="O2224">
        <v>28.789000000000001</v>
      </c>
      <c r="P2224">
        <v>36.615000000000002</v>
      </c>
      <c r="Q2224">
        <v>24.902000000000001</v>
      </c>
      <c r="R2224">
        <v>33</v>
      </c>
      <c r="S2224" t="s">
        <v>83</v>
      </c>
      <c r="T2224">
        <f>IF(TRIM(Table1[[#This Row],[PitStopLaps]])="",0,
LEN(Table1[[#This Row],[PitStopLaps]])-LEN(SUBSTITUTE(Table1[[#This Row],[PitStopLaps]],",",""))+1)</f>
        <v>1</v>
      </c>
      <c r="U2224">
        <f>Table1[[#This Row],[StartPosition]]-Table1[[#This Row],[FinishPosition]]</f>
        <v>4</v>
      </c>
    </row>
    <row r="2225" spans="1:21" x14ac:dyDescent="0.3">
      <c r="A2225">
        <v>2023</v>
      </c>
      <c r="B2225">
        <v>10</v>
      </c>
      <c r="C2225" t="s">
        <v>157</v>
      </c>
      <c r="D2225" t="s">
        <v>1000</v>
      </c>
      <c r="E2225" t="s">
        <v>1001</v>
      </c>
      <c r="F2225" t="s">
        <v>37</v>
      </c>
      <c r="G2225">
        <v>3</v>
      </c>
      <c r="H2225">
        <v>4</v>
      </c>
      <c r="I2225">
        <v>12</v>
      </c>
      <c r="J2225" t="s">
        <v>34</v>
      </c>
      <c r="K2225" t="s">
        <v>24</v>
      </c>
      <c r="L2225">
        <v>52</v>
      </c>
      <c r="M2225">
        <v>90.85</v>
      </c>
      <c r="N2225">
        <v>92.420975999999996</v>
      </c>
      <c r="O2225">
        <v>29.042999999999999</v>
      </c>
      <c r="P2225">
        <v>36.590000000000003</v>
      </c>
      <c r="Q2225">
        <v>24.922000000000001</v>
      </c>
      <c r="R2225">
        <v>29</v>
      </c>
      <c r="S2225" t="s">
        <v>83</v>
      </c>
      <c r="T2225">
        <f>IF(TRIM(Table1[[#This Row],[PitStopLaps]])="",0,
LEN(Table1[[#This Row],[PitStopLaps]])-LEN(SUBSTITUTE(Table1[[#This Row],[PitStopLaps]],",",""))+1)</f>
        <v>1</v>
      </c>
      <c r="U2225">
        <f>Table1[[#This Row],[StartPosition]]-Table1[[#This Row],[FinishPosition]]</f>
        <v>-1</v>
      </c>
    </row>
    <row r="2226" spans="1:21" x14ac:dyDescent="0.3">
      <c r="A2226">
        <v>2023</v>
      </c>
      <c r="B2226">
        <v>10</v>
      </c>
      <c r="C2226" t="s">
        <v>157</v>
      </c>
      <c r="D2226" t="s">
        <v>252</v>
      </c>
      <c r="E2226" t="s">
        <v>253</v>
      </c>
      <c r="F2226" t="s">
        <v>28</v>
      </c>
      <c r="G2226">
        <v>6</v>
      </c>
      <c r="H2226">
        <v>5</v>
      </c>
      <c r="I2226">
        <v>10</v>
      </c>
      <c r="J2226" t="s">
        <v>34</v>
      </c>
      <c r="K2226" t="s">
        <v>24</v>
      </c>
      <c r="L2226">
        <v>52</v>
      </c>
      <c r="M2226">
        <v>91.123999999999995</v>
      </c>
      <c r="N2226">
        <v>92.569333</v>
      </c>
      <c r="O2226">
        <v>29.048999999999999</v>
      </c>
      <c r="P2226">
        <v>36.759</v>
      </c>
      <c r="Q2226">
        <v>25.044</v>
      </c>
      <c r="R2226">
        <v>28</v>
      </c>
      <c r="S2226" t="s">
        <v>83</v>
      </c>
      <c r="T2226">
        <f>IF(TRIM(Table1[[#This Row],[PitStopLaps]])="",0,
LEN(Table1[[#This Row],[PitStopLaps]])-LEN(SUBSTITUTE(Table1[[#This Row],[PitStopLaps]],",",""))+1)</f>
        <v>1</v>
      </c>
      <c r="U2226">
        <f>Table1[[#This Row],[StartPosition]]-Table1[[#This Row],[FinishPosition]]</f>
        <v>1</v>
      </c>
    </row>
    <row r="2227" spans="1:21" x14ac:dyDescent="0.3">
      <c r="A2227">
        <v>2023</v>
      </c>
      <c r="B2227">
        <v>10</v>
      </c>
      <c r="C2227" t="s">
        <v>157</v>
      </c>
      <c r="D2227" t="s">
        <v>49</v>
      </c>
      <c r="E2227" t="s">
        <v>50</v>
      </c>
      <c r="F2227" t="s">
        <v>33</v>
      </c>
      <c r="G2227">
        <v>15</v>
      </c>
      <c r="H2227">
        <v>6</v>
      </c>
      <c r="I2227">
        <v>8</v>
      </c>
      <c r="J2227" t="s">
        <v>34</v>
      </c>
      <c r="K2227" t="s">
        <v>24</v>
      </c>
      <c r="L2227">
        <v>52</v>
      </c>
      <c r="M2227">
        <v>90.914000000000001</v>
      </c>
      <c r="N2227">
        <v>92.743641999999994</v>
      </c>
      <c r="O2227">
        <v>29.103999999999999</v>
      </c>
      <c r="P2227">
        <v>36.713999999999999</v>
      </c>
      <c r="Q2227">
        <v>25.013999999999999</v>
      </c>
      <c r="R2227">
        <v>28</v>
      </c>
      <c r="S2227" t="s">
        <v>83</v>
      </c>
      <c r="T2227">
        <f>IF(TRIM(Table1[[#This Row],[PitStopLaps]])="",0,
LEN(Table1[[#This Row],[PitStopLaps]])-LEN(SUBSTITUTE(Table1[[#This Row],[PitStopLaps]],",",""))+1)</f>
        <v>1</v>
      </c>
      <c r="U2227">
        <f>Table1[[#This Row],[StartPosition]]-Table1[[#This Row],[FinishPosition]]</f>
        <v>9</v>
      </c>
    </row>
    <row r="2228" spans="1:21" x14ac:dyDescent="0.3">
      <c r="A2228">
        <v>2023</v>
      </c>
      <c r="B2228">
        <v>10</v>
      </c>
      <c r="C2228" t="s">
        <v>157</v>
      </c>
      <c r="D2228" t="s">
        <v>35</v>
      </c>
      <c r="E2228" t="s">
        <v>36</v>
      </c>
      <c r="F2228" t="s">
        <v>603</v>
      </c>
      <c r="G2228">
        <v>9</v>
      </c>
      <c r="H2228">
        <v>7</v>
      </c>
      <c r="I2228">
        <v>6</v>
      </c>
      <c r="J2228" t="s">
        <v>34</v>
      </c>
      <c r="K2228" t="s">
        <v>24</v>
      </c>
      <c r="L2228">
        <v>52</v>
      </c>
      <c r="M2228">
        <v>91.337999999999994</v>
      </c>
      <c r="N2228">
        <v>92.967180999999997</v>
      </c>
      <c r="O2228">
        <v>29.103000000000002</v>
      </c>
      <c r="P2228">
        <v>36.926000000000002</v>
      </c>
      <c r="Q2228">
        <v>25.309000000000001</v>
      </c>
      <c r="R2228">
        <v>33</v>
      </c>
      <c r="S2228" t="s">
        <v>83</v>
      </c>
      <c r="T2228">
        <f>IF(TRIM(Table1[[#This Row],[PitStopLaps]])="",0,
LEN(Table1[[#This Row],[PitStopLaps]])-LEN(SUBSTITUTE(Table1[[#This Row],[PitStopLaps]],",",""))+1)</f>
        <v>1</v>
      </c>
      <c r="U2228">
        <f>Table1[[#This Row],[StartPosition]]-Table1[[#This Row],[FinishPosition]]</f>
        <v>2</v>
      </c>
    </row>
    <row r="2229" spans="1:21" x14ac:dyDescent="0.3">
      <c r="A2229">
        <v>2023</v>
      </c>
      <c r="B2229">
        <v>10</v>
      </c>
      <c r="C2229" t="s">
        <v>157</v>
      </c>
      <c r="D2229" t="s">
        <v>248</v>
      </c>
      <c r="E2229" t="s">
        <v>249</v>
      </c>
      <c r="F2229" t="s">
        <v>60</v>
      </c>
      <c r="G2229">
        <v>8</v>
      </c>
      <c r="H2229">
        <v>8</v>
      </c>
      <c r="I2229">
        <v>4</v>
      </c>
      <c r="J2229" t="s">
        <v>34</v>
      </c>
      <c r="K2229" t="s">
        <v>24</v>
      </c>
      <c r="L2229">
        <v>52</v>
      </c>
      <c r="M2229">
        <v>91.272999999999996</v>
      </c>
      <c r="N2229">
        <v>93.064931000000001</v>
      </c>
      <c r="O2229">
        <v>28.927</v>
      </c>
      <c r="P2229">
        <v>37.139000000000003</v>
      </c>
      <c r="Q2229">
        <v>25.085999999999999</v>
      </c>
      <c r="R2229">
        <v>32</v>
      </c>
      <c r="S2229" t="s">
        <v>83</v>
      </c>
      <c r="T2229">
        <f>IF(TRIM(Table1[[#This Row],[PitStopLaps]])="",0,
LEN(Table1[[#This Row],[PitStopLaps]])-LEN(SUBSTITUTE(Table1[[#This Row],[PitStopLaps]],",",""))+1)</f>
        <v>1</v>
      </c>
      <c r="U2229">
        <f>Table1[[#This Row],[StartPosition]]-Table1[[#This Row],[FinishPosition]]</f>
        <v>0</v>
      </c>
    </row>
    <row r="2230" spans="1:21" x14ac:dyDescent="0.3">
      <c r="A2230">
        <v>2023</v>
      </c>
      <c r="B2230">
        <v>10</v>
      </c>
      <c r="C2230" t="s">
        <v>157</v>
      </c>
      <c r="D2230" t="s">
        <v>54</v>
      </c>
      <c r="E2230" t="s">
        <v>55</v>
      </c>
      <c r="F2230" t="s">
        <v>22</v>
      </c>
      <c r="G2230">
        <v>4</v>
      </c>
      <c r="H2230">
        <v>9</v>
      </c>
      <c r="I2230">
        <v>2</v>
      </c>
      <c r="J2230" t="s">
        <v>34</v>
      </c>
      <c r="K2230" t="s">
        <v>24</v>
      </c>
      <c r="L2230">
        <v>52</v>
      </c>
      <c r="M2230">
        <v>91.254999999999995</v>
      </c>
      <c r="N2230">
        <v>92.731976000000003</v>
      </c>
      <c r="O2230">
        <v>28.928000000000001</v>
      </c>
      <c r="P2230">
        <v>36.927999999999997</v>
      </c>
      <c r="Q2230">
        <v>25.14</v>
      </c>
      <c r="R2230" t="s">
        <v>668</v>
      </c>
      <c r="S2230" t="s">
        <v>83</v>
      </c>
      <c r="T2230">
        <f>IF(TRIM(Table1[[#This Row],[PitStopLaps]])="",0,
LEN(Table1[[#This Row],[PitStopLaps]])-LEN(SUBSTITUTE(Table1[[#This Row],[PitStopLaps]],",",""))+1)</f>
        <v>2</v>
      </c>
      <c r="U2230">
        <f>Table1[[#This Row],[StartPosition]]-Table1[[#This Row],[FinishPosition]]</f>
        <v>-5</v>
      </c>
    </row>
    <row r="2231" spans="1:21" x14ac:dyDescent="0.3">
      <c r="A2231">
        <v>2023</v>
      </c>
      <c r="B2231">
        <v>10</v>
      </c>
      <c r="C2231" t="s">
        <v>157</v>
      </c>
      <c r="D2231" t="s">
        <v>47</v>
      </c>
      <c r="E2231" t="s">
        <v>48</v>
      </c>
      <c r="F2231" t="s">
        <v>22</v>
      </c>
      <c r="G2231">
        <v>5</v>
      </c>
      <c r="H2231">
        <v>10</v>
      </c>
      <c r="I2231">
        <v>1</v>
      </c>
      <c r="J2231" t="s">
        <v>34</v>
      </c>
      <c r="K2231" t="s">
        <v>24</v>
      </c>
      <c r="L2231">
        <v>52</v>
      </c>
      <c r="M2231">
        <v>91.366</v>
      </c>
      <c r="N2231">
        <v>92.807070999999993</v>
      </c>
      <c r="O2231">
        <v>29.053999999999998</v>
      </c>
      <c r="P2231">
        <v>36.938000000000002</v>
      </c>
      <c r="Q2231">
        <v>25.187999999999999</v>
      </c>
      <c r="R2231">
        <v>26</v>
      </c>
      <c r="S2231" t="s">
        <v>83</v>
      </c>
      <c r="T2231">
        <f>IF(TRIM(Table1[[#This Row],[PitStopLaps]])="",0,
LEN(Table1[[#This Row],[PitStopLaps]])-LEN(SUBSTITUTE(Table1[[#This Row],[PitStopLaps]],",",""))+1)</f>
        <v>1</v>
      </c>
      <c r="U2231">
        <f>Table1[[#This Row],[StartPosition]]-Table1[[#This Row],[FinishPosition]]</f>
        <v>-5</v>
      </c>
    </row>
    <row r="2232" spans="1:21" x14ac:dyDescent="0.3">
      <c r="A2232">
        <v>2023</v>
      </c>
      <c r="B2232">
        <v>10</v>
      </c>
      <c r="C2232" t="s">
        <v>157</v>
      </c>
      <c r="D2232" t="s">
        <v>992</v>
      </c>
      <c r="E2232" t="s">
        <v>993</v>
      </c>
      <c r="F2232" t="s">
        <v>60</v>
      </c>
      <c r="G2232">
        <v>14</v>
      </c>
      <c r="H2232">
        <v>11</v>
      </c>
      <c r="I2232">
        <v>0</v>
      </c>
      <c r="J2232" t="s">
        <v>34</v>
      </c>
      <c r="K2232" t="s">
        <v>24</v>
      </c>
      <c r="L2232">
        <v>52</v>
      </c>
      <c r="M2232">
        <v>91.698999999999998</v>
      </c>
      <c r="N2232">
        <v>93.332308999999995</v>
      </c>
      <c r="O2232">
        <v>29.102</v>
      </c>
      <c r="P2232">
        <v>37.177</v>
      </c>
      <c r="Q2232">
        <v>25.175999999999998</v>
      </c>
      <c r="R2232">
        <v>29</v>
      </c>
      <c r="S2232" t="s">
        <v>83</v>
      </c>
      <c r="T2232">
        <f>IF(TRIM(Table1[[#This Row],[PitStopLaps]])="",0,
LEN(Table1[[#This Row],[PitStopLaps]])-LEN(SUBSTITUTE(Table1[[#This Row],[PitStopLaps]],",",""))+1)</f>
        <v>1</v>
      </c>
      <c r="U2232">
        <f>Table1[[#This Row],[StartPosition]]-Table1[[#This Row],[FinishPosition]]</f>
        <v>3</v>
      </c>
    </row>
    <row r="2233" spans="1:21" x14ac:dyDescent="0.3">
      <c r="A2233">
        <v>2023</v>
      </c>
      <c r="B2233">
        <v>10</v>
      </c>
      <c r="C2233" t="s">
        <v>157</v>
      </c>
      <c r="D2233" t="s">
        <v>43</v>
      </c>
      <c r="E2233" t="s">
        <v>44</v>
      </c>
      <c r="F2233" t="s">
        <v>789</v>
      </c>
      <c r="G2233">
        <v>20</v>
      </c>
      <c r="H2233">
        <v>12</v>
      </c>
      <c r="I2233">
        <v>0</v>
      </c>
      <c r="J2233" t="s">
        <v>34</v>
      </c>
      <c r="K2233" t="s">
        <v>24</v>
      </c>
      <c r="L2233">
        <v>52</v>
      </c>
      <c r="M2233">
        <v>91.852000000000004</v>
      </c>
      <c r="N2233">
        <v>93.558295000000001</v>
      </c>
      <c r="O2233">
        <v>29.193000000000001</v>
      </c>
      <c r="P2233">
        <v>37.073</v>
      </c>
      <c r="Q2233">
        <v>25.295999999999999</v>
      </c>
      <c r="R2233">
        <v>32</v>
      </c>
      <c r="S2233" t="s">
        <v>83</v>
      </c>
      <c r="T2233">
        <f>IF(TRIM(Table1[[#This Row],[PitStopLaps]])="",0,
LEN(Table1[[#This Row],[PitStopLaps]])-LEN(SUBSTITUTE(Table1[[#This Row],[PitStopLaps]],",",""))+1)</f>
        <v>1</v>
      </c>
      <c r="U2233">
        <f>Table1[[#This Row],[StartPosition]]-Table1[[#This Row],[FinishPosition]]</f>
        <v>8</v>
      </c>
    </row>
    <row r="2234" spans="1:21" x14ac:dyDescent="0.3">
      <c r="A2234">
        <v>2023</v>
      </c>
      <c r="B2234">
        <v>10</v>
      </c>
      <c r="C2234" t="s">
        <v>157</v>
      </c>
      <c r="D2234" t="s">
        <v>40</v>
      </c>
      <c r="E2234" t="s">
        <v>41</v>
      </c>
      <c r="F2234" t="s">
        <v>69</v>
      </c>
      <c r="G2234">
        <v>11</v>
      </c>
      <c r="H2234">
        <v>13</v>
      </c>
      <c r="I2234">
        <v>0</v>
      </c>
      <c r="J2234" t="s">
        <v>34</v>
      </c>
      <c r="K2234" t="s">
        <v>24</v>
      </c>
      <c r="L2234">
        <v>52</v>
      </c>
      <c r="M2234">
        <v>91.775999999999996</v>
      </c>
      <c r="N2234">
        <v>93.315237999999994</v>
      </c>
      <c r="O2234">
        <v>29.175999999999998</v>
      </c>
      <c r="P2234">
        <v>37.003</v>
      </c>
      <c r="Q2234">
        <v>25.385999999999999</v>
      </c>
      <c r="R2234" t="s">
        <v>1059</v>
      </c>
      <c r="S2234" t="s">
        <v>83</v>
      </c>
      <c r="T2234">
        <f>IF(TRIM(Table1[[#This Row],[PitStopLaps]])="",0,
LEN(Table1[[#This Row],[PitStopLaps]])-LEN(SUBSTITUTE(Table1[[#This Row],[PitStopLaps]],",",""))+1)</f>
        <v>2</v>
      </c>
      <c r="U2234">
        <f>Table1[[#This Row],[StartPosition]]-Table1[[#This Row],[FinishPosition]]</f>
        <v>-2</v>
      </c>
    </row>
    <row r="2235" spans="1:21" x14ac:dyDescent="0.3">
      <c r="A2235">
        <v>2023</v>
      </c>
      <c r="B2235">
        <v>10</v>
      </c>
      <c r="C2235" t="s">
        <v>157</v>
      </c>
      <c r="D2235" t="s">
        <v>58</v>
      </c>
      <c r="E2235" t="s">
        <v>59</v>
      </c>
      <c r="F2235" t="s">
        <v>603</v>
      </c>
      <c r="G2235">
        <v>12</v>
      </c>
      <c r="H2235">
        <v>14</v>
      </c>
      <c r="I2235">
        <v>0</v>
      </c>
      <c r="J2235" t="s">
        <v>34</v>
      </c>
      <c r="K2235" t="s">
        <v>24</v>
      </c>
      <c r="L2235">
        <v>52</v>
      </c>
      <c r="M2235">
        <v>91.507999999999996</v>
      </c>
      <c r="N2235">
        <v>93.277883000000003</v>
      </c>
      <c r="O2235">
        <v>29.088000000000001</v>
      </c>
      <c r="P2235">
        <v>36.951000000000001</v>
      </c>
      <c r="Q2235">
        <v>25.172999999999998</v>
      </c>
      <c r="R2235">
        <v>31</v>
      </c>
      <c r="S2235" t="s">
        <v>83</v>
      </c>
      <c r="T2235">
        <f>IF(TRIM(Table1[[#This Row],[PitStopLaps]])="",0,
LEN(Table1[[#This Row],[PitStopLaps]])-LEN(SUBSTITUTE(Table1[[#This Row],[PitStopLaps]],",",""))+1)</f>
        <v>1</v>
      </c>
      <c r="U2235">
        <f>Table1[[#This Row],[StartPosition]]-Table1[[#This Row],[FinishPosition]]</f>
        <v>-2</v>
      </c>
    </row>
    <row r="2236" spans="1:21" x14ac:dyDescent="0.3">
      <c r="A2236">
        <v>2023</v>
      </c>
      <c r="B2236">
        <v>10</v>
      </c>
      <c r="C2236" t="s">
        <v>157</v>
      </c>
      <c r="D2236" t="s">
        <v>794</v>
      </c>
      <c r="E2236" t="s">
        <v>795</v>
      </c>
      <c r="F2236" t="s">
        <v>789</v>
      </c>
      <c r="G2236">
        <v>17</v>
      </c>
      <c r="H2236">
        <v>15</v>
      </c>
      <c r="I2236">
        <v>0</v>
      </c>
      <c r="J2236" t="s">
        <v>34</v>
      </c>
      <c r="K2236" t="s">
        <v>24</v>
      </c>
      <c r="L2236">
        <v>52</v>
      </c>
      <c r="M2236">
        <v>91.769000000000005</v>
      </c>
      <c r="N2236">
        <v>93.489547000000002</v>
      </c>
      <c r="O2236">
        <v>29.138999999999999</v>
      </c>
      <c r="P2236">
        <v>37.006999999999998</v>
      </c>
      <c r="Q2236">
        <v>25.212</v>
      </c>
      <c r="R2236" t="s">
        <v>1060</v>
      </c>
      <c r="S2236" t="s">
        <v>83</v>
      </c>
      <c r="T2236">
        <f>IF(TRIM(Table1[[#This Row],[PitStopLaps]])="",0,
LEN(Table1[[#This Row],[PitStopLaps]])-LEN(SUBSTITUTE(Table1[[#This Row],[PitStopLaps]],",",""))+1)</f>
        <v>3</v>
      </c>
      <c r="U2236">
        <f>Table1[[#This Row],[StartPosition]]-Table1[[#This Row],[FinishPosition]]</f>
        <v>2</v>
      </c>
    </row>
    <row r="2237" spans="1:21" x14ac:dyDescent="0.3">
      <c r="A2237">
        <v>2023</v>
      </c>
      <c r="B2237">
        <v>10</v>
      </c>
      <c r="C2237" t="s">
        <v>157</v>
      </c>
      <c r="D2237" t="s">
        <v>601</v>
      </c>
      <c r="E2237" t="s">
        <v>602</v>
      </c>
      <c r="F2237" t="s">
        <v>438</v>
      </c>
      <c r="G2237">
        <v>16</v>
      </c>
      <c r="H2237">
        <v>16</v>
      </c>
      <c r="I2237">
        <v>0</v>
      </c>
      <c r="J2237" t="s">
        <v>34</v>
      </c>
      <c r="K2237" t="s">
        <v>24</v>
      </c>
      <c r="L2237">
        <v>52</v>
      </c>
      <c r="M2237">
        <v>92.084000000000003</v>
      </c>
      <c r="N2237">
        <v>93.387595000000005</v>
      </c>
      <c r="O2237">
        <v>29.231000000000002</v>
      </c>
      <c r="P2237">
        <v>37.22</v>
      </c>
      <c r="Q2237">
        <v>25.518999999999998</v>
      </c>
      <c r="R2237" t="s">
        <v>806</v>
      </c>
      <c r="S2237" t="s">
        <v>83</v>
      </c>
      <c r="T2237">
        <f>IF(TRIM(Table1[[#This Row],[PitStopLaps]])="",0,
LEN(Table1[[#This Row],[PitStopLaps]])-LEN(SUBSTITUTE(Table1[[#This Row],[PitStopLaps]],",",""))+1)</f>
        <v>2</v>
      </c>
      <c r="U2237">
        <f>Table1[[#This Row],[StartPosition]]-Table1[[#This Row],[FinishPosition]]</f>
        <v>0</v>
      </c>
    </row>
    <row r="2238" spans="1:21" x14ac:dyDescent="0.3">
      <c r="A2238">
        <v>2023</v>
      </c>
      <c r="B2238">
        <v>10</v>
      </c>
      <c r="C2238" t="s">
        <v>157</v>
      </c>
      <c r="D2238" t="s">
        <v>951</v>
      </c>
      <c r="E2238" t="s">
        <v>952</v>
      </c>
      <c r="F2238" t="s">
        <v>438</v>
      </c>
      <c r="G2238">
        <v>18</v>
      </c>
      <c r="H2238">
        <v>17</v>
      </c>
      <c r="I2238">
        <v>0</v>
      </c>
      <c r="J2238" t="s">
        <v>34</v>
      </c>
      <c r="K2238" t="s">
        <v>24</v>
      </c>
      <c r="L2238">
        <v>52</v>
      </c>
      <c r="M2238">
        <v>92.352999999999994</v>
      </c>
      <c r="N2238">
        <v>93.567618999999993</v>
      </c>
      <c r="O2238">
        <v>29.334</v>
      </c>
      <c r="P2238">
        <v>37.301000000000002</v>
      </c>
      <c r="Q2238">
        <v>25.372</v>
      </c>
      <c r="R2238" t="s">
        <v>1061</v>
      </c>
      <c r="S2238" t="s">
        <v>83</v>
      </c>
      <c r="T2238">
        <f>IF(TRIM(Table1[[#This Row],[PitStopLaps]])="",0,
LEN(Table1[[#This Row],[PitStopLaps]])-LEN(SUBSTITUTE(Table1[[#This Row],[PitStopLaps]],",",""))+1)</f>
        <v>2</v>
      </c>
      <c r="U2238">
        <f>Table1[[#This Row],[StartPosition]]-Table1[[#This Row],[FinishPosition]]</f>
        <v>1</v>
      </c>
    </row>
    <row r="2239" spans="1:21" x14ac:dyDescent="0.3">
      <c r="A2239">
        <v>2023</v>
      </c>
      <c r="B2239">
        <v>10</v>
      </c>
      <c r="C2239" t="s">
        <v>157</v>
      </c>
      <c r="D2239" t="s">
        <v>73</v>
      </c>
      <c r="E2239" t="s">
        <v>74</v>
      </c>
      <c r="F2239" t="s">
        <v>607</v>
      </c>
      <c r="G2239">
        <v>10</v>
      </c>
      <c r="H2239">
        <v>18</v>
      </c>
      <c r="I2239">
        <v>0</v>
      </c>
      <c r="J2239" t="s">
        <v>34</v>
      </c>
      <c r="K2239" t="s">
        <v>179</v>
      </c>
      <c r="L2239">
        <v>46</v>
      </c>
      <c r="M2239">
        <v>91.539000000000001</v>
      </c>
      <c r="N2239">
        <v>93.401387999999997</v>
      </c>
      <c r="O2239">
        <v>29.164999999999999</v>
      </c>
      <c r="P2239">
        <v>36.887999999999998</v>
      </c>
      <c r="Q2239">
        <v>25.236999999999998</v>
      </c>
      <c r="R2239" t="s">
        <v>1062</v>
      </c>
      <c r="S2239" t="s">
        <v>83</v>
      </c>
      <c r="T2239">
        <f>IF(TRIM(Table1[[#This Row],[PitStopLaps]])="",0,
LEN(Table1[[#This Row],[PitStopLaps]])-LEN(SUBSTITUTE(Table1[[#This Row],[PitStopLaps]],",",""))+1)</f>
        <v>2</v>
      </c>
      <c r="U2239">
        <f>Table1[[#This Row],[StartPosition]]-Table1[[#This Row],[FinishPosition]]</f>
        <v>-8</v>
      </c>
    </row>
    <row r="2240" spans="1:21" x14ac:dyDescent="0.3">
      <c r="A2240">
        <v>2023</v>
      </c>
      <c r="B2240">
        <v>10</v>
      </c>
      <c r="C2240" t="s">
        <v>157</v>
      </c>
      <c r="D2240" t="s">
        <v>71</v>
      </c>
      <c r="E2240" t="s">
        <v>72</v>
      </c>
      <c r="F2240" t="s">
        <v>69</v>
      </c>
      <c r="G2240">
        <v>19</v>
      </c>
      <c r="H2240">
        <v>19</v>
      </c>
      <c r="I2240">
        <v>0</v>
      </c>
      <c r="J2240" t="s">
        <v>34</v>
      </c>
      <c r="K2240" t="s">
        <v>179</v>
      </c>
      <c r="L2240">
        <v>32</v>
      </c>
      <c r="M2240">
        <v>93.355999999999995</v>
      </c>
      <c r="N2240">
        <v>94.337800000000001</v>
      </c>
      <c r="O2240">
        <v>29.695</v>
      </c>
      <c r="P2240">
        <v>37.752000000000002</v>
      </c>
      <c r="Q2240">
        <v>25.628</v>
      </c>
      <c r="S2240" t="s">
        <v>83</v>
      </c>
      <c r="T2240">
        <f>IF(TRIM(Table1[[#This Row],[PitStopLaps]])="",0,
LEN(Table1[[#This Row],[PitStopLaps]])-LEN(SUBSTITUTE(Table1[[#This Row],[PitStopLaps]],",",""))+1)</f>
        <v>0</v>
      </c>
      <c r="U2240">
        <f>Table1[[#This Row],[StartPosition]]-Table1[[#This Row],[FinishPosition]]</f>
        <v>0</v>
      </c>
    </row>
    <row r="2241" spans="1:21" x14ac:dyDescent="0.3">
      <c r="A2241">
        <v>2023</v>
      </c>
      <c r="B2241">
        <v>10</v>
      </c>
      <c r="C2241" t="s">
        <v>157</v>
      </c>
      <c r="D2241" t="s">
        <v>52</v>
      </c>
      <c r="E2241" t="s">
        <v>53</v>
      </c>
      <c r="F2241" t="s">
        <v>607</v>
      </c>
      <c r="G2241">
        <v>13</v>
      </c>
      <c r="H2241">
        <v>20</v>
      </c>
      <c r="I2241">
        <v>0</v>
      </c>
      <c r="J2241" t="s">
        <v>34</v>
      </c>
      <c r="K2241" t="s">
        <v>179</v>
      </c>
      <c r="L2241">
        <v>9</v>
      </c>
      <c r="M2241">
        <v>93.941000000000003</v>
      </c>
      <c r="N2241">
        <v>94.284142000000003</v>
      </c>
      <c r="O2241">
        <v>29.526</v>
      </c>
      <c r="P2241">
        <v>37.956000000000003</v>
      </c>
      <c r="Q2241">
        <v>25.966000000000001</v>
      </c>
      <c r="R2241">
        <v>9</v>
      </c>
      <c r="S2241" t="s">
        <v>83</v>
      </c>
      <c r="T2241">
        <f>IF(TRIM(Table1[[#This Row],[PitStopLaps]])="",0,
LEN(Table1[[#This Row],[PitStopLaps]])-LEN(SUBSTITUTE(Table1[[#This Row],[PitStopLaps]],",",""))+1)</f>
        <v>1</v>
      </c>
      <c r="U2241">
        <f>Table1[[#This Row],[StartPosition]]-Table1[[#This Row],[FinishPosition]]</f>
        <v>-7</v>
      </c>
    </row>
    <row r="2242" spans="1:21" x14ac:dyDescent="0.3">
      <c r="A2242">
        <v>2023</v>
      </c>
      <c r="B2242">
        <v>11</v>
      </c>
      <c r="C2242" t="s">
        <v>183</v>
      </c>
      <c r="D2242" t="s">
        <v>38</v>
      </c>
      <c r="E2242" t="s">
        <v>39</v>
      </c>
      <c r="F2242" t="s">
        <v>33</v>
      </c>
      <c r="G2242">
        <v>2</v>
      </c>
      <c r="H2242">
        <v>1</v>
      </c>
      <c r="I2242">
        <v>26</v>
      </c>
      <c r="J2242" t="s">
        <v>23</v>
      </c>
      <c r="K2242" t="s">
        <v>24</v>
      </c>
      <c r="L2242">
        <v>70</v>
      </c>
      <c r="M2242">
        <v>80.504000000000005</v>
      </c>
      <c r="N2242">
        <v>83.425092000000006</v>
      </c>
      <c r="O2242">
        <v>29.265000000000001</v>
      </c>
      <c r="P2242">
        <v>28.661999999999999</v>
      </c>
      <c r="Q2242">
        <v>22.576999999999899</v>
      </c>
      <c r="R2242" t="s">
        <v>645</v>
      </c>
      <c r="S2242" t="s">
        <v>83</v>
      </c>
      <c r="T2242">
        <f>IF(TRIM(Table1[[#This Row],[PitStopLaps]])="",0,
LEN(Table1[[#This Row],[PitStopLaps]])-LEN(SUBSTITUTE(Table1[[#This Row],[PitStopLaps]],",",""))+1)</f>
        <v>2</v>
      </c>
      <c r="U2242">
        <f>Table1[[#This Row],[StartPosition]]-Table1[[#This Row],[FinishPosition]]</f>
        <v>1</v>
      </c>
    </row>
    <row r="2243" spans="1:21" x14ac:dyDescent="0.3">
      <c r="A2243">
        <v>2023</v>
      </c>
      <c r="B2243">
        <v>11</v>
      </c>
      <c r="C2243" t="s">
        <v>183</v>
      </c>
      <c r="D2243" t="s">
        <v>246</v>
      </c>
      <c r="E2243" t="s">
        <v>247</v>
      </c>
      <c r="F2243" t="s">
        <v>37</v>
      </c>
      <c r="G2243">
        <v>3</v>
      </c>
      <c r="H2243">
        <v>2</v>
      </c>
      <c r="I2243">
        <v>18</v>
      </c>
      <c r="J2243" t="s">
        <v>23</v>
      </c>
      <c r="K2243" t="s">
        <v>24</v>
      </c>
      <c r="L2243">
        <v>70</v>
      </c>
      <c r="M2243">
        <v>82.177999999999997</v>
      </c>
      <c r="N2243">
        <v>83.952968999999996</v>
      </c>
      <c r="O2243">
        <v>29.673999999999999</v>
      </c>
      <c r="P2243">
        <v>29.2</v>
      </c>
      <c r="Q2243">
        <v>23.044</v>
      </c>
      <c r="R2243" t="s">
        <v>527</v>
      </c>
      <c r="S2243" t="s">
        <v>83</v>
      </c>
      <c r="T2243">
        <f>IF(TRIM(Table1[[#This Row],[PitStopLaps]])="",0,
LEN(Table1[[#This Row],[PitStopLaps]])-LEN(SUBSTITUTE(Table1[[#This Row],[PitStopLaps]],",",""))+1)</f>
        <v>2</v>
      </c>
      <c r="U2243">
        <f>Table1[[#This Row],[StartPosition]]-Table1[[#This Row],[FinishPosition]]</f>
        <v>1</v>
      </c>
    </row>
    <row r="2244" spans="1:21" x14ac:dyDescent="0.3">
      <c r="A2244">
        <v>2023</v>
      </c>
      <c r="B2244">
        <v>11</v>
      </c>
      <c r="C2244" t="s">
        <v>183</v>
      </c>
      <c r="D2244" t="s">
        <v>49</v>
      </c>
      <c r="E2244" t="s">
        <v>50</v>
      </c>
      <c r="F2244" t="s">
        <v>33</v>
      </c>
      <c r="G2244">
        <v>9</v>
      </c>
      <c r="H2244">
        <v>3</v>
      </c>
      <c r="I2244">
        <v>15</v>
      </c>
      <c r="J2244" t="s">
        <v>23</v>
      </c>
      <c r="K2244" t="s">
        <v>24</v>
      </c>
      <c r="L2244">
        <v>70</v>
      </c>
      <c r="M2244">
        <v>82.295000000000002</v>
      </c>
      <c r="N2244">
        <v>83.930569000000006</v>
      </c>
      <c r="O2244">
        <v>29.693000000000001</v>
      </c>
      <c r="P2244">
        <v>29.283000000000001</v>
      </c>
      <c r="Q2244">
        <v>23.015999999999998</v>
      </c>
      <c r="R2244" t="s">
        <v>1063</v>
      </c>
      <c r="S2244" t="s">
        <v>83</v>
      </c>
      <c r="T2244">
        <f>IF(TRIM(Table1[[#This Row],[PitStopLaps]])="",0,
LEN(Table1[[#This Row],[PitStopLaps]])-LEN(SUBSTITUTE(Table1[[#This Row],[PitStopLaps]],",",""))+1)</f>
        <v>2</v>
      </c>
      <c r="U2244">
        <f>Table1[[#This Row],[StartPosition]]-Table1[[#This Row],[FinishPosition]]</f>
        <v>6</v>
      </c>
    </row>
    <row r="2245" spans="1:21" x14ac:dyDescent="0.3">
      <c r="A2245">
        <v>2023</v>
      </c>
      <c r="B2245">
        <v>11</v>
      </c>
      <c r="C2245" t="s">
        <v>183</v>
      </c>
      <c r="D2245" t="s">
        <v>26</v>
      </c>
      <c r="E2245" t="s">
        <v>27</v>
      </c>
      <c r="F2245" t="s">
        <v>28</v>
      </c>
      <c r="G2245">
        <v>1</v>
      </c>
      <c r="H2245">
        <v>4</v>
      </c>
      <c r="I2245">
        <v>12</v>
      </c>
      <c r="J2245" t="s">
        <v>34</v>
      </c>
      <c r="K2245" t="s">
        <v>24</v>
      </c>
      <c r="L2245">
        <v>70</v>
      </c>
      <c r="M2245">
        <v>81.600999999999999</v>
      </c>
      <c r="N2245">
        <v>83.938445999999999</v>
      </c>
      <c r="O2245">
        <v>29.652000000000001</v>
      </c>
      <c r="P2245">
        <v>28.962</v>
      </c>
      <c r="Q2245">
        <v>22.798999999999999</v>
      </c>
      <c r="R2245" t="s">
        <v>1064</v>
      </c>
      <c r="S2245" t="s">
        <v>83</v>
      </c>
      <c r="T2245">
        <f>IF(TRIM(Table1[[#This Row],[PitStopLaps]])="",0,
LEN(Table1[[#This Row],[PitStopLaps]])-LEN(SUBSTITUTE(Table1[[#This Row],[PitStopLaps]],",",""))+1)</f>
        <v>2</v>
      </c>
      <c r="U2245">
        <f>Table1[[#This Row],[StartPosition]]-Table1[[#This Row],[FinishPosition]]</f>
        <v>-3</v>
      </c>
    </row>
    <row r="2246" spans="1:21" x14ac:dyDescent="0.3">
      <c r="A2246">
        <v>2023</v>
      </c>
      <c r="B2246">
        <v>11</v>
      </c>
      <c r="C2246" t="s">
        <v>183</v>
      </c>
      <c r="D2246" t="s">
        <v>1000</v>
      </c>
      <c r="E2246" t="s">
        <v>1001</v>
      </c>
      <c r="F2246" t="s">
        <v>37</v>
      </c>
      <c r="G2246">
        <v>4</v>
      </c>
      <c r="H2246">
        <v>5</v>
      </c>
      <c r="I2246">
        <v>10</v>
      </c>
      <c r="J2246" t="s">
        <v>34</v>
      </c>
      <c r="K2246" t="s">
        <v>24</v>
      </c>
      <c r="L2246">
        <v>70</v>
      </c>
      <c r="M2246">
        <v>82.736000000000004</v>
      </c>
      <c r="N2246">
        <v>84.360322999999994</v>
      </c>
      <c r="O2246">
        <v>29.827999999999999</v>
      </c>
      <c r="P2246">
        <v>29.448</v>
      </c>
      <c r="Q2246">
        <v>23.363</v>
      </c>
      <c r="R2246" t="s">
        <v>516</v>
      </c>
      <c r="S2246" t="s">
        <v>83</v>
      </c>
      <c r="T2246">
        <f>IF(TRIM(Table1[[#This Row],[PitStopLaps]])="",0,
LEN(Table1[[#This Row],[PitStopLaps]])-LEN(SUBSTITUTE(Table1[[#This Row],[PitStopLaps]],",",""))+1)</f>
        <v>2</v>
      </c>
      <c r="U2246">
        <f>Table1[[#This Row],[StartPosition]]-Table1[[#This Row],[FinishPosition]]</f>
        <v>-1</v>
      </c>
    </row>
    <row r="2247" spans="1:21" x14ac:dyDescent="0.3">
      <c r="A2247">
        <v>2023</v>
      </c>
      <c r="B2247">
        <v>11</v>
      </c>
      <c r="C2247" t="s">
        <v>183</v>
      </c>
      <c r="D2247" t="s">
        <v>252</v>
      </c>
      <c r="E2247" t="s">
        <v>253</v>
      </c>
      <c r="F2247" t="s">
        <v>28</v>
      </c>
      <c r="G2247">
        <v>18</v>
      </c>
      <c r="H2247">
        <v>6</v>
      </c>
      <c r="I2247">
        <v>8</v>
      </c>
      <c r="J2247" t="s">
        <v>34</v>
      </c>
      <c r="K2247" t="s">
        <v>24</v>
      </c>
      <c r="L2247">
        <v>70</v>
      </c>
      <c r="M2247">
        <v>82.158000000000001</v>
      </c>
      <c r="N2247">
        <v>84.310153</v>
      </c>
      <c r="O2247">
        <v>29.667999999999999</v>
      </c>
      <c r="P2247">
        <v>29.268999999999998</v>
      </c>
      <c r="Q2247">
        <v>23.055</v>
      </c>
      <c r="R2247" t="s">
        <v>1065</v>
      </c>
      <c r="S2247" t="s">
        <v>83</v>
      </c>
      <c r="T2247">
        <f>IF(TRIM(Table1[[#This Row],[PitStopLaps]])="",0,
LEN(Table1[[#This Row],[PitStopLaps]])-LEN(SUBSTITUTE(Table1[[#This Row],[PitStopLaps]],",",""))+1)</f>
        <v>2</v>
      </c>
      <c r="U2247">
        <f>Table1[[#This Row],[StartPosition]]-Table1[[#This Row],[FinishPosition]]</f>
        <v>12</v>
      </c>
    </row>
    <row r="2248" spans="1:21" x14ac:dyDescent="0.3">
      <c r="A2248">
        <v>2023</v>
      </c>
      <c r="B2248">
        <v>11</v>
      </c>
      <c r="C2248" t="s">
        <v>183</v>
      </c>
      <c r="D2248" t="s">
        <v>54</v>
      </c>
      <c r="E2248" t="s">
        <v>55</v>
      </c>
      <c r="F2248" t="s">
        <v>22</v>
      </c>
      <c r="G2248">
        <v>6</v>
      </c>
      <c r="H2248">
        <v>7</v>
      </c>
      <c r="I2248">
        <v>6</v>
      </c>
      <c r="J2248" t="s">
        <v>34</v>
      </c>
      <c r="K2248" t="s">
        <v>24</v>
      </c>
      <c r="L2248">
        <v>70</v>
      </c>
      <c r="M2248">
        <v>82.468999999999994</v>
      </c>
      <c r="N2248">
        <v>84.302814999999995</v>
      </c>
      <c r="O2248">
        <v>29.834</v>
      </c>
      <c r="P2248">
        <v>29.123000000000001</v>
      </c>
      <c r="Q2248">
        <v>23.341000000000001</v>
      </c>
      <c r="R2248" t="s">
        <v>1066</v>
      </c>
      <c r="S2248" t="s">
        <v>83</v>
      </c>
      <c r="T2248">
        <f>IF(TRIM(Table1[[#This Row],[PitStopLaps]])="",0,
LEN(Table1[[#This Row],[PitStopLaps]])-LEN(SUBSTITUTE(Table1[[#This Row],[PitStopLaps]],",",""))+1)</f>
        <v>2</v>
      </c>
      <c r="U2248">
        <f>Table1[[#This Row],[StartPosition]]-Table1[[#This Row],[FinishPosition]]</f>
        <v>-1</v>
      </c>
    </row>
    <row r="2249" spans="1:21" x14ac:dyDescent="0.3">
      <c r="A2249">
        <v>2023</v>
      </c>
      <c r="B2249">
        <v>11</v>
      </c>
      <c r="C2249" t="s">
        <v>183</v>
      </c>
      <c r="D2249" t="s">
        <v>47</v>
      </c>
      <c r="E2249" t="s">
        <v>48</v>
      </c>
      <c r="F2249" t="s">
        <v>22</v>
      </c>
      <c r="G2249">
        <v>11</v>
      </c>
      <c r="H2249">
        <v>8</v>
      </c>
      <c r="I2249">
        <v>4</v>
      </c>
      <c r="J2249" t="s">
        <v>34</v>
      </c>
      <c r="K2249" t="s">
        <v>24</v>
      </c>
      <c r="L2249">
        <v>70</v>
      </c>
      <c r="M2249">
        <v>82.584000000000003</v>
      </c>
      <c r="N2249">
        <v>84.403092000000001</v>
      </c>
      <c r="O2249">
        <v>29.763000000000002</v>
      </c>
      <c r="P2249">
        <v>29.378</v>
      </c>
      <c r="Q2249">
        <v>23.271000000000001</v>
      </c>
      <c r="R2249" t="s">
        <v>444</v>
      </c>
      <c r="S2249" t="s">
        <v>83</v>
      </c>
      <c r="T2249">
        <f>IF(TRIM(Table1[[#This Row],[PitStopLaps]])="",0,
LEN(Table1[[#This Row],[PitStopLaps]])-LEN(SUBSTITUTE(Table1[[#This Row],[PitStopLaps]],",",""))+1)</f>
        <v>2</v>
      </c>
      <c r="U2249">
        <f>Table1[[#This Row],[StartPosition]]-Table1[[#This Row],[FinishPosition]]</f>
        <v>3</v>
      </c>
    </row>
    <row r="2250" spans="1:21" x14ac:dyDescent="0.3">
      <c r="A2250">
        <v>2023</v>
      </c>
      <c r="B2250">
        <v>11</v>
      </c>
      <c r="C2250" t="s">
        <v>183</v>
      </c>
      <c r="D2250" t="s">
        <v>35</v>
      </c>
      <c r="E2250" t="s">
        <v>36</v>
      </c>
      <c r="F2250" t="s">
        <v>603</v>
      </c>
      <c r="G2250">
        <v>8</v>
      </c>
      <c r="H2250">
        <v>9</v>
      </c>
      <c r="I2250">
        <v>2</v>
      </c>
      <c r="J2250" t="s">
        <v>34</v>
      </c>
      <c r="K2250" t="s">
        <v>24</v>
      </c>
      <c r="L2250">
        <v>70</v>
      </c>
      <c r="M2250">
        <v>82.745000000000005</v>
      </c>
      <c r="N2250">
        <v>84.429952999999998</v>
      </c>
      <c r="O2250">
        <v>29.864000000000001</v>
      </c>
      <c r="P2250">
        <v>29.323</v>
      </c>
      <c r="Q2250">
        <v>23.291</v>
      </c>
      <c r="R2250" t="s">
        <v>302</v>
      </c>
      <c r="S2250" t="s">
        <v>83</v>
      </c>
      <c r="T2250">
        <f>IF(TRIM(Table1[[#This Row],[PitStopLaps]])="",0,
LEN(Table1[[#This Row],[PitStopLaps]])-LEN(SUBSTITUTE(Table1[[#This Row],[PitStopLaps]],",",""))+1)</f>
        <v>2</v>
      </c>
      <c r="U2250">
        <f>Table1[[#This Row],[StartPosition]]-Table1[[#This Row],[FinishPosition]]</f>
        <v>-1</v>
      </c>
    </row>
    <row r="2251" spans="1:21" x14ac:dyDescent="0.3">
      <c r="A2251">
        <v>2023</v>
      </c>
      <c r="B2251">
        <v>11</v>
      </c>
      <c r="C2251" t="s">
        <v>183</v>
      </c>
      <c r="D2251" t="s">
        <v>58</v>
      </c>
      <c r="E2251" t="s">
        <v>59</v>
      </c>
      <c r="F2251" t="s">
        <v>603</v>
      </c>
      <c r="G2251">
        <v>14</v>
      </c>
      <c r="H2251">
        <v>10</v>
      </c>
      <c r="I2251">
        <v>1</v>
      </c>
      <c r="J2251" t="s">
        <v>34</v>
      </c>
      <c r="K2251" t="s">
        <v>994</v>
      </c>
      <c r="L2251">
        <v>69</v>
      </c>
      <c r="M2251">
        <v>83.424999999999997</v>
      </c>
      <c r="N2251">
        <v>84.750936999999993</v>
      </c>
      <c r="O2251">
        <v>29.876999999999999</v>
      </c>
      <c r="P2251">
        <v>29.605</v>
      </c>
      <c r="Q2251">
        <v>23.632000000000001</v>
      </c>
      <c r="R2251" t="s">
        <v>762</v>
      </c>
      <c r="S2251" t="s">
        <v>83</v>
      </c>
      <c r="T2251">
        <f>IF(TRIM(Table1[[#This Row],[PitStopLaps]])="",0,
LEN(Table1[[#This Row],[PitStopLaps]])-LEN(SUBSTITUTE(Table1[[#This Row],[PitStopLaps]],",",""))+1)</f>
        <v>2</v>
      </c>
      <c r="U2251">
        <f>Table1[[#This Row],[StartPosition]]-Table1[[#This Row],[FinishPosition]]</f>
        <v>4</v>
      </c>
    </row>
    <row r="2252" spans="1:21" x14ac:dyDescent="0.3">
      <c r="A2252">
        <v>2023</v>
      </c>
      <c r="B2252">
        <v>11</v>
      </c>
      <c r="C2252" t="s">
        <v>183</v>
      </c>
      <c r="D2252" t="s">
        <v>248</v>
      </c>
      <c r="E2252" t="s">
        <v>249</v>
      </c>
      <c r="F2252" t="s">
        <v>60</v>
      </c>
      <c r="G2252">
        <v>16</v>
      </c>
      <c r="H2252">
        <v>11</v>
      </c>
      <c r="I2252">
        <v>0</v>
      </c>
      <c r="J2252" t="s">
        <v>34</v>
      </c>
      <c r="K2252" t="s">
        <v>994</v>
      </c>
      <c r="L2252">
        <v>69</v>
      </c>
      <c r="M2252">
        <v>84.051000000000002</v>
      </c>
      <c r="N2252">
        <v>84.981264999999993</v>
      </c>
      <c r="O2252">
        <v>30.117000000000001</v>
      </c>
      <c r="P2252">
        <v>30.04</v>
      </c>
      <c r="Q2252">
        <v>23.539000000000001</v>
      </c>
      <c r="R2252" t="s">
        <v>1067</v>
      </c>
      <c r="S2252" t="s">
        <v>83</v>
      </c>
      <c r="T2252">
        <f>IF(TRIM(Table1[[#This Row],[PitStopLaps]])="",0,
LEN(Table1[[#This Row],[PitStopLaps]])-LEN(SUBSTITUTE(Table1[[#This Row],[PitStopLaps]],",",""))+1)</f>
        <v>2</v>
      </c>
      <c r="U2252">
        <f>Table1[[#This Row],[StartPosition]]-Table1[[#This Row],[FinishPosition]]</f>
        <v>5</v>
      </c>
    </row>
    <row r="2253" spans="1:21" x14ac:dyDescent="0.3">
      <c r="A2253">
        <v>2023</v>
      </c>
      <c r="B2253">
        <v>11</v>
      </c>
      <c r="C2253" t="s">
        <v>183</v>
      </c>
      <c r="D2253" t="s">
        <v>43</v>
      </c>
      <c r="E2253" t="s">
        <v>44</v>
      </c>
      <c r="F2253" t="s">
        <v>789</v>
      </c>
      <c r="G2253">
        <v>7</v>
      </c>
      <c r="H2253">
        <v>12</v>
      </c>
      <c r="I2253">
        <v>0</v>
      </c>
      <c r="J2253" t="s">
        <v>34</v>
      </c>
      <c r="K2253" t="s">
        <v>994</v>
      </c>
      <c r="L2253">
        <v>69</v>
      </c>
      <c r="M2253">
        <v>83.650999999999996</v>
      </c>
      <c r="N2253">
        <v>84.967889999999997</v>
      </c>
      <c r="O2253">
        <v>29.823</v>
      </c>
      <c r="P2253">
        <v>29.974</v>
      </c>
      <c r="Q2253">
        <v>23.454000000000001</v>
      </c>
      <c r="R2253" t="s">
        <v>1068</v>
      </c>
      <c r="S2253" t="s">
        <v>83</v>
      </c>
      <c r="T2253">
        <f>IF(TRIM(Table1[[#This Row],[PitStopLaps]])="",0,
LEN(Table1[[#This Row],[PitStopLaps]])-LEN(SUBSTITUTE(Table1[[#This Row],[PitStopLaps]],",",""))+1)</f>
        <v>2</v>
      </c>
      <c r="U2253">
        <f>Table1[[#This Row],[StartPosition]]-Table1[[#This Row],[FinishPosition]]</f>
        <v>-5</v>
      </c>
    </row>
    <row r="2254" spans="1:21" x14ac:dyDescent="0.3">
      <c r="A2254">
        <v>2023</v>
      </c>
      <c r="B2254">
        <v>11</v>
      </c>
      <c r="C2254" t="s">
        <v>183</v>
      </c>
      <c r="D2254" t="s">
        <v>31</v>
      </c>
      <c r="E2254" t="s">
        <v>32</v>
      </c>
      <c r="F2254" t="s">
        <v>438</v>
      </c>
      <c r="G2254">
        <v>13</v>
      </c>
      <c r="H2254">
        <v>13</v>
      </c>
      <c r="I2254">
        <v>0</v>
      </c>
      <c r="J2254" t="s">
        <v>34</v>
      </c>
      <c r="K2254" t="s">
        <v>994</v>
      </c>
      <c r="L2254">
        <v>69</v>
      </c>
      <c r="M2254">
        <v>83.933999999999997</v>
      </c>
      <c r="N2254">
        <v>85.033828</v>
      </c>
      <c r="O2254">
        <v>30.024000000000001</v>
      </c>
      <c r="P2254">
        <v>29.981000000000002</v>
      </c>
      <c r="Q2254">
        <v>23.527000000000001</v>
      </c>
      <c r="R2254" t="s">
        <v>1069</v>
      </c>
      <c r="S2254" t="s">
        <v>83</v>
      </c>
      <c r="T2254">
        <f>IF(TRIM(Table1[[#This Row],[PitStopLaps]])="",0,
LEN(Table1[[#This Row],[PitStopLaps]])-LEN(SUBSTITUTE(Table1[[#This Row],[PitStopLaps]],",",""))+1)</f>
        <v>2</v>
      </c>
      <c r="U2254">
        <f>Table1[[#This Row],[StartPosition]]-Table1[[#This Row],[FinishPosition]]</f>
        <v>0</v>
      </c>
    </row>
    <row r="2255" spans="1:21" x14ac:dyDescent="0.3">
      <c r="A2255">
        <v>2023</v>
      </c>
      <c r="B2255">
        <v>11</v>
      </c>
      <c r="C2255" t="s">
        <v>183</v>
      </c>
      <c r="D2255" t="s">
        <v>40</v>
      </c>
      <c r="E2255" t="s">
        <v>41</v>
      </c>
      <c r="F2255" t="s">
        <v>69</v>
      </c>
      <c r="G2255">
        <v>10</v>
      </c>
      <c r="H2255">
        <v>14</v>
      </c>
      <c r="I2255">
        <v>0</v>
      </c>
      <c r="J2255" t="s">
        <v>34</v>
      </c>
      <c r="K2255" t="s">
        <v>994</v>
      </c>
      <c r="L2255">
        <v>69</v>
      </c>
      <c r="M2255">
        <v>83.572999999999993</v>
      </c>
      <c r="N2255">
        <v>85.348343</v>
      </c>
      <c r="O2255">
        <v>29.765999999999998</v>
      </c>
      <c r="P2255">
        <v>30.201000000000001</v>
      </c>
      <c r="Q2255">
        <v>23.606000000000002</v>
      </c>
      <c r="R2255" t="s">
        <v>907</v>
      </c>
      <c r="S2255" t="s">
        <v>83</v>
      </c>
      <c r="T2255">
        <f>IF(TRIM(Table1[[#This Row],[PitStopLaps]])="",0,
LEN(Table1[[#This Row],[PitStopLaps]])-LEN(SUBSTITUTE(Table1[[#This Row],[PitStopLaps]],",",""))+1)</f>
        <v>2</v>
      </c>
      <c r="U2255">
        <f>Table1[[#This Row],[StartPosition]]-Table1[[#This Row],[FinishPosition]]</f>
        <v>-4</v>
      </c>
    </row>
    <row r="2256" spans="1:21" x14ac:dyDescent="0.3">
      <c r="A2256">
        <v>2023</v>
      </c>
      <c r="B2256">
        <v>11</v>
      </c>
      <c r="C2256" t="s">
        <v>183</v>
      </c>
      <c r="D2256" t="s">
        <v>601</v>
      </c>
      <c r="E2256" t="s">
        <v>602</v>
      </c>
      <c r="F2256" t="s">
        <v>438</v>
      </c>
      <c r="G2256">
        <v>17</v>
      </c>
      <c r="H2256">
        <v>15</v>
      </c>
      <c r="I2256">
        <v>0</v>
      </c>
      <c r="J2256" t="s">
        <v>34</v>
      </c>
      <c r="K2256" t="s">
        <v>994</v>
      </c>
      <c r="L2256">
        <v>69</v>
      </c>
      <c r="M2256">
        <v>83.269000000000005</v>
      </c>
      <c r="N2256">
        <v>85.246250000000003</v>
      </c>
      <c r="O2256">
        <v>29.995000000000001</v>
      </c>
      <c r="P2256">
        <v>29.774000000000001</v>
      </c>
      <c r="Q2256">
        <v>23.425000000000001</v>
      </c>
      <c r="R2256" t="s">
        <v>143</v>
      </c>
      <c r="S2256" t="s">
        <v>83</v>
      </c>
      <c r="T2256">
        <f>IF(TRIM(Table1[[#This Row],[PitStopLaps]])="",0,
LEN(Table1[[#This Row],[PitStopLaps]])-LEN(SUBSTITUTE(Table1[[#This Row],[PitStopLaps]],",",""))+1)</f>
        <v>2</v>
      </c>
      <c r="U2256">
        <f>Table1[[#This Row],[StartPosition]]-Table1[[#This Row],[FinishPosition]]</f>
        <v>2</v>
      </c>
    </row>
    <row r="2257" spans="1:21" x14ac:dyDescent="0.3">
      <c r="A2257">
        <v>2023</v>
      </c>
      <c r="B2257">
        <v>11</v>
      </c>
      <c r="C2257" t="s">
        <v>183</v>
      </c>
      <c r="D2257" t="s">
        <v>794</v>
      </c>
      <c r="E2257" t="s">
        <v>795</v>
      </c>
      <c r="F2257" t="s">
        <v>789</v>
      </c>
      <c r="G2257">
        <v>5</v>
      </c>
      <c r="H2257">
        <v>16</v>
      </c>
      <c r="I2257">
        <v>0</v>
      </c>
      <c r="J2257" t="s">
        <v>34</v>
      </c>
      <c r="K2257" t="s">
        <v>994</v>
      </c>
      <c r="L2257">
        <v>69</v>
      </c>
      <c r="M2257">
        <v>83.742999999999995</v>
      </c>
      <c r="N2257">
        <v>85.295936999999995</v>
      </c>
      <c r="O2257">
        <v>30.074000000000002</v>
      </c>
      <c r="P2257">
        <v>30.053999999999998</v>
      </c>
      <c r="Q2257">
        <v>23.506</v>
      </c>
      <c r="R2257" t="s">
        <v>271</v>
      </c>
      <c r="S2257" t="s">
        <v>83</v>
      </c>
      <c r="T2257">
        <f>IF(TRIM(Table1[[#This Row],[PitStopLaps]])="",0,
LEN(Table1[[#This Row],[PitStopLaps]])-LEN(SUBSTITUTE(Table1[[#This Row],[PitStopLaps]],",",""))+1)</f>
        <v>2</v>
      </c>
      <c r="U2257">
        <f>Table1[[#This Row],[StartPosition]]-Table1[[#This Row],[FinishPosition]]</f>
        <v>-11</v>
      </c>
    </row>
    <row r="2258" spans="1:21" x14ac:dyDescent="0.3">
      <c r="A2258">
        <v>2023</v>
      </c>
      <c r="B2258">
        <v>11</v>
      </c>
      <c r="C2258" t="s">
        <v>183</v>
      </c>
      <c r="D2258" t="s">
        <v>71</v>
      </c>
      <c r="E2258" t="s">
        <v>72</v>
      </c>
      <c r="F2258" t="s">
        <v>69</v>
      </c>
      <c r="G2258">
        <v>19</v>
      </c>
      <c r="H2258">
        <v>17</v>
      </c>
      <c r="I2258">
        <v>0</v>
      </c>
      <c r="J2258" t="s">
        <v>34</v>
      </c>
      <c r="K2258" t="s">
        <v>994</v>
      </c>
      <c r="L2258">
        <v>69</v>
      </c>
      <c r="M2258">
        <v>83.864000000000004</v>
      </c>
      <c r="N2258">
        <v>85.779139999999998</v>
      </c>
      <c r="O2258">
        <v>29.951999999999899</v>
      </c>
      <c r="P2258">
        <v>29.949000000000002</v>
      </c>
      <c r="Q2258">
        <v>23.73</v>
      </c>
      <c r="R2258" t="s">
        <v>473</v>
      </c>
      <c r="S2258" t="s">
        <v>83</v>
      </c>
      <c r="T2258">
        <f>IF(TRIM(Table1[[#This Row],[PitStopLaps]])="",0,
LEN(Table1[[#This Row],[PitStopLaps]])-LEN(SUBSTITUTE(Table1[[#This Row],[PitStopLaps]],",",""))+1)</f>
        <v>2</v>
      </c>
      <c r="U2258">
        <f>Table1[[#This Row],[StartPosition]]-Table1[[#This Row],[FinishPosition]]</f>
        <v>2</v>
      </c>
    </row>
    <row r="2259" spans="1:21" x14ac:dyDescent="0.3">
      <c r="A2259">
        <v>2023</v>
      </c>
      <c r="B2259">
        <v>11</v>
      </c>
      <c r="C2259" t="s">
        <v>183</v>
      </c>
      <c r="D2259" t="s">
        <v>992</v>
      </c>
      <c r="E2259" t="s">
        <v>993</v>
      </c>
      <c r="F2259" t="s">
        <v>60</v>
      </c>
      <c r="G2259">
        <v>20</v>
      </c>
      <c r="H2259">
        <v>18</v>
      </c>
      <c r="I2259">
        <v>0</v>
      </c>
      <c r="J2259" t="s">
        <v>34</v>
      </c>
      <c r="K2259" t="s">
        <v>179</v>
      </c>
      <c r="L2259">
        <v>67</v>
      </c>
      <c r="M2259">
        <v>83.495999999999995</v>
      </c>
      <c r="N2259">
        <v>85.286049000000006</v>
      </c>
      <c r="O2259">
        <v>30.091999999999999</v>
      </c>
      <c r="P2259">
        <v>29.881</v>
      </c>
      <c r="Q2259">
        <v>23.523</v>
      </c>
      <c r="R2259" t="s">
        <v>1070</v>
      </c>
      <c r="S2259" t="s">
        <v>83</v>
      </c>
      <c r="T2259">
        <f>IF(TRIM(Table1[[#This Row],[PitStopLaps]])="",0,
LEN(Table1[[#This Row],[PitStopLaps]])-LEN(SUBSTITUTE(Table1[[#This Row],[PitStopLaps]],",",""))+1)</f>
        <v>3</v>
      </c>
      <c r="U2259">
        <f>Table1[[#This Row],[StartPosition]]-Table1[[#This Row],[FinishPosition]]</f>
        <v>2</v>
      </c>
    </row>
    <row r="2260" spans="1:21" x14ac:dyDescent="0.3">
      <c r="A2260">
        <v>2023</v>
      </c>
      <c r="B2260">
        <v>11</v>
      </c>
      <c r="C2260" t="s">
        <v>183</v>
      </c>
      <c r="D2260" t="s">
        <v>52</v>
      </c>
      <c r="E2260" t="s">
        <v>53</v>
      </c>
      <c r="F2260" t="s">
        <v>607</v>
      </c>
      <c r="G2260">
        <v>12</v>
      </c>
      <c r="H2260">
        <v>19</v>
      </c>
      <c r="I2260">
        <v>0</v>
      </c>
      <c r="J2260" t="s">
        <v>34</v>
      </c>
      <c r="K2260" t="s">
        <v>179</v>
      </c>
      <c r="L2260">
        <v>2</v>
      </c>
      <c r="R2260">
        <v>2</v>
      </c>
      <c r="S2260" t="s">
        <v>83</v>
      </c>
      <c r="T2260">
        <f>IF(TRIM(Table1[[#This Row],[PitStopLaps]])="",0,
LEN(Table1[[#This Row],[PitStopLaps]])-LEN(SUBSTITUTE(Table1[[#This Row],[PitStopLaps]],",",""))+1)</f>
        <v>1</v>
      </c>
      <c r="U2260">
        <f>Table1[[#This Row],[StartPosition]]-Table1[[#This Row],[FinishPosition]]</f>
        <v>-7</v>
      </c>
    </row>
    <row r="2261" spans="1:21" x14ac:dyDescent="0.3">
      <c r="A2261">
        <v>2023</v>
      </c>
      <c r="B2261">
        <v>11</v>
      </c>
      <c r="C2261" t="s">
        <v>183</v>
      </c>
      <c r="D2261" t="s">
        <v>73</v>
      </c>
      <c r="E2261" t="s">
        <v>74</v>
      </c>
      <c r="F2261" t="s">
        <v>607</v>
      </c>
      <c r="G2261">
        <v>15</v>
      </c>
      <c r="H2261">
        <v>20</v>
      </c>
      <c r="I2261">
        <v>0</v>
      </c>
      <c r="J2261" t="s">
        <v>34</v>
      </c>
      <c r="K2261" t="s">
        <v>179</v>
      </c>
      <c r="L2261">
        <v>1</v>
      </c>
      <c r="R2261">
        <v>1</v>
      </c>
      <c r="S2261" t="s">
        <v>83</v>
      </c>
      <c r="T2261">
        <f>IF(TRIM(Table1[[#This Row],[PitStopLaps]])="",0,
LEN(Table1[[#This Row],[PitStopLaps]])-LEN(SUBSTITUTE(Table1[[#This Row],[PitStopLaps]],",",""))+1)</f>
        <v>1</v>
      </c>
      <c r="U2261">
        <f>Table1[[#This Row],[StartPosition]]-Table1[[#This Row],[FinishPosition]]</f>
        <v>-5</v>
      </c>
    </row>
    <row r="2262" spans="1:21" x14ac:dyDescent="0.3">
      <c r="A2262">
        <v>2023</v>
      </c>
      <c r="B2262">
        <v>12</v>
      </c>
      <c r="C2262" t="s">
        <v>188</v>
      </c>
      <c r="D2262" t="s">
        <v>38</v>
      </c>
      <c r="E2262" t="s">
        <v>39</v>
      </c>
      <c r="F2262" t="s">
        <v>33</v>
      </c>
      <c r="G2262">
        <v>6</v>
      </c>
      <c r="H2262">
        <v>1</v>
      </c>
      <c r="I2262">
        <v>25</v>
      </c>
      <c r="J2262" t="s">
        <v>23</v>
      </c>
      <c r="K2262" t="s">
        <v>24</v>
      </c>
      <c r="L2262">
        <v>44</v>
      </c>
      <c r="M2262">
        <v>108.922</v>
      </c>
      <c r="N2262">
        <v>111.64543500000001</v>
      </c>
      <c r="O2262">
        <v>31.588000000000001</v>
      </c>
      <c r="P2262">
        <v>47.017000000000003</v>
      </c>
      <c r="Q2262">
        <v>29.550999999999998</v>
      </c>
      <c r="R2262" t="s">
        <v>365</v>
      </c>
      <c r="S2262" t="s">
        <v>25</v>
      </c>
      <c r="T2262">
        <f>IF(TRIM(Table1[[#This Row],[PitStopLaps]])="",0,
LEN(Table1[[#This Row],[PitStopLaps]])-LEN(SUBSTITUTE(Table1[[#This Row],[PitStopLaps]],",",""))+1)</f>
        <v>2</v>
      </c>
      <c r="U2262">
        <f>Table1[[#This Row],[StartPosition]]-Table1[[#This Row],[FinishPosition]]</f>
        <v>5</v>
      </c>
    </row>
    <row r="2263" spans="1:21" x14ac:dyDescent="0.3">
      <c r="A2263">
        <v>2023</v>
      </c>
      <c r="B2263">
        <v>12</v>
      </c>
      <c r="C2263" t="s">
        <v>188</v>
      </c>
      <c r="D2263" t="s">
        <v>49</v>
      </c>
      <c r="E2263" t="s">
        <v>50</v>
      </c>
      <c r="F2263" t="s">
        <v>33</v>
      </c>
      <c r="G2263">
        <v>2</v>
      </c>
      <c r="H2263">
        <v>2</v>
      </c>
      <c r="I2263">
        <v>18</v>
      </c>
      <c r="J2263" t="s">
        <v>23</v>
      </c>
      <c r="K2263" t="s">
        <v>24</v>
      </c>
      <c r="L2263">
        <v>44</v>
      </c>
      <c r="M2263">
        <v>110.30800000000001</v>
      </c>
      <c r="N2263">
        <v>112.162564</v>
      </c>
      <c r="O2263">
        <v>32.265000000000001</v>
      </c>
      <c r="P2263">
        <v>48.098999999999997</v>
      </c>
      <c r="Q2263">
        <v>29.837</v>
      </c>
      <c r="R2263" t="s">
        <v>605</v>
      </c>
      <c r="S2263" t="s">
        <v>25</v>
      </c>
      <c r="T2263">
        <f>IF(TRIM(Table1[[#This Row],[PitStopLaps]])="",0,
LEN(Table1[[#This Row],[PitStopLaps]])-LEN(SUBSTITUTE(Table1[[#This Row],[PitStopLaps]],",",""))+1)</f>
        <v>2</v>
      </c>
      <c r="U2263">
        <f>Table1[[#This Row],[StartPosition]]-Table1[[#This Row],[FinishPosition]]</f>
        <v>0</v>
      </c>
    </row>
    <row r="2264" spans="1:21" x14ac:dyDescent="0.3">
      <c r="A2264">
        <v>2023</v>
      </c>
      <c r="B2264">
        <v>12</v>
      </c>
      <c r="C2264" t="s">
        <v>188</v>
      </c>
      <c r="D2264" t="s">
        <v>54</v>
      </c>
      <c r="E2264" t="s">
        <v>55</v>
      </c>
      <c r="F2264" t="s">
        <v>22</v>
      </c>
      <c r="G2264">
        <v>1</v>
      </c>
      <c r="H2264">
        <v>3</v>
      </c>
      <c r="I2264">
        <v>15</v>
      </c>
      <c r="J2264" t="s">
        <v>23</v>
      </c>
      <c r="K2264" t="s">
        <v>24</v>
      </c>
      <c r="L2264">
        <v>44</v>
      </c>
      <c r="M2264">
        <v>110.43600000000001</v>
      </c>
      <c r="N2264">
        <v>112.433435</v>
      </c>
      <c r="O2264">
        <v>32.085000000000001</v>
      </c>
      <c r="P2264">
        <v>48.292000000000002</v>
      </c>
      <c r="Q2264">
        <v>30.059000000000001</v>
      </c>
      <c r="R2264" t="s">
        <v>596</v>
      </c>
      <c r="S2264" t="s">
        <v>25</v>
      </c>
      <c r="T2264">
        <f>IF(TRIM(Table1[[#This Row],[PitStopLaps]])="",0,
LEN(Table1[[#This Row],[PitStopLaps]])-LEN(SUBSTITUTE(Table1[[#This Row],[PitStopLaps]],",",""))+1)</f>
        <v>2</v>
      </c>
      <c r="U2264">
        <f>Table1[[#This Row],[StartPosition]]-Table1[[#This Row],[FinishPosition]]</f>
        <v>-2</v>
      </c>
    </row>
    <row r="2265" spans="1:21" x14ac:dyDescent="0.3">
      <c r="A2265">
        <v>2023</v>
      </c>
      <c r="B2265">
        <v>12</v>
      </c>
      <c r="C2265" t="s">
        <v>188</v>
      </c>
      <c r="D2265" t="s">
        <v>26</v>
      </c>
      <c r="E2265" t="s">
        <v>27</v>
      </c>
      <c r="F2265" t="s">
        <v>28</v>
      </c>
      <c r="G2265">
        <v>3</v>
      </c>
      <c r="H2265">
        <v>4</v>
      </c>
      <c r="I2265">
        <v>13</v>
      </c>
      <c r="J2265" t="s">
        <v>34</v>
      </c>
      <c r="K2265" t="s">
        <v>24</v>
      </c>
      <c r="L2265">
        <v>44</v>
      </c>
      <c r="M2265">
        <v>107.30500000000001</v>
      </c>
      <c r="N2265">
        <v>112.33627</v>
      </c>
      <c r="O2265">
        <v>31.545000000000002</v>
      </c>
      <c r="P2265">
        <v>46.47</v>
      </c>
      <c r="Q2265">
        <v>29.29</v>
      </c>
      <c r="R2265" t="s">
        <v>1071</v>
      </c>
      <c r="S2265" t="s">
        <v>25</v>
      </c>
      <c r="T2265">
        <f>IF(TRIM(Table1[[#This Row],[PitStopLaps]])="",0,
LEN(Table1[[#This Row],[PitStopLaps]])-LEN(SUBSTITUTE(Table1[[#This Row],[PitStopLaps]],",",""))+1)</f>
        <v>3</v>
      </c>
      <c r="U2265">
        <f>Table1[[#This Row],[StartPosition]]-Table1[[#This Row],[FinishPosition]]</f>
        <v>-1</v>
      </c>
    </row>
    <row r="2266" spans="1:21" x14ac:dyDescent="0.3">
      <c r="A2266">
        <v>2023</v>
      </c>
      <c r="B2266">
        <v>12</v>
      </c>
      <c r="C2266" t="s">
        <v>188</v>
      </c>
      <c r="D2266" t="s">
        <v>35</v>
      </c>
      <c r="E2266" t="s">
        <v>36</v>
      </c>
      <c r="F2266" t="s">
        <v>603</v>
      </c>
      <c r="G2266">
        <v>9</v>
      </c>
      <c r="H2266">
        <v>5</v>
      </c>
      <c r="I2266">
        <v>10</v>
      </c>
      <c r="J2266" t="s">
        <v>34</v>
      </c>
      <c r="K2266" t="s">
        <v>24</v>
      </c>
      <c r="L2266">
        <v>44</v>
      </c>
      <c r="M2266">
        <v>110.938</v>
      </c>
      <c r="N2266">
        <v>112.754333</v>
      </c>
      <c r="O2266">
        <v>31.701999999999899</v>
      </c>
      <c r="P2266">
        <v>48.451999999999998</v>
      </c>
      <c r="Q2266">
        <v>30.064</v>
      </c>
      <c r="R2266" t="s">
        <v>93</v>
      </c>
      <c r="S2266" t="s">
        <v>25</v>
      </c>
      <c r="T2266">
        <f>IF(TRIM(Table1[[#This Row],[PitStopLaps]])="",0,
LEN(Table1[[#This Row],[PitStopLaps]])-LEN(SUBSTITUTE(Table1[[#This Row],[PitStopLaps]],",",""))+1)</f>
        <v>2</v>
      </c>
      <c r="U2266">
        <f>Table1[[#This Row],[StartPosition]]-Table1[[#This Row],[FinishPosition]]</f>
        <v>4</v>
      </c>
    </row>
    <row r="2267" spans="1:21" x14ac:dyDescent="0.3">
      <c r="A2267">
        <v>2023</v>
      </c>
      <c r="B2267">
        <v>12</v>
      </c>
      <c r="C2267" t="s">
        <v>188</v>
      </c>
      <c r="D2267" t="s">
        <v>252</v>
      </c>
      <c r="E2267" t="s">
        <v>253</v>
      </c>
      <c r="F2267" t="s">
        <v>28</v>
      </c>
      <c r="G2267">
        <v>8</v>
      </c>
      <c r="H2267">
        <v>6</v>
      </c>
      <c r="I2267">
        <v>8</v>
      </c>
      <c r="J2267" t="s">
        <v>34</v>
      </c>
      <c r="K2267" t="s">
        <v>24</v>
      </c>
      <c r="L2267">
        <v>44</v>
      </c>
      <c r="M2267">
        <v>110.60299999999999</v>
      </c>
      <c r="N2267">
        <v>113.209146</v>
      </c>
      <c r="O2267">
        <v>31.571999999999999</v>
      </c>
      <c r="P2267">
        <v>48.639000000000003</v>
      </c>
      <c r="Q2267">
        <v>30.042000000000002</v>
      </c>
      <c r="R2267">
        <v>22</v>
      </c>
      <c r="S2267" t="s">
        <v>25</v>
      </c>
      <c r="T2267">
        <f>IF(TRIM(Table1[[#This Row],[PitStopLaps]])="",0,
LEN(Table1[[#This Row],[PitStopLaps]])-LEN(SUBSTITUTE(Table1[[#This Row],[PitStopLaps]],",",""))+1)</f>
        <v>1</v>
      </c>
      <c r="U2267">
        <f>Table1[[#This Row],[StartPosition]]-Table1[[#This Row],[FinishPosition]]</f>
        <v>2</v>
      </c>
    </row>
    <row r="2268" spans="1:21" x14ac:dyDescent="0.3">
      <c r="A2268">
        <v>2023</v>
      </c>
      <c r="B2268">
        <v>12</v>
      </c>
      <c r="C2268" t="s">
        <v>188</v>
      </c>
      <c r="D2268" t="s">
        <v>246</v>
      </c>
      <c r="E2268" t="s">
        <v>247</v>
      </c>
      <c r="F2268" t="s">
        <v>37</v>
      </c>
      <c r="G2268">
        <v>7</v>
      </c>
      <c r="H2268">
        <v>7</v>
      </c>
      <c r="I2268">
        <v>6</v>
      </c>
      <c r="J2268" t="s">
        <v>34</v>
      </c>
      <c r="K2268" t="s">
        <v>24</v>
      </c>
      <c r="L2268">
        <v>44</v>
      </c>
      <c r="M2268">
        <v>111.682</v>
      </c>
      <c r="N2268">
        <v>113.093256</v>
      </c>
      <c r="O2268">
        <v>32.307000000000002</v>
      </c>
      <c r="P2268">
        <v>48.514000000000003</v>
      </c>
      <c r="Q2268">
        <v>30.26</v>
      </c>
      <c r="R2268" t="s">
        <v>1072</v>
      </c>
      <c r="S2268" t="s">
        <v>25</v>
      </c>
      <c r="T2268">
        <f>IF(TRIM(Table1[[#This Row],[PitStopLaps]])="",0,
LEN(Table1[[#This Row],[PitStopLaps]])-LEN(SUBSTITUTE(Table1[[#This Row],[PitStopLaps]],",",""))+1)</f>
        <v>2</v>
      </c>
      <c r="U2268">
        <f>Table1[[#This Row],[StartPosition]]-Table1[[#This Row],[FinishPosition]]</f>
        <v>0</v>
      </c>
    </row>
    <row r="2269" spans="1:21" x14ac:dyDescent="0.3">
      <c r="A2269">
        <v>2023</v>
      </c>
      <c r="B2269">
        <v>12</v>
      </c>
      <c r="C2269" t="s">
        <v>188</v>
      </c>
      <c r="D2269" t="s">
        <v>52</v>
      </c>
      <c r="E2269" t="s">
        <v>53</v>
      </c>
      <c r="F2269" t="s">
        <v>607</v>
      </c>
      <c r="G2269">
        <v>14</v>
      </c>
      <c r="H2269">
        <v>8</v>
      </c>
      <c r="I2269">
        <v>4</v>
      </c>
      <c r="J2269" t="s">
        <v>34</v>
      </c>
      <c r="K2269" t="s">
        <v>24</v>
      </c>
      <c r="L2269">
        <v>44</v>
      </c>
      <c r="M2269">
        <v>110.43899999999999</v>
      </c>
      <c r="N2269">
        <v>113.18194800000001</v>
      </c>
      <c r="O2269">
        <v>31.248999999999999</v>
      </c>
      <c r="P2269">
        <v>48.603999999999999</v>
      </c>
      <c r="Q2269">
        <v>30.004999999999999</v>
      </c>
      <c r="R2269" t="s">
        <v>357</v>
      </c>
      <c r="S2269" t="s">
        <v>25</v>
      </c>
      <c r="T2269">
        <f>IF(TRIM(Table1[[#This Row],[PitStopLaps]])="",0,
LEN(Table1[[#This Row],[PitStopLaps]])-LEN(SUBSTITUTE(Table1[[#This Row],[PitStopLaps]],",",""))+1)</f>
        <v>2</v>
      </c>
      <c r="U2269">
        <f>Table1[[#This Row],[StartPosition]]-Table1[[#This Row],[FinishPosition]]</f>
        <v>6</v>
      </c>
    </row>
    <row r="2270" spans="1:21" x14ac:dyDescent="0.3">
      <c r="A2270">
        <v>2023</v>
      </c>
      <c r="B2270">
        <v>12</v>
      </c>
      <c r="C2270" t="s">
        <v>188</v>
      </c>
      <c r="D2270" t="s">
        <v>58</v>
      </c>
      <c r="E2270" t="s">
        <v>59</v>
      </c>
      <c r="F2270" t="s">
        <v>603</v>
      </c>
      <c r="G2270">
        <v>10</v>
      </c>
      <c r="H2270">
        <v>9</v>
      </c>
      <c r="I2270">
        <v>2</v>
      </c>
      <c r="J2270" t="s">
        <v>34</v>
      </c>
      <c r="K2270" t="s">
        <v>24</v>
      </c>
      <c r="L2270">
        <v>44</v>
      </c>
      <c r="M2270">
        <v>111.297</v>
      </c>
      <c r="N2270">
        <v>113.472487</v>
      </c>
      <c r="O2270">
        <v>32.076000000000001</v>
      </c>
      <c r="P2270">
        <v>48.728000000000002</v>
      </c>
      <c r="Q2270">
        <v>30.013999999999999</v>
      </c>
      <c r="R2270">
        <v>20</v>
      </c>
      <c r="S2270" t="s">
        <v>25</v>
      </c>
      <c r="T2270">
        <f>IF(TRIM(Table1[[#This Row],[PitStopLaps]])="",0,
LEN(Table1[[#This Row],[PitStopLaps]])-LEN(SUBSTITUTE(Table1[[#This Row],[PitStopLaps]],",",""))+1)</f>
        <v>1</v>
      </c>
      <c r="U2270">
        <f>Table1[[#This Row],[StartPosition]]-Table1[[#This Row],[FinishPosition]]</f>
        <v>1</v>
      </c>
    </row>
    <row r="2271" spans="1:21" x14ac:dyDescent="0.3">
      <c r="A2271">
        <v>2023</v>
      </c>
      <c r="B2271">
        <v>12</v>
      </c>
      <c r="C2271" t="s">
        <v>188</v>
      </c>
      <c r="D2271" t="s">
        <v>601</v>
      </c>
      <c r="E2271" t="s">
        <v>602</v>
      </c>
      <c r="F2271" t="s">
        <v>438</v>
      </c>
      <c r="G2271">
        <v>11</v>
      </c>
      <c r="H2271">
        <v>10</v>
      </c>
      <c r="I2271">
        <v>1</v>
      </c>
      <c r="J2271" t="s">
        <v>34</v>
      </c>
      <c r="K2271" t="s">
        <v>24</v>
      </c>
      <c r="L2271">
        <v>44</v>
      </c>
      <c r="M2271">
        <v>111.39400000000001</v>
      </c>
      <c r="N2271">
        <v>113.367743</v>
      </c>
      <c r="O2271">
        <v>31.734999999999999</v>
      </c>
      <c r="P2271">
        <v>49.438000000000002</v>
      </c>
      <c r="Q2271">
        <v>29.907</v>
      </c>
      <c r="R2271" t="s">
        <v>1073</v>
      </c>
      <c r="S2271" t="s">
        <v>25</v>
      </c>
      <c r="T2271">
        <f>IF(TRIM(Table1[[#This Row],[PitStopLaps]])="",0,
LEN(Table1[[#This Row],[PitStopLaps]])-LEN(SUBSTITUTE(Table1[[#This Row],[PitStopLaps]],",",""))+1)</f>
        <v>2</v>
      </c>
      <c r="U2271">
        <f>Table1[[#This Row],[StartPosition]]-Table1[[#This Row],[FinishPosition]]</f>
        <v>1</v>
      </c>
    </row>
    <row r="2272" spans="1:21" x14ac:dyDescent="0.3">
      <c r="A2272">
        <v>2023</v>
      </c>
      <c r="B2272">
        <v>12</v>
      </c>
      <c r="C2272" t="s">
        <v>188</v>
      </c>
      <c r="D2272" t="s">
        <v>73</v>
      </c>
      <c r="E2272" t="s">
        <v>74</v>
      </c>
      <c r="F2272" t="s">
        <v>607</v>
      </c>
      <c r="G2272">
        <v>12</v>
      </c>
      <c r="H2272">
        <v>11</v>
      </c>
      <c r="I2272">
        <v>0</v>
      </c>
      <c r="J2272" t="s">
        <v>34</v>
      </c>
      <c r="K2272" t="s">
        <v>24</v>
      </c>
      <c r="L2272">
        <v>44</v>
      </c>
      <c r="M2272">
        <v>110.911</v>
      </c>
      <c r="N2272">
        <v>113.658536</v>
      </c>
      <c r="O2272">
        <v>31.454999999999998</v>
      </c>
      <c r="P2272">
        <v>49.223999999999997</v>
      </c>
      <c r="Q2272">
        <v>29.948</v>
      </c>
      <c r="R2272">
        <v>23</v>
      </c>
      <c r="S2272" t="s">
        <v>25</v>
      </c>
      <c r="T2272">
        <f>IF(TRIM(Table1[[#This Row],[PitStopLaps]])="",0,
LEN(Table1[[#This Row],[PitStopLaps]])-LEN(SUBSTITUTE(Table1[[#This Row],[PitStopLaps]],",",""))+1)</f>
        <v>1</v>
      </c>
      <c r="U2272">
        <f>Table1[[#This Row],[StartPosition]]-Table1[[#This Row],[FinishPosition]]</f>
        <v>1</v>
      </c>
    </row>
    <row r="2273" spans="1:21" x14ac:dyDescent="0.3">
      <c r="A2273">
        <v>2023</v>
      </c>
      <c r="B2273">
        <v>12</v>
      </c>
      <c r="C2273" t="s">
        <v>188</v>
      </c>
      <c r="D2273" t="s">
        <v>43</v>
      </c>
      <c r="E2273" t="s">
        <v>44</v>
      </c>
      <c r="F2273" t="s">
        <v>789</v>
      </c>
      <c r="G2273">
        <v>13</v>
      </c>
      <c r="H2273">
        <v>12</v>
      </c>
      <c r="I2273">
        <v>0</v>
      </c>
      <c r="J2273" t="s">
        <v>34</v>
      </c>
      <c r="K2273" t="s">
        <v>24</v>
      </c>
      <c r="L2273">
        <v>44</v>
      </c>
      <c r="M2273">
        <v>110.515</v>
      </c>
      <c r="N2273">
        <v>113.453076</v>
      </c>
      <c r="O2273">
        <v>31.741</v>
      </c>
      <c r="P2273">
        <v>48.405999999999999</v>
      </c>
      <c r="Q2273">
        <v>29.984000000000002</v>
      </c>
      <c r="R2273" t="s">
        <v>1074</v>
      </c>
      <c r="S2273" t="s">
        <v>25</v>
      </c>
      <c r="T2273">
        <f>IF(TRIM(Table1[[#This Row],[PitStopLaps]])="",0,
LEN(Table1[[#This Row],[PitStopLaps]])-LEN(SUBSTITUTE(Table1[[#This Row],[PitStopLaps]],",",""))+1)</f>
        <v>2</v>
      </c>
      <c r="U2273">
        <f>Table1[[#This Row],[StartPosition]]-Table1[[#This Row],[FinishPosition]]</f>
        <v>1</v>
      </c>
    </row>
    <row r="2274" spans="1:21" x14ac:dyDescent="0.3">
      <c r="A2274">
        <v>2023</v>
      </c>
      <c r="B2274">
        <v>12</v>
      </c>
      <c r="C2274" t="s">
        <v>188</v>
      </c>
      <c r="D2274" t="s">
        <v>794</v>
      </c>
      <c r="E2274" t="s">
        <v>795</v>
      </c>
      <c r="F2274" t="s">
        <v>789</v>
      </c>
      <c r="G2274">
        <v>17</v>
      </c>
      <c r="H2274">
        <v>13</v>
      </c>
      <c r="I2274">
        <v>0</v>
      </c>
      <c r="J2274" t="s">
        <v>34</v>
      </c>
      <c r="K2274" t="s">
        <v>24</v>
      </c>
      <c r="L2274">
        <v>44</v>
      </c>
      <c r="M2274">
        <v>110.188</v>
      </c>
      <c r="N2274">
        <v>113.661871</v>
      </c>
      <c r="O2274">
        <v>31.56</v>
      </c>
      <c r="P2274">
        <v>48.488</v>
      </c>
      <c r="Q2274">
        <v>29.893999999999998</v>
      </c>
      <c r="R2274" t="s">
        <v>1075</v>
      </c>
      <c r="S2274" t="s">
        <v>25</v>
      </c>
      <c r="T2274">
        <f>IF(TRIM(Table1[[#This Row],[PitStopLaps]])="",0,
LEN(Table1[[#This Row],[PitStopLaps]])-LEN(SUBSTITUTE(Table1[[#This Row],[PitStopLaps]],",",""))+1)</f>
        <v>2</v>
      </c>
      <c r="U2274">
        <f>Table1[[#This Row],[StartPosition]]-Table1[[#This Row],[FinishPosition]]</f>
        <v>4</v>
      </c>
    </row>
    <row r="2275" spans="1:21" x14ac:dyDescent="0.3">
      <c r="A2275">
        <v>2023</v>
      </c>
      <c r="B2275">
        <v>12</v>
      </c>
      <c r="C2275" t="s">
        <v>188</v>
      </c>
      <c r="D2275" t="s">
        <v>248</v>
      </c>
      <c r="E2275" t="s">
        <v>249</v>
      </c>
      <c r="F2275" t="s">
        <v>60</v>
      </c>
      <c r="G2275">
        <v>15</v>
      </c>
      <c r="H2275">
        <v>14</v>
      </c>
      <c r="I2275">
        <v>0</v>
      </c>
      <c r="J2275" t="s">
        <v>34</v>
      </c>
      <c r="K2275" t="s">
        <v>24</v>
      </c>
      <c r="L2275">
        <v>44</v>
      </c>
      <c r="M2275">
        <v>109.84099999999999</v>
      </c>
      <c r="N2275">
        <v>113.28327</v>
      </c>
      <c r="O2275">
        <v>31.335999999999999</v>
      </c>
      <c r="P2275">
        <v>48.936</v>
      </c>
      <c r="Q2275">
        <v>29.513000000000002</v>
      </c>
      <c r="R2275" t="s">
        <v>1076</v>
      </c>
      <c r="S2275" t="s">
        <v>25</v>
      </c>
      <c r="T2275">
        <f>IF(TRIM(Table1[[#This Row],[PitStopLaps]])="",0,
LEN(Table1[[#This Row],[PitStopLaps]])-LEN(SUBSTITUTE(Table1[[#This Row],[PitStopLaps]],",",""))+1)</f>
        <v>3</v>
      </c>
      <c r="U2275">
        <f>Table1[[#This Row],[StartPosition]]-Table1[[#This Row],[FinishPosition]]</f>
        <v>1</v>
      </c>
    </row>
    <row r="2276" spans="1:21" x14ac:dyDescent="0.3">
      <c r="A2276">
        <v>2023</v>
      </c>
      <c r="B2276">
        <v>12</v>
      </c>
      <c r="C2276" t="s">
        <v>188</v>
      </c>
      <c r="D2276" t="s">
        <v>71</v>
      </c>
      <c r="E2276" t="s">
        <v>72</v>
      </c>
      <c r="F2276" t="s">
        <v>69</v>
      </c>
      <c r="G2276">
        <v>16</v>
      </c>
      <c r="H2276">
        <v>15</v>
      </c>
      <c r="I2276">
        <v>0</v>
      </c>
      <c r="J2276" t="s">
        <v>34</v>
      </c>
      <c r="K2276" t="s">
        <v>24</v>
      </c>
      <c r="L2276">
        <v>44</v>
      </c>
      <c r="M2276">
        <v>110.99299999999999</v>
      </c>
      <c r="N2276">
        <v>113.807051</v>
      </c>
      <c r="O2276">
        <v>31.748000000000001</v>
      </c>
      <c r="P2276">
        <v>49.06</v>
      </c>
      <c r="Q2276">
        <v>30.05</v>
      </c>
      <c r="R2276" t="s">
        <v>729</v>
      </c>
      <c r="S2276" t="s">
        <v>25</v>
      </c>
      <c r="T2276">
        <f>IF(TRIM(Table1[[#This Row],[PitStopLaps]])="",0,
LEN(Table1[[#This Row],[PitStopLaps]])-LEN(SUBSTITUTE(Table1[[#This Row],[PitStopLaps]],",",""))+1)</f>
        <v>2</v>
      </c>
      <c r="U2276">
        <f>Table1[[#This Row],[StartPosition]]-Table1[[#This Row],[FinishPosition]]</f>
        <v>1</v>
      </c>
    </row>
    <row r="2277" spans="1:21" x14ac:dyDescent="0.3">
      <c r="A2277">
        <v>2023</v>
      </c>
      <c r="B2277">
        <v>12</v>
      </c>
      <c r="C2277" t="s">
        <v>188</v>
      </c>
      <c r="D2277" t="s">
        <v>31</v>
      </c>
      <c r="E2277" t="s">
        <v>32</v>
      </c>
      <c r="F2277" t="s">
        <v>438</v>
      </c>
      <c r="G2277">
        <v>19</v>
      </c>
      <c r="H2277">
        <v>16</v>
      </c>
      <c r="I2277">
        <v>0</v>
      </c>
      <c r="J2277" t="s">
        <v>34</v>
      </c>
      <c r="K2277" t="s">
        <v>24</v>
      </c>
      <c r="L2277">
        <v>44</v>
      </c>
      <c r="M2277">
        <v>110.994</v>
      </c>
      <c r="N2277">
        <v>113.519538</v>
      </c>
      <c r="O2277">
        <v>31.555</v>
      </c>
      <c r="P2277">
        <v>49.417000000000002</v>
      </c>
      <c r="Q2277">
        <v>30.021999999999998</v>
      </c>
      <c r="R2277" t="s">
        <v>1077</v>
      </c>
      <c r="S2277" t="s">
        <v>25</v>
      </c>
      <c r="T2277">
        <f>IF(TRIM(Table1[[#This Row],[PitStopLaps]])="",0,
LEN(Table1[[#This Row],[PitStopLaps]])-LEN(SUBSTITUTE(Table1[[#This Row],[PitStopLaps]],",",""))+1)</f>
        <v>2</v>
      </c>
      <c r="U2277">
        <f>Table1[[#This Row],[StartPosition]]-Table1[[#This Row],[FinishPosition]]</f>
        <v>3</v>
      </c>
    </row>
    <row r="2278" spans="1:21" x14ac:dyDescent="0.3">
      <c r="A2278">
        <v>2023</v>
      </c>
      <c r="B2278">
        <v>12</v>
      </c>
      <c r="C2278" t="s">
        <v>188</v>
      </c>
      <c r="D2278" t="s">
        <v>992</v>
      </c>
      <c r="E2278" t="s">
        <v>993</v>
      </c>
      <c r="F2278" t="s">
        <v>60</v>
      </c>
      <c r="G2278">
        <v>18</v>
      </c>
      <c r="H2278">
        <v>17</v>
      </c>
      <c r="I2278">
        <v>0</v>
      </c>
      <c r="J2278" t="s">
        <v>34</v>
      </c>
      <c r="K2278" t="s">
        <v>24</v>
      </c>
      <c r="L2278">
        <v>44</v>
      </c>
      <c r="M2278">
        <v>110.236</v>
      </c>
      <c r="N2278">
        <v>113.541594</v>
      </c>
      <c r="O2278">
        <v>31.404</v>
      </c>
      <c r="P2278">
        <v>48.999000000000002</v>
      </c>
      <c r="Q2278">
        <v>29.72</v>
      </c>
      <c r="R2278" t="s">
        <v>1078</v>
      </c>
      <c r="S2278" t="s">
        <v>25</v>
      </c>
      <c r="T2278">
        <f>IF(TRIM(Table1[[#This Row],[PitStopLaps]])="",0,
LEN(Table1[[#This Row],[PitStopLaps]])-LEN(SUBSTITUTE(Table1[[#This Row],[PitStopLaps]],",",""))+1)</f>
        <v>3</v>
      </c>
      <c r="U2278">
        <f>Table1[[#This Row],[StartPosition]]-Table1[[#This Row],[FinishPosition]]</f>
        <v>1</v>
      </c>
    </row>
    <row r="2279" spans="1:21" x14ac:dyDescent="0.3">
      <c r="A2279">
        <v>2023</v>
      </c>
      <c r="B2279">
        <v>12</v>
      </c>
      <c r="C2279" t="s">
        <v>188</v>
      </c>
      <c r="D2279" t="s">
        <v>40</v>
      </c>
      <c r="E2279" t="s">
        <v>41</v>
      </c>
      <c r="F2279" t="s">
        <v>69</v>
      </c>
      <c r="G2279">
        <v>20</v>
      </c>
      <c r="H2279">
        <v>18</v>
      </c>
      <c r="I2279">
        <v>0</v>
      </c>
      <c r="J2279" t="s">
        <v>34</v>
      </c>
      <c r="K2279" t="s">
        <v>24</v>
      </c>
      <c r="L2279">
        <v>44</v>
      </c>
      <c r="M2279">
        <v>109.907</v>
      </c>
      <c r="N2279">
        <v>114.005461</v>
      </c>
      <c r="O2279">
        <v>31.306999999999999</v>
      </c>
      <c r="P2279">
        <v>48.732999999999997</v>
      </c>
      <c r="Q2279">
        <v>29.867000000000001</v>
      </c>
      <c r="R2279" t="s">
        <v>1079</v>
      </c>
      <c r="S2279" t="s">
        <v>25</v>
      </c>
      <c r="T2279">
        <f>IF(TRIM(Table1[[#This Row],[PitStopLaps]])="",0,
LEN(Table1[[#This Row],[PitStopLaps]])-LEN(SUBSTITUTE(Table1[[#This Row],[PitStopLaps]],",",""))+1)</f>
        <v>2</v>
      </c>
      <c r="U2279">
        <f>Table1[[#This Row],[StartPosition]]-Table1[[#This Row],[FinishPosition]]</f>
        <v>2</v>
      </c>
    </row>
    <row r="2280" spans="1:21" x14ac:dyDescent="0.3">
      <c r="A2280">
        <v>2023</v>
      </c>
      <c r="B2280">
        <v>12</v>
      </c>
      <c r="C2280" t="s">
        <v>188</v>
      </c>
      <c r="D2280" t="s">
        <v>47</v>
      </c>
      <c r="E2280" t="s">
        <v>48</v>
      </c>
      <c r="F2280" t="s">
        <v>22</v>
      </c>
      <c r="G2280">
        <v>4</v>
      </c>
      <c r="H2280">
        <v>19</v>
      </c>
      <c r="I2280">
        <v>0</v>
      </c>
      <c r="J2280" t="s">
        <v>34</v>
      </c>
      <c r="K2280" t="s">
        <v>179</v>
      </c>
      <c r="L2280">
        <v>23</v>
      </c>
      <c r="M2280">
        <v>113.13800000000001</v>
      </c>
      <c r="N2280">
        <v>116.026578</v>
      </c>
      <c r="O2280">
        <v>31.998999999999999</v>
      </c>
      <c r="P2280">
        <v>50.712000000000003</v>
      </c>
      <c r="Q2280">
        <v>30.381</v>
      </c>
      <c r="R2280" t="s">
        <v>478</v>
      </c>
      <c r="S2280" t="s">
        <v>25</v>
      </c>
      <c r="T2280">
        <f>IF(TRIM(Table1[[#This Row],[PitStopLaps]])="",0,
LEN(Table1[[#This Row],[PitStopLaps]])-LEN(SUBSTITUTE(Table1[[#This Row],[PitStopLaps]],",",""))+1)</f>
        <v>2</v>
      </c>
      <c r="U2280">
        <f>Table1[[#This Row],[StartPosition]]-Table1[[#This Row],[FinishPosition]]</f>
        <v>-15</v>
      </c>
    </row>
    <row r="2281" spans="1:21" x14ac:dyDescent="0.3">
      <c r="A2281">
        <v>2023</v>
      </c>
      <c r="B2281">
        <v>12</v>
      </c>
      <c r="C2281" t="s">
        <v>188</v>
      </c>
      <c r="D2281" t="s">
        <v>1000</v>
      </c>
      <c r="E2281" t="s">
        <v>1001</v>
      </c>
      <c r="F2281" t="s">
        <v>37</v>
      </c>
      <c r="G2281">
        <v>5</v>
      </c>
      <c r="H2281">
        <v>20</v>
      </c>
      <c r="I2281">
        <v>0</v>
      </c>
      <c r="J2281" t="s">
        <v>34</v>
      </c>
      <c r="K2281" t="s">
        <v>179</v>
      </c>
      <c r="L2281">
        <v>1</v>
      </c>
      <c r="S2281" t="s">
        <v>25</v>
      </c>
      <c r="T2281">
        <f>IF(TRIM(Table1[[#This Row],[PitStopLaps]])="",0,
LEN(Table1[[#This Row],[PitStopLaps]])-LEN(SUBSTITUTE(Table1[[#This Row],[PitStopLaps]],",",""))+1)</f>
        <v>0</v>
      </c>
      <c r="U2281">
        <f>Table1[[#This Row],[StartPosition]]-Table1[[#This Row],[FinishPosition]]</f>
        <v>-15</v>
      </c>
    </row>
    <row r="2282" spans="1:21" x14ac:dyDescent="0.3">
      <c r="A2282">
        <v>2023</v>
      </c>
      <c r="B2282">
        <v>13</v>
      </c>
      <c r="C2282" t="s">
        <v>702</v>
      </c>
      <c r="D2282" t="s">
        <v>38</v>
      </c>
      <c r="E2282" t="s">
        <v>39</v>
      </c>
      <c r="F2282" t="s">
        <v>33</v>
      </c>
      <c r="G2282">
        <v>1</v>
      </c>
      <c r="H2282">
        <v>1</v>
      </c>
      <c r="I2282">
        <v>25</v>
      </c>
      <c r="J2282" t="s">
        <v>23</v>
      </c>
      <c r="K2282" t="s">
        <v>24</v>
      </c>
      <c r="L2282">
        <v>72</v>
      </c>
      <c r="M2282">
        <v>73.888999999999996</v>
      </c>
      <c r="N2282">
        <v>77.163376999999997</v>
      </c>
      <c r="O2282">
        <v>25.379000000000001</v>
      </c>
      <c r="P2282">
        <v>25.954000000000001</v>
      </c>
      <c r="Q2282">
        <v>22.315999999999999</v>
      </c>
      <c r="R2282" t="s">
        <v>1080</v>
      </c>
      <c r="S2282" t="s">
        <v>25</v>
      </c>
      <c r="T2282">
        <f>IF(TRIM(Table1[[#This Row],[PitStopLaps]])="",0,
LEN(Table1[[#This Row],[PitStopLaps]])-LEN(SUBSTITUTE(Table1[[#This Row],[PitStopLaps]],",",""))+1)</f>
        <v>6</v>
      </c>
      <c r="U2282">
        <f>Table1[[#This Row],[StartPosition]]-Table1[[#This Row],[FinishPosition]]</f>
        <v>0</v>
      </c>
    </row>
    <row r="2283" spans="1:21" x14ac:dyDescent="0.3">
      <c r="A2283">
        <v>2023</v>
      </c>
      <c r="B2283">
        <v>13</v>
      </c>
      <c r="C2283" t="s">
        <v>702</v>
      </c>
      <c r="D2283" t="s">
        <v>35</v>
      </c>
      <c r="E2283" t="s">
        <v>36</v>
      </c>
      <c r="F2283" t="s">
        <v>603</v>
      </c>
      <c r="G2283">
        <v>5</v>
      </c>
      <c r="H2283">
        <v>2</v>
      </c>
      <c r="I2283">
        <v>19</v>
      </c>
      <c r="J2283" t="s">
        <v>23</v>
      </c>
      <c r="K2283" t="s">
        <v>24</v>
      </c>
      <c r="L2283">
        <v>72</v>
      </c>
      <c r="M2283">
        <v>73.837000000000003</v>
      </c>
      <c r="N2283">
        <v>77.456282999999999</v>
      </c>
      <c r="O2283">
        <v>25.158999999999999</v>
      </c>
      <c r="P2283">
        <v>26.334</v>
      </c>
      <c r="Q2283">
        <v>22.248999999999999</v>
      </c>
      <c r="R2283" t="s">
        <v>1081</v>
      </c>
      <c r="S2283" t="s">
        <v>25</v>
      </c>
      <c r="T2283">
        <f>IF(TRIM(Table1[[#This Row],[PitStopLaps]])="",0,
LEN(Table1[[#This Row],[PitStopLaps]])-LEN(SUBSTITUTE(Table1[[#This Row],[PitStopLaps]],",",""))+1)</f>
        <v>5</v>
      </c>
      <c r="U2283">
        <f>Table1[[#This Row],[StartPosition]]-Table1[[#This Row],[FinishPosition]]</f>
        <v>3</v>
      </c>
    </row>
    <row r="2284" spans="1:21" x14ac:dyDescent="0.3">
      <c r="A2284">
        <v>2023</v>
      </c>
      <c r="B2284">
        <v>13</v>
      </c>
      <c r="C2284" t="s">
        <v>702</v>
      </c>
      <c r="D2284" t="s">
        <v>73</v>
      </c>
      <c r="E2284" t="s">
        <v>74</v>
      </c>
      <c r="F2284" t="s">
        <v>607</v>
      </c>
      <c r="G2284">
        <v>12</v>
      </c>
      <c r="H2284">
        <v>3</v>
      </c>
      <c r="I2284">
        <v>15</v>
      </c>
      <c r="J2284" t="s">
        <v>23</v>
      </c>
      <c r="K2284" t="s">
        <v>24</v>
      </c>
      <c r="L2284">
        <v>72</v>
      </c>
      <c r="M2284">
        <v>74.441000000000003</v>
      </c>
      <c r="N2284">
        <v>78.176055000000005</v>
      </c>
      <c r="O2284">
        <v>25.606000000000002</v>
      </c>
      <c r="P2284">
        <v>26.47</v>
      </c>
      <c r="Q2284">
        <v>22.094999999999999</v>
      </c>
      <c r="R2284" t="s">
        <v>1082</v>
      </c>
      <c r="S2284" t="s">
        <v>25</v>
      </c>
      <c r="T2284">
        <f>IF(TRIM(Table1[[#This Row],[PitStopLaps]])="",0,
LEN(Table1[[#This Row],[PitStopLaps]])-LEN(SUBSTITUTE(Table1[[#This Row],[PitStopLaps]],",",""))+1)</f>
        <v>5</v>
      </c>
      <c r="U2284">
        <f>Table1[[#This Row],[StartPosition]]-Table1[[#This Row],[FinishPosition]]</f>
        <v>9</v>
      </c>
    </row>
    <row r="2285" spans="1:21" x14ac:dyDescent="0.3">
      <c r="A2285">
        <v>2023</v>
      </c>
      <c r="B2285">
        <v>13</v>
      </c>
      <c r="C2285" t="s">
        <v>702</v>
      </c>
      <c r="D2285" t="s">
        <v>49</v>
      </c>
      <c r="E2285" t="s">
        <v>50</v>
      </c>
      <c r="F2285" t="s">
        <v>33</v>
      </c>
      <c r="G2285">
        <v>7</v>
      </c>
      <c r="H2285">
        <v>4</v>
      </c>
      <c r="I2285">
        <v>12</v>
      </c>
      <c r="J2285" t="s">
        <v>34</v>
      </c>
      <c r="K2285" t="s">
        <v>24</v>
      </c>
      <c r="L2285">
        <v>72</v>
      </c>
      <c r="M2285">
        <v>74.230999999999995</v>
      </c>
      <c r="N2285">
        <v>78.028480999999999</v>
      </c>
      <c r="O2285">
        <v>25.445</v>
      </c>
      <c r="P2285">
        <v>26.254999999999999</v>
      </c>
      <c r="Q2285">
        <v>22.451000000000001</v>
      </c>
      <c r="R2285" t="s">
        <v>1083</v>
      </c>
      <c r="S2285" t="s">
        <v>25</v>
      </c>
      <c r="T2285">
        <f>IF(TRIM(Table1[[#This Row],[PitStopLaps]])="",0,
LEN(Table1[[#This Row],[PitStopLaps]])-LEN(SUBSTITUTE(Table1[[#This Row],[PitStopLaps]],",",""))+1)</f>
        <v>6</v>
      </c>
      <c r="U2285">
        <f>Table1[[#This Row],[StartPosition]]-Table1[[#This Row],[FinishPosition]]</f>
        <v>3</v>
      </c>
    </row>
    <row r="2286" spans="1:21" x14ac:dyDescent="0.3">
      <c r="A2286">
        <v>2023</v>
      </c>
      <c r="B2286">
        <v>13</v>
      </c>
      <c r="C2286" t="s">
        <v>702</v>
      </c>
      <c r="D2286" t="s">
        <v>47</v>
      </c>
      <c r="E2286" t="s">
        <v>48</v>
      </c>
      <c r="F2286" t="s">
        <v>22</v>
      </c>
      <c r="G2286">
        <v>6</v>
      </c>
      <c r="H2286">
        <v>5</v>
      </c>
      <c r="I2286">
        <v>10</v>
      </c>
      <c r="J2286" t="s">
        <v>34</v>
      </c>
      <c r="K2286" t="s">
        <v>24</v>
      </c>
      <c r="L2286">
        <v>72</v>
      </c>
      <c r="M2286">
        <v>74.933999999999997</v>
      </c>
      <c r="N2286">
        <v>77.992999999999995</v>
      </c>
      <c r="O2286">
        <v>25.59</v>
      </c>
      <c r="P2286">
        <v>26.533000000000001</v>
      </c>
      <c r="Q2286">
        <v>22.334</v>
      </c>
      <c r="R2286" t="s">
        <v>1084</v>
      </c>
      <c r="S2286" t="s">
        <v>25</v>
      </c>
      <c r="T2286">
        <f>IF(TRIM(Table1[[#This Row],[PitStopLaps]])="",0,
LEN(Table1[[#This Row],[PitStopLaps]])-LEN(SUBSTITUTE(Table1[[#This Row],[PitStopLaps]],",",""))+1)</f>
        <v>5</v>
      </c>
      <c r="U2286">
        <f>Table1[[#This Row],[StartPosition]]-Table1[[#This Row],[FinishPosition]]</f>
        <v>1</v>
      </c>
    </row>
    <row r="2287" spans="1:21" x14ac:dyDescent="0.3">
      <c r="A2287">
        <v>2023</v>
      </c>
      <c r="B2287">
        <v>13</v>
      </c>
      <c r="C2287" t="s">
        <v>702</v>
      </c>
      <c r="D2287" t="s">
        <v>26</v>
      </c>
      <c r="E2287" t="s">
        <v>27</v>
      </c>
      <c r="F2287" t="s">
        <v>28</v>
      </c>
      <c r="G2287">
        <v>13</v>
      </c>
      <c r="H2287">
        <v>6</v>
      </c>
      <c r="I2287">
        <v>8</v>
      </c>
      <c r="J2287" t="s">
        <v>34</v>
      </c>
      <c r="K2287" t="s">
        <v>24</v>
      </c>
      <c r="L2287">
        <v>72</v>
      </c>
      <c r="M2287">
        <v>73.903999999999996</v>
      </c>
      <c r="N2287">
        <v>78.550659999999993</v>
      </c>
      <c r="O2287">
        <v>25.26</v>
      </c>
      <c r="P2287">
        <v>26.27</v>
      </c>
      <c r="Q2287">
        <v>22.149000000000001</v>
      </c>
      <c r="R2287" t="s">
        <v>1085</v>
      </c>
      <c r="S2287" t="s">
        <v>25</v>
      </c>
      <c r="T2287">
        <f>IF(TRIM(Table1[[#This Row],[PitStopLaps]])="",0,
LEN(Table1[[#This Row],[PitStopLaps]])-LEN(SUBSTITUTE(Table1[[#This Row],[PitStopLaps]],",",""))+1)</f>
        <v>5</v>
      </c>
      <c r="U2287">
        <f>Table1[[#This Row],[StartPosition]]-Table1[[#This Row],[FinishPosition]]</f>
        <v>7</v>
      </c>
    </row>
    <row r="2288" spans="1:21" x14ac:dyDescent="0.3">
      <c r="A2288">
        <v>2023</v>
      </c>
      <c r="B2288">
        <v>13</v>
      </c>
      <c r="C2288" t="s">
        <v>702</v>
      </c>
      <c r="D2288" t="s">
        <v>246</v>
      </c>
      <c r="E2288" t="s">
        <v>247</v>
      </c>
      <c r="F2288" t="s">
        <v>37</v>
      </c>
      <c r="G2288">
        <v>2</v>
      </c>
      <c r="H2288">
        <v>7</v>
      </c>
      <c r="I2288">
        <v>6</v>
      </c>
      <c r="J2288" t="s">
        <v>34</v>
      </c>
      <c r="K2288" t="s">
        <v>24</v>
      </c>
      <c r="L2288">
        <v>72</v>
      </c>
      <c r="M2288">
        <v>74.39</v>
      </c>
      <c r="N2288">
        <v>78.482754</v>
      </c>
      <c r="O2288">
        <v>25.544</v>
      </c>
      <c r="P2288">
        <v>26.547999999999998</v>
      </c>
      <c r="Q2288">
        <v>22.140999999999998</v>
      </c>
      <c r="R2288" t="s">
        <v>1086</v>
      </c>
      <c r="S2288" t="s">
        <v>25</v>
      </c>
      <c r="T2288">
        <f>IF(TRIM(Table1[[#This Row],[PitStopLaps]])="",0,
LEN(Table1[[#This Row],[PitStopLaps]])-LEN(SUBSTITUTE(Table1[[#This Row],[PitStopLaps]],",",""))+1)</f>
        <v>6</v>
      </c>
      <c r="U2288">
        <f>Table1[[#This Row],[StartPosition]]-Table1[[#This Row],[FinishPosition]]</f>
        <v>-5</v>
      </c>
    </row>
    <row r="2289" spans="1:21" x14ac:dyDescent="0.3">
      <c r="A2289">
        <v>2023</v>
      </c>
      <c r="B2289">
        <v>13</v>
      </c>
      <c r="C2289" t="s">
        <v>702</v>
      </c>
      <c r="D2289" t="s">
        <v>248</v>
      </c>
      <c r="E2289" t="s">
        <v>249</v>
      </c>
      <c r="F2289" t="s">
        <v>60</v>
      </c>
      <c r="G2289">
        <v>4</v>
      </c>
      <c r="H2289">
        <v>8</v>
      </c>
      <c r="I2289">
        <v>4</v>
      </c>
      <c r="J2289" t="s">
        <v>34</v>
      </c>
      <c r="K2289" t="s">
        <v>24</v>
      </c>
      <c r="L2289">
        <v>72</v>
      </c>
      <c r="M2289">
        <v>74.468000000000004</v>
      </c>
      <c r="N2289">
        <v>79.868297999999996</v>
      </c>
      <c r="O2289">
        <v>25.431999999999999</v>
      </c>
      <c r="P2289">
        <v>26.558</v>
      </c>
      <c r="Q2289">
        <v>22.1</v>
      </c>
      <c r="R2289" t="s">
        <v>1087</v>
      </c>
      <c r="S2289" t="s">
        <v>25</v>
      </c>
      <c r="T2289">
        <f>IF(TRIM(Table1[[#This Row],[PitStopLaps]])="",0,
LEN(Table1[[#This Row],[PitStopLaps]])-LEN(SUBSTITUTE(Table1[[#This Row],[PitStopLaps]],",",""))+1)</f>
        <v>4</v>
      </c>
      <c r="U2289">
        <f>Table1[[#This Row],[StartPosition]]-Table1[[#This Row],[FinishPosition]]</f>
        <v>-4</v>
      </c>
    </row>
    <row r="2290" spans="1:21" x14ac:dyDescent="0.3">
      <c r="A2290">
        <v>2023</v>
      </c>
      <c r="B2290">
        <v>13</v>
      </c>
      <c r="C2290" t="s">
        <v>702</v>
      </c>
      <c r="D2290" t="s">
        <v>1000</v>
      </c>
      <c r="E2290" t="s">
        <v>1001</v>
      </c>
      <c r="F2290" t="s">
        <v>37</v>
      </c>
      <c r="G2290">
        <v>8</v>
      </c>
      <c r="H2290">
        <v>9</v>
      </c>
      <c r="I2290">
        <v>2</v>
      </c>
      <c r="J2290" t="s">
        <v>34</v>
      </c>
      <c r="K2290" t="s">
        <v>24</v>
      </c>
      <c r="L2290">
        <v>72</v>
      </c>
      <c r="M2290">
        <v>74.299000000000007</v>
      </c>
      <c r="N2290">
        <v>80.049588999999997</v>
      </c>
      <c r="O2290">
        <v>25.387</v>
      </c>
      <c r="P2290">
        <v>26.37</v>
      </c>
      <c r="Q2290">
        <v>22.370999999999999</v>
      </c>
      <c r="R2290" t="s">
        <v>1088</v>
      </c>
      <c r="S2290" t="s">
        <v>25</v>
      </c>
      <c r="T2290">
        <f>IF(TRIM(Table1[[#This Row],[PitStopLaps]])="",0,
LEN(Table1[[#This Row],[PitStopLaps]])-LEN(SUBSTITUTE(Table1[[#This Row],[PitStopLaps]],",",""))+1)</f>
        <v>5</v>
      </c>
      <c r="U2290">
        <f>Table1[[#This Row],[StartPosition]]-Table1[[#This Row],[FinishPosition]]</f>
        <v>-1</v>
      </c>
    </row>
    <row r="2291" spans="1:21" x14ac:dyDescent="0.3">
      <c r="A2291">
        <v>2023</v>
      </c>
      <c r="B2291">
        <v>13</v>
      </c>
      <c r="C2291" t="s">
        <v>702</v>
      </c>
      <c r="D2291" t="s">
        <v>52</v>
      </c>
      <c r="E2291" t="s">
        <v>53</v>
      </c>
      <c r="F2291" t="s">
        <v>607</v>
      </c>
      <c r="G2291">
        <v>16</v>
      </c>
      <c r="H2291">
        <v>10</v>
      </c>
      <c r="I2291">
        <v>1</v>
      </c>
      <c r="J2291" t="s">
        <v>34</v>
      </c>
      <c r="K2291" t="s">
        <v>24</v>
      </c>
      <c r="L2291">
        <v>72</v>
      </c>
      <c r="M2291">
        <v>74.569999999999993</v>
      </c>
      <c r="N2291">
        <v>78.117283</v>
      </c>
      <c r="O2291">
        <v>25.609000000000002</v>
      </c>
      <c r="P2291">
        <v>26.332000000000001</v>
      </c>
      <c r="Q2291">
        <v>22.629000000000001</v>
      </c>
      <c r="R2291" t="s">
        <v>1089</v>
      </c>
      <c r="S2291" t="s">
        <v>25</v>
      </c>
      <c r="T2291">
        <f>IF(TRIM(Table1[[#This Row],[PitStopLaps]])="",0,
LEN(Table1[[#This Row],[PitStopLaps]])-LEN(SUBSTITUTE(Table1[[#This Row],[PitStopLaps]],",",""))+1)</f>
        <v>6</v>
      </c>
      <c r="U2291">
        <f>Table1[[#This Row],[StartPosition]]-Table1[[#This Row],[FinishPosition]]</f>
        <v>6</v>
      </c>
    </row>
    <row r="2292" spans="1:21" x14ac:dyDescent="0.3">
      <c r="A2292">
        <v>2023</v>
      </c>
      <c r="B2292">
        <v>13</v>
      </c>
      <c r="C2292" t="s">
        <v>702</v>
      </c>
      <c r="D2292" t="s">
        <v>58</v>
      </c>
      <c r="E2292" t="s">
        <v>59</v>
      </c>
      <c r="F2292" t="s">
        <v>603</v>
      </c>
      <c r="G2292">
        <v>11</v>
      </c>
      <c r="H2292">
        <v>11</v>
      </c>
      <c r="I2292">
        <v>0</v>
      </c>
      <c r="J2292" t="s">
        <v>34</v>
      </c>
      <c r="K2292" t="s">
        <v>24</v>
      </c>
      <c r="L2292">
        <v>72</v>
      </c>
      <c r="M2292">
        <v>75.171000000000006</v>
      </c>
      <c r="N2292">
        <v>79.477565999999996</v>
      </c>
      <c r="O2292">
        <v>25.728000000000002</v>
      </c>
      <c r="P2292">
        <v>26.501999999999999</v>
      </c>
      <c r="Q2292">
        <v>22.521999999999998</v>
      </c>
      <c r="R2292" t="s">
        <v>1090</v>
      </c>
      <c r="S2292" t="s">
        <v>25</v>
      </c>
      <c r="T2292">
        <f>IF(TRIM(Table1[[#This Row],[PitStopLaps]])="",0,
LEN(Table1[[#This Row],[PitStopLaps]])-LEN(SUBSTITUTE(Table1[[#This Row],[PitStopLaps]],",",""))+1)</f>
        <v>7</v>
      </c>
      <c r="U2292">
        <f>Table1[[#This Row],[StartPosition]]-Table1[[#This Row],[FinishPosition]]</f>
        <v>0</v>
      </c>
    </row>
    <row r="2293" spans="1:21" x14ac:dyDescent="0.3">
      <c r="A2293">
        <v>2023</v>
      </c>
      <c r="B2293">
        <v>13</v>
      </c>
      <c r="C2293" t="s">
        <v>702</v>
      </c>
      <c r="D2293" t="s">
        <v>40</v>
      </c>
      <c r="E2293" t="s">
        <v>41</v>
      </c>
      <c r="F2293" t="s">
        <v>69</v>
      </c>
      <c r="G2293">
        <v>14</v>
      </c>
      <c r="H2293">
        <v>12</v>
      </c>
      <c r="I2293">
        <v>0</v>
      </c>
      <c r="J2293" t="s">
        <v>34</v>
      </c>
      <c r="K2293" t="s">
        <v>24</v>
      </c>
      <c r="L2293">
        <v>72</v>
      </c>
      <c r="M2293">
        <v>74.471999999999994</v>
      </c>
      <c r="N2293">
        <v>80.597052000000005</v>
      </c>
      <c r="O2293">
        <v>25.402000000000001</v>
      </c>
      <c r="P2293">
        <v>26.475000000000001</v>
      </c>
      <c r="Q2293">
        <v>22.256</v>
      </c>
      <c r="R2293" t="s">
        <v>1091</v>
      </c>
      <c r="S2293" t="s">
        <v>25</v>
      </c>
      <c r="T2293">
        <f>IF(TRIM(Table1[[#This Row],[PitStopLaps]])="",0,
LEN(Table1[[#This Row],[PitStopLaps]])-LEN(SUBSTITUTE(Table1[[#This Row],[PitStopLaps]],",",""))+1)</f>
        <v>5</v>
      </c>
      <c r="U2293">
        <f>Table1[[#This Row],[StartPosition]]-Table1[[#This Row],[FinishPosition]]</f>
        <v>2</v>
      </c>
    </row>
    <row r="2294" spans="1:21" x14ac:dyDescent="0.3">
      <c r="A2294">
        <v>2023</v>
      </c>
      <c r="B2294">
        <v>13</v>
      </c>
      <c r="C2294" t="s">
        <v>702</v>
      </c>
      <c r="D2294" t="s">
        <v>1092</v>
      </c>
      <c r="E2294" t="s">
        <v>1093</v>
      </c>
      <c r="F2294" t="s">
        <v>438</v>
      </c>
      <c r="G2294">
        <v>19</v>
      </c>
      <c r="H2294">
        <v>13</v>
      </c>
      <c r="I2294">
        <v>0</v>
      </c>
      <c r="J2294" t="s">
        <v>34</v>
      </c>
      <c r="K2294" t="s">
        <v>24</v>
      </c>
      <c r="L2294">
        <v>72</v>
      </c>
      <c r="M2294">
        <v>74.819999999999993</v>
      </c>
      <c r="N2294">
        <v>79.467258999999999</v>
      </c>
      <c r="O2294">
        <v>25.747</v>
      </c>
      <c r="P2294">
        <v>26.157</v>
      </c>
      <c r="Q2294">
        <v>22.661999999999999</v>
      </c>
      <c r="R2294" t="s">
        <v>1094</v>
      </c>
      <c r="S2294" t="s">
        <v>25</v>
      </c>
      <c r="T2294">
        <f>IF(TRIM(Table1[[#This Row],[PitStopLaps]])="",0,
LEN(Table1[[#This Row],[PitStopLaps]])-LEN(SUBSTITUTE(Table1[[#This Row],[PitStopLaps]],",",""))+1)</f>
        <v>7</v>
      </c>
      <c r="U2294">
        <f>Table1[[#This Row],[StartPosition]]-Table1[[#This Row],[FinishPosition]]</f>
        <v>6</v>
      </c>
    </row>
    <row r="2295" spans="1:21" x14ac:dyDescent="0.3">
      <c r="A2295">
        <v>2023</v>
      </c>
      <c r="B2295">
        <v>13</v>
      </c>
      <c r="C2295" t="s">
        <v>702</v>
      </c>
      <c r="D2295" t="s">
        <v>43</v>
      </c>
      <c r="E2295" t="s">
        <v>44</v>
      </c>
      <c r="F2295" t="s">
        <v>789</v>
      </c>
      <c r="G2295">
        <v>18</v>
      </c>
      <c r="H2295">
        <v>14</v>
      </c>
      <c r="I2295">
        <v>0</v>
      </c>
      <c r="J2295" t="s">
        <v>34</v>
      </c>
      <c r="K2295" t="s">
        <v>24</v>
      </c>
      <c r="L2295">
        <v>72</v>
      </c>
      <c r="M2295">
        <v>74.697999999999993</v>
      </c>
      <c r="N2295">
        <v>80.976191999999998</v>
      </c>
      <c r="O2295">
        <v>25.704000000000001</v>
      </c>
      <c r="P2295">
        <v>26.295000000000002</v>
      </c>
      <c r="Q2295">
        <v>22.672000000000001</v>
      </c>
      <c r="R2295" t="s">
        <v>1095</v>
      </c>
      <c r="S2295" t="s">
        <v>25</v>
      </c>
      <c r="T2295">
        <f>IF(TRIM(Table1[[#This Row],[PitStopLaps]])="",0,
LEN(Table1[[#This Row],[PitStopLaps]])-LEN(SUBSTITUTE(Table1[[#This Row],[PitStopLaps]],",",""))+1)</f>
        <v>5</v>
      </c>
      <c r="U2295">
        <f>Table1[[#This Row],[StartPosition]]-Table1[[#This Row],[FinishPosition]]</f>
        <v>4</v>
      </c>
    </row>
    <row r="2296" spans="1:21" x14ac:dyDescent="0.3">
      <c r="A2296">
        <v>2023</v>
      </c>
      <c r="B2296">
        <v>13</v>
      </c>
      <c r="C2296" t="s">
        <v>702</v>
      </c>
      <c r="D2296" t="s">
        <v>601</v>
      </c>
      <c r="E2296" t="s">
        <v>602</v>
      </c>
      <c r="F2296" t="s">
        <v>438</v>
      </c>
      <c r="G2296">
        <v>17</v>
      </c>
      <c r="H2296">
        <v>15</v>
      </c>
      <c r="I2296">
        <v>0</v>
      </c>
      <c r="J2296" t="s">
        <v>34</v>
      </c>
      <c r="K2296" t="s">
        <v>24</v>
      </c>
      <c r="L2296">
        <v>72</v>
      </c>
      <c r="M2296">
        <v>76.253</v>
      </c>
      <c r="N2296">
        <v>79.278535000000005</v>
      </c>
      <c r="O2296">
        <v>26.251000000000001</v>
      </c>
      <c r="P2296">
        <v>26.919</v>
      </c>
      <c r="Q2296">
        <v>22.808</v>
      </c>
      <c r="R2296" t="s">
        <v>1096</v>
      </c>
      <c r="S2296" t="s">
        <v>25</v>
      </c>
      <c r="T2296">
        <f>IF(TRIM(Table1[[#This Row],[PitStopLaps]])="",0,
LEN(Table1[[#This Row],[PitStopLaps]])-LEN(SUBSTITUTE(Table1[[#This Row],[PitStopLaps]],",",""))+1)</f>
        <v>5</v>
      </c>
      <c r="U2296">
        <f>Table1[[#This Row],[StartPosition]]-Table1[[#This Row],[FinishPosition]]</f>
        <v>2</v>
      </c>
    </row>
    <row r="2297" spans="1:21" x14ac:dyDescent="0.3">
      <c r="A2297">
        <v>2023</v>
      </c>
      <c r="B2297">
        <v>13</v>
      </c>
      <c r="C2297" t="s">
        <v>702</v>
      </c>
      <c r="D2297" t="s">
        <v>71</v>
      </c>
      <c r="E2297" t="s">
        <v>72</v>
      </c>
      <c r="F2297" t="s">
        <v>69</v>
      </c>
      <c r="G2297">
        <v>0</v>
      </c>
      <c r="H2297">
        <v>16</v>
      </c>
      <c r="I2297">
        <v>0</v>
      </c>
      <c r="J2297" t="s">
        <v>34</v>
      </c>
      <c r="K2297" t="s">
        <v>24</v>
      </c>
      <c r="L2297">
        <v>72</v>
      </c>
      <c r="M2297">
        <v>75.489000000000004</v>
      </c>
      <c r="N2297">
        <v>79.083832999999998</v>
      </c>
      <c r="O2297">
        <v>25.922000000000001</v>
      </c>
      <c r="P2297">
        <v>26.489000000000001</v>
      </c>
      <c r="Q2297">
        <v>22.797000000000001</v>
      </c>
      <c r="R2297" t="s">
        <v>1097</v>
      </c>
      <c r="S2297" t="s">
        <v>25</v>
      </c>
      <c r="T2297">
        <f>IF(TRIM(Table1[[#This Row],[PitStopLaps]])="",0,
LEN(Table1[[#This Row],[PitStopLaps]])-LEN(SUBSTITUTE(Table1[[#This Row],[PitStopLaps]],",",""))+1)</f>
        <v>6</v>
      </c>
      <c r="U2297">
        <f>Table1[[#This Row],[StartPosition]]-Table1[[#This Row],[FinishPosition]]</f>
        <v>-16</v>
      </c>
    </row>
    <row r="2298" spans="1:21" x14ac:dyDescent="0.3">
      <c r="A2298">
        <v>2023</v>
      </c>
      <c r="B2298">
        <v>13</v>
      </c>
      <c r="C2298" t="s">
        <v>702</v>
      </c>
      <c r="D2298" t="s">
        <v>252</v>
      </c>
      <c r="E2298" t="s">
        <v>253</v>
      </c>
      <c r="F2298" t="s">
        <v>28</v>
      </c>
      <c r="G2298">
        <v>3</v>
      </c>
      <c r="H2298">
        <v>17</v>
      </c>
      <c r="I2298">
        <v>0</v>
      </c>
      <c r="J2298" t="s">
        <v>34</v>
      </c>
      <c r="K2298" t="s">
        <v>24</v>
      </c>
      <c r="L2298">
        <v>72</v>
      </c>
      <c r="M2298">
        <v>75.123999999999995</v>
      </c>
      <c r="N2298">
        <v>78.783264000000003</v>
      </c>
      <c r="O2298">
        <v>25.706</v>
      </c>
      <c r="P2298">
        <v>26.606999999999999</v>
      </c>
      <c r="Q2298">
        <v>22.58</v>
      </c>
      <c r="R2298" t="s">
        <v>1098</v>
      </c>
      <c r="S2298" t="s">
        <v>25</v>
      </c>
      <c r="T2298">
        <f>IF(TRIM(Table1[[#This Row],[PitStopLaps]])="",0,
LEN(Table1[[#This Row],[PitStopLaps]])-LEN(SUBSTITUTE(Table1[[#This Row],[PitStopLaps]],",",""))+1)</f>
        <v>7</v>
      </c>
      <c r="U2298">
        <f>Table1[[#This Row],[StartPosition]]-Table1[[#This Row],[FinishPosition]]</f>
        <v>-14</v>
      </c>
    </row>
    <row r="2299" spans="1:21" x14ac:dyDescent="0.3">
      <c r="A2299">
        <v>2023</v>
      </c>
      <c r="B2299">
        <v>13</v>
      </c>
      <c r="C2299" t="s">
        <v>702</v>
      </c>
      <c r="D2299" t="s">
        <v>794</v>
      </c>
      <c r="E2299" t="s">
        <v>795</v>
      </c>
      <c r="F2299" t="s">
        <v>789</v>
      </c>
      <c r="G2299">
        <v>15</v>
      </c>
      <c r="H2299">
        <v>18</v>
      </c>
      <c r="I2299">
        <v>0</v>
      </c>
      <c r="J2299" t="s">
        <v>34</v>
      </c>
      <c r="K2299" t="s">
        <v>123</v>
      </c>
      <c r="L2299">
        <v>63</v>
      </c>
      <c r="M2299">
        <v>75.417000000000002</v>
      </c>
      <c r="N2299">
        <v>78.197644999999994</v>
      </c>
      <c r="O2299">
        <v>25.937999999999999</v>
      </c>
      <c r="P2299">
        <v>26.416</v>
      </c>
      <c r="Q2299">
        <v>22.619</v>
      </c>
      <c r="R2299" t="s">
        <v>1099</v>
      </c>
      <c r="S2299" t="s">
        <v>25</v>
      </c>
      <c r="T2299">
        <f>IF(TRIM(Table1[[#This Row],[PitStopLaps]])="",0,
LEN(Table1[[#This Row],[PitStopLaps]])-LEN(SUBSTITUTE(Table1[[#This Row],[PitStopLaps]],",",""))+1)</f>
        <v>4</v>
      </c>
      <c r="U2299">
        <f>Table1[[#This Row],[StartPosition]]-Table1[[#This Row],[FinishPosition]]</f>
        <v>-3</v>
      </c>
    </row>
    <row r="2300" spans="1:21" x14ac:dyDescent="0.3">
      <c r="A2300">
        <v>2023</v>
      </c>
      <c r="B2300">
        <v>13</v>
      </c>
      <c r="C2300" t="s">
        <v>702</v>
      </c>
      <c r="D2300" t="s">
        <v>54</v>
      </c>
      <c r="E2300" t="s">
        <v>55</v>
      </c>
      <c r="F2300" t="s">
        <v>22</v>
      </c>
      <c r="G2300">
        <v>9</v>
      </c>
      <c r="H2300">
        <v>19</v>
      </c>
      <c r="I2300">
        <v>0</v>
      </c>
      <c r="J2300" t="s">
        <v>34</v>
      </c>
      <c r="K2300" t="s">
        <v>898</v>
      </c>
      <c r="L2300">
        <v>41</v>
      </c>
      <c r="M2300">
        <v>77.277000000000001</v>
      </c>
      <c r="N2300">
        <v>80.168865999999994</v>
      </c>
      <c r="O2300">
        <v>26.459</v>
      </c>
      <c r="P2300">
        <v>27.585999999999999</v>
      </c>
      <c r="Q2300">
        <v>22.995999999999999</v>
      </c>
      <c r="R2300" t="s">
        <v>1100</v>
      </c>
      <c r="S2300" t="s">
        <v>25</v>
      </c>
      <c r="T2300">
        <f>IF(TRIM(Table1[[#This Row],[PitStopLaps]])="",0,
LEN(Table1[[#This Row],[PitStopLaps]])-LEN(SUBSTITUTE(Table1[[#This Row],[PitStopLaps]],",",""))+1)</f>
        <v>3</v>
      </c>
      <c r="U2300">
        <f>Table1[[#This Row],[StartPosition]]-Table1[[#This Row],[FinishPosition]]</f>
        <v>-10</v>
      </c>
    </row>
    <row r="2301" spans="1:21" x14ac:dyDescent="0.3">
      <c r="A2301">
        <v>2023</v>
      </c>
      <c r="B2301">
        <v>13</v>
      </c>
      <c r="C2301" t="s">
        <v>702</v>
      </c>
      <c r="D2301" t="s">
        <v>992</v>
      </c>
      <c r="E2301" t="s">
        <v>993</v>
      </c>
      <c r="F2301" t="s">
        <v>60</v>
      </c>
      <c r="G2301">
        <v>10</v>
      </c>
      <c r="H2301">
        <v>20</v>
      </c>
      <c r="I2301">
        <v>0</v>
      </c>
      <c r="J2301" t="s">
        <v>34</v>
      </c>
      <c r="K2301" t="s">
        <v>123</v>
      </c>
      <c r="L2301">
        <v>15</v>
      </c>
      <c r="M2301">
        <v>77.399000000000001</v>
      </c>
      <c r="N2301">
        <v>92.508152999999993</v>
      </c>
      <c r="O2301">
        <v>26.12</v>
      </c>
      <c r="P2301">
        <v>27.411000000000001</v>
      </c>
      <c r="Q2301">
        <v>23.789000000000001</v>
      </c>
      <c r="S2301" t="s">
        <v>25</v>
      </c>
      <c r="T2301">
        <f>IF(TRIM(Table1[[#This Row],[PitStopLaps]])="",0,
LEN(Table1[[#This Row],[PitStopLaps]])-LEN(SUBSTITUTE(Table1[[#This Row],[PitStopLaps]],",",""))+1)</f>
        <v>0</v>
      </c>
      <c r="U2301">
        <f>Table1[[#This Row],[StartPosition]]-Table1[[#This Row],[FinishPosition]]</f>
        <v>-10</v>
      </c>
    </row>
    <row r="2302" spans="1:21" x14ac:dyDescent="0.3">
      <c r="A2302">
        <v>2023</v>
      </c>
      <c r="B2302">
        <v>14</v>
      </c>
      <c r="C2302" t="s">
        <v>367</v>
      </c>
      <c r="D2302" t="s">
        <v>38</v>
      </c>
      <c r="E2302" t="s">
        <v>39</v>
      </c>
      <c r="F2302" t="s">
        <v>33</v>
      </c>
      <c r="G2302">
        <v>2</v>
      </c>
      <c r="H2302">
        <v>1</v>
      </c>
      <c r="I2302">
        <v>25</v>
      </c>
      <c r="J2302" t="s">
        <v>23</v>
      </c>
      <c r="K2302" t="s">
        <v>24</v>
      </c>
      <c r="L2302">
        <v>51</v>
      </c>
      <c r="M2302">
        <v>85.24</v>
      </c>
      <c r="N2302">
        <v>86.181854000000001</v>
      </c>
      <c r="O2302">
        <v>28.01</v>
      </c>
      <c r="P2302">
        <v>29.201000000000001</v>
      </c>
      <c r="Q2302">
        <v>27.952999999999999</v>
      </c>
      <c r="R2302">
        <v>20</v>
      </c>
      <c r="S2302" t="s">
        <v>83</v>
      </c>
      <c r="T2302">
        <f>IF(TRIM(Table1[[#This Row],[PitStopLaps]])="",0,
LEN(Table1[[#This Row],[PitStopLaps]])-LEN(SUBSTITUTE(Table1[[#This Row],[PitStopLaps]],",",""))+1)</f>
        <v>1</v>
      </c>
      <c r="U2302">
        <f>Table1[[#This Row],[StartPosition]]-Table1[[#This Row],[FinishPosition]]</f>
        <v>1</v>
      </c>
    </row>
    <row r="2303" spans="1:21" x14ac:dyDescent="0.3">
      <c r="A2303">
        <v>2023</v>
      </c>
      <c r="B2303">
        <v>14</v>
      </c>
      <c r="C2303" t="s">
        <v>367</v>
      </c>
      <c r="D2303" t="s">
        <v>49</v>
      </c>
      <c r="E2303" t="s">
        <v>50</v>
      </c>
      <c r="F2303" t="s">
        <v>33</v>
      </c>
      <c r="G2303">
        <v>5</v>
      </c>
      <c r="H2303">
        <v>2</v>
      </c>
      <c r="I2303">
        <v>18</v>
      </c>
      <c r="J2303" t="s">
        <v>23</v>
      </c>
      <c r="K2303" t="s">
        <v>24</v>
      </c>
      <c r="L2303">
        <v>51</v>
      </c>
      <c r="M2303">
        <v>85.522000000000006</v>
      </c>
      <c r="N2303">
        <v>86.275812000000002</v>
      </c>
      <c r="O2303">
        <v>27.824999999999999</v>
      </c>
      <c r="P2303">
        <v>29.391999999999999</v>
      </c>
      <c r="Q2303">
        <v>27.846</v>
      </c>
      <c r="R2303">
        <v>21</v>
      </c>
      <c r="S2303" t="s">
        <v>83</v>
      </c>
      <c r="T2303">
        <f>IF(TRIM(Table1[[#This Row],[PitStopLaps]])="",0,
LEN(Table1[[#This Row],[PitStopLaps]])-LEN(SUBSTITUTE(Table1[[#This Row],[PitStopLaps]],",",""))+1)</f>
        <v>1</v>
      </c>
      <c r="U2303">
        <f>Table1[[#This Row],[StartPosition]]-Table1[[#This Row],[FinishPosition]]</f>
        <v>3</v>
      </c>
    </row>
    <row r="2304" spans="1:21" x14ac:dyDescent="0.3">
      <c r="A2304">
        <v>2023</v>
      </c>
      <c r="B2304">
        <v>14</v>
      </c>
      <c r="C2304" t="s">
        <v>367</v>
      </c>
      <c r="D2304" t="s">
        <v>47</v>
      </c>
      <c r="E2304" t="s">
        <v>48</v>
      </c>
      <c r="F2304" t="s">
        <v>22</v>
      </c>
      <c r="G2304">
        <v>1</v>
      </c>
      <c r="H2304">
        <v>3</v>
      </c>
      <c r="I2304">
        <v>15</v>
      </c>
      <c r="J2304" t="s">
        <v>23</v>
      </c>
      <c r="K2304" t="s">
        <v>24</v>
      </c>
      <c r="L2304">
        <v>51</v>
      </c>
      <c r="M2304">
        <v>85.501000000000005</v>
      </c>
      <c r="N2304">
        <v>86.386353999999997</v>
      </c>
      <c r="O2304">
        <v>27.936</v>
      </c>
      <c r="P2304">
        <v>29.222000000000001</v>
      </c>
      <c r="Q2304">
        <v>28.056000000000001</v>
      </c>
      <c r="R2304">
        <v>19</v>
      </c>
      <c r="S2304" t="s">
        <v>83</v>
      </c>
      <c r="T2304">
        <f>IF(TRIM(Table1[[#This Row],[PitStopLaps]])="",0,
LEN(Table1[[#This Row],[PitStopLaps]])-LEN(SUBSTITUTE(Table1[[#This Row],[PitStopLaps]],",",""))+1)</f>
        <v>1</v>
      </c>
      <c r="U2304">
        <f>Table1[[#This Row],[StartPosition]]-Table1[[#This Row],[FinishPosition]]</f>
        <v>-2</v>
      </c>
    </row>
    <row r="2305" spans="1:21" x14ac:dyDescent="0.3">
      <c r="A2305">
        <v>2023</v>
      </c>
      <c r="B2305">
        <v>14</v>
      </c>
      <c r="C2305" t="s">
        <v>367</v>
      </c>
      <c r="D2305" t="s">
        <v>54</v>
      </c>
      <c r="E2305" t="s">
        <v>55</v>
      </c>
      <c r="F2305" t="s">
        <v>22</v>
      </c>
      <c r="G2305">
        <v>3</v>
      </c>
      <c r="H2305">
        <v>4</v>
      </c>
      <c r="I2305">
        <v>12</v>
      </c>
      <c r="J2305" t="s">
        <v>34</v>
      </c>
      <c r="K2305" t="s">
        <v>24</v>
      </c>
      <c r="L2305">
        <v>51</v>
      </c>
      <c r="M2305">
        <v>85.58</v>
      </c>
      <c r="N2305">
        <v>86.391000000000005</v>
      </c>
      <c r="O2305">
        <v>27.902000000000001</v>
      </c>
      <c r="P2305">
        <v>29.256</v>
      </c>
      <c r="Q2305">
        <v>28.013999999999999</v>
      </c>
      <c r="R2305">
        <v>20</v>
      </c>
      <c r="S2305" t="s">
        <v>83</v>
      </c>
      <c r="T2305">
        <f>IF(TRIM(Table1[[#This Row],[PitStopLaps]])="",0,
LEN(Table1[[#This Row],[PitStopLaps]])-LEN(SUBSTITUTE(Table1[[#This Row],[PitStopLaps]],",",""))+1)</f>
        <v>1</v>
      </c>
      <c r="U2305">
        <f>Table1[[#This Row],[StartPosition]]-Table1[[#This Row],[FinishPosition]]</f>
        <v>-1</v>
      </c>
    </row>
    <row r="2306" spans="1:21" x14ac:dyDescent="0.3">
      <c r="A2306">
        <v>2023</v>
      </c>
      <c r="B2306">
        <v>14</v>
      </c>
      <c r="C2306" t="s">
        <v>367</v>
      </c>
      <c r="D2306" t="s">
        <v>252</v>
      </c>
      <c r="E2306" t="s">
        <v>253</v>
      </c>
      <c r="F2306" t="s">
        <v>28</v>
      </c>
      <c r="G2306">
        <v>4</v>
      </c>
      <c r="H2306">
        <v>5</v>
      </c>
      <c r="I2306">
        <v>10</v>
      </c>
      <c r="J2306" t="s">
        <v>34</v>
      </c>
      <c r="K2306" t="s">
        <v>24</v>
      </c>
      <c r="L2306">
        <v>51</v>
      </c>
      <c r="M2306">
        <v>85.846999999999994</v>
      </c>
      <c r="N2306">
        <v>86.513270000000006</v>
      </c>
      <c r="O2306">
        <v>28.056000000000001</v>
      </c>
      <c r="P2306">
        <v>29.427</v>
      </c>
      <c r="Q2306">
        <v>28.22</v>
      </c>
      <c r="R2306">
        <v>19</v>
      </c>
      <c r="S2306" t="s">
        <v>83</v>
      </c>
      <c r="T2306">
        <f>IF(TRIM(Table1[[#This Row],[PitStopLaps]])="",0,
LEN(Table1[[#This Row],[PitStopLaps]])-LEN(SUBSTITUTE(Table1[[#This Row],[PitStopLaps]],",",""))+1)</f>
        <v>1</v>
      </c>
      <c r="U2306">
        <f>Table1[[#This Row],[StartPosition]]-Table1[[#This Row],[FinishPosition]]</f>
        <v>-1</v>
      </c>
    </row>
    <row r="2307" spans="1:21" x14ac:dyDescent="0.3">
      <c r="A2307">
        <v>2023</v>
      </c>
      <c r="B2307">
        <v>14</v>
      </c>
      <c r="C2307" t="s">
        <v>367</v>
      </c>
      <c r="D2307" t="s">
        <v>26</v>
      </c>
      <c r="E2307" t="s">
        <v>27</v>
      </c>
      <c r="F2307" t="s">
        <v>28</v>
      </c>
      <c r="G2307">
        <v>8</v>
      </c>
      <c r="H2307">
        <v>6</v>
      </c>
      <c r="I2307">
        <v>8</v>
      </c>
      <c r="J2307" t="s">
        <v>34</v>
      </c>
      <c r="K2307" t="s">
        <v>24</v>
      </c>
      <c r="L2307">
        <v>51</v>
      </c>
      <c r="M2307">
        <v>85.581999999999994</v>
      </c>
      <c r="N2307">
        <v>86.825103999999996</v>
      </c>
      <c r="O2307">
        <v>27.731000000000002</v>
      </c>
      <c r="P2307">
        <v>29.417000000000002</v>
      </c>
      <c r="Q2307">
        <v>28.024999999999999</v>
      </c>
      <c r="R2307">
        <v>27</v>
      </c>
      <c r="S2307" t="s">
        <v>83</v>
      </c>
      <c r="T2307">
        <f>IF(TRIM(Table1[[#This Row],[PitStopLaps]])="",0,
LEN(Table1[[#This Row],[PitStopLaps]])-LEN(SUBSTITUTE(Table1[[#This Row],[PitStopLaps]],",",""))+1)</f>
        <v>1</v>
      </c>
      <c r="U2307">
        <f>Table1[[#This Row],[StartPosition]]-Table1[[#This Row],[FinishPosition]]</f>
        <v>2</v>
      </c>
    </row>
    <row r="2308" spans="1:21" x14ac:dyDescent="0.3">
      <c r="A2308">
        <v>2023</v>
      </c>
      <c r="B2308">
        <v>14</v>
      </c>
      <c r="C2308" t="s">
        <v>367</v>
      </c>
      <c r="D2308" t="s">
        <v>248</v>
      </c>
      <c r="E2308" t="s">
        <v>249</v>
      </c>
      <c r="F2308" t="s">
        <v>60</v>
      </c>
      <c r="G2308">
        <v>6</v>
      </c>
      <c r="H2308">
        <v>7</v>
      </c>
      <c r="I2308">
        <v>6</v>
      </c>
      <c r="J2308" t="s">
        <v>34</v>
      </c>
      <c r="K2308" t="s">
        <v>24</v>
      </c>
      <c r="L2308">
        <v>51</v>
      </c>
      <c r="M2308">
        <v>86.388999999999996</v>
      </c>
      <c r="N2308">
        <v>86.990791000000002</v>
      </c>
      <c r="O2308">
        <v>28.009</v>
      </c>
      <c r="P2308">
        <v>29.706</v>
      </c>
      <c r="Q2308">
        <v>28.353000000000002</v>
      </c>
      <c r="R2308">
        <v>15</v>
      </c>
      <c r="S2308" t="s">
        <v>83</v>
      </c>
      <c r="T2308">
        <f>IF(TRIM(Table1[[#This Row],[PitStopLaps]])="",0,
LEN(Table1[[#This Row],[PitStopLaps]])-LEN(SUBSTITUTE(Table1[[#This Row],[PitStopLaps]],",",""))+1)</f>
        <v>1</v>
      </c>
      <c r="U2308">
        <f>Table1[[#This Row],[StartPosition]]-Table1[[#This Row],[FinishPosition]]</f>
        <v>-1</v>
      </c>
    </row>
    <row r="2309" spans="1:21" x14ac:dyDescent="0.3">
      <c r="A2309">
        <v>2023</v>
      </c>
      <c r="B2309">
        <v>14</v>
      </c>
      <c r="C2309" t="s">
        <v>367</v>
      </c>
      <c r="D2309" t="s">
        <v>246</v>
      </c>
      <c r="E2309" t="s">
        <v>247</v>
      </c>
      <c r="F2309" t="s">
        <v>37</v>
      </c>
      <c r="G2309">
        <v>9</v>
      </c>
      <c r="H2309">
        <v>8</v>
      </c>
      <c r="I2309">
        <v>4</v>
      </c>
      <c r="J2309" t="s">
        <v>34</v>
      </c>
      <c r="K2309" t="s">
        <v>24</v>
      </c>
      <c r="L2309">
        <v>51</v>
      </c>
      <c r="M2309">
        <v>86.144000000000005</v>
      </c>
      <c r="N2309">
        <v>87.023957999999993</v>
      </c>
      <c r="O2309">
        <v>28.036999999999999</v>
      </c>
      <c r="P2309">
        <v>29.457999999999998</v>
      </c>
      <c r="Q2309">
        <v>28.228000000000002</v>
      </c>
      <c r="R2309">
        <v>22</v>
      </c>
      <c r="S2309" t="s">
        <v>83</v>
      </c>
      <c r="T2309">
        <f>IF(TRIM(Table1[[#This Row],[PitStopLaps]])="",0,
LEN(Table1[[#This Row],[PitStopLaps]])-LEN(SUBSTITUTE(Table1[[#This Row],[PitStopLaps]],",",""))+1)</f>
        <v>1</v>
      </c>
      <c r="U2309">
        <f>Table1[[#This Row],[StartPosition]]-Table1[[#This Row],[FinishPosition]]</f>
        <v>1</v>
      </c>
    </row>
    <row r="2310" spans="1:21" x14ac:dyDescent="0.3">
      <c r="A2310">
        <v>2023</v>
      </c>
      <c r="B2310">
        <v>14</v>
      </c>
      <c r="C2310" t="s">
        <v>367</v>
      </c>
      <c r="D2310" t="s">
        <v>35</v>
      </c>
      <c r="E2310" t="s">
        <v>36</v>
      </c>
      <c r="F2310" t="s">
        <v>603</v>
      </c>
      <c r="G2310">
        <v>10</v>
      </c>
      <c r="H2310">
        <v>9</v>
      </c>
      <c r="I2310">
        <v>2</v>
      </c>
      <c r="J2310" t="s">
        <v>34</v>
      </c>
      <c r="K2310" t="s">
        <v>24</v>
      </c>
      <c r="L2310">
        <v>51</v>
      </c>
      <c r="M2310">
        <v>86.105000000000004</v>
      </c>
      <c r="N2310">
        <v>86.967665999999994</v>
      </c>
      <c r="O2310">
        <v>27.812000000000001</v>
      </c>
      <c r="P2310">
        <v>29.832000000000001</v>
      </c>
      <c r="Q2310">
        <v>28.236000000000001</v>
      </c>
      <c r="R2310">
        <v>21</v>
      </c>
      <c r="S2310" t="s">
        <v>83</v>
      </c>
      <c r="T2310">
        <f>IF(TRIM(Table1[[#This Row],[PitStopLaps]])="",0,
LEN(Table1[[#This Row],[PitStopLaps]])-LEN(SUBSTITUTE(Table1[[#This Row],[PitStopLaps]],",",""))+1)</f>
        <v>1</v>
      </c>
      <c r="U2310">
        <f>Table1[[#This Row],[StartPosition]]-Table1[[#This Row],[FinishPosition]]</f>
        <v>1</v>
      </c>
    </row>
    <row r="2311" spans="1:21" x14ac:dyDescent="0.3">
      <c r="A2311">
        <v>2023</v>
      </c>
      <c r="B2311">
        <v>14</v>
      </c>
      <c r="C2311" t="s">
        <v>367</v>
      </c>
      <c r="D2311" t="s">
        <v>43</v>
      </c>
      <c r="E2311" t="s">
        <v>44</v>
      </c>
      <c r="F2311" t="s">
        <v>789</v>
      </c>
      <c r="G2311">
        <v>14</v>
      </c>
      <c r="H2311">
        <v>10</v>
      </c>
      <c r="I2311">
        <v>1</v>
      </c>
      <c r="J2311" t="s">
        <v>34</v>
      </c>
      <c r="K2311" t="s">
        <v>24</v>
      </c>
      <c r="L2311">
        <v>51</v>
      </c>
      <c r="M2311">
        <v>85.988</v>
      </c>
      <c r="N2311">
        <v>87.317553000000004</v>
      </c>
      <c r="O2311">
        <v>28.023</v>
      </c>
      <c r="P2311">
        <v>29.536000000000001</v>
      </c>
      <c r="Q2311">
        <v>28.428999999999998</v>
      </c>
      <c r="R2311">
        <v>25</v>
      </c>
      <c r="S2311" t="s">
        <v>83</v>
      </c>
      <c r="T2311">
        <f>IF(TRIM(Table1[[#This Row],[PitStopLaps]])="",0,
LEN(Table1[[#This Row],[PitStopLaps]])-LEN(SUBSTITUTE(Table1[[#This Row],[PitStopLaps]],",",""))+1)</f>
        <v>1</v>
      </c>
      <c r="U2311">
        <f>Table1[[#This Row],[StartPosition]]-Table1[[#This Row],[FinishPosition]]</f>
        <v>4</v>
      </c>
    </row>
    <row r="2312" spans="1:21" x14ac:dyDescent="0.3">
      <c r="A2312">
        <v>2023</v>
      </c>
      <c r="B2312">
        <v>14</v>
      </c>
      <c r="C2312" t="s">
        <v>367</v>
      </c>
      <c r="D2312" t="s">
        <v>1092</v>
      </c>
      <c r="E2312" t="s">
        <v>1093</v>
      </c>
      <c r="F2312" t="s">
        <v>438</v>
      </c>
      <c r="G2312">
        <v>12</v>
      </c>
      <c r="H2312">
        <v>11</v>
      </c>
      <c r="I2312">
        <v>0</v>
      </c>
      <c r="J2312" t="s">
        <v>34</v>
      </c>
      <c r="K2312" t="s">
        <v>24</v>
      </c>
      <c r="L2312">
        <v>51</v>
      </c>
      <c r="M2312">
        <v>85.841999999999999</v>
      </c>
      <c r="N2312">
        <v>86.957465999999997</v>
      </c>
      <c r="O2312">
        <v>27.782</v>
      </c>
      <c r="P2312">
        <v>29.416</v>
      </c>
      <c r="Q2312">
        <v>28.384</v>
      </c>
      <c r="R2312" t="s">
        <v>159</v>
      </c>
      <c r="S2312" t="s">
        <v>83</v>
      </c>
      <c r="T2312">
        <f>IF(TRIM(Table1[[#This Row],[PitStopLaps]])="",0,
LEN(Table1[[#This Row],[PitStopLaps]])-LEN(SUBSTITUTE(Table1[[#This Row],[PitStopLaps]],",",""))+1)</f>
        <v>2</v>
      </c>
      <c r="U2312">
        <f>Table1[[#This Row],[StartPosition]]-Table1[[#This Row],[FinishPosition]]</f>
        <v>1</v>
      </c>
    </row>
    <row r="2313" spans="1:21" x14ac:dyDescent="0.3">
      <c r="A2313">
        <v>2023</v>
      </c>
      <c r="B2313">
        <v>14</v>
      </c>
      <c r="C2313" t="s">
        <v>367</v>
      </c>
      <c r="D2313" t="s">
        <v>1000</v>
      </c>
      <c r="E2313" t="s">
        <v>1001</v>
      </c>
      <c r="F2313" t="s">
        <v>37</v>
      </c>
      <c r="G2313">
        <v>7</v>
      </c>
      <c r="H2313">
        <v>12</v>
      </c>
      <c r="I2313">
        <v>0</v>
      </c>
      <c r="J2313" t="s">
        <v>34</v>
      </c>
      <c r="K2313" t="s">
        <v>24</v>
      </c>
      <c r="L2313">
        <v>51</v>
      </c>
      <c r="M2313">
        <v>85.072000000000003</v>
      </c>
      <c r="N2313">
        <v>86.798000000000002</v>
      </c>
      <c r="O2313">
        <v>27.763000000000002</v>
      </c>
      <c r="P2313">
        <v>29.13</v>
      </c>
      <c r="Q2313">
        <v>27.838000000000001</v>
      </c>
      <c r="R2313" t="s">
        <v>1101</v>
      </c>
      <c r="S2313" t="s">
        <v>83</v>
      </c>
      <c r="T2313">
        <f>IF(TRIM(Table1[[#This Row],[PitStopLaps]])="",0,
LEN(Table1[[#This Row],[PitStopLaps]])-LEN(SUBSTITUTE(Table1[[#This Row],[PitStopLaps]],",",""))+1)</f>
        <v>2</v>
      </c>
      <c r="U2313">
        <f>Table1[[#This Row],[StartPosition]]-Table1[[#This Row],[FinishPosition]]</f>
        <v>-5</v>
      </c>
    </row>
    <row r="2314" spans="1:21" x14ac:dyDescent="0.3">
      <c r="A2314">
        <v>2023</v>
      </c>
      <c r="B2314">
        <v>14</v>
      </c>
      <c r="C2314" t="s">
        <v>367</v>
      </c>
      <c r="D2314" t="s">
        <v>992</v>
      </c>
      <c r="E2314" t="s">
        <v>993</v>
      </c>
      <c r="F2314" t="s">
        <v>60</v>
      </c>
      <c r="G2314">
        <v>15</v>
      </c>
      <c r="H2314">
        <v>13</v>
      </c>
      <c r="I2314">
        <v>0</v>
      </c>
      <c r="J2314" t="s">
        <v>34</v>
      </c>
      <c r="K2314" t="s">
        <v>24</v>
      </c>
      <c r="L2314">
        <v>51</v>
      </c>
      <c r="M2314">
        <v>86.84</v>
      </c>
      <c r="N2314">
        <v>87.476147999999995</v>
      </c>
      <c r="O2314">
        <v>27.934000000000001</v>
      </c>
      <c r="P2314">
        <v>29.751000000000001</v>
      </c>
      <c r="Q2314">
        <v>28.460999999999999</v>
      </c>
      <c r="R2314">
        <v>14</v>
      </c>
      <c r="S2314" t="s">
        <v>83</v>
      </c>
      <c r="T2314">
        <f>IF(TRIM(Table1[[#This Row],[PitStopLaps]])="",0,
LEN(Table1[[#This Row],[PitStopLaps]])-LEN(SUBSTITUTE(Table1[[#This Row],[PitStopLaps]],",",""))+1)</f>
        <v>1</v>
      </c>
      <c r="U2314">
        <f>Table1[[#This Row],[StartPosition]]-Table1[[#This Row],[FinishPosition]]</f>
        <v>2</v>
      </c>
    </row>
    <row r="2315" spans="1:21" x14ac:dyDescent="0.3">
      <c r="A2315">
        <v>2023</v>
      </c>
      <c r="B2315">
        <v>14</v>
      </c>
      <c r="C2315" t="s">
        <v>367</v>
      </c>
      <c r="D2315" t="s">
        <v>794</v>
      </c>
      <c r="E2315" t="s">
        <v>795</v>
      </c>
      <c r="F2315" t="s">
        <v>789</v>
      </c>
      <c r="G2315">
        <v>16</v>
      </c>
      <c r="H2315">
        <v>14</v>
      </c>
      <c r="I2315">
        <v>0</v>
      </c>
      <c r="J2315" t="s">
        <v>34</v>
      </c>
      <c r="K2315" t="s">
        <v>24</v>
      </c>
      <c r="L2315">
        <v>51</v>
      </c>
      <c r="M2315">
        <v>85.983000000000004</v>
      </c>
      <c r="N2315">
        <v>87.094977</v>
      </c>
      <c r="O2315">
        <v>27.754999999999999</v>
      </c>
      <c r="P2315">
        <v>29.593</v>
      </c>
      <c r="Q2315">
        <v>28.341000000000001</v>
      </c>
      <c r="R2315" t="s">
        <v>1102</v>
      </c>
      <c r="S2315" t="s">
        <v>83</v>
      </c>
      <c r="T2315">
        <f>IF(TRIM(Table1[[#This Row],[PitStopLaps]])="",0,
LEN(Table1[[#This Row],[PitStopLaps]])-LEN(SUBSTITUTE(Table1[[#This Row],[PitStopLaps]],",",""))+1)</f>
        <v>2</v>
      </c>
      <c r="U2315">
        <f>Table1[[#This Row],[StartPosition]]-Table1[[#This Row],[FinishPosition]]</f>
        <v>2</v>
      </c>
    </row>
    <row r="2316" spans="1:21" x14ac:dyDescent="0.3">
      <c r="A2316">
        <v>2023</v>
      </c>
      <c r="B2316">
        <v>14</v>
      </c>
      <c r="C2316" t="s">
        <v>367</v>
      </c>
      <c r="D2316" t="s">
        <v>73</v>
      </c>
      <c r="E2316" t="s">
        <v>74</v>
      </c>
      <c r="F2316" t="s">
        <v>607</v>
      </c>
      <c r="G2316">
        <v>17</v>
      </c>
      <c r="H2316">
        <v>15</v>
      </c>
      <c r="I2316">
        <v>0</v>
      </c>
      <c r="J2316" t="s">
        <v>34</v>
      </c>
      <c r="K2316" t="s">
        <v>24</v>
      </c>
      <c r="L2316">
        <v>51</v>
      </c>
      <c r="M2316">
        <v>85.757999999999996</v>
      </c>
      <c r="N2316">
        <v>87.060755</v>
      </c>
      <c r="O2316">
        <v>27.984000000000002</v>
      </c>
      <c r="P2316">
        <v>29.469000000000001</v>
      </c>
      <c r="Q2316">
        <v>28.231000000000002</v>
      </c>
      <c r="R2316" t="s">
        <v>299</v>
      </c>
      <c r="S2316" t="s">
        <v>83</v>
      </c>
      <c r="T2316">
        <f>IF(TRIM(Table1[[#This Row],[PitStopLaps]])="",0,
LEN(Table1[[#This Row],[PitStopLaps]])-LEN(SUBSTITUTE(Table1[[#This Row],[PitStopLaps]],",",""))+1)</f>
        <v>2</v>
      </c>
      <c r="U2316">
        <f>Table1[[#This Row],[StartPosition]]-Table1[[#This Row],[FinishPosition]]</f>
        <v>2</v>
      </c>
    </row>
    <row r="2317" spans="1:21" x14ac:dyDescent="0.3">
      <c r="A2317">
        <v>2023</v>
      </c>
      <c r="B2317">
        <v>14</v>
      </c>
      <c r="C2317" t="s">
        <v>367</v>
      </c>
      <c r="D2317" t="s">
        <v>58</v>
      </c>
      <c r="E2317" t="s">
        <v>59</v>
      </c>
      <c r="F2317" t="s">
        <v>603</v>
      </c>
      <c r="G2317">
        <v>20</v>
      </c>
      <c r="H2317">
        <v>16</v>
      </c>
      <c r="I2317">
        <v>0</v>
      </c>
      <c r="J2317" t="s">
        <v>34</v>
      </c>
      <c r="K2317" t="s">
        <v>24</v>
      </c>
      <c r="L2317">
        <v>51</v>
      </c>
      <c r="M2317">
        <v>86.617000000000004</v>
      </c>
      <c r="N2317">
        <v>87.640084999999999</v>
      </c>
      <c r="O2317">
        <v>27.963000000000001</v>
      </c>
      <c r="P2317">
        <v>29.727</v>
      </c>
      <c r="Q2317">
        <v>28.654</v>
      </c>
      <c r="R2317">
        <v>20</v>
      </c>
      <c r="S2317" t="s">
        <v>83</v>
      </c>
      <c r="T2317">
        <f>IF(TRIM(Table1[[#This Row],[PitStopLaps]])="",0,
LEN(Table1[[#This Row],[PitStopLaps]])-LEN(SUBSTITUTE(Table1[[#This Row],[PitStopLaps]],",",""))+1)</f>
        <v>1</v>
      </c>
      <c r="U2317">
        <f>Table1[[#This Row],[StartPosition]]-Table1[[#This Row],[FinishPosition]]</f>
        <v>4</v>
      </c>
    </row>
    <row r="2318" spans="1:21" x14ac:dyDescent="0.3">
      <c r="A2318">
        <v>2023</v>
      </c>
      <c r="B2318">
        <v>14</v>
      </c>
      <c r="C2318" t="s">
        <v>367</v>
      </c>
      <c r="D2318" t="s">
        <v>40</v>
      </c>
      <c r="E2318" t="s">
        <v>41</v>
      </c>
      <c r="F2318" t="s">
        <v>69</v>
      </c>
      <c r="G2318">
        <v>13</v>
      </c>
      <c r="H2318">
        <v>17</v>
      </c>
      <c r="I2318">
        <v>0</v>
      </c>
      <c r="J2318" t="s">
        <v>34</v>
      </c>
      <c r="K2318" t="s">
        <v>994</v>
      </c>
      <c r="L2318">
        <v>51</v>
      </c>
      <c r="M2318">
        <v>85.894000000000005</v>
      </c>
      <c r="N2318">
        <v>87.319265999999999</v>
      </c>
      <c r="O2318">
        <v>28.215</v>
      </c>
      <c r="P2318">
        <v>29.405000000000001</v>
      </c>
      <c r="Q2318">
        <v>28.123000000000001</v>
      </c>
      <c r="R2318" t="s">
        <v>87</v>
      </c>
      <c r="S2318" t="s">
        <v>83</v>
      </c>
      <c r="T2318">
        <f>IF(TRIM(Table1[[#This Row],[PitStopLaps]])="",0,
LEN(Table1[[#This Row],[PitStopLaps]])-LEN(SUBSTITUTE(Table1[[#This Row],[PitStopLaps]],",",""))+1)</f>
        <v>2</v>
      </c>
      <c r="U2318">
        <f>Table1[[#This Row],[StartPosition]]-Table1[[#This Row],[FinishPosition]]</f>
        <v>-4</v>
      </c>
    </row>
    <row r="2319" spans="1:21" x14ac:dyDescent="0.3">
      <c r="A2319">
        <v>2023</v>
      </c>
      <c r="B2319">
        <v>14</v>
      </c>
      <c r="C2319" t="s">
        <v>367</v>
      </c>
      <c r="D2319" t="s">
        <v>71</v>
      </c>
      <c r="E2319" t="s">
        <v>72</v>
      </c>
      <c r="F2319" t="s">
        <v>69</v>
      </c>
      <c r="G2319">
        <v>19</v>
      </c>
      <c r="H2319">
        <v>18</v>
      </c>
      <c r="I2319">
        <v>0</v>
      </c>
      <c r="J2319" t="s">
        <v>34</v>
      </c>
      <c r="K2319" t="s">
        <v>994</v>
      </c>
      <c r="L2319">
        <v>51</v>
      </c>
      <c r="M2319">
        <v>86.278000000000006</v>
      </c>
      <c r="N2319">
        <v>87.446955000000003</v>
      </c>
      <c r="O2319">
        <v>28.155999999999999</v>
      </c>
      <c r="P2319">
        <v>29.456</v>
      </c>
      <c r="Q2319">
        <v>28.408000000000001</v>
      </c>
      <c r="R2319" t="s">
        <v>598</v>
      </c>
      <c r="S2319" t="s">
        <v>83</v>
      </c>
      <c r="T2319">
        <f>IF(TRIM(Table1[[#This Row],[PitStopLaps]])="",0,
LEN(Table1[[#This Row],[PitStopLaps]])-LEN(SUBSTITUTE(Table1[[#This Row],[PitStopLaps]],",",""))+1)</f>
        <v>2</v>
      </c>
      <c r="U2319">
        <f>Table1[[#This Row],[StartPosition]]-Table1[[#This Row],[FinishPosition]]</f>
        <v>1</v>
      </c>
    </row>
    <row r="2320" spans="1:21" x14ac:dyDescent="0.3">
      <c r="A2320">
        <v>2023</v>
      </c>
      <c r="B2320">
        <v>14</v>
      </c>
      <c r="C2320" t="s">
        <v>367</v>
      </c>
      <c r="D2320" t="s">
        <v>52</v>
      </c>
      <c r="E2320" t="s">
        <v>53</v>
      </c>
      <c r="F2320" t="s">
        <v>607</v>
      </c>
      <c r="G2320">
        <v>18</v>
      </c>
      <c r="H2320">
        <v>19</v>
      </c>
      <c r="I2320">
        <v>0</v>
      </c>
      <c r="J2320" t="s">
        <v>34</v>
      </c>
      <c r="K2320" t="s">
        <v>179</v>
      </c>
      <c r="L2320">
        <v>39</v>
      </c>
      <c r="M2320">
        <v>86.962999999999994</v>
      </c>
      <c r="N2320">
        <v>87.766885000000002</v>
      </c>
      <c r="O2320">
        <v>28.19</v>
      </c>
      <c r="P2320">
        <v>29.794</v>
      </c>
      <c r="Q2320">
        <v>28.712</v>
      </c>
      <c r="R2320" t="s">
        <v>1103</v>
      </c>
      <c r="S2320" t="s">
        <v>83</v>
      </c>
      <c r="T2320">
        <f>IF(TRIM(Table1[[#This Row],[PitStopLaps]])="",0,
LEN(Table1[[#This Row],[PitStopLaps]])-LEN(SUBSTITUTE(Table1[[#This Row],[PitStopLaps]],",",""))+1)</f>
        <v>2</v>
      </c>
      <c r="U2320">
        <f>Table1[[#This Row],[StartPosition]]-Table1[[#This Row],[FinishPosition]]</f>
        <v>-1</v>
      </c>
    </row>
    <row r="2321" spans="1:21" x14ac:dyDescent="0.3">
      <c r="A2321">
        <v>2023</v>
      </c>
      <c r="B2321">
        <v>14</v>
      </c>
      <c r="C2321" t="s">
        <v>367</v>
      </c>
      <c r="D2321" t="s">
        <v>601</v>
      </c>
      <c r="E2321" t="s">
        <v>602</v>
      </c>
      <c r="F2321" t="s">
        <v>438</v>
      </c>
      <c r="G2321">
        <v>11</v>
      </c>
      <c r="H2321">
        <v>20</v>
      </c>
      <c r="I2321">
        <v>0</v>
      </c>
      <c r="J2321" t="s">
        <v>34</v>
      </c>
      <c r="K2321" t="s">
        <v>1104</v>
      </c>
      <c r="S2321" t="s">
        <v>83</v>
      </c>
      <c r="T2321">
        <f>IF(TRIM(Table1[[#This Row],[PitStopLaps]])="",0,
LEN(Table1[[#This Row],[PitStopLaps]])-LEN(SUBSTITUTE(Table1[[#This Row],[PitStopLaps]],",",""))+1)</f>
        <v>0</v>
      </c>
      <c r="U2321">
        <f>Table1[[#This Row],[StartPosition]]-Table1[[#This Row],[FinishPosition]]</f>
        <v>-9</v>
      </c>
    </row>
    <row r="2322" spans="1:21" x14ac:dyDescent="0.3">
      <c r="A2322">
        <v>2023</v>
      </c>
      <c r="B2322">
        <v>15</v>
      </c>
      <c r="C2322" t="s">
        <v>200</v>
      </c>
      <c r="D2322" t="s">
        <v>47</v>
      </c>
      <c r="E2322" t="s">
        <v>48</v>
      </c>
      <c r="F2322" t="s">
        <v>22</v>
      </c>
      <c r="G2322">
        <v>1</v>
      </c>
      <c r="H2322">
        <v>1</v>
      </c>
      <c r="I2322">
        <v>25</v>
      </c>
      <c r="J2322" t="s">
        <v>23</v>
      </c>
      <c r="K2322" t="s">
        <v>24</v>
      </c>
      <c r="L2322">
        <v>62</v>
      </c>
      <c r="M2322">
        <v>97.665999999999997</v>
      </c>
      <c r="N2322">
        <v>99.607338999999996</v>
      </c>
      <c r="O2322">
        <v>28.57</v>
      </c>
      <c r="P2322">
        <v>41.569000000000003</v>
      </c>
      <c r="Q2322">
        <v>27.393999999999998</v>
      </c>
      <c r="R2322">
        <v>20</v>
      </c>
      <c r="S2322" t="s">
        <v>83</v>
      </c>
      <c r="T2322">
        <f>IF(TRIM(Table1[[#This Row],[PitStopLaps]])="",0,
LEN(Table1[[#This Row],[PitStopLaps]])-LEN(SUBSTITUTE(Table1[[#This Row],[PitStopLaps]],",",""))+1)</f>
        <v>1</v>
      </c>
      <c r="U2322">
        <f>Table1[[#This Row],[StartPosition]]-Table1[[#This Row],[FinishPosition]]</f>
        <v>0</v>
      </c>
    </row>
    <row r="2323" spans="1:21" x14ac:dyDescent="0.3">
      <c r="A2323">
        <v>2023</v>
      </c>
      <c r="B2323">
        <v>15</v>
      </c>
      <c r="C2323" t="s">
        <v>200</v>
      </c>
      <c r="D2323" t="s">
        <v>246</v>
      </c>
      <c r="E2323" t="s">
        <v>247</v>
      </c>
      <c r="F2323" t="s">
        <v>37</v>
      </c>
      <c r="G2323">
        <v>4</v>
      </c>
      <c r="H2323">
        <v>2</v>
      </c>
      <c r="I2323">
        <v>18</v>
      </c>
      <c r="J2323" t="s">
        <v>23</v>
      </c>
      <c r="K2323" t="s">
        <v>24</v>
      </c>
      <c r="L2323">
        <v>62</v>
      </c>
      <c r="M2323">
        <v>98.046000000000006</v>
      </c>
      <c r="N2323">
        <v>99.669124999999994</v>
      </c>
      <c r="O2323">
        <v>28.335999999999999</v>
      </c>
      <c r="P2323">
        <v>41.945999999999998</v>
      </c>
      <c r="Q2323">
        <v>27.323</v>
      </c>
      <c r="R2323">
        <v>20</v>
      </c>
      <c r="S2323" t="s">
        <v>83</v>
      </c>
      <c r="T2323">
        <f>IF(TRIM(Table1[[#This Row],[PitStopLaps]])="",0,
LEN(Table1[[#This Row],[PitStopLaps]])-LEN(SUBSTITUTE(Table1[[#This Row],[PitStopLaps]],",",""))+1)</f>
        <v>1</v>
      </c>
      <c r="U2323">
        <f>Table1[[#This Row],[StartPosition]]-Table1[[#This Row],[FinishPosition]]</f>
        <v>2</v>
      </c>
    </row>
    <row r="2324" spans="1:21" x14ac:dyDescent="0.3">
      <c r="A2324">
        <v>2023</v>
      </c>
      <c r="B2324">
        <v>15</v>
      </c>
      <c r="C2324" t="s">
        <v>200</v>
      </c>
      <c r="D2324" t="s">
        <v>26</v>
      </c>
      <c r="E2324" t="s">
        <v>27</v>
      </c>
      <c r="F2324" t="s">
        <v>28</v>
      </c>
      <c r="G2324">
        <v>5</v>
      </c>
      <c r="H2324">
        <v>3</v>
      </c>
      <c r="I2324">
        <v>16</v>
      </c>
      <c r="J2324" t="s">
        <v>23</v>
      </c>
      <c r="K2324" t="s">
        <v>24</v>
      </c>
      <c r="L2324">
        <v>62</v>
      </c>
      <c r="M2324">
        <v>95.867000000000004</v>
      </c>
      <c r="N2324">
        <v>99.366889999999998</v>
      </c>
      <c r="O2324">
        <v>28.032</v>
      </c>
      <c r="P2324">
        <v>40.658000000000001</v>
      </c>
      <c r="Q2324">
        <v>26.904</v>
      </c>
      <c r="R2324" t="s">
        <v>284</v>
      </c>
      <c r="S2324" t="s">
        <v>83</v>
      </c>
      <c r="T2324">
        <f>IF(TRIM(Table1[[#This Row],[PitStopLaps]])="",0,
LEN(Table1[[#This Row],[PitStopLaps]])-LEN(SUBSTITUTE(Table1[[#This Row],[PitStopLaps]],",",""))+1)</f>
        <v>2</v>
      </c>
      <c r="U2324">
        <f>Table1[[#This Row],[StartPosition]]-Table1[[#This Row],[FinishPosition]]</f>
        <v>2</v>
      </c>
    </row>
    <row r="2325" spans="1:21" x14ac:dyDescent="0.3">
      <c r="A2325">
        <v>2023</v>
      </c>
      <c r="B2325">
        <v>15</v>
      </c>
      <c r="C2325" t="s">
        <v>200</v>
      </c>
      <c r="D2325" t="s">
        <v>54</v>
      </c>
      <c r="E2325" t="s">
        <v>55</v>
      </c>
      <c r="F2325" t="s">
        <v>22</v>
      </c>
      <c r="G2325">
        <v>3</v>
      </c>
      <c r="H2325">
        <v>4</v>
      </c>
      <c r="I2325">
        <v>12</v>
      </c>
      <c r="J2325" t="s">
        <v>34</v>
      </c>
      <c r="K2325" t="s">
        <v>24</v>
      </c>
      <c r="L2325">
        <v>62</v>
      </c>
      <c r="M2325">
        <v>98.275000000000006</v>
      </c>
      <c r="N2325">
        <v>100.008054</v>
      </c>
      <c r="O2325">
        <v>28.564</v>
      </c>
      <c r="P2325">
        <v>42.110999999999997</v>
      </c>
      <c r="Q2325">
        <v>27.507000000000001</v>
      </c>
      <c r="R2325">
        <v>20</v>
      </c>
      <c r="S2325" t="s">
        <v>83</v>
      </c>
      <c r="T2325">
        <f>IF(TRIM(Table1[[#This Row],[PitStopLaps]])="",0,
LEN(Table1[[#This Row],[PitStopLaps]])-LEN(SUBSTITUTE(Table1[[#This Row],[PitStopLaps]],",",""))+1)</f>
        <v>1</v>
      </c>
      <c r="U2325">
        <f>Table1[[#This Row],[StartPosition]]-Table1[[#This Row],[FinishPosition]]</f>
        <v>-1</v>
      </c>
    </row>
    <row r="2326" spans="1:21" x14ac:dyDescent="0.3">
      <c r="A2326">
        <v>2023</v>
      </c>
      <c r="B2326">
        <v>15</v>
      </c>
      <c r="C2326" t="s">
        <v>200</v>
      </c>
      <c r="D2326" t="s">
        <v>38</v>
      </c>
      <c r="E2326" t="s">
        <v>39</v>
      </c>
      <c r="F2326" t="s">
        <v>33</v>
      </c>
      <c r="G2326">
        <v>11</v>
      </c>
      <c r="H2326">
        <v>5</v>
      </c>
      <c r="I2326">
        <v>10</v>
      </c>
      <c r="J2326" t="s">
        <v>34</v>
      </c>
      <c r="K2326" t="s">
        <v>24</v>
      </c>
      <c r="L2326">
        <v>62</v>
      </c>
      <c r="M2326">
        <v>96.575000000000003</v>
      </c>
      <c r="N2326">
        <v>99.656904999999995</v>
      </c>
      <c r="O2326">
        <v>28.369</v>
      </c>
      <c r="P2326">
        <v>41.085999999999999</v>
      </c>
      <c r="Q2326">
        <v>27.052</v>
      </c>
      <c r="R2326">
        <v>40</v>
      </c>
      <c r="S2326" t="s">
        <v>83</v>
      </c>
      <c r="T2326">
        <f>IF(TRIM(Table1[[#This Row],[PitStopLaps]])="",0,
LEN(Table1[[#This Row],[PitStopLaps]])-LEN(SUBSTITUTE(Table1[[#This Row],[PitStopLaps]],",",""))+1)</f>
        <v>1</v>
      </c>
      <c r="U2326">
        <f>Table1[[#This Row],[StartPosition]]-Table1[[#This Row],[FinishPosition]]</f>
        <v>6</v>
      </c>
    </row>
    <row r="2327" spans="1:21" x14ac:dyDescent="0.3">
      <c r="A2327">
        <v>2023</v>
      </c>
      <c r="B2327">
        <v>15</v>
      </c>
      <c r="C2327" t="s">
        <v>200</v>
      </c>
      <c r="D2327" t="s">
        <v>73</v>
      </c>
      <c r="E2327" t="s">
        <v>74</v>
      </c>
      <c r="F2327" t="s">
        <v>607</v>
      </c>
      <c r="G2327">
        <v>12</v>
      </c>
      <c r="H2327">
        <v>6</v>
      </c>
      <c r="I2327">
        <v>8</v>
      </c>
      <c r="J2327" t="s">
        <v>34</v>
      </c>
      <c r="K2327" t="s">
        <v>24</v>
      </c>
      <c r="L2327">
        <v>62</v>
      </c>
      <c r="M2327">
        <v>98.277000000000001</v>
      </c>
      <c r="N2327">
        <v>100.488927</v>
      </c>
      <c r="O2327">
        <v>28.7</v>
      </c>
      <c r="P2327">
        <v>41.942</v>
      </c>
      <c r="Q2327">
        <v>27.547000000000001</v>
      </c>
      <c r="R2327">
        <v>20</v>
      </c>
      <c r="S2327" t="s">
        <v>83</v>
      </c>
      <c r="T2327">
        <f>IF(TRIM(Table1[[#This Row],[PitStopLaps]])="",0,
LEN(Table1[[#This Row],[PitStopLaps]])-LEN(SUBSTITUTE(Table1[[#This Row],[PitStopLaps]],",",""))+1)</f>
        <v>1</v>
      </c>
      <c r="U2327">
        <f>Table1[[#This Row],[StartPosition]]-Table1[[#This Row],[FinishPosition]]</f>
        <v>6</v>
      </c>
    </row>
    <row r="2328" spans="1:21" x14ac:dyDescent="0.3">
      <c r="A2328">
        <v>2023</v>
      </c>
      <c r="B2328">
        <v>15</v>
      </c>
      <c r="C2328" t="s">
        <v>200</v>
      </c>
      <c r="D2328" t="s">
        <v>1000</v>
      </c>
      <c r="E2328" t="s">
        <v>1001</v>
      </c>
      <c r="F2328" t="s">
        <v>37</v>
      </c>
      <c r="G2328">
        <v>17</v>
      </c>
      <c r="H2328">
        <v>7</v>
      </c>
      <c r="I2328">
        <v>6</v>
      </c>
      <c r="J2328" t="s">
        <v>34</v>
      </c>
      <c r="K2328" t="s">
        <v>24</v>
      </c>
      <c r="L2328">
        <v>62</v>
      </c>
      <c r="M2328">
        <v>98.492000000000004</v>
      </c>
      <c r="N2328">
        <v>100.54689</v>
      </c>
      <c r="O2328">
        <v>28.638000000000002</v>
      </c>
      <c r="P2328">
        <v>42.07</v>
      </c>
      <c r="Q2328">
        <v>27.530999999999999</v>
      </c>
      <c r="R2328">
        <v>20</v>
      </c>
      <c r="S2328" t="s">
        <v>83</v>
      </c>
      <c r="T2328">
        <f>IF(TRIM(Table1[[#This Row],[PitStopLaps]])="",0,
LEN(Table1[[#This Row],[PitStopLaps]])-LEN(SUBSTITUTE(Table1[[#This Row],[PitStopLaps]],",",""))+1)</f>
        <v>1</v>
      </c>
      <c r="U2328">
        <f>Table1[[#This Row],[StartPosition]]-Table1[[#This Row],[FinishPosition]]</f>
        <v>10</v>
      </c>
    </row>
    <row r="2329" spans="1:21" x14ac:dyDescent="0.3">
      <c r="A2329">
        <v>2023</v>
      </c>
      <c r="B2329">
        <v>15</v>
      </c>
      <c r="C2329" t="s">
        <v>200</v>
      </c>
      <c r="D2329" t="s">
        <v>49</v>
      </c>
      <c r="E2329" t="s">
        <v>50</v>
      </c>
      <c r="F2329" t="s">
        <v>33</v>
      </c>
      <c r="G2329">
        <v>13</v>
      </c>
      <c r="H2329">
        <v>8</v>
      </c>
      <c r="I2329">
        <v>4</v>
      </c>
      <c r="J2329" t="s">
        <v>34</v>
      </c>
      <c r="K2329" t="s">
        <v>24</v>
      </c>
      <c r="L2329">
        <v>62</v>
      </c>
      <c r="M2329">
        <v>97.108000000000004</v>
      </c>
      <c r="N2329">
        <v>100.326622</v>
      </c>
      <c r="O2329">
        <v>28.399000000000001</v>
      </c>
      <c r="P2329">
        <v>41.344000000000001</v>
      </c>
      <c r="Q2329">
        <v>27.07</v>
      </c>
      <c r="R2329">
        <v>39</v>
      </c>
      <c r="S2329" t="s">
        <v>83</v>
      </c>
      <c r="T2329">
        <f>IF(TRIM(Table1[[#This Row],[PitStopLaps]])="",0,
LEN(Table1[[#This Row],[PitStopLaps]])-LEN(SUBSTITUTE(Table1[[#This Row],[PitStopLaps]],",",""))+1)</f>
        <v>1</v>
      </c>
      <c r="U2329">
        <f>Table1[[#This Row],[StartPosition]]-Table1[[#This Row],[FinishPosition]]</f>
        <v>5</v>
      </c>
    </row>
    <row r="2330" spans="1:21" x14ac:dyDescent="0.3">
      <c r="A2330">
        <v>2023</v>
      </c>
      <c r="B2330">
        <v>15</v>
      </c>
      <c r="C2330" t="s">
        <v>200</v>
      </c>
      <c r="D2330" t="s">
        <v>1092</v>
      </c>
      <c r="E2330" t="s">
        <v>1093</v>
      </c>
      <c r="F2330" t="s">
        <v>438</v>
      </c>
      <c r="G2330">
        <v>10</v>
      </c>
      <c r="H2330">
        <v>9</v>
      </c>
      <c r="I2330">
        <v>2</v>
      </c>
      <c r="J2330" t="s">
        <v>34</v>
      </c>
      <c r="K2330" t="s">
        <v>24</v>
      </c>
      <c r="L2330">
        <v>62</v>
      </c>
      <c r="M2330">
        <v>99.028000000000006</v>
      </c>
      <c r="N2330">
        <v>100.962036</v>
      </c>
      <c r="O2330">
        <v>28.975000000000001</v>
      </c>
      <c r="P2330">
        <v>42.289000000000001</v>
      </c>
      <c r="Q2330">
        <v>27.731000000000002</v>
      </c>
      <c r="R2330">
        <v>20</v>
      </c>
      <c r="S2330" t="s">
        <v>83</v>
      </c>
      <c r="T2330">
        <f>IF(TRIM(Table1[[#This Row],[PitStopLaps]])="",0,
LEN(Table1[[#This Row],[PitStopLaps]])-LEN(SUBSTITUTE(Table1[[#This Row],[PitStopLaps]],",",""))+1)</f>
        <v>1</v>
      </c>
      <c r="U2330">
        <f>Table1[[#This Row],[StartPosition]]-Table1[[#This Row],[FinishPosition]]</f>
        <v>1</v>
      </c>
    </row>
    <row r="2331" spans="1:21" x14ac:dyDescent="0.3">
      <c r="A2331">
        <v>2023</v>
      </c>
      <c r="B2331">
        <v>15</v>
      </c>
      <c r="C2331" t="s">
        <v>200</v>
      </c>
      <c r="D2331" t="s">
        <v>71</v>
      </c>
      <c r="E2331" t="s">
        <v>72</v>
      </c>
      <c r="F2331" t="s">
        <v>69</v>
      </c>
      <c r="G2331">
        <v>6</v>
      </c>
      <c r="H2331">
        <v>10</v>
      </c>
      <c r="I2331">
        <v>1</v>
      </c>
      <c r="J2331" t="s">
        <v>34</v>
      </c>
      <c r="K2331" t="s">
        <v>24</v>
      </c>
      <c r="L2331">
        <v>62</v>
      </c>
      <c r="M2331">
        <v>98.106999999999999</v>
      </c>
      <c r="N2331">
        <v>100.67783900000001</v>
      </c>
      <c r="O2331">
        <v>28.655000000000001</v>
      </c>
      <c r="P2331">
        <v>41.817999999999998</v>
      </c>
      <c r="Q2331">
        <v>27.509</v>
      </c>
      <c r="R2331" t="s">
        <v>302</v>
      </c>
      <c r="S2331" t="s">
        <v>83</v>
      </c>
      <c r="T2331">
        <f>IF(TRIM(Table1[[#This Row],[PitStopLaps]])="",0,
LEN(Table1[[#This Row],[PitStopLaps]])-LEN(SUBSTITUTE(Table1[[#This Row],[PitStopLaps]],",",""))+1)</f>
        <v>2</v>
      </c>
      <c r="U2331">
        <f>Table1[[#This Row],[StartPosition]]-Table1[[#This Row],[FinishPosition]]</f>
        <v>-4</v>
      </c>
    </row>
    <row r="2332" spans="1:21" x14ac:dyDescent="0.3">
      <c r="A2332">
        <v>2023</v>
      </c>
      <c r="B2332">
        <v>15</v>
      </c>
      <c r="C2332" t="s">
        <v>200</v>
      </c>
      <c r="D2332" t="s">
        <v>248</v>
      </c>
      <c r="E2332" t="s">
        <v>249</v>
      </c>
      <c r="F2332" t="s">
        <v>60</v>
      </c>
      <c r="G2332">
        <v>14</v>
      </c>
      <c r="H2332">
        <v>11</v>
      </c>
      <c r="I2332">
        <v>0</v>
      </c>
      <c r="J2332" t="s">
        <v>34</v>
      </c>
      <c r="K2332" t="s">
        <v>24</v>
      </c>
      <c r="L2332">
        <v>62</v>
      </c>
      <c r="M2332">
        <v>97.341999999999999</v>
      </c>
      <c r="N2332">
        <v>100.81569</v>
      </c>
      <c r="O2332">
        <v>28.457999999999998</v>
      </c>
      <c r="P2332">
        <v>41.518999999999998</v>
      </c>
      <c r="Q2332">
        <v>27.274000000000001</v>
      </c>
      <c r="R2332" t="s">
        <v>302</v>
      </c>
      <c r="S2332" t="s">
        <v>83</v>
      </c>
      <c r="T2332">
        <f>IF(TRIM(Table1[[#This Row],[PitStopLaps]])="",0,
LEN(Table1[[#This Row],[PitStopLaps]])-LEN(SUBSTITUTE(Table1[[#This Row],[PitStopLaps]],",",""))+1)</f>
        <v>2</v>
      </c>
      <c r="U2332">
        <f>Table1[[#This Row],[StartPosition]]-Table1[[#This Row],[FinishPosition]]</f>
        <v>3</v>
      </c>
    </row>
    <row r="2333" spans="1:21" x14ac:dyDescent="0.3">
      <c r="A2333">
        <v>2023</v>
      </c>
      <c r="B2333">
        <v>15</v>
      </c>
      <c r="C2333" t="s">
        <v>200</v>
      </c>
      <c r="D2333" t="s">
        <v>794</v>
      </c>
      <c r="E2333" t="s">
        <v>795</v>
      </c>
      <c r="F2333" t="s">
        <v>789</v>
      </c>
      <c r="G2333">
        <v>19</v>
      </c>
      <c r="H2333">
        <v>12</v>
      </c>
      <c r="I2333">
        <v>0</v>
      </c>
      <c r="J2333" t="s">
        <v>34</v>
      </c>
      <c r="K2333" t="s">
        <v>24</v>
      </c>
      <c r="L2333">
        <v>62</v>
      </c>
      <c r="M2333">
        <v>99.316000000000003</v>
      </c>
      <c r="N2333">
        <v>101.07835799999999</v>
      </c>
      <c r="O2333">
        <v>28.82</v>
      </c>
      <c r="P2333">
        <v>42.329000000000001</v>
      </c>
      <c r="Q2333">
        <v>27.917999999999999</v>
      </c>
      <c r="R2333" t="s">
        <v>458</v>
      </c>
      <c r="S2333" t="s">
        <v>83</v>
      </c>
      <c r="T2333">
        <f>IF(TRIM(Table1[[#This Row],[PitStopLaps]])="",0,
LEN(Table1[[#This Row],[PitStopLaps]])-LEN(SUBSTITUTE(Table1[[#This Row],[PitStopLaps]],",",""))+1)</f>
        <v>2</v>
      </c>
      <c r="U2333">
        <f>Table1[[#This Row],[StartPosition]]-Table1[[#This Row],[FinishPosition]]</f>
        <v>7</v>
      </c>
    </row>
    <row r="2334" spans="1:21" x14ac:dyDescent="0.3">
      <c r="A2334">
        <v>2023</v>
      </c>
      <c r="B2334">
        <v>15</v>
      </c>
      <c r="C2334" t="s">
        <v>200</v>
      </c>
      <c r="D2334" t="s">
        <v>40</v>
      </c>
      <c r="E2334" t="s">
        <v>41</v>
      </c>
      <c r="F2334" t="s">
        <v>69</v>
      </c>
      <c r="G2334">
        <v>9</v>
      </c>
      <c r="H2334">
        <v>13</v>
      </c>
      <c r="I2334">
        <v>0</v>
      </c>
      <c r="J2334" t="s">
        <v>34</v>
      </c>
      <c r="K2334" t="s">
        <v>24</v>
      </c>
      <c r="L2334">
        <v>62</v>
      </c>
      <c r="M2334">
        <v>99.923000000000002</v>
      </c>
      <c r="N2334">
        <v>101.29369</v>
      </c>
      <c r="O2334">
        <v>28.71</v>
      </c>
      <c r="P2334">
        <v>42.875</v>
      </c>
      <c r="Q2334">
        <v>27.895</v>
      </c>
      <c r="R2334">
        <v>20</v>
      </c>
      <c r="S2334" t="s">
        <v>83</v>
      </c>
      <c r="T2334">
        <f>IF(TRIM(Table1[[#This Row],[PitStopLaps]])="",0,
LEN(Table1[[#This Row],[PitStopLaps]])-LEN(SUBSTITUTE(Table1[[#This Row],[PitStopLaps]],",",""))+1)</f>
        <v>1</v>
      </c>
      <c r="U2334">
        <f>Table1[[#This Row],[StartPosition]]-Table1[[#This Row],[FinishPosition]]</f>
        <v>-4</v>
      </c>
    </row>
    <row r="2335" spans="1:21" x14ac:dyDescent="0.3">
      <c r="A2335">
        <v>2023</v>
      </c>
      <c r="B2335">
        <v>15</v>
      </c>
      <c r="C2335" t="s">
        <v>200</v>
      </c>
      <c r="D2335" t="s">
        <v>992</v>
      </c>
      <c r="E2335" t="s">
        <v>993</v>
      </c>
      <c r="F2335" t="s">
        <v>60</v>
      </c>
      <c r="G2335">
        <v>18</v>
      </c>
      <c r="H2335">
        <v>14</v>
      </c>
      <c r="I2335">
        <v>0</v>
      </c>
      <c r="J2335" t="s">
        <v>34</v>
      </c>
      <c r="K2335" t="s">
        <v>24</v>
      </c>
      <c r="L2335">
        <v>62</v>
      </c>
      <c r="M2335">
        <v>98.531000000000006</v>
      </c>
      <c r="N2335">
        <v>100.229181</v>
      </c>
      <c r="O2335">
        <v>28.651</v>
      </c>
      <c r="P2335">
        <v>41.953000000000003</v>
      </c>
      <c r="Q2335">
        <v>27.715</v>
      </c>
      <c r="R2335" t="s">
        <v>1105</v>
      </c>
      <c r="S2335" t="s">
        <v>83</v>
      </c>
      <c r="T2335">
        <f>IF(TRIM(Table1[[#This Row],[PitStopLaps]])="",0,
LEN(Table1[[#This Row],[PitStopLaps]])-LEN(SUBSTITUTE(Table1[[#This Row],[PitStopLaps]],",",""))+1)</f>
        <v>2</v>
      </c>
      <c r="U2335">
        <f>Table1[[#This Row],[StartPosition]]-Table1[[#This Row],[FinishPosition]]</f>
        <v>4</v>
      </c>
    </row>
    <row r="2336" spans="1:21" x14ac:dyDescent="0.3">
      <c r="A2336">
        <v>2023</v>
      </c>
      <c r="B2336">
        <v>15</v>
      </c>
      <c r="C2336" t="s">
        <v>200</v>
      </c>
      <c r="D2336" t="s">
        <v>35</v>
      </c>
      <c r="E2336" t="s">
        <v>36</v>
      </c>
      <c r="F2336" t="s">
        <v>603</v>
      </c>
      <c r="G2336">
        <v>7</v>
      </c>
      <c r="H2336">
        <v>15</v>
      </c>
      <c r="I2336">
        <v>0</v>
      </c>
      <c r="J2336" t="s">
        <v>34</v>
      </c>
      <c r="K2336" t="s">
        <v>24</v>
      </c>
      <c r="L2336">
        <v>62</v>
      </c>
      <c r="M2336">
        <v>96.456000000000003</v>
      </c>
      <c r="N2336">
        <v>100.542981</v>
      </c>
      <c r="O2336">
        <v>28.372</v>
      </c>
      <c r="P2336">
        <v>41.067</v>
      </c>
      <c r="Q2336">
        <v>26.983000000000001</v>
      </c>
      <c r="R2336" t="s">
        <v>284</v>
      </c>
      <c r="S2336" t="s">
        <v>83</v>
      </c>
      <c r="T2336">
        <f>IF(TRIM(Table1[[#This Row],[PitStopLaps]])="",0,
LEN(Table1[[#This Row],[PitStopLaps]])-LEN(SUBSTITUTE(Table1[[#This Row],[PitStopLaps]],",",""))+1)</f>
        <v>2</v>
      </c>
      <c r="U2336">
        <f>Table1[[#This Row],[StartPosition]]-Table1[[#This Row],[FinishPosition]]</f>
        <v>-8</v>
      </c>
    </row>
    <row r="2337" spans="1:21" x14ac:dyDescent="0.3">
      <c r="A2337">
        <v>2023</v>
      </c>
      <c r="B2337">
        <v>15</v>
      </c>
      <c r="C2337" t="s">
        <v>200</v>
      </c>
      <c r="D2337" t="s">
        <v>252</v>
      </c>
      <c r="E2337" t="s">
        <v>253</v>
      </c>
      <c r="F2337" t="s">
        <v>28</v>
      </c>
      <c r="G2337">
        <v>2</v>
      </c>
      <c r="H2337">
        <v>16</v>
      </c>
      <c r="I2337">
        <v>0</v>
      </c>
      <c r="J2337" t="s">
        <v>34</v>
      </c>
      <c r="K2337" t="s">
        <v>179</v>
      </c>
      <c r="L2337">
        <v>62</v>
      </c>
      <c r="M2337">
        <v>96.272999999999996</v>
      </c>
      <c r="N2337">
        <v>99.374780999999999</v>
      </c>
      <c r="O2337">
        <v>28.254999999999999</v>
      </c>
      <c r="P2337">
        <v>40.83</v>
      </c>
      <c r="Q2337">
        <v>27.106000000000002</v>
      </c>
      <c r="R2337" t="s">
        <v>284</v>
      </c>
      <c r="S2337" t="s">
        <v>83</v>
      </c>
      <c r="T2337">
        <f>IF(TRIM(Table1[[#This Row],[PitStopLaps]])="",0,
LEN(Table1[[#This Row],[PitStopLaps]])-LEN(SUBSTITUTE(Table1[[#This Row],[PitStopLaps]],",",""))+1)</f>
        <v>2</v>
      </c>
      <c r="U2337">
        <f>Table1[[#This Row],[StartPosition]]-Table1[[#This Row],[FinishPosition]]</f>
        <v>-14</v>
      </c>
    </row>
    <row r="2338" spans="1:21" x14ac:dyDescent="0.3">
      <c r="A2338">
        <v>2023</v>
      </c>
      <c r="B2338">
        <v>15</v>
      </c>
      <c r="C2338" t="s">
        <v>200</v>
      </c>
      <c r="D2338" t="s">
        <v>43</v>
      </c>
      <c r="E2338" t="s">
        <v>44</v>
      </c>
      <c r="F2338" t="s">
        <v>789</v>
      </c>
      <c r="G2338">
        <v>16</v>
      </c>
      <c r="H2338">
        <v>17</v>
      </c>
      <c r="I2338">
        <v>0</v>
      </c>
      <c r="J2338" t="s">
        <v>34</v>
      </c>
      <c r="K2338" t="s">
        <v>179</v>
      </c>
      <c r="L2338">
        <v>52</v>
      </c>
      <c r="M2338">
        <v>98.075000000000003</v>
      </c>
      <c r="N2338">
        <v>101.14330200000001</v>
      </c>
      <c r="O2338">
        <v>28.693000000000001</v>
      </c>
      <c r="P2338">
        <v>41.704999999999998</v>
      </c>
      <c r="Q2338">
        <v>27.585000000000001</v>
      </c>
      <c r="R2338">
        <v>40</v>
      </c>
      <c r="S2338" t="s">
        <v>83</v>
      </c>
      <c r="T2338">
        <f>IF(TRIM(Table1[[#This Row],[PitStopLaps]])="",0,
LEN(Table1[[#This Row],[PitStopLaps]])-LEN(SUBSTITUTE(Table1[[#This Row],[PitStopLaps]],",",""))+1)</f>
        <v>1</v>
      </c>
      <c r="U2338">
        <f>Table1[[#This Row],[StartPosition]]-Table1[[#This Row],[FinishPosition]]</f>
        <v>-1</v>
      </c>
    </row>
    <row r="2339" spans="1:21" x14ac:dyDescent="0.3">
      <c r="A2339">
        <v>2023</v>
      </c>
      <c r="B2339">
        <v>15</v>
      </c>
      <c r="C2339" t="s">
        <v>200</v>
      </c>
      <c r="D2339" t="s">
        <v>52</v>
      </c>
      <c r="E2339" t="s">
        <v>53</v>
      </c>
      <c r="F2339" t="s">
        <v>607</v>
      </c>
      <c r="G2339">
        <v>8</v>
      </c>
      <c r="H2339">
        <v>18</v>
      </c>
      <c r="I2339">
        <v>0</v>
      </c>
      <c r="J2339" t="s">
        <v>34</v>
      </c>
      <c r="K2339" t="s">
        <v>179</v>
      </c>
      <c r="L2339">
        <v>43</v>
      </c>
      <c r="M2339">
        <v>99.93</v>
      </c>
      <c r="N2339">
        <v>100.83750000000001</v>
      </c>
      <c r="O2339">
        <v>28.715</v>
      </c>
      <c r="P2339">
        <v>42.845999999999997</v>
      </c>
      <c r="Q2339">
        <v>27.908999999999999</v>
      </c>
      <c r="R2339">
        <v>20</v>
      </c>
      <c r="S2339" t="s">
        <v>83</v>
      </c>
      <c r="T2339">
        <f>IF(TRIM(Table1[[#This Row],[PitStopLaps]])="",0,
LEN(Table1[[#This Row],[PitStopLaps]])-LEN(SUBSTITUTE(Table1[[#This Row],[PitStopLaps]],",",""))+1)</f>
        <v>1</v>
      </c>
      <c r="U2339">
        <f>Table1[[#This Row],[StartPosition]]-Table1[[#This Row],[FinishPosition]]</f>
        <v>-10</v>
      </c>
    </row>
    <row r="2340" spans="1:21" x14ac:dyDescent="0.3">
      <c r="A2340">
        <v>2023</v>
      </c>
      <c r="B2340">
        <v>15</v>
      </c>
      <c r="C2340" t="s">
        <v>200</v>
      </c>
      <c r="D2340" t="s">
        <v>601</v>
      </c>
      <c r="E2340" t="s">
        <v>602</v>
      </c>
      <c r="F2340" t="s">
        <v>438</v>
      </c>
      <c r="G2340">
        <v>15</v>
      </c>
      <c r="H2340">
        <v>19</v>
      </c>
      <c r="I2340">
        <v>0</v>
      </c>
      <c r="J2340" t="s">
        <v>34</v>
      </c>
      <c r="K2340" t="s">
        <v>179</v>
      </c>
      <c r="L2340">
        <v>1</v>
      </c>
      <c r="S2340" t="s">
        <v>83</v>
      </c>
      <c r="T2340">
        <f>IF(TRIM(Table1[[#This Row],[PitStopLaps]])="",0,
LEN(Table1[[#This Row],[PitStopLaps]])-LEN(SUBSTITUTE(Table1[[#This Row],[PitStopLaps]],",",""))+1)</f>
        <v>0</v>
      </c>
      <c r="U2340">
        <f>Table1[[#This Row],[StartPosition]]-Table1[[#This Row],[FinishPosition]]</f>
        <v>-4</v>
      </c>
    </row>
    <row r="2341" spans="1:21" x14ac:dyDescent="0.3">
      <c r="A2341">
        <v>2023</v>
      </c>
      <c r="B2341">
        <v>15</v>
      </c>
      <c r="C2341" t="s">
        <v>200</v>
      </c>
      <c r="D2341" t="s">
        <v>58</v>
      </c>
      <c r="E2341" t="s">
        <v>59</v>
      </c>
      <c r="F2341" t="s">
        <v>603</v>
      </c>
      <c r="I2341">
        <v>0</v>
      </c>
      <c r="J2341" t="s">
        <v>34</v>
      </c>
      <c r="K2341" t="s">
        <v>402</v>
      </c>
      <c r="S2341" t="s">
        <v>83</v>
      </c>
      <c r="T2341">
        <f>IF(TRIM(Table1[[#This Row],[PitStopLaps]])="",0,
LEN(Table1[[#This Row],[PitStopLaps]])-LEN(SUBSTITUTE(Table1[[#This Row],[PitStopLaps]],",",""))+1)</f>
        <v>0</v>
      </c>
      <c r="U2341">
        <f>Table1[[#This Row],[StartPosition]]-Table1[[#This Row],[FinishPosition]]</f>
        <v>0</v>
      </c>
    </row>
    <row r="2342" spans="1:21" x14ac:dyDescent="0.3">
      <c r="A2342">
        <v>2023</v>
      </c>
      <c r="B2342">
        <v>16</v>
      </c>
      <c r="C2342" t="s">
        <v>208</v>
      </c>
      <c r="D2342" t="s">
        <v>38</v>
      </c>
      <c r="E2342" t="s">
        <v>39</v>
      </c>
      <c r="F2342" t="s">
        <v>33</v>
      </c>
      <c r="G2342">
        <v>1</v>
      </c>
      <c r="H2342">
        <v>1</v>
      </c>
      <c r="I2342">
        <v>26</v>
      </c>
      <c r="J2342" t="s">
        <v>23</v>
      </c>
      <c r="K2342" t="s">
        <v>24</v>
      </c>
      <c r="L2342">
        <v>53</v>
      </c>
      <c r="M2342">
        <v>94.183000000000007</v>
      </c>
      <c r="N2342">
        <v>97.216727000000006</v>
      </c>
      <c r="O2342">
        <v>33.72</v>
      </c>
      <c r="P2342">
        <v>42.118000000000002</v>
      </c>
      <c r="Q2342">
        <v>18.344999999999999</v>
      </c>
      <c r="R2342" t="s">
        <v>979</v>
      </c>
      <c r="S2342" t="s">
        <v>83</v>
      </c>
      <c r="T2342">
        <f>IF(TRIM(Table1[[#This Row],[PitStopLaps]])="",0,
LEN(Table1[[#This Row],[PitStopLaps]])-LEN(SUBSTITUTE(Table1[[#This Row],[PitStopLaps]],",",""))+1)</f>
        <v>2</v>
      </c>
      <c r="U2342">
        <f>Table1[[#This Row],[StartPosition]]-Table1[[#This Row],[FinishPosition]]</f>
        <v>0</v>
      </c>
    </row>
    <row r="2343" spans="1:21" x14ac:dyDescent="0.3">
      <c r="A2343">
        <v>2023</v>
      </c>
      <c r="B2343">
        <v>16</v>
      </c>
      <c r="C2343" t="s">
        <v>208</v>
      </c>
      <c r="D2343" t="s">
        <v>246</v>
      </c>
      <c r="E2343" t="s">
        <v>247</v>
      </c>
      <c r="F2343" t="s">
        <v>37</v>
      </c>
      <c r="G2343">
        <v>3</v>
      </c>
      <c r="H2343">
        <v>2</v>
      </c>
      <c r="I2343">
        <v>18</v>
      </c>
      <c r="J2343" t="s">
        <v>23</v>
      </c>
      <c r="K2343" t="s">
        <v>24</v>
      </c>
      <c r="L2343">
        <v>53</v>
      </c>
      <c r="M2343">
        <v>95.247</v>
      </c>
      <c r="N2343">
        <v>97.536681000000002</v>
      </c>
      <c r="O2343">
        <v>34.268999999999998</v>
      </c>
      <c r="P2343">
        <v>42.423000000000002</v>
      </c>
      <c r="Q2343">
        <v>18.555</v>
      </c>
      <c r="R2343" t="s">
        <v>387</v>
      </c>
      <c r="S2343" t="s">
        <v>83</v>
      </c>
      <c r="T2343">
        <f>IF(TRIM(Table1[[#This Row],[PitStopLaps]])="",0,
LEN(Table1[[#This Row],[PitStopLaps]])-LEN(SUBSTITUTE(Table1[[#This Row],[PitStopLaps]],",",""))+1)</f>
        <v>2</v>
      </c>
      <c r="U2343">
        <f>Table1[[#This Row],[StartPosition]]-Table1[[#This Row],[FinishPosition]]</f>
        <v>1</v>
      </c>
    </row>
    <row r="2344" spans="1:21" x14ac:dyDescent="0.3">
      <c r="A2344">
        <v>2023</v>
      </c>
      <c r="B2344">
        <v>16</v>
      </c>
      <c r="C2344" t="s">
        <v>208</v>
      </c>
      <c r="D2344" t="s">
        <v>1000</v>
      </c>
      <c r="E2344" t="s">
        <v>1001</v>
      </c>
      <c r="F2344" t="s">
        <v>37</v>
      </c>
      <c r="G2344">
        <v>2</v>
      </c>
      <c r="H2344">
        <v>3</v>
      </c>
      <c r="I2344">
        <v>15</v>
      </c>
      <c r="J2344" t="s">
        <v>23</v>
      </c>
      <c r="K2344" t="s">
        <v>24</v>
      </c>
      <c r="L2344">
        <v>53</v>
      </c>
      <c r="M2344">
        <v>96.328000000000003</v>
      </c>
      <c r="N2344">
        <v>98.111932999999993</v>
      </c>
      <c r="O2344">
        <v>34.476999999999997</v>
      </c>
      <c r="P2344">
        <v>42.96</v>
      </c>
      <c r="Q2344">
        <v>18.649999999999999</v>
      </c>
      <c r="R2344" t="s">
        <v>334</v>
      </c>
      <c r="S2344" t="s">
        <v>83</v>
      </c>
      <c r="T2344">
        <f>IF(TRIM(Table1[[#This Row],[PitStopLaps]])="",0,
LEN(Table1[[#This Row],[PitStopLaps]])-LEN(SUBSTITUTE(Table1[[#This Row],[PitStopLaps]],",",""))+1)</f>
        <v>2</v>
      </c>
      <c r="U2344">
        <f>Table1[[#This Row],[StartPosition]]-Table1[[#This Row],[FinishPosition]]</f>
        <v>-1</v>
      </c>
    </row>
    <row r="2345" spans="1:21" x14ac:dyDescent="0.3">
      <c r="A2345">
        <v>2023</v>
      </c>
      <c r="B2345">
        <v>16</v>
      </c>
      <c r="C2345" t="s">
        <v>208</v>
      </c>
      <c r="D2345" t="s">
        <v>54</v>
      </c>
      <c r="E2345" t="s">
        <v>55</v>
      </c>
      <c r="F2345" t="s">
        <v>22</v>
      </c>
      <c r="G2345">
        <v>4</v>
      </c>
      <c r="H2345">
        <v>4</v>
      </c>
      <c r="I2345">
        <v>12</v>
      </c>
      <c r="J2345" t="s">
        <v>34</v>
      </c>
      <c r="K2345" t="s">
        <v>24</v>
      </c>
      <c r="L2345">
        <v>53</v>
      </c>
      <c r="M2345">
        <v>96.361999999999995</v>
      </c>
      <c r="N2345">
        <v>98.186863000000002</v>
      </c>
      <c r="O2345">
        <v>34.761000000000003</v>
      </c>
      <c r="P2345">
        <v>42.920999999999999</v>
      </c>
      <c r="Q2345">
        <v>18.661000000000001</v>
      </c>
      <c r="R2345" t="s">
        <v>280</v>
      </c>
      <c r="S2345" t="s">
        <v>83</v>
      </c>
      <c r="T2345">
        <f>IF(TRIM(Table1[[#This Row],[PitStopLaps]])="",0,
LEN(Table1[[#This Row],[PitStopLaps]])-LEN(SUBSTITUTE(Table1[[#This Row],[PitStopLaps]],",",""))+1)</f>
        <v>2</v>
      </c>
      <c r="U2345">
        <f>Table1[[#This Row],[StartPosition]]-Table1[[#This Row],[FinishPosition]]</f>
        <v>0</v>
      </c>
    </row>
    <row r="2346" spans="1:21" x14ac:dyDescent="0.3">
      <c r="A2346">
        <v>2023</v>
      </c>
      <c r="B2346">
        <v>16</v>
      </c>
      <c r="C2346" t="s">
        <v>208</v>
      </c>
      <c r="D2346" t="s">
        <v>26</v>
      </c>
      <c r="E2346" t="s">
        <v>27</v>
      </c>
      <c r="F2346" t="s">
        <v>28</v>
      </c>
      <c r="G2346">
        <v>7</v>
      </c>
      <c r="H2346">
        <v>5</v>
      </c>
      <c r="I2346">
        <v>10</v>
      </c>
      <c r="J2346" t="s">
        <v>34</v>
      </c>
      <c r="K2346" t="s">
        <v>24</v>
      </c>
      <c r="L2346">
        <v>53</v>
      </c>
      <c r="M2346">
        <v>95.611000000000004</v>
      </c>
      <c r="N2346">
        <v>98.198113000000006</v>
      </c>
      <c r="O2346">
        <v>34.390999999999998</v>
      </c>
      <c r="P2346">
        <v>42.704999999999998</v>
      </c>
      <c r="Q2346">
        <v>18.515000000000001</v>
      </c>
      <c r="R2346" t="s">
        <v>943</v>
      </c>
      <c r="S2346" t="s">
        <v>83</v>
      </c>
      <c r="T2346">
        <f>IF(TRIM(Table1[[#This Row],[PitStopLaps]])="",0,
LEN(Table1[[#This Row],[PitStopLaps]])-LEN(SUBSTITUTE(Table1[[#This Row],[PitStopLaps]],",",""))+1)</f>
        <v>2</v>
      </c>
      <c r="U2346">
        <f>Table1[[#This Row],[StartPosition]]-Table1[[#This Row],[FinishPosition]]</f>
        <v>2</v>
      </c>
    </row>
    <row r="2347" spans="1:21" x14ac:dyDescent="0.3">
      <c r="A2347">
        <v>2023</v>
      </c>
      <c r="B2347">
        <v>16</v>
      </c>
      <c r="C2347" t="s">
        <v>208</v>
      </c>
      <c r="D2347" t="s">
        <v>47</v>
      </c>
      <c r="E2347" t="s">
        <v>48</v>
      </c>
      <c r="F2347" t="s">
        <v>22</v>
      </c>
      <c r="G2347">
        <v>6</v>
      </c>
      <c r="H2347">
        <v>6</v>
      </c>
      <c r="I2347">
        <v>8</v>
      </c>
      <c r="J2347" t="s">
        <v>34</v>
      </c>
      <c r="K2347" t="s">
        <v>24</v>
      </c>
      <c r="L2347">
        <v>53</v>
      </c>
      <c r="M2347">
        <v>96.186999999999998</v>
      </c>
      <c r="N2347">
        <v>98.302795000000003</v>
      </c>
      <c r="O2347">
        <v>34.756</v>
      </c>
      <c r="P2347">
        <v>42.779000000000003</v>
      </c>
      <c r="Q2347">
        <v>18.545000000000002</v>
      </c>
      <c r="R2347" t="s">
        <v>1106</v>
      </c>
      <c r="S2347" t="s">
        <v>83</v>
      </c>
      <c r="T2347">
        <f>IF(TRIM(Table1[[#This Row],[PitStopLaps]])="",0,
LEN(Table1[[#This Row],[PitStopLaps]])-LEN(SUBSTITUTE(Table1[[#This Row],[PitStopLaps]],",",""))+1)</f>
        <v>2</v>
      </c>
      <c r="U2347">
        <f>Table1[[#This Row],[StartPosition]]-Table1[[#This Row],[FinishPosition]]</f>
        <v>0</v>
      </c>
    </row>
    <row r="2348" spans="1:21" x14ac:dyDescent="0.3">
      <c r="A2348">
        <v>2023</v>
      </c>
      <c r="B2348">
        <v>16</v>
      </c>
      <c r="C2348" t="s">
        <v>208</v>
      </c>
      <c r="D2348" t="s">
        <v>252</v>
      </c>
      <c r="E2348" t="s">
        <v>253</v>
      </c>
      <c r="F2348" t="s">
        <v>28</v>
      </c>
      <c r="G2348">
        <v>8</v>
      </c>
      <c r="H2348">
        <v>7</v>
      </c>
      <c r="I2348">
        <v>6</v>
      </c>
      <c r="J2348" t="s">
        <v>34</v>
      </c>
      <c r="K2348" t="s">
        <v>24</v>
      </c>
      <c r="L2348">
        <v>53</v>
      </c>
      <c r="M2348">
        <v>97.653000000000006</v>
      </c>
      <c r="N2348">
        <v>98.880413000000004</v>
      </c>
      <c r="O2348">
        <v>35.402000000000001</v>
      </c>
      <c r="P2348">
        <v>43.289000000000001</v>
      </c>
      <c r="Q2348">
        <v>18.742999999999999</v>
      </c>
      <c r="R2348">
        <v>24</v>
      </c>
      <c r="S2348" t="s">
        <v>83</v>
      </c>
      <c r="T2348">
        <f>IF(TRIM(Table1[[#This Row],[PitStopLaps]])="",0,
LEN(Table1[[#This Row],[PitStopLaps]])-LEN(SUBSTITUTE(Table1[[#This Row],[PitStopLaps]],",",""))+1)</f>
        <v>1</v>
      </c>
      <c r="U2348">
        <f>Table1[[#This Row],[StartPosition]]-Table1[[#This Row],[FinishPosition]]</f>
        <v>1</v>
      </c>
    </row>
    <row r="2349" spans="1:21" x14ac:dyDescent="0.3">
      <c r="A2349">
        <v>2023</v>
      </c>
      <c r="B2349">
        <v>16</v>
      </c>
      <c r="C2349" t="s">
        <v>208</v>
      </c>
      <c r="D2349" t="s">
        <v>35</v>
      </c>
      <c r="E2349" t="s">
        <v>36</v>
      </c>
      <c r="F2349" t="s">
        <v>603</v>
      </c>
      <c r="G2349">
        <v>10</v>
      </c>
      <c r="H2349">
        <v>8</v>
      </c>
      <c r="I2349">
        <v>4</v>
      </c>
      <c r="J2349" t="s">
        <v>34</v>
      </c>
      <c r="K2349" t="s">
        <v>24</v>
      </c>
      <c r="L2349">
        <v>53</v>
      </c>
      <c r="M2349">
        <v>97.203000000000003</v>
      </c>
      <c r="N2349">
        <v>98.770302000000001</v>
      </c>
      <c r="O2349">
        <v>35.097999999999999</v>
      </c>
      <c r="P2349">
        <v>42.991</v>
      </c>
      <c r="Q2349">
        <v>18.785</v>
      </c>
      <c r="R2349" t="s">
        <v>918</v>
      </c>
      <c r="S2349" t="s">
        <v>83</v>
      </c>
      <c r="T2349">
        <f>IF(TRIM(Table1[[#This Row],[PitStopLaps]])="",0,
LEN(Table1[[#This Row],[PitStopLaps]])-LEN(SUBSTITUTE(Table1[[#This Row],[PitStopLaps]],",",""))+1)</f>
        <v>2</v>
      </c>
      <c r="U2349">
        <f>Table1[[#This Row],[StartPosition]]-Table1[[#This Row],[FinishPosition]]</f>
        <v>2</v>
      </c>
    </row>
    <row r="2350" spans="1:21" x14ac:dyDescent="0.3">
      <c r="A2350">
        <v>2023</v>
      </c>
      <c r="B2350">
        <v>16</v>
      </c>
      <c r="C2350" t="s">
        <v>208</v>
      </c>
      <c r="D2350" t="s">
        <v>52</v>
      </c>
      <c r="E2350" t="s">
        <v>53</v>
      </c>
      <c r="F2350" t="s">
        <v>607</v>
      </c>
      <c r="G2350">
        <v>14</v>
      </c>
      <c r="H2350">
        <v>9</v>
      </c>
      <c r="I2350">
        <v>2</v>
      </c>
      <c r="J2350" t="s">
        <v>34</v>
      </c>
      <c r="K2350" t="s">
        <v>24</v>
      </c>
      <c r="L2350">
        <v>53</v>
      </c>
      <c r="M2350">
        <v>97.397999999999996</v>
      </c>
      <c r="N2350">
        <v>99.211421999999999</v>
      </c>
      <c r="O2350">
        <v>35.052999999999997</v>
      </c>
      <c r="P2350">
        <v>43.466999999999999</v>
      </c>
      <c r="Q2350">
        <v>18.777000000000001</v>
      </c>
      <c r="R2350" t="s">
        <v>198</v>
      </c>
      <c r="S2350" t="s">
        <v>83</v>
      </c>
      <c r="T2350">
        <f>IF(TRIM(Table1[[#This Row],[PitStopLaps]])="",0,
LEN(Table1[[#This Row],[PitStopLaps]])-LEN(SUBSTITUTE(Table1[[#This Row],[PitStopLaps]],",",""))+1)</f>
        <v>2</v>
      </c>
      <c r="U2350">
        <f>Table1[[#This Row],[StartPosition]]-Table1[[#This Row],[FinishPosition]]</f>
        <v>5</v>
      </c>
    </row>
    <row r="2351" spans="1:21" x14ac:dyDescent="0.3">
      <c r="A2351">
        <v>2023</v>
      </c>
      <c r="B2351">
        <v>16</v>
      </c>
      <c r="C2351" t="s">
        <v>208</v>
      </c>
      <c r="D2351" t="s">
        <v>73</v>
      </c>
      <c r="E2351" t="s">
        <v>74</v>
      </c>
      <c r="F2351" t="s">
        <v>607</v>
      </c>
      <c r="G2351">
        <v>12</v>
      </c>
      <c r="H2351">
        <v>10</v>
      </c>
      <c r="I2351">
        <v>1</v>
      </c>
      <c r="J2351" t="s">
        <v>34</v>
      </c>
      <c r="K2351" t="s">
        <v>24</v>
      </c>
      <c r="L2351">
        <v>53</v>
      </c>
      <c r="M2351">
        <v>96.370999999999995</v>
      </c>
      <c r="N2351">
        <v>98.786000000000001</v>
      </c>
      <c r="O2351">
        <v>34.662999999999997</v>
      </c>
      <c r="P2351">
        <v>43.061999999999998</v>
      </c>
      <c r="Q2351">
        <v>18.646000000000001</v>
      </c>
      <c r="R2351" t="s">
        <v>97</v>
      </c>
      <c r="S2351" t="s">
        <v>83</v>
      </c>
      <c r="T2351">
        <f>IF(TRIM(Table1[[#This Row],[PitStopLaps]])="",0,
LEN(Table1[[#This Row],[PitStopLaps]])-LEN(SUBSTITUTE(Table1[[#This Row],[PitStopLaps]],",",""))+1)</f>
        <v>2</v>
      </c>
      <c r="U2351">
        <f>Table1[[#This Row],[StartPosition]]-Table1[[#This Row],[FinishPosition]]</f>
        <v>2</v>
      </c>
    </row>
    <row r="2352" spans="1:21" x14ac:dyDescent="0.3">
      <c r="A2352">
        <v>2023</v>
      </c>
      <c r="B2352">
        <v>16</v>
      </c>
      <c r="C2352" t="s">
        <v>208</v>
      </c>
      <c r="D2352" t="s">
        <v>1092</v>
      </c>
      <c r="E2352" t="s">
        <v>1093</v>
      </c>
      <c r="F2352" t="s">
        <v>438</v>
      </c>
      <c r="G2352">
        <v>11</v>
      </c>
      <c r="H2352">
        <v>11</v>
      </c>
      <c r="I2352">
        <v>0</v>
      </c>
      <c r="J2352" t="s">
        <v>34</v>
      </c>
      <c r="K2352" t="s">
        <v>994</v>
      </c>
      <c r="L2352">
        <v>52</v>
      </c>
      <c r="M2352">
        <v>98.266999999999996</v>
      </c>
      <c r="N2352">
        <v>99.270332999999994</v>
      </c>
      <c r="O2352">
        <v>35.429000000000002</v>
      </c>
      <c r="P2352">
        <v>43.725999999999999</v>
      </c>
      <c r="Q2352">
        <v>18.875</v>
      </c>
      <c r="R2352" t="s">
        <v>1107</v>
      </c>
      <c r="S2352" t="s">
        <v>83</v>
      </c>
      <c r="T2352">
        <f>IF(TRIM(Table1[[#This Row],[PitStopLaps]])="",0,
LEN(Table1[[#This Row],[PitStopLaps]])-LEN(SUBSTITUTE(Table1[[#This Row],[PitStopLaps]],",",""))+1)</f>
        <v>2</v>
      </c>
      <c r="U2352">
        <f>Table1[[#This Row],[StartPosition]]-Table1[[#This Row],[FinishPosition]]</f>
        <v>0</v>
      </c>
    </row>
    <row r="2353" spans="1:21" x14ac:dyDescent="0.3">
      <c r="A2353">
        <v>2023</v>
      </c>
      <c r="B2353">
        <v>16</v>
      </c>
      <c r="C2353" t="s">
        <v>208</v>
      </c>
      <c r="D2353" t="s">
        <v>601</v>
      </c>
      <c r="E2353" t="s">
        <v>602</v>
      </c>
      <c r="F2353" t="s">
        <v>438</v>
      </c>
      <c r="G2353">
        <v>9</v>
      </c>
      <c r="H2353">
        <v>12</v>
      </c>
      <c r="I2353">
        <v>0</v>
      </c>
      <c r="J2353" t="s">
        <v>34</v>
      </c>
      <c r="K2353" t="s">
        <v>994</v>
      </c>
      <c r="L2353">
        <v>52</v>
      </c>
      <c r="M2353">
        <v>97.768000000000001</v>
      </c>
      <c r="N2353">
        <v>99.326738000000006</v>
      </c>
      <c r="O2353">
        <v>35.353000000000002</v>
      </c>
      <c r="P2353">
        <v>43.430999999999997</v>
      </c>
      <c r="Q2353">
        <v>18.771000000000001</v>
      </c>
      <c r="R2353" t="s">
        <v>1108</v>
      </c>
      <c r="S2353" t="s">
        <v>83</v>
      </c>
      <c r="T2353">
        <f>IF(TRIM(Table1[[#This Row],[PitStopLaps]])="",0,
LEN(Table1[[#This Row],[PitStopLaps]])-LEN(SUBSTITUTE(Table1[[#This Row],[PitStopLaps]],",",""))+1)</f>
        <v>2</v>
      </c>
      <c r="U2353">
        <f>Table1[[#This Row],[StartPosition]]-Table1[[#This Row],[FinishPosition]]</f>
        <v>-3</v>
      </c>
    </row>
    <row r="2354" spans="1:21" x14ac:dyDescent="0.3">
      <c r="A2354">
        <v>2023</v>
      </c>
      <c r="B2354">
        <v>16</v>
      </c>
      <c r="C2354" t="s">
        <v>208</v>
      </c>
      <c r="D2354" t="s">
        <v>794</v>
      </c>
      <c r="E2354" t="s">
        <v>795</v>
      </c>
      <c r="F2354" t="s">
        <v>789</v>
      </c>
      <c r="G2354">
        <v>19</v>
      </c>
      <c r="H2354">
        <v>13</v>
      </c>
      <c r="I2354">
        <v>0</v>
      </c>
      <c r="J2354" t="s">
        <v>34</v>
      </c>
      <c r="K2354" t="s">
        <v>994</v>
      </c>
      <c r="L2354">
        <v>52</v>
      </c>
      <c r="M2354">
        <v>97.790999999999997</v>
      </c>
      <c r="N2354">
        <v>99.281833000000006</v>
      </c>
      <c r="O2354">
        <v>35.118000000000002</v>
      </c>
      <c r="P2354">
        <v>43.622999999999998</v>
      </c>
      <c r="Q2354">
        <v>19.001999999999999</v>
      </c>
      <c r="R2354" t="s">
        <v>1109</v>
      </c>
      <c r="S2354" t="s">
        <v>83</v>
      </c>
      <c r="T2354">
        <f>IF(TRIM(Table1[[#This Row],[PitStopLaps]])="",0,
LEN(Table1[[#This Row],[PitStopLaps]])-LEN(SUBSTITUTE(Table1[[#This Row],[PitStopLaps]],",",""))+1)</f>
        <v>3</v>
      </c>
      <c r="U2354">
        <f>Table1[[#This Row],[StartPosition]]-Table1[[#This Row],[FinishPosition]]</f>
        <v>6</v>
      </c>
    </row>
    <row r="2355" spans="1:21" x14ac:dyDescent="0.3">
      <c r="A2355">
        <v>2023</v>
      </c>
      <c r="B2355">
        <v>16</v>
      </c>
      <c r="C2355" t="s">
        <v>208</v>
      </c>
      <c r="D2355" t="s">
        <v>40</v>
      </c>
      <c r="E2355" t="s">
        <v>41</v>
      </c>
      <c r="F2355" t="s">
        <v>69</v>
      </c>
      <c r="G2355">
        <v>18</v>
      </c>
      <c r="H2355">
        <v>14</v>
      </c>
      <c r="I2355">
        <v>0</v>
      </c>
      <c r="J2355" t="s">
        <v>34</v>
      </c>
      <c r="K2355" t="s">
        <v>994</v>
      </c>
      <c r="L2355">
        <v>52</v>
      </c>
      <c r="M2355">
        <v>97.25</v>
      </c>
      <c r="N2355">
        <v>98.823499999999996</v>
      </c>
      <c r="O2355">
        <v>35.091000000000001</v>
      </c>
      <c r="P2355">
        <v>43.31</v>
      </c>
      <c r="Q2355">
        <v>18.617999999999999</v>
      </c>
      <c r="R2355" t="s">
        <v>1110</v>
      </c>
      <c r="S2355" t="s">
        <v>83</v>
      </c>
      <c r="T2355">
        <f>IF(TRIM(Table1[[#This Row],[PitStopLaps]])="",0,
LEN(Table1[[#This Row],[PitStopLaps]])-LEN(SUBSTITUTE(Table1[[#This Row],[PitStopLaps]],",",""))+1)</f>
        <v>3</v>
      </c>
      <c r="U2355">
        <f>Table1[[#This Row],[StartPosition]]-Table1[[#This Row],[FinishPosition]]</f>
        <v>4</v>
      </c>
    </row>
    <row r="2356" spans="1:21" x14ac:dyDescent="0.3">
      <c r="A2356">
        <v>2023</v>
      </c>
      <c r="B2356">
        <v>16</v>
      </c>
      <c r="C2356" t="s">
        <v>208</v>
      </c>
      <c r="D2356" t="s">
        <v>71</v>
      </c>
      <c r="E2356" t="s">
        <v>72</v>
      </c>
      <c r="F2356" t="s">
        <v>69</v>
      </c>
      <c r="G2356">
        <v>15</v>
      </c>
      <c r="H2356">
        <v>15</v>
      </c>
      <c r="I2356">
        <v>0</v>
      </c>
      <c r="J2356" t="s">
        <v>34</v>
      </c>
      <c r="K2356" t="s">
        <v>994</v>
      </c>
      <c r="L2356">
        <v>52</v>
      </c>
      <c r="M2356">
        <v>97.841999999999999</v>
      </c>
      <c r="N2356">
        <v>99.367418000000001</v>
      </c>
      <c r="O2356">
        <v>35.393999999999998</v>
      </c>
      <c r="P2356">
        <v>43.527999999999999</v>
      </c>
      <c r="Q2356">
        <v>18.779</v>
      </c>
      <c r="R2356" t="s">
        <v>103</v>
      </c>
      <c r="S2356" t="s">
        <v>83</v>
      </c>
      <c r="T2356">
        <f>IF(TRIM(Table1[[#This Row],[PitStopLaps]])="",0,
LEN(Table1[[#This Row],[PitStopLaps]])-LEN(SUBSTITUTE(Table1[[#This Row],[PitStopLaps]],",",""))+1)</f>
        <v>2</v>
      </c>
      <c r="U2356">
        <f>Table1[[#This Row],[StartPosition]]-Table1[[#This Row],[FinishPosition]]</f>
        <v>0</v>
      </c>
    </row>
    <row r="2357" spans="1:21" x14ac:dyDescent="0.3">
      <c r="A2357">
        <v>2023</v>
      </c>
      <c r="B2357">
        <v>16</v>
      </c>
      <c r="C2357" t="s">
        <v>208</v>
      </c>
      <c r="D2357" t="s">
        <v>248</v>
      </c>
      <c r="E2357" t="s">
        <v>249</v>
      </c>
      <c r="F2357" t="s">
        <v>60</v>
      </c>
      <c r="G2357">
        <v>13</v>
      </c>
      <c r="H2357">
        <v>16</v>
      </c>
      <c r="I2357">
        <v>0</v>
      </c>
      <c r="J2357" t="s">
        <v>34</v>
      </c>
      <c r="K2357" t="s">
        <v>179</v>
      </c>
      <c r="L2357">
        <v>26</v>
      </c>
      <c r="M2357">
        <v>99.185000000000002</v>
      </c>
      <c r="N2357">
        <v>100.485894</v>
      </c>
      <c r="O2357">
        <v>36.027000000000001</v>
      </c>
      <c r="P2357">
        <v>44.070999999999998</v>
      </c>
      <c r="Q2357">
        <v>19.03</v>
      </c>
      <c r="R2357" t="s">
        <v>1111</v>
      </c>
      <c r="S2357" t="s">
        <v>83</v>
      </c>
      <c r="T2357">
        <f>IF(TRIM(Table1[[#This Row],[PitStopLaps]])="",0,
LEN(Table1[[#This Row],[PitStopLaps]])-LEN(SUBSTITUTE(Table1[[#This Row],[PitStopLaps]],",",""))+1)</f>
        <v>3</v>
      </c>
      <c r="U2357">
        <f>Table1[[#This Row],[StartPosition]]-Table1[[#This Row],[FinishPosition]]</f>
        <v>-3</v>
      </c>
    </row>
    <row r="2358" spans="1:21" x14ac:dyDescent="0.3">
      <c r="A2358">
        <v>2023</v>
      </c>
      <c r="B2358">
        <v>16</v>
      </c>
      <c r="C2358" t="s">
        <v>208</v>
      </c>
      <c r="D2358" t="s">
        <v>992</v>
      </c>
      <c r="E2358" t="s">
        <v>993</v>
      </c>
      <c r="F2358" t="s">
        <v>60</v>
      </c>
      <c r="G2358">
        <v>20</v>
      </c>
      <c r="H2358">
        <v>17</v>
      </c>
      <c r="I2358">
        <v>0</v>
      </c>
      <c r="J2358" t="s">
        <v>34</v>
      </c>
      <c r="K2358" t="s">
        <v>179</v>
      </c>
      <c r="L2358">
        <v>22</v>
      </c>
      <c r="M2358">
        <v>98.847999999999999</v>
      </c>
      <c r="N2358">
        <v>100.462833</v>
      </c>
      <c r="O2358">
        <v>35.655000000000001</v>
      </c>
      <c r="P2358">
        <v>44.088999999999999</v>
      </c>
      <c r="Q2358">
        <v>19.103999999999999</v>
      </c>
      <c r="R2358" t="s">
        <v>1112</v>
      </c>
      <c r="S2358" t="s">
        <v>83</v>
      </c>
      <c r="T2358">
        <f>IF(TRIM(Table1[[#This Row],[PitStopLaps]])="",0,
LEN(Table1[[#This Row],[PitStopLaps]])-LEN(SUBSTITUTE(Table1[[#This Row],[PitStopLaps]],",",""))+1)</f>
        <v>4</v>
      </c>
      <c r="U2358">
        <f>Table1[[#This Row],[StartPosition]]-Table1[[#This Row],[FinishPosition]]</f>
        <v>3</v>
      </c>
    </row>
    <row r="2359" spans="1:21" x14ac:dyDescent="0.3">
      <c r="A2359">
        <v>2023</v>
      </c>
      <c r="B2359">
        <v>16</v>
      </c>
      <c r="C2359" t="s">
        <v>208</v>
      </c>
      <c r="D2359" t="s">
        <v>58</v>
      </c>
      <c r="E2359" t="s">
        <v>59</v>
      </c>
      <c r="F2359" t="s">
        <v>603</v>
      </c>
      <c r="G2359">
        <v>17</v>
      </c>
      <c r="H2359">
        <v>18</v>
      </c>
      <c r="I2359">
        <v>0</v>
      </c>
      <c r="J2359" t="s">
        <v>34</v>
      </c>
      <c r="K2359" t="s">
        <v>179</v>
      </c>
      <c r="L2359">
        <v>20</v>
      </c>
      <c r="M2359">
        <v>99.05</v>
      </c>
      <c r="N2359">
        <v>99.910166000000004</v>
      </c>
      <c r="O2359">
        <v>35.841999999999999</v>
      </c>
      <c r="P2359">
        <v>44.033000000000001</v>
      </c>
      <c r="Q2359">
        <v>19.073</v>
      </c>
      <c r="R2359" t="s">
        <v>1113</v>
      </c>
      <c r="S2359" t="s">
        <v>83</v>
      </c>
      <c r="T2359">
        <f>IF(TRIM(Table1[[#This Row],[PitStopLaps]])="",0,
LEN(Table1[[#This Row],[PitStopLaps]])-LEN(SUBSTITUTE(Table1[[#This Row],[PitStopLaps]],",",""))+1)</f>
        <v>2</v>
      </c>
      <c r="U2359">
        <f>Table1[[#This Row],[StartPosition]]-Table1[[#This Row],[FinishPosition]]</f>
        <v>-1</v>
      </c>
    </row>
    <row r="2360" spans="1:21" x14ac:dyDescent="0.3">
      <c r="A2360">
        <v>2023</v>
      </c>
      <c r="B2360">
        <v>16</v>
      </c>
      <c r="C2360" t="s">
        <v>208</v>
      </c>
      <c r="D2360" t="s">
        <v>49</v>
      </c>
      <c r="E2360" t="s">
        <v>50</v>
      </c>
      <c r="F2360" t="s">
        <v>33</v>
      </c>
      <c r="G2360">
        <v>5</v>
      </c>
      <c r="H2360">
        <v>19</v>
      </c>
      <c r="I2360">
        <v>0</v>
      </c>
      <c r="J2360" t="s">
        <v>34</v>
      </c>
      <c r="K2360" t="s">
        <v>179</v>
      </c>
      <c r="L2360">
        <v>15</v>
      </c>
      <c r="M2360">
        <v>99.703999999999994</v>
      </c>
      <c r="N2360">
        <v>100.384</v>
      </c>
      <c r="O2360">
        <v>35.973999999999997</v>
      </c>
      <c r="P2360">
        <v>44.353000000000002</v>
      </c>
      <c r="Q2360">
        <v>19.074999999999999</v>
      </c>
      <c r="R2360" t="s">
        <v>1114</v>
      </c>
      <c r="S2360" t="s">
        <v>83</v>
      </c>
      <c r="T2360">
        <f>IF(TRIM(Table1[[#This Row],[PitStopLaps]])="",0,
LEN(Table1[[#This Row],[PitStopLaps]])-LEN(SUBSTITUTE(Table1[[#This Row],[PitStopLaps]],",",""))+1)</f>
        <v>5</v>
      </c>
      <c r="U2360">
        <f>Table1[[#This Row],[StartPosition]]-Table1[[#This Row],[FinishPosition]]</f>
        <v>-14</v>
      </c>
    </row>
    <row r="2361" spans="1:21" x14ac:dyDescent="0.3">
      <c r="A2361">
        <v>2023</v>
      </c>
      <c r="B2361">
        <v>16</v>
      </c>
      <c r="C2361" t="s">
        <v>208</v>
      </c>
      <c r="D2361" t="s">
        <v>43</v>
      </c>
      <c r="E2361" t="s">
        <v>44</v>
      </c>
      <c r="F2361" t="s">
        <v>789</v>
      </c>
      <c r="G2361">
        <v>16</v>
      </c>
      <c r="H2361">
        <v>20</v>
      </c>
      <c r="I2361">
        <v>0</v>
      </c>
      <c r="J2361" t="s">
        <v>34</v>
      </c>
      <c r="K2361" t="s">
        <v>179</v>
      </c>
      <c r="L2361">
        <v>7</v>
      </c>
      <c r="M2361">
        <v>122.755</v>
      </c>
      <c r="N2361">
        <v>122.755</v>
      </c>
      <c r="O2361">
        <v>36.180999999999997</v>
      </c>
      <c r="P2361">
        <v>66.534000000000006</v>
      </c>
      <c r="Q2361">
        <v>20.04</v>
      </c>
      <c r="R2361" t="s">
        <v>1115</v>
      </c>
      <c r="S2361" t="s">
        <v>83</v>
      </c>
      <c r="T2361">
        <f>IF(TRIM(Table1[[#This Row],[PitStopLaps]])="",0,
LEN(Table1[[#This Row],[PitStopLaps]])-LEN(SUBSTITUTE(Table1[[#This Row],[PitStopLaps]],",",""))+1)</f>
        <v>3</v>
      </c>
      <c r="U2361">
        <f>Table1[[#This Row],[StartPosition]]-Table1[[#This Row],[FinishPosition]]</f>
        <v>-4</v>
      </c>
    </row>
    <row r="2362" spans="1:21" x14ac:dyDescent="0.3">
      <c r="A2362">
        <v>2023</v>
      </c>
      <c r="B2362">
        <v>17</v>
      </c>
      <c r="C2362" t="s">
        <v>760</v>
      </c>
      <c r="D2362" t="s">
        <v>38</v>
      </c>
      <c r="E2362" t="s">
        <v>39</v>
      </c>
      <c r="F2362" t="s">
        <v>33</v>
      </c>
      <c r="G2362">
        <v>1</v>
      </c>
      <c r="H2362">
        <v>1</v>
      </c>
      <c r="I2362">
        <v>26</v>
      </c>
      <c r="J2362" t="s">
        <v>23</v>
      </c>
      <c r="K2362" t="s">
        <v>24</v>
      </c>
      <c r="L2362">
        <v>57</v>
      </c>
      <c r="M2362">
        <v>84.319000000000003</v>
      </c>
      <c r="N2362">
        <v>87.238041999999993</v>
      </c>
      <c r="O2362">
        <v>30.765000000000001</v>
      </c>
      <c r="P2362">
        <v>28.661999999999999</v>
      </c>
      <c r="Q2362">
        <v>24.885000000000002</v>
      </c>
      <c r="R2362" t="s">
        <v>1116</v>
      </c>
      <c r="S2362" t="s">
        <v>83</v>
      </c>
      <c r="T2362">
        <f>IF(TRIM(Table1[[#This Row],[PitStopLaps]])="",0,
LEN(Table1[[#This Row],[PitStopLaps]])-LEN(SUBSTITUTE(Table1[[#This Row],[PitStopLaps]],",",""))+1)</f>
        <v>3</v>
      </c>
      <c r="U2362">
        <f>Table1[[#This Row],[StartPosition]]-Table1[[#This Row],[FinishPosition]]</f>
        <v>0</v>
      </c>
    </row>
    <row r="2363" spans="1:21" x14ac:dyDescent="0.3">
      <c r="A2363">
        <v>2023</v>
      </c>
      <c r="B2363">
        <v>17</v>
      </c>
      <c r="C2363" t="s">
        <v>760</v>
      </c>
      <c r="D2363" t="s">
        <v>1000</v>
      </c>
      <c r="E2363" t="s">
        <v>1001</v>
      </c>
      <c r="F2363" t="s">
        <v>37</v>
      </c>
      <c r="G2363">
        <v>6</v>
      </c>
      <c r="H2363">
        <v>2</v>
      </c>
      <c r="I2363">
        <v>18</v>
      </c>
      <c r="J2363" t="s">
        <v>23</v>
      </c>
      <c r="K2363" t="s">
        <v>24</v>
      </c>
      <c r="L2363">
        <v>57</v>
      </c>
      <c r="M2363">
        <v>84.921000000000006</v>
      </c>
      <c r="N2363">
        <v>87.219275999999994</v>
      </c>
      <c r="O2363">
        <v>31.204000000000001</v>
      </c>
      <c r="P2363">
        <v>28.709</v>
      </c>
      <c r="Q2363">
        <v>24.899000000000001</v>
      </c>
      <c r="R2363" t="s">
        <v>1117</v>
      </c>
      <c r="S2363" t="s">
        <v>83</v>
      </c>
      <c r="T2363">
        <f>IF(TRIM(Table1[[#This Row],[PitStopLaps]])="",0,
LEN(Table1[[#This Row],[PitStopLaps]])-LEN(SUBSTITUTE(Table1[[#This Row],[PitStopLaps]],",",""))+1)</f>
        <v>3</v>
      </c>
      <c r="U2363">
        <f>Table1[[#This Row],[StartPosition]]-Table1[[#This Row],[FinishPosition]]</f>
        <v>4</v>
      </c>
    </row>
    <row r="2364" spans="1:21" x14ac:dyDescent="0.3">
      <c r="A2364">
        <v>2023</v>
      </c>
      <c r="B2364">
        <v>17</v>
      </c>
      <c r="C2364" t="s">
        <v>760</v>
      </c>
      <c r="D2364" t="s">
        <v>246</v>
      </c>
      <c r="E2364" t="s">
        <v>247</v>
      </c>
      <c r="F2364" t="s">
        <v>37</v>
      </c>
      <c r="G2364">
        <v>10</v>
      </c>
      <c r="H2364">
        <v>3</v>
      </c>
      <c r="I2364">
        <v>15</v>
      </c>
      <c r="J2364" t="s">
        <v>23</v>
      </c>
      <c r="K2364" t="s">
        <v>24</v>
      </c>
      <c r="L2364">
        <v>57</v>
      </c>
      <c r="M2364">
        <v>84.841999999999999</v>
      </c>
      <c r="N2364">
        <v>87.310021000000006</v>
      </c>
      <c r="O2364">
        <v>31.280999999999999</v>
      </c>
      <c r="P2364">
        <v>28.657</v>
      </c>
      <c r="Q2364">
        <v>24.728999999999999</v>
      </c>
      <c r="R2364" t="s">
        <v>1118</v>
      </c>
      <c r="S2364" t="s">
        <v>83</v>
      </c>
      <c r="T2364">
        <f>IF(TRIM(Table1[[#This Row],[PitStopLaps]])="",0,
LEN(Table1[[#This Row],[PitStopLaps]])-LEN(SUBSTITUTE(Table1[[#This Row],[PitStopLaps]],",",""))+1)</f>
        <v>3</v>
      </c>
      <c r="U2364">
        <f>Table1[[#This Row],[StartPosition]]-Table1[[#This Row],[FinishPosition]]</f>
        <v>7</v>
      </c>
    </row>
    <row r="2365" spans="1:21" x14ac:dyDescent="0.3">
      <c r="A2365">
        <v>2023</v>
      </c>
      <c r="B2365">
        <v>17</v>
      </c>
      <c r="C2365" t="s">
        <v>760</v>
      </c>
      <c r="D2365" t="s">
        <v>252</v>
      </c>
      <c r="E2365" t="s">
        <v>253</v>
      </c>
      <c r="F2365" t="s">
        <v>28</v>
      </c>
      <c r="G2365">
        <v>2</v>
      </c>
      <c r="H2365">
        <v>4</v>
      </c>
      <c r="I2365">
        <v>12</v>
      </c>
      <c r="J2365" t="s">
        <v>34</v>
      </c>
      <c r="K2365" t="s">
        <v>24</v>
      </c>
      <c r="L2365">
        <v>57</v>
      </c>
      <c r="M2365">
        <v>85.77</v>
      </c>
      <c r="N2365">
        <v>87.870489000000006</v>
      </c>
      <c r="O2365">
        <v>31.446000000000002</v>
      </c>
      <c r="P2365">
        <v>28.666</v>
      </c>
      <c r="Q2365">
        <v>25.131</v>
      </c>
      <c r="R2365" t="s">
        <v>1119</v>
      </c>
      <c r="S2365" t="s">
        <v>83</v>
      </c>
      <c r="T2365">
        <f>IF(TRIM(Table1[[#This Row],[PitStopLaps]])="",0,
LEN(Table1[[#This Row],[PitStopLaps]])-LEN(SUBSTITUTE(Table1[[#This Row],[PitStopLaps]],",",""))+1)</f>
        <v>4</v>
      </c>
      <c r="U2365">
        <f>Table1[[#This Row],[StartPosition]]-Table1[[#This Row],[FinishPosition]]</f>
        <v>-2</v>
      </c>
    </row>
    <row r="2366" spans="1:21" x14ac:dyDescent="0.3">
      <c r="A2366">
        <v>2023</v>
      </c>
      <c r="B2366">
        <v>17</v>
      </c>
      <c r="C2366" t="s">
        <v>760</v>
      </c>
      <c r="D2366" t="s">
        <v>54</v>
      </c>
      <c r="E2366" t="s">
        <v>55</v>
      </c>
      <c r="F2366" t="s">
        <v>22</v>
      </c>
      <c r="G2366">
        <v>5</v>
      </c>
      <c r="H2366">
        <v>5</v>
      </c>
      <c r="I2366">
        <v>10</v>
      </c>
      <c r="J2366" t="s">
        <v>34</v>
      </c>
      <c r="K2366" t="s">
        <v>24</v>
      </c>
      <c r="L2366">
        <v>57</v>
      </c>
      <c r="M2366">
        <v>84.992000000000004</v>
      </c>
      <c r="N2366">
        <v>87.885786999999993</v>
      </c>
      <c r="O2366">
        <v>31.408999999999999</v>
      </c>
      <c r="P2366">
        <v>28.748999999999999</v>
      </c>
      <c r="Q2366">
        <v>24.834</v>
      </c>
      <c r="R2366" t="s">
        <v>1117</v>
      </c>
      <c r="S2366" t="s">
        <v>83</v>
      </c>
      <c r="T2366">
        <f>IF(TRIM(Table1[[#This Row],[PitStopLaps]])="",0,
LEN(Table1[[#This Row],[PitStopLaps]])-LEN(SUBSTITUTE(Table1[[#This Row],[PitStopLaps]],",",""))+1)</f>
        <v>3</v>
      </c>
      <c r="U2366">
        <f>Table1[[#This Row],[StartPosition]]-Table1[[#This Row],[FinishPosition]]</f>
        <v>0</v>
      </c>
    </row>
    <row r="2367" spans="1:21" x14ac:dyDescent="0.3">
      <c r="A2367">
        <v>2023</v>
      </c>
      <c r="B2367">
        <v>17</v>
      </c>
      <c r="C2367" t="s">
        <v>760</v>
      </c>
      <c r="D2367" t="s">
        <v>35</v>
      </c>
      <c r="E2367" t="s">
        <v>36</v>
      </c>
      <c r="F2367" t="s">
        <v>603</v>
      </c>
      <c r="G2367">
        <v>4</v>
      </c>
      <c r="H2367">
        <v>6</v>
      </c>
      <c r="I2367">
        <v>8</v>
      </c>
      <c r="J2367" t="s">
        <v>34</v>
      </c>
      <c r="K2367" t="s">
        <v>24</v>
      </c>
      <c r="L2367">
        <v>57</v>
      </c>
      <c r="M2367">
        <v>86.045000000000002</v>
      </c>
      <c r="N2367">
        <v>88.092062999999996</v>
      </c>
      <c r="O2367">
        <v>31.631</v>
      </c>
      <c r="P2367">
        <v>29</v>
      </c>
      <c r="Q2367">
        <v>25.309000000000001</v>
      </c>
      <c r="R2367" t="s">
        <v>1120</v>
      </c>
      <c r="S2367" t="s">
        <v>83</v>
      </c>
      <c r="T2367">
        <f>IF(TRIM(Table1[[#This Row],[PitStopLaps]])="",0,
LEN(Table1[[#This Row],[PitStopLaps]])-LEN(SUBSTITUTE(Table1[[#This Row],[PitStopLaps]],",",""))+1)</f>
        <v>3</v>
      </c>
      <c r="U2367">
        <f>Table1[[#This Row],[StartPosition]]-Table1[[#This Row],[FinishPosition]]</f>
        <v>-2</v>
      </c>
    </row>
    <row r="2368" spans="1:21" x14ac:dyDescent="0.3">
      <c r="A2368">
        <v>2023</v>
      </c>
      <c r="B2368">
        <v>17</v>
      </c>
      <c r="C2368" t="s">
        <v>760</v>
      </c>
      <c r="D2368" t="s">
        <v>52</v>
      </c>
      <c r="E2368" t="s">
        <v>53</v>
      </c>
      <c r="F2368" t="s">
        <v>607</v>
      </c>
      <c r="G2368">
        <v>8</v>
      </c>
      <c r="H2368">
        <v>7</v>
      </c>
      <c r="I2368">
        <v>6</v>
      </c>
      <c r="J2368" t="s">
        <v>34</v>
      </c>
      <c r="K2368" t="s">
        <v>24</v>
      </c>
      <c r="L2368">
        <v>57</v>
      </c>
      <c r="M2368">
        <v>86.45</v>
      </c>
      <c r="N2368">
        <v>88.278191000000007</v>
      </c>
      <c r="O2368">
        <v>31.951000000000001</v>
      </c>
      <c r="P2368">
        <v>29.02</v>
      </c>
      <c r="Q2368">
        <v>25.234000000000002</v>
      </c>
      <c r="R2368" t="s">
        <v>1121</v>
      </c>
      <c r="S2368" t="s">
        <v>83</v>
      </c>
      <c r="T2368">
        <f>IF(TRIM(Table1[[#This Row],[PitStopLaps]])="",0,
LEN(Table1[[#This Row],[PitStopLaps]])-LEN(SUBSTITUTE(Table1[[#This Row],[PitStopLaps]],",",""))+1)</f>
        <v>3</v>
      </c>
      <c r="U2368">
        <f>Table1[[#This Row],[StartPosition]]-Table1[[#This Row],[FinishPosition]]</f>
        <v>1</v>
      </c>
    </row>
    <row r="2369" spans="1:21" x14ac:dyDescent="0.3">
      <c r="A2369">
        <v>2023</v>
      </c>
      <c r="B2369">
        <v>17</v>
      </c>
      <c r="C2369" t="s">
        <v>760</v>
      </c>
      <c r="D2369" t="s">
        <v>43</v>
      </c>
      <c r="E2369" t="s">
        <v>44</v>
      </c>
      <c r="F2369" t="s">
        <v>789</v>
      </c>
      <c r="G2369">
        <v>9</v>
      </c>
      <c r="H2369">
        <v>8</v>
      </c>
      <c r="I2369">
        <v>4</v>
      </c>
      <c r="J2369" t="s">
        <v>34</v>
      </c>
      <c r="K2369" t="s">
        <v>24</v>
      </c>
      <c r="L2369">
        <v>57</v>
      </c>
      <c r="M2369">
        <v>86.652000000000001</v>
      </c>
      <c r="N2369">
        <v>88.879204000000001</v>
      </c>
      <c r="O2369">
        <v>31.832999999999998</v>
      </c>
      <c r="P2369">
        <v>28.891999999999999</v>
      </c>
      <c r="Q2369">
        <v>25.692</v>
      </c>
      <c r="R2369" t="s">
        <v>1122</v>
      </c>
      <c r="S2369" t="s">
        <v>83</v>
      </c>
      <c r="T2369">
        <f>IF(TRIM(Table1[[#This Row],[PitStopLaps]])="",0,
LEN(Table1[[#This Row],[PitStopLaps]])-LEN(SUBSTITUTE(Table1[[#This Row],[PitStopLaps]],",",""))+1)</f>
        <v>3</v>
      </c>
      <c r="U2369">
        <f>Table1[[#This Row],[StartPosition]]-Table1[[#This Row],[FinishPosition]]</f>
        <v>1</v>
      </c>
    </row>
    <row r="2370" spans="1:21" x14ac:dyDescent="0.3">
      <c r="A2370">
        <v>2023</v>
      </c>
      <c r="B2370">
        <v>17</v>
      </c>
      <c r="C2370" t="s">
        <v>760</v>
      </c>
      <c r="D2370" t="s">
        <v>794</v>
      </c>
      <c r="E2370" t="s">
        <v>795</v>
      </c>
      <c r="F2370" t="s">
        <v>789</v>
      </c>
      <c r="G2370">
        <v>19</v>
      </c>
      <c r="H2370">
        <v>9</v>
      </c>
      <c r="I2370">
        <v>2</v>
      </c>
      <c r="J2370" t="s">
        <v>34</v>
      </c>
      <c r="K2370" t="s">
        <v>24</v>
      </c>
      <c r="L2370">
        <v>57</v>
      </c>
      <c r="M2370">
        <v>86.322999999999993</v>
      </c>
      <c r="N2370">
        <v>88.622510000000005</v>
      </c>
      <c r="O2370">
        <v>31.841999999999999</v>
      </c>
      <c r="P2370">
        <v>29.045000000000002</v>
      </c>
      <c r="Q2370">
        <v>25.423999999999999</v>
      </c>
      <c r="R2370" t="s">
        <v>1123</v>
      </c>
      <c r="S2370" t="s">
        <v>83</v>
      </c>
      <c r="T2370">
        <f>IF(TRIM(Table1[[#This Row],[PitStopLaps]])="",0,
LEN(Table1[[#This Row],[PitStopLaps]])-LEN(SUBSTITUTE(Table1[[#This Row],[PitStopLaps]],",",""))+1)</f>
        <v>3</v>
      </c>
      <c r="U2370">
        <f>Table1[[#This Row],[StartPosition]]-Table1[[#This Row],[FinishPosition]]</f>
        <v>10</v>
      </c>
    </row>
    <row r="2371" spans="1:21" x14ac:dyDescent="0.3">
      <c r="A2371">
        <v>2023</v>
      </c>
      <c r="B2371">
        <v>17</v>
      </c>
      <c r="C2371" t="s">
        <v>760</v>
      </c>
      <c r="D2371" t="s">
        <v>49</v>
      </c>
      <c r="E2371" t="s">
        <v>50</v>
      </c>
      <c r="F2371" t="s">
        <v>33</v>
      </c>
      <c r="G2371">
        <v>20</v>
      </c>
      <c r="H2371">
        <v>10</v>
      </c>
      <c r="I2371">
        <v>1</v>
      </c>
      <c r="J2371" t="s">
        <v>34</v>
      </c>
      <c r="K2371" t="s">
        <v>24</v>
      </c>
      <c r="L2371">
        <v>57</v>
      </c>
      <c r="M2371">
        <v>86.22</v>
      </c>
      <c r="N2371">
        <v>88.429468</v>
      </c>
      <c r="O2371">
        <v>31.754999999999999</v>
      </c>
      <c r="P2371">
        <v>29.039000000000001</v>
      </c>
      <c r="Q2371">
        <v>25.245999999999999</v>
      </c>
      <c r="R2371" t="s">
        <v>1124</v>
      </c>
      <c r="S2371" t="s">
        <v>83</v>
      </c>
      <c r="T2371">
        <f>IF(TRIM(Table1[[#This Row],[PitStopLaps]])="",0,
LEN(Table1[[#This Row],[PitStopLaps]])-LEN(SUBSTITUTE(Table1[[#This Row],[PitStopLaps]],",",""))+1)</f>
        <v>3</v>
      </c>
      <c r="U2371">
        <f>Table1[[#This Row],[StartPosition]]-Table1[[#This Row],[FinishPosition]]</f>
        <v>10</v>
      </c>
    </row>
    <row r="2372" spans="1:21" x14ac:dyDescent="0.3">
      <c r="A2372">
        <v>2023</v>
      </c>
      <c r="B2372">
        <v>17</v>
      </c>
      <c r="C2372" t="s">
        <v>760</v>
      </c>
      <c r="D2372" t="s">
        <v>58</v>
      </c>
      <c r="E2372" t="s">
        <v>59</v>
      </c>
      <c r="F2372" t="s">
        <v>603</v>
      </c>
      <c r="G2372">
        <v>16</v>
      </c>
      <c r="H2372">
        <v>11</v>
      </c>
      <c r="I2372">
        <v>0</v>
      </c>
      <c r="J2372" t="s">
        <v>34</v>
      </c>
      <c r="K2372" t="s">
        <v>24</v>
      </c>
      <c r="L2372">
        <v>57</v>
      </c>
      <c r="M2372">
        <v>86.352000000000004</v>
      </c>
      <c r="N2372">
        <v>88.966693000000006</v>
      </c>
      <c r="O2372">
        <v>31.983000000000001</v>
      </c>
      <c r="P2372">
        <v>29.088000000000001</v>
      </c>
      <c r="Q2372">
        <v>25.27</v>
      </c>
      <c r="R2372" t="s">
        <v>1122</v>
      </c>
      <c r="S2372" t="s">
        <v>83</v>
      </c>
      <c r="T2372">
        <f>IF(TRIM(Table1[[#This Row],[PitStopLaps]])="",0,
LEN(Table1[[#This Row],[PitStopLaps]])-LEN(SUBSTITUTE(Table1[[#This Row],[PitStopLaps]],",",""))+1)</f>
        <v>3</v>
      </c>
      <c r="U2372">
        <f>Table1[[#This Row],[StartPosition]]-Table1[[#This Row],[FinishPosition]]</f>
        <v>5</v>
      </c>
    </row>
    <row r="2373" spans="1:21" x14ac:dyDescent="0.3">
      <c r="A2373">
        <v>2023</v>
      </c>
      <c r="B2373">
        <v>17</v>
      </c>
      <c r="C2373" t="s">
        <v>760</v>
      </c>
      <c r="D2373" t="s">
        <v>73</v>
      </c>
      <c r="E2373" t="s">
        <v>74</v>
      </c>
      <c r="F2373" t="s">
        <v>607</v>
      </c>
      <c r="G2373">
        <v>7</v>
      </c>
      <c r="H2373">
        <v>12</v>
      </c>
      <c r="I2373">
        <v>0</v>
      </c>
      <c r="J2373" t="s">
        <v>34</v>
      </c>
      <c r="K2373" t="s">
        <v>24</v>
      </c>
      <c r="L2373">
        <v>57</v>
      </c>
      <c r="M2373">
        <v>85.793000000000006</v>
      </c>
      <c r="N2373">
        <v>88.338234</v>
      </c>
      <c r="O2373">
        <v>31.823</v>
      </c>
      <c r="P2373">
        <v>28.847000000000001</v>
      </c>
      <c r="Q2373">
        <v>25.123000000000001</v>
      </c>
      <c r="R2373" t="s">
        <v>1120</v>
      </c>
      <c r="S2373" t="s">
        <v>83</v>
      </c>
      <c r="T2373">
        <f>IF(TRIM(Table1[[#This Row],[PitStopLaps]])="",0,
LEN(Table1[[#This Row],[PitStopLaps]])-LEN(SUBSTITUTE(Table1[[#This Row],[PitStopLaps]],",",""))+1)</f>
        <v>3</v>
      </c>
      <c r="U2373">
        <f>Table1[[#This Row],[StartPosition]]-Table1[[#This Row],[FinishPosition]]</f>
        <v>-5</v>
      </c>
    </row>
    <row r="2374" spans="1:21" x14ac:dyDescent="0.3">
      <c r="A2374">
        <v>2023</v>
      </c>
      <c r="B2374">
        <v>17</v>
      </c>
      <c r="C2374" t="s">
        <v>760</v>
      </c>
      <c r="D2374" t="s">
        <v>248</v>
      </c>
      <c r="E2374" t="s">
        <v>249</v>
      </c>
      <c r="F2374" t="s">
        <v>60</v>
      </c>
      <c r="G2374">
        <v>13</v>
      </c>
      <c r="H2374">
        <v>13</v>
      </c>
      <c r="I2374">
        <v>0</v>
      </c>
      <c r="J2374" t="s">
        <v>34</v>
      </c>
      <c r="K2374" t="s">
        <v>24</v>
      </c>
      <c r="L2374">
        <v>57</v>
      </c>
      <c r="M2374">
        <v>86.665999999999997</v>
      </c>
      <c r="N2374">
        <v>88.606573999999995</v>
      </c>
      <c r="O2374">
        <v>31.873000000000001</v>
      </c>
      <c r="P2374">
        <v>29.088999999999999</v>
      </c>
      <c r="Q2374">
        <v>25.434000000000001</v>
      </c>
      <c r="R2374" t="s">
        <v>1125</v>
      </c>
      <c r="S2374" t="s">
        <v>83</v>
      </c>
      <c r="T2374">
        <f>IF(TRIM(Table1[[#This Row],[PitStopLaps]])="",0,
LEN(Table1[[#This Row],[PitStopLaps]])-LEN(SUBSTITUTE(Table1[[#This Row],[PitStopLaps]],",",""))+1)</f>
        <v>3</v>
      </c>
      <c r="U2374">
        <f>Table1[[#This Row],[StartPosition]]-Table1[[#This Row],[FinishPosition]]</f>
        <v>0</v>
      </c>
    </row>
    <row r="2375" spans="1:21" x14ac:dyDescent="0.3">
      <c r="A2375">
        <v>2023</v>
      </c>
      <c r="B2375">
        <v>17</v>
      </c>
      <c r="C2375" t="s">
        <v>760</v>
      </c>
      <c r="D2375" t="s">
        <v>71</v>
      </c>
      <c r="E2375" t="s">
        <v>72</v>
      </c>
      <c r="F2375" t="s">
        <v>69</v>
      </c>
      <c r="G2375">
        <v>18</v>
      </c>
      <c r="H2375">
        <v>14</v>
      </c>
      <c r="I2375">
        <v>0</v>
      </c>
      <c r="J2375" t="s">
        <v>34</v>
      </c>
      <c r="K2375" t="s">
        <v>994</v>
      </c>
      <c r="L2375">
        <v>56</v>
      </c>
      <c r="M2375">
        <v>87.066999999999993</v>
      </c>
      <c r="N2375">
        <v>89.345249999999993</v>
      </c>
      <c r="O2375">
        <v>31.866</v>
      </c>
      <c r="P2375">
        <v>29.216000000000001</v>
      </c>
      <c r="Q2375">
        <v>25.5</v>
      </c>
      <c r="R2375" t="s">
        <v>1122</v>
      </c>
      <c r="S2375" t="s">
        <v>83</v>
      </c>
      <c r="T2375">
        <f>IF(TRIM(Table1[[#This Row],[PitStopLaps]])="",0,
LEN(Table1[[#This Row],[PitStopLaps]])-LEN(SUBSTITUTE(Table1[[#This Row],[PitStopLaps]],",",""))+1)</f>
        <v>3</v>
      </c>
      <c r="U2375">
        <f>Table1[[#This Row],[StartPosition]]-Table1[[#This Row],[FinishPosition]]</f>
        <v>4</v>
      </c>
    </row>
    <row r="2376" spans="1:21" x14ac:dyDescent="0.3">
      <c r="A2376">
        <v>2023</v>
      </c>
      <c r="B2376">
        <v>17</v>
      </c>
      <c r="C2376" t="s">
        <v>760</v>
      </c>
      <c r="D2376" t="s">
        <v>601</v>
      </c>
      <c r="E2376" t="s">
        <v>602</v>
      </c>
      <c r="F2376" t="s">
        <v>438</v>
      </c>
      <c r="G2376">
        <v>11</v>
      </c>
      <c r="H2376">
        <v>15</v>
      </c>
      <c r="I2376">
        <v>0</v>
      </c>
      <c r="J2376" t="s">
        <v>34</v>
      </c>
      <c r="K2376" t="s">
        <v>994</v>
      </c>
      <c r="L2376">
        <v>56</v>
      </c>
      <c r="M2376">
        <v>87.174000000000007</v>
      </c>
      <c r="N2376">
        <v>89.037260000000003</v>
      </c>
      <c r="O2376">
        <v>32.375999999999998</v>
      </c>
      <c r="P2376">
        <v>29.082000000000001</v>
      </c>
      <c r="Q2376">
        <v>25.469000000000001</v>
      </c>
      <c r="R2376" t="s">
        <v>1126</v>
      </c>
      <c r="S2376" t="s">
        <v>83</v>
      </c>
      <c r="T2376">
        <f>IF(TRIM(Table1[[#This Row],[PitStopLaps]])="",0,
LEN(Table1[[#This Row],[PitStopLaps]])-LEN(SUBSTITUTE(Table1[[#This Row],[PitStopLaps]],",",""))+1)</f>
        <v>3</v>
      </c>
      <c r="U2376">
        <f>Table1[[#This Row],[StartPosition]]-Table1[[#This Row],[FinishPosition]]</f>
        <v>-4</v>
      </c>
    </row>
    <row r="2377" spans="1:21" x14ac:dyDescent="0.3">
      <c r="A2377">
        <v>2023</v>
      </c>
      <c r="B2377">
        <v>17</v>
      </c>
      <c r="C2377" t="s">
        <v>760</v>
      </c>
      <c r="D2377" t="s">
        <v>40</v>
      </c>
      <c r="E2377" t="s">
        <v>41</v>
      </c>
      <c r="F2377" t="s">
        <v>69</v>
      </c>
      <c r="G2377">
        <v>14</v>
      </c>
      <c r="H2377">
        <v>16</v>
      </c>
      <c r="I2377">
        <v>0</v>
      </c>
      <c r="J2377" t="s">
        <v>34</v>
      </c>
      <c r="K2377" t="s">
        <v>994</v>
      </c>
      <c r="L2377">
        <v>56</v>
      </c>
      <c r="M2377">
        <v>86.444000000000003</v>
      </c>
      <c r="N2377">
        <v>88.741956000000002</v>
      </c>
      <c r="O2377">
        <v>31.788</v>
      </c>
      <c r="P2377">
        <v>29.119</v>
      </c>
      <c r="Q2377">
        <v>25.254000000000001</v>
      </c>
      <c r="R2377" t="s">
        <v>1127</v>
      </c>
      <c r="S2377" t="s">
        <v>83</v>
      </c>
      <c r="T2377">
        <f>IF(TRIM(Table1[[#This Row],[PitStopLaps]])="",0,
LEN(Table1[[#This Row],[PitStopLaps]])-LEN(SUBSTITUTE(Table1[[#This Row],[PitStopLaps]],",",""))+1)</f>
        <v>3</v>
      </c>
      <c r="U2377">
        <f>Table1[[#This Row],[StartPosition]]-Table1[[#This Row],[FinishPosition]]</f>
        <v>-2</v>
      </c>
    </row>
    <row r="2378" spans="1:21" x14ac:dyDescent="0.3">
      <c r="A2378">
        <v>2023</v>
      </c>
      <c r="B2378">
        <v>17</v>
      </c>
      <c r="C2378" t="s">
        <v>760</v>
      </c>
      <c r="D2378" t="s">
        <v>1092</v>
      </c>
      <c r="E2378" t="s">
        <v>1093</v>
      </c>
      <c r="F2378" t="s">
        <v>438</v>
      </c>
      <c r="G2378">
        <v>17</v>
      </c>
      <c r="H2378">
        <v>17</v>
      </c>
      <c r="I2378">
        <v>0</v>
      </c>
      <c r="J2378" t="s">
        <v>34</v>
      </c>
      <c r="K2378" t="s">
        <v>994</v>
      </c>
      <c r="L2378">
        <v>56</v>
      </c>
      <c r="M2378">
        <v>87.113</v>
      </c>
      <c r="N2378">
        <v>89.821145000000001</v>
      </c>
      <c r="O2378">
        <v>32.368000000000002</v>
      </c>
      <c r="P2378">
        <v>29.195</v>
      </c>
      <c r="Q2378">
        <v>25.518000000000001</v>
      </c>
      <c r="R2378" t="s">
        <v>1122</v>
      </c>
      <c r="S2378" t="s">
        <v>83</v>
      </c>
      <c r="T2378">
        <f>IF(TRIM(Table1[[#This Row],[PitStopLaps]])="",0,
LEN(Table1[[#This Row],[PitStopLaps]])-LEN(SUBSTITUTE(Table1[[#This Row],[PitStopLaps]],",",""))+1)</f>
        <v>3</v>
      </c>
      <c r="U2378">
        <f>Table1[[#This Row],[StartPosition]]-Table1[[#This Row],[FinishPosition]]</f>
        <v>0</v>
      </c>
    </row>
    <row r="2379" spans="1:21" x14ac:dyDescent="0.3">
      <c r="A2379">
        <v>2023</v>
      </c>
      <c r="B2379">
        <v>17</v>
      </c>
      <c r="C2379" t="s">
        <v>760</v>
      </c>
      <c r="D2379" t="s">
        <v>992</v>
      </c>
      <c r="E2379" t="s">
        <v>993</v>
      </c>
      <c r="F2379" t="s">
        <v>60</v>
      </c>
      <c r="G2379">
        <v>15</v>
      </c>
      <c r="H2379">
        <v>18</v>
      </c>
      <c r="I2379">
        <v>0</v>
      </c>
      <c r="J2379" t="s">
        <v>34</v>
      </c>
      <c r="K2379" t="s">
        <v>179</v>
      </c>
      <c r="L2379">
        <v>40</v>
      </c>
      <c r="M2379">
        <v>87.983000000000004</v>
      </c>
      <c r="N2379">
        <v>89.731708999999995</v>
      </c>
      <c r="O2379">
        <v>32.375</v>
      </c>
      <c r="P2379">
        <v>29.701999999999899</v>
      </c>
      <c r="Q2379">
        <v>25.768999999999998</v>
      </c>
      <c r="R2379" t="s">
        <v>1128</v>
      </c>
      <c r="S2379" t="s">
        <v>83</v>
      </c>
      <c r="T2379">
        <f>IF(TRIM(Table1[[#This Row],[PitStopLaps]])="",0,
LEN(Table1[[#This Row],[PitStopLaps]])-LEN(SUBSTITUTE(Table1[[#This Row],[PitStopLaps]],",",""))+1)</f>
        <v>3</v>
      </c>
      <c r="U2379">
        <f>Table1[[#This Row],[StartPosition]]-Table1[[#This Row],[FinishPosition]]</f>
        <v>-3</v>
      </c>
    </row>
    <row r="2380" spans="1:21" x14ac:dyDescent="0.3">
      <c r="A2380">
        <v>2023</v>
      </c>
      <c r="B2380">
        <v>17</v>
      </c>
      <c r="C2380" t="s">
        <v>760</v>
      </c>
      <c r="D2380" t="s">
        <v>26</v>
      </c>
      <c r="E2380" t="s">
        <v>27</v>
      </c>
      <c r="F2380" t="s">
        <v>28</v>
      </c>
      <c r="G2380">
        <v>3</v>
      </c>
      <c r="H2380">
        <v>19</v>
      </c>
      <c r="I2380">
        <v>0</v>
      </c>
      <c r="J2380" t="s">
        <v>34</v>
      </c>
      <c r="K2380" t="s">
        <v>179</v>
      </c>
      <c r="L2380">
        <v>1</v>
      </c>
      <c r="S2380" t="s">
        <v>83</v>
      </c>
      <c r="T2380">
        <f>IF(TRIM(Table1[[#This Row],[PitStopLaps]])="",0,
LEN(Table1[[#This Row],[PitStopLaps]])-LEN(SUBSTITUTE(Table1[[#This Row],[PitStopLaps]],",",""))+1)</f>
        <v>0</v>
      </c>
      <c r="U2380">
        <f>Table1[[#This Row],[StartPosition]]-Table1[[#This Row],[FinishPosition]]</f>
        <v>-16</v>
      </c>
    </row>
    <row r="2381" spans="1:21" x14ac:dyDescent="0.3">
      <c r="A2381">
        <v>2023</v>
      </c>
      <c r="B2381">
        <v>17</v>
      </c>
      <c r="C2381" t="s">
        <v>760</v>
      </c>
      <c r="D2381" t="s">
        <v>47</v>
      </c>
      <c r="E2381" t="s">
        <v>48</v>
      </c>
      <c r="F2381" t="s">
        <v>22</v>
      </c>
      <c r="G2381">
        <v>12</v>
      </c>
      <c r="H2381">
        <v>20</v>
      </c>
      <c r="I2381">
        <v>0</v>
      </c>
      <c r="J2381" t="s">
        <v>34</v>
      </c>
      <c r="K2381" t="s">
        <v>1104</v>
      </c>
      <c r="S2381" t="s">
        <v>83</v>
      </c>
      <c r="T2381">
        <f>IF(TRIM(Table1[[#This Row],[PitStopLaps]])="",0,
LEN(Table1[[#This Row],[PitStopLaps]])-LEN(SUBSTITUTE(Table1[[#This Row],[PitStopLaps]],",",""))+1)</f>
        <v>0</v>
      </c>
      <c r="U2381">
        <f>Table1[[#This Row],[StartPosition]]-Table1[[#This Row],[FinishPosition]]</f>
        <v>-8</v>
      </c>
    </row>
    <row r="2382" spans="1:21" x14ac:dyDescent="0.3">
      <c r="A2382">
        <v>2023</v>
      </c>
      <c r="B2382">
        <v>18</v>
      </c>
      <c r="C2382" t="s">
        <v>214</v>
      </c>
      <c r="D2382" t="s">
        <v>38</v>
      </c>
      <c r="E2382" t="s">
        <v>39</v>
      </c>
      <c r="F2382" t="s">
        <v>33</v>
      </c>
      <c r="G2382">
        <v>6</v>
      </c>
      <c r="H2382">
        <v>1</v>
      </c>
      <c r="I2382">
        <v>25</v>
      </c>
      <c r="J2382" t="s">
        <v>23</v>
      </c>
      <c r="K2382" t="s">
        <v>24</v>
      </c>
      <c r="L2382">
        <v>56</v>
      </c>
      <c r="M2382">
        <v>100.02800000000001</v>
      </c>
      <c r="N2382">
        <v>101.345294</v>
      </c>
      <c r="O2382">
        <v>26.759</v>
      </c>
      <c r="P2382">
        <v>40.097999999999999</v>
      </c>
      <c r="Q2382">
        <v>32.716000000000001</v>
      </c>
      <c r="R2382" t="s">
        <v>1129</v>
      </c>
      <c r="S2382" t="s">
        <v>83</v>
      </c>
      <c r="T2382">
        <f>IF(TRIM(Table1[[#This Row],[PitStopLaps]])="",0,
LEN(Table1[[#This Row],[PitStopLaps]])-LEN(SUBSTITUTE(Table1[[#This Row],[PitStopLaps]],",",""))+1)</f>
        <v>2</v>
      </c>
      <c r="U2382">
        <f>Table1[[#This Row],[StartPosition]]-Table1[[#This Row],[FinishPosition]]</f>
        <v>5</v>
      </c>
    </row>
    <row r="2383" spans="1:21" x14ac:dyDescent="0.3">
      <c r="A2383">
        <v>2023</v>
      </c>
      <c r="B2383">
        <v>18</v>
      </c>
      <c r="C2383" t="s">
        <v>214</v>
      </c>
      <c r="D2383" t="s">
        <v>246</v>
      </c>
      <c r="E2383" t="s">
        <v>247</v>
      </c>
      <c r="F2383" t="s">
        <v>37</v>
      </c>
      <c r="G2383">
        <v>2</v>
      </c>
      <c r="H2383">
        <v>2</v>
      </c>
      <c r="I2383">
        <v>18</v>
      </c>
      <c r="J2383" t="s">
        <v>23</v>
      </c>
      <c r="K2383" t="s">
        <v>24</v>
      </c>
      <c r="L2383">
        <v>56</v>
      </c>
      <c r="M2383">
        <v>99.984999999999999</v>
      </c>
      <c r="N2383">
        <v>101.63545000000001</v>
      </c>
      <c r="O2383">
        <v>26.920999999999999</v>
      </c>
      <c r="P2383">
        <v>39.866</v>
      </c>
      <c r="Q2383">
        <v>32.698</v>
      </c>
      <c r="R2383" t="s">
        <v>280</v>
      </c>
      <c r="S2383" t="s">
        <v>83</v>
      </c>
      <c r="T2383">
        <f>IF(TRIM(Table1[[#This Row],[PitStopLaps]])="",0,
LEN(Table1[[#This Row],[PitStopLaps]])-LEN(SUBSTITUTE(Table1[[#This Row],[PitStopLaps]],",",""))+1)</f>
        <v>2</v>
      </c>
      <c r="U2383">
        <f>Table1[[#This Row],[StartPosition]]-Table1[[#This Row],[FinishPosition]]</f>
        <v>0</v>
      </c>
    </row>
    <row r="2384" spans="1:21" x14ac:dyDescent="0.3">
      <c r="A2384">
        <v>2023</v>
      </c>
      <c r="B2384">
        <v>18</v>
      </c>
      <c r="C2384" t="s">
        <v>214</v>
      </c>
      <c r="D2384" t="s">
        <v>47</v>
      </c>
      <c r="E2384" t="s">
        <v>48</v>
      </c>
      <c r="F2384" t="s">
        <v>22</v>
      </c>
      <c r="G2384">
        <v>4</v>
      </c>
      <c r="H2384">
        <v>3</v>
      </c>
      <c r="I2384">
        <v>15</v>
      </c>
      <c r="J2384" t="s">
        <v>23</v>
      </c>
      <c r="K2384" t="s">
        <v>24</v>
      </c>
      <c r="L2384">
        <v>56</v>
      </c>
      <c r="M2384">
        <v>100.03400000000001</v>
      </c>
      <c r="N2384">
        <v>101.66519599999999</v>
      </c>
      <c r="O2384">
        <v>26.946000000000002</v>
      </c>
      <c r="P2384">
        <v>40.180999999999997</v>
      </c>
      <c r="Q2384">
        <v>32.859000000000002</v>
      </c>
      <c r="R2384" t="s">
        <v>1130</v>
      </c>
      <c r="S2384" t="s">
        <v>83</v>
      </c>
      <c r="T2384">
        <f>IF(TRIM(Table1[[#This Row],[PitStopLaps]])="",0,
LEN(Table1[[#This Row],[PitStopLaps]])-LEN(SUBSTITUTE(Table1[[#This Row],[PitStopLaps]],",",""))+1)</f>
        <v>2</v>
      </c>
      <c r="U2384">
        <f>Table1[[#This Row],[StartPosition]]-Table1[[#This Row],[FinishPosition]]</f>
        <v>1</v>
      </c>
    </row>
    <row r="2385" spans="1:21" x14ac:dyDescent="0.3">
      <c r="A2385">
        <v>2023</v>
      </c>
      <c r="B2385">
        <v>18</v>
      </c>
      <c r="C2385" t="s">
        <v>214</v>
      </c>
      <c r="D2385" t="s">
        <v>49</v>
      </c>
      <c r="E2385" t="s">
        <v>50</v>
      </c>
      <c r="F2385" t="s">
        <v>33</v>
      </c>
      <c r="G2385">
        <v>9</v>
      </c>
      <c r="H2385">
        <v>4</v>
      </c>
      <c r="I2385">
        <v>12</v>
      </c>
      <c r="J2385" t="s">
        <v>34</v>
      </c>
      <c r="K2385" t="s">
        <v>24</v>
      </c>
      <c r="L2385">
        <v>56</v>
      </c>
      <c r="M2385">
        <v>99.736999999999995</v>
      </c>
      <c r="N2385">
        <v>101.644588</v>
      </c>
      <c r="O2385">
        <v>26.768000000000001</v>
      </c>
      <c r="P2385">
        <v>40.091000000000001</v>
      </c>
      <c r="Q2385">
        <v>32.479999999999997</v>
      </c>
      <c r="R2385" t="s">
        <v>1131</v>
      </c>
      <c r="S2385" t="s">
        <v>83</v>
      </c>
      <c r="T2385">
        <f>IF(TRIM(Table1[[#This Row],[PitStopLaps]])="",0,
LEN(Table1[[#This Row],[PitStopLaps]])-LEN(SUBSTITUTE(Table1[[#This Row],[PitStopLaps]],",",""))+1)</f>
        <v>2</v>
      </c>
      <c r="U2385">
        <f>Table1[[#This Row],[StartPosition]]-Table1[[#This Row],[FinishPosition]]</f>
        <v>5</v>
      </c>
    </row>
    <row r="2386" spans="1:21" x14ac:dyDescent="0.3">
      <c r="A2386">
        <v>2023</v>
      </c>
      <c r="B2386">
        <v>18</v>
      </c>
      <c r="C2386" t="s">
        <v>214</v>
      </c>
      <c r="D2386" t="s">
        <v>252</v>
      </c>
      <c r="E2386" t="s">
        <v>253</v>
      </c>
      <c r="F2386" t="s">
        <v>28</v>
      </c>
      <c r="G2386">
        <v>5</v>
      </c>
      <c r="H2386">
        <v>5</v>
      </c>
      <c r="I2386">
        <v>10</v>
      </c>
      <c r="J2386" t="s">
        <v>34</v>
      </c>
      <c r="K2386" t="s">
        <v>24</v>
      </c>
      <c r="L2386">
        <v>56</v>
      </c>
      <c r="M2386">
        <v>99.393000000000001</v>
      </c>
      <c r="N2386">
        <v>101.760823</v>
      </c>
      <c r="O2386">
        <v>26.838999999999999</v>
      </c>
      <c r="P2386">
        <v>40.07</v>
      </c>
      <c r="Q2386">
        <v>32.219000000000001</v>
      </c>
      <c r="R2386" t="s">
        <v>409</v>
      </c>
      <c r="S2386" t="s">
        <v>83</v>
      </c>
      <c r="T2386">
        <f>IF(TRIM(Table1[[#This Row],[PitStopLaps]])="",0,
LEN(Table1[[#This Row],[PitStopLaps]])-LEN(SUBSTITUTE(Table1[[#This Row],[PitStopLaps]],",",""))+1)</f>
        <v>2</v>
      </c>
      <c r="U2386">
        <f>Table1[[#This Row],[StartPosition]]-Table1[[#This Row],[FinishPosition]]</f>
        <v>0</v>
      </c>
    </row>
    <row r="2387" spans="1:21" x14ac:dyDescent="0.3">
      <c r="A2387">
        <v>2023</v>
      </c>
      <c r="B2387">
        <v>18</v>
      </c>
      <c r="C2387" t="s">
        <v>214</v>
      </c>
      <c r="D2387" t="s">
        <v>73</v>
      </c>
      <c r="E2387" t="s">
        <v>74</v>
      </c>
      <c r="F2387" t="s">
        <v>607</v>
      </c>
      <c r="G2387">
        <v>7</v>
      </c>
      <c r="H2387">
        <v>6</v>
      </c>
      <c r="I2387">
        <v>8</v>
      </c>
      <c r="J2387" t="s">
        <v>34</v>
      </c>
      <c r="K2387" t="s">
        <v>24</v>
      </c>
      <c r="L2387">
        <v>56</v>
      </c>
      <c r="M2387">
        <v>100.41200000000001</v>
      </c>
      <c r="N2387">
        <v>102.181725</v>
      </c>
      <c r="O2387">
        <v>27.134</v>
      </c>
      <c r="P2387">
        <v>40.298999999999999</v>
      </c>
      <c r="Q2387">
        <v>32.811</v>
      </c>
      <c r="R2387" t="s">
        <v>1132</v>
      </c>
      <c r="S2387" t="s">
        <v>83</v>
      </c>
      <c r="T2387">
        <f>IF(TRIM(Table1[[#This Row],[PitStopLaps]])="",0,
LEN(Table1[[#This Row],[PitStopLaps]])-LEN(SUBSTITUTE(Table1[[#This Row],[PitStopLaps]],",",""))+1)</f>
        <v>2</v>
      </c>
      <c r="U2387">
        <f>Table1[[#This Row],[StartPosition]]-Table1[[#This Row],[FinishPosition]]</f>
        <v>1</v>
      </c>
    </row>
    <row r="2388" spans="1:21" x14ac:dyDescent="0.3">
      <c r="A2388">
        <v>2023</v>
      </c>
      <c r="B2388">
        <v>18</v>
      </c>
      <c r="C2388" t="s">
        <v>214</v>
      </c>
      <c r="D2388" t="s">
        <v>58</v>
      </c>
      <c r="E2388" t="s">
        <v>59</v>
      </c>
      <c r="F2388" t="s">
        <v>603</v>
      </c>
      <c r="G2388">
        <v>20</v>
      </c>
      <c r="H2388">
        <v>7</v>
      </c>
      <c r="I2388">
        <v>6</v>
      </c>
      <c r="J2388" t="s">
        <v>34</v>
      </c>
      <c r="K2388" t="s">
        <v>24</v>
      </c>
      <c r="L2388">
        <v>56</v>
      </c>
      <c r="M2388">
        <v>99.908000000000001</v>
      </c>
      <c r="N2388">
        <v>102.097803</v>
      </c>
      <c r="O2388">
        <v>26.791</v>
      </c>
      <c r="P2388">
        <v>40.017000000000003</v>
      </c>
      <c r="Q2388">
        <v>32.582000000000001</v>
      </c>
      <c r="R2388" t="s">
        <v>1133</v>
      </c>
      <c r="S2388" t="s">
        <v>83</v>
      </c>
      <c r="T2388">
        <f>IF(TRIM(Table1[[#This Row],[PitStopLaps]])="",0,
LEN(Table1[[#This Row],[PitStopLaps]])-LEN(SUBSTITUTE(Table1[[#This Row],[PitStopLaps]],",",""))+1)</f>
        <v>2</v>
      </c>
      <c r="U2388">
        <f>Table1[[#This Row],[StartPosition]]-Table1[[#This Row],[FinishPosition]]</f>
        <v>13</v>
      </c>
    </row>
    <row r="2389" spans="1:21" x14ac:dyDescent="0.3">
      <c r="A2389">
        <v>2023</v>
      </c>
      <c r="B2389">
        <v>18</v>
      </c>
      <c r="C2389" t="s">
        <v>214</v>
      </c>
      <c r="D2389" t="s">
        <v>601</v>
      </c>
      <c r="E2389" t="s">
        <v>602</v>
      </c>
      <c r="F2389" t="s">
        <v>438</v>
      </c>
      <c r="G2389">
        <v>11</v>
      </c>
      <c r="H2389">
        <v>8</v>
      </c>
      <c r="I2389">
        <v>5</v>
      </c>
      <c r="J2389" t="s">
        <v>34</v>
      </c>
      <c r="K2389" t="s">
        <v>24</v>
      </c>
      <c r="L2389">
        <v>56</v>
      </c>
      <c r="M2389">
        <v>98.138999999999996</v>
      </c>
      <c r="N2389">
        <v>102.297918</v>
      </c>
      <c r="O2389">
        <v>26.545999999999999</v>
      </c>
      <c r="P2389">
        <v>39.573</v>
      </c>
      <c r="Q2389">
        <v>32.020000000000003</v>
      </c>
      <c r="R2389" t="s">
        <v>1134</v>
      </c>
      <c r="S2389" t="s">
        <v>83</v>
      </c>
      <c r="T2389">
        <f>IF(TRIM(Table1[[#This Row],[PitStopLaps]])="",0,
LEN(Table1[[#This Row],[PitStopLaps]])-LEN(SUBSTITUTE(Table1[[#This Row],[PitStopLaps]],",",""))+1)</f>
        <v>3</v>
      </c>
      <c r="U2389">
        <f>Table1[[#This Row],[StartPosition]]-Table1[[#This Row],[FinishPosition]]</f>
        <v>3</v>
      </c>
    </row>
    <row r="2390" spans="1:21" x14ac:dyDescent="0.3">
      <c r="A2390">
        <v>2023</v>
      </c>
      <c r="B2390">
        <v>18</v>
      </c>
      <c r="C2390" t="s">
        <v>214</v>
      </c>
      <c r="D2390" t="s">
        <v>248</v>
      </c>
      <c r="E2390" t="s">
        <v>249</v>
      </c>
      <c r="F2390" t="s">
        <v>60</v>
      </c>
      <c r="G2390">
        <v>15</v>
      </c>
      <c r="H2390">
        <v>9</v>
      </c>
      <c r="I2390">
        <v>2</v>
      </c>
      <c r="J2390" t="s">
        <v>34</v>
      </c>
      <c r="K2390" t="s">
        <v>24</v>
      </c>
      <c r="L2390">
        <v>56</v>
      </c>
      <c r="M2390">
        <v>101.318</v>
      </c>
      <c r="N2390">
        <v>102.747196</v>
      </c>
      <c r="O2390">
        <v>27.222000000000001</v>
      </c>
      <c r="P2390">
        <v>40.552999999999997</v>
      </c>
      <c r="Q2390">
        <v>33.304000000000002</v>
      </c>
      <c r="R2390" t="s">
        <v>93</v>
      </c>
      <c r="S2390" t="s">
        <v>83</v>
      </c>
      <c r="T2390">
        <f>IF(TRIM(Table1[[#This Row],[PitStopLaps]])="",0,
LEN(Table1[[#This Row],[PitStopLaps]])-LEN(SUBSTITUTE(Table1[[#This Row],[PitStopLaps]],",",""))+1)</f>
        <v>2</v>
      </c>
      <c r="U2390">
        <f>Table1[[#This Row],[StartPosition]]-Table1[[#This Row],[FinishPosition]]</f>
        <v>6</v>
      </c>
    </row>
    <row r="2391" spans="1:21" x14ac:dyDescent="0.3">
      <c r="A2391">
        <v>2023</v>
      </c>
      <c r="B2391">
        <v>18</v>
      </c>
      <c r="C2391" t="s">
        <v>214</v>
      </c>
      <c r="D2391" t="s">
        <v>992</v>
      </c>
      <c r="E2391" t="s">
        <v>993</v>
      </c>
      <c r="F2391" t="s">
        <v>60</v>
      </c>
      <c r="G2391">
        <v>16</v>
      </c>
      <c r="H2391">
        <v>10</v>
      </c>
      <c r="I2391">
        <v>1</v>
      </c>
      <c r="J2391" t="s">
        <v>34</v>
      </c>
      <c r="K2391" t="s">
        <v>24</v>
      </c>
      <c r="L2391">
        <v>56</v>
      </c>
      <c r="M2391">
        <v>101.238</v>
      </c>
      <c r="N2391">
        <v>102.79486199999999</v>
      </c>
      <c r="O2391">
        <v>27.186</v>
      </c>
      <c r="P2391">
        <v>40.090000000000003</v>
      </c>
      <c r="Q2391">
        <v>33.331000000000003</v>
      </c>
      <c r="R2391" t="s">
        <v>263</v>
      </c>
      <c r="S2391" t="s">
        <v>83</v>
      </c>
      <c r="T2391">
        <f>IF(TRIM(Table1[[#This Row],[PitStopLaps]])="",0,
LEN(Table1[[#This Row],[PitStopLaps]])-LEN(SUBSTITUTE(Table1[[#This Row],[PitStopLaps]],",",""))+1)</f>
        <v>2</v>
      </c>
      <c r="U2391">
        <f>Table1[[#This Row],[StartPosition]]-Table1[[#This Row],[FinishPosition]]</f>
        <v>6</v>
      </c>
    </row>
    <row r="2392" spans="1:21" x14ac:dyDescent="0.3">
      <c r="A2392">
        <v>2023</v>
      </c>
      <c r="B2392">
        <v>18</v>
      </c>
      <c r="C2392" t="s">
        <v>214</v>
      </c>
      <c r="D2392" t="s">
        <v>40</v>
      </c>
      <c r="E2392" t="s">
        <v>41</v>
      </c>
      <c r="F2392" t="s">
        <v>69</v>
      </c>
      <c r="G2392">
        <v>18</v>
      </c>
      <c r="H2392">
        <v>11</v>
      </c>
      <c r="I2392">
        <v>0</v>
      </c>
      <c r="J2392" t="s">
        <v>34</v>
      </c>
      <c r="K2392" t="s">
        <v>24</v>
      </c>
      <c r="L2392">
        <v>56</v>
      </c>
      <c r="M2392">
        <v>100.925</v>
      </c>
      <c r="N2392">
        <v>102.809372</v>
      </c>
      <c r="O2392">
        <v>26.972000000000001</v>
      </c>
      <c r="P2392">
        <v>40.372999999999998</v>
      </c>
      <c r="Q2392">
        <v>33.078000000000003</v>
      </c>
      <c r="R2392" t="s">
        <v>1135</v>
      </c>
      <c r="S2392" t="s">
        <v>83</v>
      </c>
      <c r="T2392">
        <f>IF(TRIM(Table1[[#This Row],[PitStopLaps]])="",0,
LEN(Table1[[#This Row],[PitStopLaps]])-LEN(SUBSTITUTE(Table1[[#This Row],[PitStopLaps]],",",""))+1)</f>
        <v>2</v>
      </c>
      <c r="U2392">
        <f>Table1[[#This Row],[StartPosition]]-Table1[[#This Row],[FinishPosition]]</f>
        <v>7</v>
      </c>
    </row>
    <row r="2393" spans="1:21" x14ac:dyDescent="0.3">
      <c r="A2393">
        <v>2023</v>
      </c>
      <c r="B2393">
        <v>18</v>
      </c>
      <c r="C2393" t="s">
        <v>214</v>
      </c>
      <c r="D2393" t="s">
        <v>43</v>
      </c>
      <c r="E2393" t="s">
        <v>44</v>
      </c>
      <c r="F2393" t="s">
        <v>789</v>
      </c>
      <c r="G2393">
        <v>13</v>
      </c>
      <c r="H2393">
        <v>12</v>
      </c>
      <c r="I2393">
        <v>0</v>
      </c>
      <c r="J2393" t="s">
        <v>34</v>
      </c>
      <c r="K2393" t="s">
        <v>24</v>
      </c>
      <c r="L2393">
        <v>56</v>
      </c>
      <c r="M2393">
        <v>101.97199999999999</v>
      </c>
      <c r="N2393">
        <v>103.021156</v>
      </c>
      <c r="O2393">
        <v>27.443000000000001</v>
      </c>
      <c r="P2393">
        <v>40.753</v>
      </c>
      <c r="Q2393">
        <v>33.280999999999999</v>
      </c>
      <c r="R2393" t="s">
        <v>88</v>
      </c>
      <c r="S2393" t="s">
        <v>83</v>
      </c>
      <c r="T2393">
        <f>IF(TRIM(Table1[[#This Row],[PitStopLaps]])="",0,
LEN(Table1[[#This Row],[PitStopLaps]])-LEN(SUBSTITUTE(Table1[[#This Row],[PitStopLaps]],",",""))+1)</f>
        <v>2</v>
      </c>
      <c r="U2393">
        <f>Table1[[#This Row],[StartPosition]]-Table1[[#This Row],[FinishPosition]]</f>
        <v>1</v>
      </c>
    </row>
    <row r="2394" spans="1:21" x14ac:dyDescent="0.3">
      <c r="A2394">
        <v>2023</v>
      </c>
      <c r="B2394">
        <v>18</v>
      </c>
      <c r="C2394" t="s">
        <v>214</v>
      </c>
      <c r="D2394" t="s">
        <v>794</v>
      </c>
      <c r="E2394" t="s">
        <v>795</v>
      </c>
      <c r="F2394" t="s">
        <v>789</v>
      </c>
      <c r="G2394">
        <v>12</v>
      </c>
      <c r="H2394">
        <v>13</v>
      </c>
      <c r="I2394">
        <v>0</v>
      </c>
      <c r="J2394" t="s">
        <v>34</v>
      </c>
      <c r="K2394" t="s">
        <v>994</v>
      </c>
      <c r="L2394">
        <v>55</v>
      </c>
      <c r="M2394">
        <v>101.879</v>
      </c>
      <c r="N2394">
        <v>103.12206</v>
      </c>
      <c r="O2394">
        <v>27.169</v>
      </c>
      <c r="P2394">
        <v>40.835000000000001</v>
      </c>
      <c r="Q2394">
        <v>33.524999999999999</v>
      </c>
      <c r="R2394" t="s">
        <v>385</v>
      </c>
      <c r="S2394" t="s">
        <v>83</v>
      </c>
      <c r="T2394">
        <f>IF(TRIM(Table1[[#This Row],[PitStopLaps]])="",0,
LEN(Table1[[#This Row],[PitStopLaps]])-LEN(SUBSTITUTE(Table1[[#This Row],[PitStopLaps]],",",""))+1)</f>
        <v>2</v>
      </c>
      <c r="U2394">
        <f>Table1[[#This Row],[StartPosition]]-Table1[[#This Row],[FinishPosition]]</f>
        <v>-1</v>
      </c>
    </row>
    <row r="2395" spans="1:21" x14ac:dyDescent="0.3">
      <c r="A2395">
        <v>2023</v>
      </c>
      <c r="B2395">
        <v>18</v>
      </c>
      <c r="C2395" t="s">
        <v>214</v>
      </c>
      <c r="D2395" t="s">
        <v>71</v>
      </c>
      <c r="E2395" t="s">
        <v>72</v>
      </c>
      <c r="F2395" t="s">
        <v>69</v>
      </c>
      <c r="G2395">
        <v>17</v>
      </c>
      <c r="H2395">
        <v>14</v>
      </c>
      <c r="I2395">
        <v>0</v>
      </c>
      <c r="J2395" t="s">
        <v>34</v>
      </c>
      <c r="K2395" t="s">
        <v>994</v>
      </c>
      <c r="L2395">
        <v>55</v>
      </c>
      <c r="M2395">
        <v>101.506</v>
      </c>
      <c r="N2395">
        <v>103.20641999999999</v>
      </c>
      <c r="O2395">
        <v>27.157</v>
      </c>
      <c r="P2395">
        <v>40.683999999999997</v>
      </c>
      <c r="Q2395">
        <v>33.21</v>
      </c>
      <c r="R2395" t="s">
        <v>93</v>
      </c>
      <c r="S2395" t="s">
        <v>83</v>
      </c>
      <c r="T2395">
        <f>IF(TRIM(Table1[[#This Row],[PitStopLaps]])="",0,
LEN(Table1[[#This Row],[PitStopLaps]])-LEN(SUBSTITUTE(Table1[[#This Row],[PitStopLaps]],",",""))+1)</f>
        <v>2</v>
      </c>
      <c r="U2395">
        <f>Table1[[#This Row],[StartPosition]]-Table1[[#This Row],[FinishPosition]]</f>
        <v>3</v>
      </c>
    </row>
    <row r="2396" spans="1:21" x14ac:dyDescent="0.3">
      <c r="A2396">
        <v>2023</v>
      </c>
      <c r="B2396">
        <v>18</v>
      </c>
      <c r="C2396" t="s">
        <v>214</v>
      </c>
      <c r="D2396" t="s">
        <v>31</v>
      </c>
      <c r="E2396" t="s">
        <v>32</v>
      </c>
      <c r="F2396" t="s">
        <v>438</v>
      </c>
      <c r="G2396">
        <v>14</v>
      </c>
      <c r="H2396">
        <v>15</v>
      </c>
      <c r="I2396">
        <v>0</v>
      </c>
      <c r="J2396" t="s">
        <v>34</v>
      </c>
      <c r="K2396" t="s">
        <v>994</v>
      </c>
      <c r="L2396">
        <v>55</v>
      </c>
      <c r="M2396">
        <v>99.366</v>
      </c>
      <c r="N2396">
        <v>103.24512</v>
      </c>
      <c r="O2396">
        <v>26.937999999999999</v>
      </c>
      <c r="P2396">
        <v>40.228000000000002</v>
      </c>
      <c r="Q2396">
        <v>32.159999999999997</v>
      </c>
      <c r="R2396" t="s">
        <v>415</v>
      </c>
      <c r="S2396" t="s">
        <v>83</v>
      </c>
      <c r="T2396">
        <f>IF(TRIM(Table1[[#This Row],[PitStopLaps]])="",0,
LEN(Table1[[#This Row],[PitStopLaps]])-LEN(SUBSTITUTE(Table1[[#This Row],[PitStopLaps]],",",""))+1)</f>
        <v>2</v>
      </c>
      <c r="U2396">
        <f>Table1[[#This Row],[StartPosition]]-Table1[[#This Row],[FinishPosition]]</f>
        <v>-1</v>
      </c>
    </row>
    <row r="2397" spans="1:21" x14ac:dyDescent="0.3">
      <c r="A2397">
        <v>2023</v>
      </c>
      <c r="B2397">
        <v>18</v>
      </c>
      <c r="C2397" t="s">
        <v>214</v>
      </c>
      <c r="D2397" t="s">
        <v>35</v>
      </c>
      <c r="E2397" t="s">
        <v>36</v>
      </c>
      <c r="F2397" t="s">
        <v>603</v>
      </c>
      <c r="G2397">
        <v>19</v>
      </c>
      <c r="H2397">
        <v>16</v>
      </c>
      <c r="I2397">
        <v>0</v>
      </c>
      <c r="J2397" t="s">
        <v>34</v>
      </c>
      <c r="K2397" t="s">
        <v>179</v>
      </c>
      <c r="L2397">
        <v>49</v>
      </c>
      <c r="M2397">
        <v>99.953999999999994</v>
      </c>
      <c r="N2397">
        <v>102.549511</v>
      </c>
      <c r="O2397">
        <v>26.861000000000001</v>
      </c>
      <c r="P2397">
        <v>39.988999999999997</v>
      </c>
      <c r="Q2397">
        <v>32.860999999999997</v>
      </c>
      <c r="R2397" t="s">
        <v>1136</v>
      </c>
      <c r="S2397" t="s">
        <v>83</v>
      </c>
      <c r="T2397">
        <f>IF(TRIM(Table1[[#This Row],[PitStopLaps]])="",0,
LEN(Table1[[#This Row],[PitStopLaps]])-LEN(SUBSTITUTE(Table1[[#This Row],[PitStopLaps]],",",""))+1)</f>
        <v>3</v>
      </c>
      <c r="U2397">
        <f>Table1[[#This Row],[StartPosition]]-Table1[[#This Row],[FinishPosition]]</f>
        <v>3</v>
      </c>
    </row>
    <row r="2398" spans="1:21" x14ac:dyDescent="0.3">
      <c r="A2398">
        <v>2023</v>
      </c>
      <c r="B2398">
        <v>18</v>
      </c>
      <c r="C2398" t="s">
        <v>214</v>
      </c>
      <c r="D2398" t="s">
        <v>1000</v>
      </c>
      <c r="E2398" t="s">
        <v>1001</v>
      </c>
      <c r="F2398" t="s">
        <v>37</v>
      </c>
      <c r="G2398">
        <v>10</v>
      </c>
      <c r="H2398">
        <v>17</v>
      </c>
      <c r="I2398">
        <v>0</v>
      </c>
      <c r="J2398" t="s">
        <v>34</v>
      </c>
      <c r="K2398" t="s">
        <v>179</v>
      </c>
      <c r="L2398">
        <v>10</v>
      </c>
      <c r="M2398">
        <v>102.705</v>
      </c>
      <c r="N2398">
        <v>103.138125</v>
      </c>
      <c r="O2398">
        <v>27.631</v>
      </c>
      <c r="P2398">
        <v>40.966000000000001</v>
      </c>
      <c r="Q2398">
        <v>33.863999999999997</v>
      </c>
      <c r="R2398">
        <v>10</v>
      </c>
      <c r="S2398" t="s">
        <v>83</v>
      </c>
      <c r="T2398">
        <f>IF(TRIM(Table1[[#This Row],[PitStopLaps]])="",0,
LEN(Table1[[#This Row],[PitStopLaps]])-LEN(SUBSTITUTE(Table1[[#This Row],[PitStopLaps]],",",""))+1)</f>
        <v>1</v>
      </c>
      <c r="U2398">
        <f>Table1[[#This Row],[StartPosition]]-Table1[[#This Row],[FinishPosition]]</f>
        <v>-7</v>
      </c>
    </row>
    <row r="2399" spans="1:21" x14ac:dyDescent="0.3">
      <c r="A2399">
        <v>2023</v>
      </c>
      <c r="B2399">
        <v>18</v>
      </c>
      <c r="C2399" t="s">
        <v>214</v>
      </c>
      <c r="D2399" t="s">
        <v>52</v>
      </c>
      <c r="E2399" t="s">
        <v>53</v>
      </c>
      <c r="F2399" t="s">
        <v>607</v>
      </c>
      <c r="G2399">
        <v>8</v>
      </c>
      <c r="H2399">
        <v>18</v>
      </c>
      <c r="I2399">
        <v>0</v>
      </c>
      <c r="J2399" t="s">
        <v>34</v>
      </c>
      <c r="K2399" t="s">
        <v>179</v>
      </c>
      <c r="L2399">
        <v>6</v>
      </c>
      <c r="M2399">
        <v>104.789</v>
      </c>
      <c r="N2399">
        <v>107.53925</v>
      </c>
      <c r="O2399">
        <v>28.495000000000001</v>
      </c>
      <c r="P2399">
        <v>41.802999999999997</v>
      </c>
      <c r="Q2399">
        <v>34.491</v>
      </c>
      <c r="R2399">
        <v>6</v>
      </c>
      <c r="S2399" t="s">
        <v>83</v>
      </c>
      <c r="T2399">
        <f>IF(TRIM(Table1[[#This Row],[PitStopLaps]])="",0,
LEN(Table1[[#This Row],[PitStopLaps]])-LEN(SUBSTITUTE(Table1[[#This Row],[PitStopLaps]],",",""))+1)</f>
        <v>1</v>
      </c>
      <c r="U2399">
        <f>Table1[[#This Row],[StartPosition]]-Table1[[#This Row],[FinishPosition]]</f>
        <v>-10</v>
      </c>
    </row>
    <row r="2400" spans="1:21" x14ac:dyDescent="0.3">
      <c r="A2400">
        <v>2023</v>
      </c>
      <c r="B2400">
        <v>18</v>
      </c>
      <c r="C2400" t="s">
        <v>214</v>
      </c>
      <c r="D2400" t="s">
        <v>26</v>
      </c>
      <c r="E2400" t="s">
        <v>27</v>
      </c>
      <c r="F2400" t="s">
        <v>28</v>
      </c>
      <c r="G2400">
        <v>3</v>
      </c>
      <c r="H2400">
        <v>19</v>
      </c>
      <c r="I2400">
        <v>0</v>
      </c>
      <c r="J2400" t="s">
        <v>34</v>
      </c>
      <c r="K2400" t="s">
        <v>220</v>
      </c>
      <c r="L2400">
        <v>56</v>
      </c>
      <c r="M2400">
        <v>99.581999999999994</v>
      </c>
      <c r="N2400">
        <v>101.35701899999999</v>
      </c>
      <c r="O2400">
        <v>26.818000000000001</v>
      </c>
      <c r="P2400">
        <v>40.000999999999998</v>
      </c>
      <c r="Q2400">
        <v>32.588000000000001</v>
      </c>
      <c r="R2400" t="s">
        <v>336</v>
      </c>
      <c r="S2400" t="s">
        <v>83</v>
      </c>
      <c r="T2400">
        <f>IF(TRIM(Table1[[#This Row],[PitStopLaps]])="",0,
LEN(Table1[[#This Row],[PitStopLaps]])-LEN(SUBSTITUTE(Table1[[#This Row],[PitStopLaps]],",",""))+1)</f>
        <v>2</v>
      </c>
      <c r="U2400">
        <f>Table1[[#This Row],[StartPosition]]-Table1[[#This Row],[FinishPosition]]</f>
        <v>-16</v>
      </c>
    </row>
    <row r="2401" spans="1:21" x14ac:dyDescent="0.3">
      <c r="A2401">
        <v>2023</v>
      </c>
      <c r="B2401">
        <v>18</v>
      </c>
      <c r="C2401" t="s">
        <v>214</v>
      </c>
      <c r="D2401" t="s">
        <v>54</v>
      </c>
      <c r="E2401" t="s">
        <v>55</v>
      </c>
      <c r="F2401" t="s">
        <v>22</v>
      </c>
      <c r="G2401">
        <v>1</v>
      </c>
      <c r="H2401">
        <v>20</v>
      </c>
      <c r="I2401">
        <v>0</v>
      </c>
      <c r="J2401" t="s">
        <v>34</v>
      </c>
      <c r="K2401" t="s">
        <v>220</v>
      </c>
      <c r="L2401">
        <v>56</v>
      </c>
      <c r="M2401">
        <v>101.02500000000001</v>
      </c>
      <c r="N2401">
        <v>102.19015</v>
      </c>
      <c r="O2401">
        <v>26.914000000000001</v>
      </c>
      <c r="P2401">
        <v>40.543999999999997</v>
      </c>
      <c r="Q2401">
        <v>33.073</v>
      </c>
      <c r="R2401">
        <v>23</v>
      </c>
      <c r="S2401" t="s">
        <v>83</v>
      </c>
      <c r="T2401">
        <f>IF(TRIM(Table1[[#This Row],[PitStopLaps]])="",0,
LEN(Table1[[#This Row],[PitStopLaps]])-LEN(SUBSTITUTE(Table1[[#This Row],[PitStopLaps]],",",""))+1)</f>
        <v>1</v>
      </c>
      <c r="U2401">
        <f>Table1[[#This Row],[StartPosition]]-Table1[[#This Row],[FinishPosition]]</f>
        <v>-19</v>
      </c>
    </row>
    <row r="2402" spans="1:21" x14ac:dyDescent="0.3">
      <c r="A2402">
        <v>2023</v>
      </c>
      <c r="B2402">
        <v>19</v>
      </c>
      <c r="C2402" t="s">
        <v>736</v>
      </c>
      <c r="D2402" t="s">
        <v>38</v>
      </c>
      <c r="E2402" t="s">
        <v>39</v>
      </c>
      <c r="F2402" t="s">
        <v>33</v>
      </c>
      <c r="G2402">
        <v>3</v>
      </c>
      <c r="H2402">
        <v>1</v>
      </c>
      <c r="I2402">
        <v>25</v>
      </c>
      <c r="J2402" t="s">
        <v>23</v>
      </c>
      <c r="K2402" t="s">
        <v>24</v>
      </c>
      <c r="L2402">
        <v>71</v>
      </c>
      <c r="M2402">
        <v>81.644000000000005</v>
      </c>
      <c r="N2402">
        <v>82.711015000000003</v>
      </c>
      <c r="O2402">
        <v>28.443000000000001</v>
      </c>
      <c r="P2402">
        <v>31.609000000000002</v>
      </c>
      <c r="Q2402">
        <v>21.126000000000001</v>
      </c>
      <c r="R2402" t="s">
        <v>1137</v>
      </c>
      <c r="S2402" t="s">
        <v>83</v>
      </c>
      <c r="T2402">
        <f>IF(TRIM(Table1[[#This Row],[PitStopLaps]])="",0,
LEN(Table1[[#This Row],[PitStopLaps]])-LEN(SUBSTITUTE(Table1[[#This Row],[PitStopLaps]],",",""))+1)</f>
        <v>3</v>
      </c>
      <c r="U2402">
        <f>Table1[[#This Row],[StartPosition]]-Table1[[#This Row],[FinishPosition]]</f>
        <v>2</v>
      </c>
    </row>
    <row r="2403" spans="1:21" x14ac:dyDescent="0.3">
      <c r="A2403">
        <v>2023</v>
      </c>
      <c r="B2403">
        <v>19</v>
      </c>
      <c r="C2403" t="s">
        <v>736</v>
      </c>
      <c r="D2403" t="s">
        <v>26</v>
      </c>
      <c r="E2403" t="s">
        <v>27</v>
      </c>
      <c r="F2403" t="s">
        <v>28</v>
      </c>
      <c r="G2403">
        <v>6</v>
      </c>
      <c r="H2403">
        <v>2</v>
      </c>
      <c r="I2403">
        <v>19</v>
      </c>
      <c r="J2403" t="s">
        <v>23</v>
      </c>
      <c r="K2403" t="s">
        <v>24</v>
      </c>
      <c r="L2403">
        <v>71</v>
      </c>
      <c r="M2403">
        <v>81.334000000000003</v>
      </c>
      <c r="N2403">
        <v>83.150983999999994</v>
      </c>
      <c r="O2403">
        <v>28.440999999999999</v>
      </c>
      <c r="P2403">
        <v>31.596</v>
      </c>
      <c r="Q2403">
        <v>21.105</v>
      </c>
      <c r="R2403" t="s">
        <v>1138</v>
      </c>
      <c r="S2403" t="s">
        <v>83</v>
      </c>
      <c r="T2403">
        <f>IF(TRIM(Table1[[#This Row],[PitStopLaps]])="",0,
LEN(Table1[[#This Row],[PitStopLaps]])-LEN(SUBSTITUTE(Table1[[#This Row],[PitStopLaps]],",",""))+1)</f>
        <v>2</v>
      </c>
      <c r="U2403">
        <f>Table1[[#This Row],[StartPosition]]-Table1[[#This Row],[FinishPosition]]</f>
        <v>4</v>
      </c>
    </row>
    <row r="2404" spans="1:21" x14ac:dyDescent="0.3">
      <c r="A2404">
        <v>2023</v>
      </c>
      <c r="B2404">
        <v>19</v>
      </c>
      <c r="C2404" t="s">
        <v>736</v>
      </c>
      <c r="D2404" t="s">
        <v>54</v>
      </c>
      <c r="E2404" t="s">
        <v>55</v>
      </c>
      <c r="F2404" t="s">
        <v>22</v>
      </c>
      <c r="G2404">
        <v>1</v>
      </c>
      <c r="H2404">
        <v>3</v>
      </c>
      <c r="I2404">
        <v>15</v>
      </c>
      <c r="J2404" t="s">
        <v>23</v>
      </c>
      <c r="K2404" t="s">
        <v>24</v>
      </c>
      <c r="L2404">
        <v>71</v>
      </c>
      <c r="M2404">
        <v>82.331999999999994</v>
      </c>
      <c r="N2404">
        <v>83.275857000000002</v>
      </c>
      <c r="O2404">
        <v>28.77</v>
      </c>
      <c r="P2404">
        <v>32.15</v>
      </c>
      <c r="Q2404">
        <v>21.056999999999999</v>
      </c>
      <c r="R2404" t="s">
        <v>1139</v>
      </c>
      <c r="S2404" t="s">
        <v>83</v>
      </c>
      <c r="T2404">
        <f>IF(TRIM(Table1[[#This Row],[PitStopLaps]])="",0,
LEN(Table1[[#This Row],[PitStopLaps]])-LEN(SUBSTITUTE(Table1[[#This Row],[PitStopLaps]],",",""))+1)</f>
        <v>2</v>
      </c>
      <c r="U2404">
        <f>Table1[[#This Row],[StartPosition]]-Table1[[#This Row],[FinishPosition]]</f>
        <v>-2</v>
      </c>
    </row>
    <row r="2405" spans="1:21" x14ac:dyDescent="0.3">
      <c r="A2405">
        <v>2023</v>
      </c>
      <c r="B2405">
        <v>19</v>
      </c>
      <c r="C2405" t="s">
        <v>736</v>
      </c>
      <c r="D2405" t="s">
        <v>47</v>
      </c>
      <c r="E2405" t="s">
        <v>48</v>
      </c>
      <c r="F2405" t="s">
        <v>22</v>
      </c>
      <c r="G2405">
        <v>2</v>
      </c>
      <c r="H2405">
        <v>4</v>
      </c>
      <c r="I2405">
        <v>12</v>
      </c>
      <c r="J2405" t="s">
        <v>34</v>
      </c>
      <c r="K2405" t="s">
        <v>24</v>
      </c>
      <c r="L2405">
        <v>71</v>
      </c>
      <c r="M2405">
        <v>82.539000000000001</v>
      </c>
      <c r="N2405">
        <v>83.434920000000005</v>
      </c>
      <c r="O2405">
        <v>28.715</v>
      </c>
      <c r="P2405">
        <v>32.197000000000003</v>
      </c>
      <c r="Q2405">
        <v>21.260999999999999</v>
      </c>
      <c r="R2405" t="s">
        <v>1140</v>
      </c>
      <c r="S2405" t="s">
        <v>83</v>
      </c>
      <c r="T2405">
        <f>IF(TRIM(Table1[[#This Row],[PitStopLaps]])="",0,
LEN(Table1[[#This Row],[PitStopLaps]])-LEN(SUBSTITUTE(Table1[[#This Row],[PitStopLaps]],",",""))+1)</f>
        <v>2</v>
      </c>
      <c r="U2405">
        <f>Table1[[#This Row],[StartPosition]]-Table1[[#This Row],[FinishPosition]]</f>
        <v>-2</v>
      </c>
    </row>
    <row r="2406" spans="1:21" x14ac:dyDescent="0.3">
      <c r="A2406">
        <v>2023</v>
      </c>
      <c r="B2406">
        <v>19</v>
      </c>
      <c r="C2406" t="s">
        <v>736</v>
      </c>
      <c r="D2406" t="s">
        <v>246</v>
      </c>
      <c r="E2406" t="s">
        <v>247</v>
      </c>
      <c r="F2406" t="s">
        <v>37</v>
      </c>
      <c r="G2406">
        <v>17</v>
      </c>
      <c r="H2406">
        <v>5</v>
      </c>
      <c r="I2406">
        <v>10</v>
      </c>
      <c r="J2406" t="s">
        <v>34</v>
      </c>
      <c r="K2406" t="s">
        <v>24</v>
      </c>
      <c r="L2406">
        <v>71</v>
      </c>
      <c r="M2406">
        <v>81.944000000000003</v>
      </c>
      <c r="N2406">
        <v>84.307777000000002</v>
      </c>
      <c r="O2406">
        <v>28.446999999999999</v>
      </c>
      <c r="P2406">
        <v>31.795999999999999</v>
      </c>
      <c r="Q2406">
        <v>21.207999999999998</v>
      </c>
      <c r="R2406" t="s">
        <v>1141</v>
      </c>
      <c r="S2406" t="s">
        <v>83</v>
      </c>
      <c r="T2406">
        <f>IF(TRIM(Table1[[#This Row],[PitStopLaps]])="",0,
LEN(Table1[[#This Row],[PitStopLaps]])-LEN(SUBSTITUTE(Table1[[#This Row],[PitStopLaps]],",",""))+1)</f>
        <v>3</v>
      </c>
      <c r="U2406">
        <f>Table1[[#This Row],[StartPosition]]-Table1[[#This Row],[FinishPosition]]</f>
        <v>12</v>
      </c>
    </row>
    <row r="2407" spans="1:21" x14ac:dyDescent="0.3">
      <c r="A2407">
        <v>2023</v>
      </c>
      <c r="B2407">
        <v>19</v>
      </c>
      <c r="C2407" t="s">
        <v>736</v>
      </c>
      <c r="D2407" t="s">
        <v>252</v>
      </c>
      <c r="E2407" t="s">
        <v>253</v>
      </c>
      <c r="F2407" t="s">
        <v>28</v>
      </c>
      <c r="G2407">
        <v>8</v>
      </c>
      <c r="H2407">
        <v>6</v>
      </c>
      <c r="I2407">
        <v>8</v>
      </c>
      <c r="J2407" t="s">
        <v>34</v>
      </c>
      <c r="K2407" t="s">
        <v>24</v>
      </c>
      <c r="L2407">
        <v>71</v>
      </c>
      <c r="M2407">
        <v>82.78</v>
      </c>
      <c r="N2407">
        <v>84.596577999999994</v>
      </c>
      <c r="O2407">
        <v>28.814</v>
      </c>
      <c r="P2407">
        <v>32.055999999999997</v>
      </c>
      <c r="Q2407">
        <v>21.385000000000002</v>
      </c>
      <c r="R2407" t="s">
        <v>1142</v>
      </c>
      <c r="S2407" t="s">
        <v>83</v>
      </c>
      <c r="T2407">
        <f>IF(TRIM(Table1[[#This Row],[PitStopLaps]])="",0,
LEN(Table1[[#This Row],[PitStopLaps]])-LEN(SUBSTITUTE(Table1[[#This Row],[PitStopLaps]],",",""))+1)</f>
        <v>2</v>
      </c>
      <c r="U2407">
        <f>Table1[[#This Row],[StartPosition]]-Table1[[#This Row],[FinishPosition]]</f>
        <v>2</v>
      </c>
    </row>
    <row r="2408" spans="1:21" x14ac:dyDescent="0.3">
      <c r="A2408">
        <v>2023</v>
      </c>
      <c r="B2408">
        <v>19</v>
      </c>
      <c r="C2408" t="s">
        <v>736</v>
      </c>
      <c r="D2408" t="s">
        <v>31</v>
      </c>
      <c r="E2408" t="s">
        <v>32</v>
      </c>
      <c r="F2408" t="s">
        <v>438</v>
      </c>
      <c r="G2408">
        <v>4</v>
      </c>
      <c r="H2408">
        <v>7</v>
      </c>
      <c r="I2408">
        <v>6</v>
      </c>
      <c r="J2408" t="s">
        <v>34</v>
      </c>
      <c r="K2408" t="s">
        <v>24</v>
      </c>
      <c r="L2408">
        <v>71</v>
      </c>
      <c r="M2408">
        <v>82.679000000000002</v>
      </c>
      <c r="N2408">
        <v>83.696222000000006</v>
      </c>
      <c r="O2408">
        <v>28.713000000000001</v>
      </c>
      <c r="P2408">
        <v>32.1</v>
      </c>
      <c r="Q2408">
        <v>21.388000000000002</v>
      </c>
      <c r="R2408" t="s">
        <v>1143</v>
      </c>
      <c r="S2408" t="s">
        <v>83</v>
      </c>
      <c r="T2408">
        <f>IF(TRIM(Table1[[#This Row],[PitStopLaps]])="",0,
LEN(Table1[[#This Row],[PitStopLaps]])-LEN(SUBSTITUTE(Table1[[#This Row],[PitStopLaps]],",",""))+1)</f>
        <v>2</v>
      </c>
      <c r="U2408">
        <f>Table1[[#This Row],[StartPosition]]-Table1[[#This Row],[FinishPosition]]</f>
        <v>-3</v>
      </c>
    </row>
    <row r="2409" spans="1:21" x14ac:dyDescent="0.3">
      <c r="A2409">
        <v>2023</v>
      </c>
      <c r="B2409">
        <v>19</v>
      </c>
      <c r="C2409" t="s">
        <v>736</v>
      </c>
      <c r="D2409" t="s">
        <v>1000</v>
      </c>
      <c r="E2409" t="s">
        <v>1001</v>
      </c>
      <c r="F2409" t="s">
        <v>37</v>
      </c>
      <c r="G2409">
        <v>7</v>
      </c>
      <c r="H2409">
        <v>8</v>
      </c>
      <c r="I2409">
        <v>4</v>
      </c>
      <c r="J2409" t="s">
        <v>34</v>
      </c>
      <c r="K2409" t="s">
        <v>24</v>
      </c>
      <c r="L2409">
        <v>71</v>
      </c>
      <c r="M2409">
        <v>82.76</v>
      </c>
      <c r="N2409">
        <v>84.692561999999995</v>
      </c>
      <c r="O2409">
        <v>28.878</v>
      </c>
      <c r="P2409">
        <v>32.201000000000001</v>
      </c>
      <c r="Q2409">
        <v>21.36</v>
      </c>
      <c r="R2409" t="s">
        <v>1144</v>
      </c>
      <c r="S2409" t="s">
        <v>83</v>
      </c>
      <c r="T2409">
        <f>IF(TRIM(Table1[[#This Row],[PitStopLaps]])="",0,
LEN(Table1[[#This Row],[PitStopLaps]])-LEN(SUBSTITUTE(Table1[[#This Row],[PitStopLaps]],",",""))+1)</f>
        <v>2</v>
      </c>
      <c r="U2409">
        <f>Table1[[#This Row],[StartPosition]]-Table1[[#This Row],[FinishPosition]]</f>
        <v>-1</v>
      </c>
    </row>
    <row r="2410" spans="1:21" x14ac:dyDescent="0.3">
      <c r="A2410">
        <v>2023</v>
      </c>
      <c r="B2410">
        <v>19</v>
      </c>
      <c r="C2410" t="s">
        <v>736</v>
      </c>
      <c r="D2410" t="s">
        <v>248</v>
      </c>
      <c r="E2410" t="s">
        <v>249</v>
      </c>
      <c r="F2410" t="s">
        <v>60</v>
      </c>
      <c r="G2410">
        <v>14</v>
      </c>
      <c r="H2410">
        <v>9</v>
      </c>
      <c r="I2410">
        <v>2</v>
      </c>
      <c r="J2410" t="s">
        <v>34</v>
      </c>
      <c r="K2410" t="s">
        <v>24</v>
      </c>
      <c r="L2410">
        <v>71</v>
      </c>
      <c r="M2410">
        <v>82.772999999999996</v>
      </c>
      <c r="N2410">
        <v>84.913060999999999</v>
      </c>
      <c r="O2410">
        <v>28.515999999999998</v>
      </c>
      <c r="P2410">
        <v>32.256999999999998</v>
      </c>
      <c r="Q2410">
        <v>21.356000000000002</v>
      </c>
      <c r="R2410" t="s">
        <v>1145</v>
      </c>
      <c r="S2410" t="s">
        <v>83</v>
      </c>
      <c r="T2410">
        <f>IF(TRIM(Table1[[#This Row],[PitStopLaps]])="",0,
LEN(Table1[[#This Row],[PitStopLaps]])-LEN(SUBSTITUTE(Table1[[#This Row],[PitStopLaps]],",",""))+1)</f>
        <v>2</v>
      </c>
      <c r="U2410">
        <f>Table1[[#This Row],[StartPosition]]-Table1[[#This Row],[FinishPosition]]</f>
        <v>5</v>
      </c>
    </row>
    <row r="2411" spans="1:21" x14ac:dyDescent="0.3">
      <c r="A2411">
        <v>2023</v>
      </c>
      <c r="B2411">
        <v>19</v>
      </c>
      <c r="C2411" t="s">
        <v>736</v>
      </c>
      <c r="D2411" t="s">
        <v>52</v>
      </c>
      <c r="E2411" t="s">
        <v>53</v>
      </c>
      <c r="F2411" t="s">
        <v>607</v>
      </c>
      <c r="G2411">
        <v>15</v>
      </c>
      <c r="H2411">
        <v>10</v>
      </c>
      <c r="I2411">
        <v>1</v>
      </c>
      <c r="J2411" t="s">
        <v>34</v>
      </c>
      <c r="K2411" t="s">
        <v>24</v>
      </c>
      <c r="L2411">
        <v>71</v>
      </c>
      <c r="M2411">
        <v>82.975999999999999</v>
      </c>
      <c r="N2411">
        <v>85.160437000000002</v>
      </c>
      <c r="O2411">
        <v>28.722000000000001</v>
      </c>
      <c r="P2411">
        <v>32.168999999999997</v>
      </c>
      <c r="Q2411">
        <v>21.436</v>
      </c>
      <c r="R2411">
        <v>34</v>
      </c>
      <c r="S2411" t="s">
        <v>83</v>
      </c>
      <c r="T2411">
        <f>IF(TRIM(Table1[[#This Row],[PitStopLaps]])="",0,
LEN(Table1[[#This Row],[PitStopLaps]])-LEN(SUBSTITUTE(Table1[[#This Row],[PitStopLaps]],",",""))+1)</f>
        <v>1</v>
      </c>
      <c r="U2411">
        <f>Table1[[#This Row],[StartPosition]]-Table1[[#This Row],[FinishPosition]]</f>
        <v>5</v>
      </c>
    </row>
    <row r="2412" spans="1:21" x14ac:dyDescent="0.3">
      <c r="A2412">
        <v>2023</v>
      </c>
      <c r="B2412">
        <v>19</v>
      </c>
      <c r="C2412" t="s">
        <v>736</v>
      </c>
      <c r="D2412" t="s">
        <v>73</v>
      </c>
      <c r="E2412" t="s">
        <v>74</v>
      </c>
      <c r="F2412" t="s">
        <v>607</v>
      </c>
      <c r="G2412">
        <v>11</v>
      </c>
      <c r="H2412">
        <v>11</v>
      </c>
      <c r="I2412">
        <v>0</v>
      </c>
      <c r="J2412" t="s">
        <v>34</v>
      </c>
      <c r="K2412" t="s">
        <v>24</v>
      </c>
      <c r="L2412">
        <v>71</v>
      </c>
      <c r="M2412">
        <v>83.23</v>
      </c>
      <c r="N2412">
        <v>85.060952999999998</v>
      </c>
      <c r="O2412">
        <v>28.786999999999999</v>
      </c>
      <c r="P2412">
        <v>32.353999999999999</v>
      </c>
      <c r="Q2412">
        <v>21.504000000000001</v>
      </c>
      <c r="R2412" t="s">
        <v>1146</v>
      </c>
      <c r="S2412" t="s">
        <v>83</v>
      </c>
      <c r="T2412">
        <f>IF(TRIM(Table1[[#This Row],[PitStopLaps]])="",0,
LEN(Table1[[#This Row],[PitStopLaps]])-LEN(SUBSTITUTE(Table1[[#This Row],[PitStopLaps]],",",""))+1)</f>
        <v>2</v>
      </c>
      <c r="U2412">
        <f>Table1[[#This Row],[StartPosition]]-Table1[[#This Row],[FinishPosition]]</f>
        <v>0</v>
      </c>
    </row>
    <row r="2413" spans="1:21" x14ac:dyDescent="0.3">
      <c r="A2413">
        <v>2023</v>
      </c>
      <c r="B2413">
        <v>19</v>
      </c>
      <c r="C2413" t="s">
        <v>736</v>
      </c>
      <c r="D2413" t="s">
        <v>601</v>
      </c>
      <c r="E2413" t="s">
        <v>602</v>
      </c>
      <c r="F2413" t="s">
        <v>438</v>
      </c>
      <c r="G2413">
        <v>18</v>
      </c>
      <c r="H2413">
        <v>12</v>
      </c>
      <c r="I2413">
        <v>0</v>
      </c>
      <c r="J2413" t="s">
        <v>34</v>
      </c>
      <c r="K2413" t="s">
        <v>24</v>
      </c>
      <c r="L2413">
        <v>71</v>
      </c>
      <c r="M2413">
        <v>82.501000000000005</v>
      </c>
      <c r="N2413">
        <v>85.166697999999997</v>
      </c>
      <c r="O2413">
        <v>28.628</v>
      </c>
      <c r="P2413">
        <v>32.005000000000003</v>
      </c>
      <c r="Q2413">
        <v>21.327999999999999</v>
      </c>
      <c r="R2413" t="s">
        <v>762</v>
      </c>
      <c r="S2413" t="s">
        <v>83</v>
      </c>
      <c r="T2413">
        <f>IF(TRIM(Table1[[#This Row],[PitStopLaps]])="",0,
LEN(Table1[[#This Row],[PitStopLaps]])-LEN(SUBSTITUTE(Table1[[#This Row],[PitStopLaps]],",",""))+1)</f>
        <v>2</v>
      </c>
      <c r="U2413">
        <f>Table1[[#This Row],[StartPosition]]-Table1[[#This Row],[FinishPosition]]</f>
        <v>6</v>
      </c>
    </row>
    <row r="2414" spans="1:21" x14ac:dyDescent="0.3">
      <c r="A2414">
        <v>2023</v>
      </c>
      <c r="B2414">
        <v>19</v>
      </c>
      <c r="C2414" t="s">
        <v>736</v>
      </c>
      <c r="D2414" t="s">
        <v>40</v>
      </c>
      <c r="E2414" t="s">
        <v>41</v>
      </c>
      <c r="F2414" t="s">
        <v>69</v>
      </c>
      <c r="G2414">
        <v>12</v>
      </c>
      <c r="H2414">
        <v>13</v>
      </c>
      <c r="I2414">
        <v>0</v>
      </c>
      <c r="J2414" t="s">
        <v>34</v>
      </c>
      <c r="K2414" t="s">
        <v>24</v>
      </c>
      <c r="L2414">
        <v>71</v>
      </c>
      <c r="M2414">
        <v>83.221999999999994</v>
      </c>
      <c r="N2414">
        <v>85.348031000000006</v>
      </c>
      <c r="O2414">
        <v>28.574999999999999</v>
      </c>
      <c r="P2414">
        <v>32.799999999999997</v>
      </c>
      <c r="Q2414">
        <v>21.273</v>
      </c>
      <c r="R2414" t="s">
        <v>1147</v>
      </c>
      <c r="S2414" t="s">
        <v>83</v>
      </c>
      <c r="T2414">
        <f>IF(TRIM(Table1[[#This Row],[PitStopLaps]])="",0,
LEN(Table1[[#This Row],[PitStopLaps]])-LEN(SUBSTITUTE(Table1[[#This Row],[PitStopLaps]],",",""))+1)</f>
        <v>2</v>
      </c>
      <c r="U2414">
        <f>Table1[[#This Row],[StartPosition]]-Table1[[#This Row],[FinishPosition]]</f>
        <v>-1</v>
      </c>
    </row>
    <row r="2415" spans="1:21" x14ac:dyDescent="0.3">
      <c r="A2415">
        <v>2023</v>
      </c>
      <c r="B2415">
        <v>19</v>
      </c>
      <c r="C2415" t="s">
        <v>736</v>
      </c>
      <c r="D2415" t="s">
        <v>794</v>
      </c>
      <c r="E2415" t="s">
        <v>795</v>
      </c>
      <c r="F2415" t="s">
        <v>789</v>
      </c>
      <c r="G2415">
        <v>10</v>
      </c>
      <c r="H2415">
        <v>14</v>
      </c>
      <c r="I2415">
        <v>0</v>
      </c>
      <c r="J2415" t="s">
        <v>34</v>
      </c>
      <c r="K2415" t="s">
        <v>24</v>
      </c>
      <c r="L2415">
        <v>71</v>
      </c>
      <c r="M2415">
        <v>83.566999999999993</v>
      </c>
      <c r="N2415">
        <v>85.296919000000003</v>
      </c>
      <c r="O2415">
        <v>28.983000000000001</v>
      </c>
      <c r="P2415">
        <v>32.558</v>
      </c>
      <c r="Q2415">
        <v>21.495000000000001</v>
      </c>
      <c r="R2415" t="s">
        <v>1148</v>
      </c>
      <c r="S2415" t="s">
        <v>83</v>
      </c>
      <c r="T2415">
        <f>IF(TRIM(Table1[[#This Row],[PitStopLaps]])="",0,
LEN(Table1[[#This Row],[PitStopLaps]])-LEN(SUBSTITUTE(Table1[[#This Row],[PitStopLaps]],",",""))+1)</f>
        <v>2</v>
      </c>
      <c r="U2415">
        <f>Table1[[#This Row],[StartPosition]]-Table1[[#This Row],[FinishPosition]]</f>
        <v>-4</v>
      </c>
    </row>
    <row r="2416" spans="1:21" x14ac:dyDescent="0.3">
      <c r="A2416">
        <v>2023</v>
      </c>
      <c r="B2416">
        <v>19</v>
      </c>
      <c r="C2416" t="s">
        <v>736</v>
      </c>
      <c r="D2416" t="s">
        <v>43</v>
      </c>
      <c r="E2416" t="s">
        <v>44</v>
      </c>
      <c r="F2416" t="s">
        <v>789</v>
      </c>
      <c r="G2416">
        <v>9</v>
      </c>
      <c r="H2416">
        <v>15</v>
      </c>
      <c r="I2416">
        <v>0</v>
      </c>
      <c r="J2416" t="s">
        <v>34</v>
      </c>
      <c r="K2416" t="s">
        <v>24</v>
      </c>
      <c r="L2416">
        <v>71</v>
      </c>
      <c r="M2416">
        <v>83.165999999999997</v>
      </c>
      <c r="N2416">
        <v>85.212491999999997</v>
      </c>
      <c r="O2416">
        <v>28.559000000000001</v>
      </c>
      <c r="P2416">
        <v>32.69</v>
      </c>
      <c r="Q2416">
        <v>21.574999999999999</v>
      </c>
      <c r="R2416" t="s">
        <v>1139</v>
      </c>
      <c r="S2416" t="s">
        <v>83</v>
      </c>
      <c r="T2416">
        <f>IF(TRIM(Table1[[#This Row],[PitStopLaps]])="",0,
LEN(Table1[[#This Row],[PitStopLaps]])-LEN(SUBSTITUTE(Table1[[#This Row],[PitStopLaps]],",",""))+1)</f>
        <v>2</v>
      </c>
      <c r="U2416">
        <f>Table1[[#This Row],[StartPosition]]-Table1[[#This Row],[FinishPosition]]</f>
        <v>-6</v>
      </c>
    </row>
    <row r="2417" spans="1:21" x14ac:dyDescent="0.3">
      <c r="A2417">
        <v>2023</v>
      </c>
      <c r="B2417">
        <v>19</v>
      </c>
      <c r="C2417" t="s">
        <v>736</v>
      </c>
      <c r="D2417" t="s">
        <v>992</v>
      </c>
      <c r="E2417" t="s">
        <v>993</v>
      </c>
      <c r="F2417" t="s">
        <v>60</v>
      </c>
      <c r="G2417">
        <v>19</v>
      </c>
      <c r="H2417">
        <v>16</v>
      </c>
      <c r="I2417">
        <v>0</v>
      </c>
      <c r="J2417" t="s">
        <v>34</v>
      </c>
      <c r="K2417" t="s">
        <v>179</v>
      </c>
      <c r="L2417">
        <v>71</v>
      </c>
      <c r="M2417">
        <v>83.003</v>
      </c>
      <c r="N2417">
        <v>85.075049000000007</v>
      </c>
      <c r="O2417">
        <v>28.591000000000001</v>
      </c>
      <c r="P2417">
        <v>32.411000000000001</v>
      </c>
      <c r="Q2417">
        <v>21.439</v>
      </c>
      <c r="R2417" t="s">
        <v>1149</v>
      </c>
      <c r="S2417" t="s">
        <v>83</v>
      </c>
      <c r="T2417">
        <f>IF(TRIM(Table1[[#This Row],[PitStopLaps]])="",0,
LEN(Table1[[#This Row],[PitStopLaps]])-LEN(SUBSTITUTE(Table1[[#This Row],[PitStopLaps]],",",""))+1)</f>
        <v>3</v>
      </c>
      <c r="U2417">
        <f>Table1[[#This Row],[StartPosition]]-Table1[[#This Row],[FinishPosition]]</f>
        <v>3</v>
      </c>
    </row>
    <row r="2418" spans="1:21" x14ac:dyDescent="0.3">
      <c r="A2418">
        <v>2023</v>
      </c>
      <c r="B2418">
        <v>19</v>
      </c>
      <c r="C2418" t="s">
        <v>736</v>
      </c>
      <c r="D2418" t="s">
        <v>58</v>
      </c>
      <c r="E2418" t="s">
        <v>59</v>
      </c>
      <c r="F2418" t="s">
        <v>603</v>
      </c>
      <c r="G2418">
        <v>0</v>
      </c>
      <c r="H2418">
        <v>17</v>
      </c>
      <c r="I2418">
        <v>0</v>
      </c>
      <c r="J2418" t="s">
        <v>34</v>
      </c>
      <c r="K2418" t="s">
        <v>109</v>
      </c>
      <c r="L2418">
        <v>66</v>
      </c>
      <c r="M2418">
        <v>83.257000000000005</v>
      </c>
      <c r="N2418">
        <v>85.094232000000005</v>
      </c>
      <c r="O2418">
        <v>28.695</v>
      </c>
      <c r="P2418">
        <v>32.540999999999997</v>
      </c>
      <c r="Q2418">
        <v>21.559000000000001</v>
      </c>
      <c r="R2418" t="s">
        <v>1150</v>
      </c>
      <c r="S2418" t="s">
        <v>83</v>
      </c>
      <c r="T2418">
        <f>IF(TRIM(Table1[[#This Row],[PitStopLaps]])="",0,
LEN(Table1[[#This Row],[PitStopLaps]])-LEN(SUBSTITUTE(Table1[[#This Row],[PitStopLaps]],",",""))+1)</f>
        <v>3</v>
      </c>
      <c r="U2418">
        <f>Table1[[#This Row],[StartPosition]]-Table1[[#This Row],[FinishPosition]]</f>
        <v>-17</v>
      </c>
    </row>
    <row r="2419" spans="1:21" x14ac:dyDescent="0.3">
      <c r="A2419">
        <v>2023</v>
      </c>
      <c r="B2419">
        <v>19</v>
      </c>
      <c r="C2419" t="s">
        <v>736</v>
      </c>
      <c r="D2419" t="s">
        <v>35</v>
      </c>
      <c r="E2419" t="s">
        <v>36</v>
      </c>
      <c r="F2419" t="s">
        <v>603</v>
      </c>
      <c r="G2419">
        <v>13</v>
      </c>
      <c r="H2419">
        <v>18</v>
      </c>
      <c r="I2419">
        <v>0</v>
      </c>
      <c r="J2419" t="s">
        <v>34</v>
      </c>
      <c r="K2419" t="s">
        <v>402</v>
      </c>
      <c r="L2419">
        <v>47</v>
      </c>
      <c r="M2419">
        <v>83.531000000000006</v>
      </c>
      <c r="N2419">
        <v>85.862647999999993</v>
      </c>
      <c r="O2419">
        <v>29.175999999999998</v>
      </c>
      <c r="P2419">
        <v>32.616999999999997</v>
      </c>
      <c r="Q2419">
        <v>21.655999999999999</v>
      </c>
      <c r="R2419" t="s">
        <v>1151</v>
      </c>
      <c r="S2419" t="s">
        <v>83</v>
      </c>
      <c r="T2419">
        <f>IF(TRIM(Table1[[#This Row],[PitStopLaps]])="",0,
LEN(Table1[[#This Row],[PitStopLaps]])-LEN(SUBSTITUTE(Table1[[#This Row],[PitStopLaps]],",",""))+1)</f>
        <v>3</v>
      </c>
      <c r="U2419">
        <f>Table1[[#This Row],[StartPosition]]-Table1[[#This Row],[FinishPosition]]</f>
        <v>-5</v>
      </c>
    </row>
    <row r="2420" spans="1:21" x14ac:dyDescent="0.3">
      <c r="A2420">
        <v>2023</v>
      </c>
      <c r="B2420">
        <v>19</v>
      </c>
      <c r="C2420" t="s">
        <v>736</v>
      </c>
      <c r="D2420" t="s">
        <v>71</v>
      </c>
      <c r="E2420" t="s">
        <v>72</v>
      </c>
      <c r="F2420" t="s">
        <v>69</v>
      </c>
      <c r="G2420">
        <v>16</v>
      </c>
      <c r="H2420">
        <v>19</v>
      </c>
      <c r="I2420">
        <v>0</v>
      </c>
      <c r="J2420" t="s">
        <v>34</v>
      </c>
      <c r="K2420" t="s">
        <v>123</v>
      </c>
      <c r="L2420">
        <v>32</v>
      </c>
      <c r="M2420">
        <v>83.146000000000001</v>
      </c>
      <c r="N2420">
        <v>84.973652999999999</v>
      </c>
      <c r="O2420">
        <v>28.792000000000002</v>
      </c>
      <c r="P2420">
        <v>32.558</v>
      </c>
      <c r="Q2420">
        <v>21.57</v>
      </c>
      <c r="R2420">
        <v>23</v>
      </c>
      <c r="S2420" t="s">
        <v>83</v>
      </c>
      <c r="T2420">
        <f>IF(TRIM(Table1[[#This Row],[PitStopLaps]])="",0,
LEN(Table1[[#This Row],[PitStopLaps]])-LEN(SUBSTITUTE(Table1[[#This Row],[PitStopLaps]],",",""))+1)</f>
        <v>1</v>
      </c>
      <c r="U2420">
        <f>Table1[[#This Row],[StartPosition]]-Table1[[#This Row],[FinishPosition]]</f>
        <v>-3</v>
      </c>
    </row>
    <row r="2421" spans="1:21" x14ac:dyDescent="0.3">
      <c r="A2421">
        <v>2023</v>
      </c>
      <c r="B2421">
        <v>19</v>
      </c>
      <c r="C2421" t="s">
        <v>736</v>
      </c>
      <c r="D2421" t="s">
        <v>49</v>
      </c>
      <c r="E2421" t="s">
        <v>50</v>
      </c>
      <c r="F2421" t="s">
        <v>33</v>
      </c>
      <c r="G2421">
        <v>5</v>
      </c>
      <c r="H2421">
        <v>20</v>
      </c>
      <c r="I2421">
        <v>0</v>
      </c>
      <c r="J2421" t="s">
        <v>34</v>
      </c>
      <c r="K2421" t="s">
        <v>109</v>
      </c>
      <c r="L2421">
        <v>1</v>
      </c>
      <c r="R2421">
        <v>1</v>
      </c>
      <c r="S2421" t="s">
        <v>83</v>
      </c>
      <c r="T2421">
        <f>IF(TRIM(Table1[[#This Row],[PitStopLaps]])="",0,
LEN(Table1[[#This Row],[PitStopLaps]])-LEN(SUBSTITUTE(Table1[[#This Row],[PitStopLaps]],",",""))+1)</f>
        <v>1</v>
      </c>
      <c r="U2421">
        <f>Table1[[#This Row],[StartPosition]]-Table1[[#This Row],[FinishPosition]]</f>
        <v>-15</v>
      </c>
    </row>
    <row r="2422" spans="1:21" x14ac:dyDescent="0.3">
      <c r="A2422">
        <v>2023</v>
      </c>
      <c r="B2422">
        <v>20</v>
      </c>
      <c r="C2422" t="s">
        <v>741</v>
      </c>
      <c r="D2422" t="s">
        <v>38</v>
      </c>
      <c r="E2422" t="s">
        <v>39</v>
      </c>
      <c r="F2422" t="s">
        <v>33</v>
      </c>
      <c r="G2422">
        <v>1</v>
      </c>
      <c r="H2422">
        <v>1</v>
      </c>
      <c r="I2422">
        <v>25</v>
      </c>
      <c r="J2422" t="s">
        <v>23</v>
      </c>
      <c r="K2422" t="s">
        <v>24</v>
      </c>
      <c r="L2422">
        <v>71</v>
      </c>
      <c r="M2422">
        <v>73.421999999999997</v>
      </c>
      <c r="N2422">
        <v>76.200295999999994</v>
      </c>
      <c r="O2422">
        <v>18.888000000000002</v>
      </c>
      <c r="P2422">
        <v>37.35</v>
      </c>
      <c r="Q2422">
        <v>16.913</v>
      </c>
      <c r="R2422" t="s">
        <v>1152</v>
      </c>
      <c r="S2422" t="s">
        <v>25</v>
      </c>
      <c r="T2422">
        <f>IF(TRIM(Table1[[#This Row],[PitStopLaps]])="",0,
LEN(Table1[[#This Row],[PitStopLaps]])-LEN(SUBSTITUTE(Table1[[#This Row],[PitStopLaps]],",",""))+1)</f>
        <v>4</v>
      </c>
      <c r="U2422">
        <f>Table1[[#This Row],[StartPosition]]-Table1[[#This Row],[FinishPosition]]</f>
        <v>0</v>
      </c>
    </row>
    <row r="2423" spans="1:21" x14ac:dyDescent="0.3">
      <c r="A2423">
        <v>2023</v>
      </c>
      <c r="B2423">
        <v>20</v>
      </c>
      <c r="C2423" t="s">
        <v>741</v>
      </c>
      <c r="D2423" t="s">
        <v>246</v>
      </c>
      <c r="E2423" t="s">
        <v>247</v>
      </c>
      <c r="F2423" t="s">
        <v>37</v>
      </c>
      <c r="G2423">
        <v>6</v>
      </c>
      <c r="H2423">
        <v>2</v>
      </c>
      <c r="I2423">
        <v>19</v>
      </c>
      <c r="J2423" t="s">
        <v>23</v>
      </c>
      <c r="K2423" t="s">
        <v>24</v>
      </c>
      <c r="L2423">
        <v>71</v>
      </c>
      <c r="M2423">
        <v>72.486000000000004</v>
      </c>
      <c r="N2423">
        <v>76.250811999999996</v>
      </c>
      <c r="O2423">
        <v>18.84</v>
      </c>
      <c r="P2423">
        <v>36.731000000000002</v>
      </c>
      <c r="Q2423">
        <v>16.914999999999999</v>
      </c>
      <c r="R2423" t="s">
        <v>1153</v>
      </c>
      <c r="S2423" t="s">
        <v>25</v>
      </c>
      <c r="T2423">
        <f>IF(TRIM(Table1[[#This Row],[PitStopLaps]])="",0,
LEN(Table1[[#This Row],[PitStopLaps]])-LEN(SUBSTITUTE(Table1[[#This Row],[PitStopLaps]],",",""))+1)</f>
        <v>4</v>
      </c>
      <c r="U2423">
        <f>Table1[[#This Row],[StartPosition]]-Table1[[#This Row],[FinishPosition]]</f>
        <v>4</v>
      </c>
    </row>
    <row r="2424" spans="1:21" x14ac:dyDescent="0.3">
      <c r="A2424">
        <v>2023</v>
      </c>
      <c r="B2424">
        <v>20</v>
      </c>
      <c r="C2424" t="s">
        <v>741</v>
      </c>
      <c r="D2424" t="s">
        <v>35</v>
      </c>
      <c r="E2424" t="s">
        <v>36</v>
      </c>
      <c r="F2424" t="s">
        <v>603</v>
      </c>
      <c r="G2424">
        <v>4</v>
      </c>
      <c r="H2424">
        <v>3</v>
      </c>
      <c r="I2424">
        <v>15</v>
      </c>
      <c r="J2424" t="s">
        <v>23</v>
      </c>
      <c r="K2424" t="s">
        <v>24</v>
      </c>
      <c r="L2424">
        <v>71</v>
      </c>
      <c r="M2424">
        <v>74.441999999999993</v>
      </c>
      <c r="N2424">
        <v>76.498906000000005</v>
      </c>
      <c r="O2424">
        <v>19.001000000000001</v>
      </c>
      <c r="P2424">
        <v>37.954999999999998</v>
      </c>
      <c r="Q2424">
        <v>17.172000000000001</v>
      </c>
      <c r="R2424" t="s">
        <v>1154</v>
      </c>
      <c r="S2424" t="s">
        <v>25</v>
      </c>
      <c r="T2424">
        <f>IF(TRIM(Table1[[#This Row],[PitStopLaps]])="",0,
LEN(Table1[[#This Row],[PitStopLaps]])-LEN(SUBSTITUTE(Table1[[#This Row],[PitStopLaps]],",",""))+1)</f>
        <v>4</v>
      </c>
      <c r="U2424">
        <f>Table1[[#This Row],[StartPosition]]-Table1[[#This Row],[FinishPosition]]</f>
        <v>1</v>
      </c>
    </row>
    <row r="2425" spans="1:21" x14ac:dyDescent="0.3">
      <c r="A2425">
        <v>2023</v>
      </c>
      <c r="B2425">
        <v>20</v>
      </c>
      <c r="C2425" t="s">
        <v>741</v>
      </c>
      <c r="D2425" t="s">
        <v>49</v>
      </c>
      <c r="E2425" t="s">
        <v>50</v>
      </c>
      <c r="F2425" t="s">
        <v>33</v>
      </c>
      <c r="G2425">
        <v>9</v>
      </c>
      <c r="H2425">
        <v>4</v>
      </c>
      <c r="I2425">
        <v>12</v>
      </c>
      <c r="J2425" t="s">
        <v>34</v>
      </c>
      <c r="K2425" t="s">
        <v>24</v>
      </c>
      <c r="L2425">
        <v>71</v>
      </c>
      <c r="M2425">
        <v>74.123999999999995</v>
      </c>
      <c r="N2425">
        <v>76.362875000000003</v>
      </c>
      <c r="O2425">
        <v>18.963000000000001</v>
      </c>
      <c r="P2425">
        <v>38.054000000000002</v>
      </c>
      <c r="Q2425">
        <v>16.972000000000001</v>
      </c>
      <c r="R2425" t="s">
        <v>1155</v>
      </c>
      <c r="S2425" t="s">
        <v>25</v>
      </c>
      <c r="T2425">
        <f>IF(TRIM(Table1[[#This Row],[PitStopLaps]])="",0,
LEN(Table1[[#This Row],[PitStopLaps]])-LEN(SUBSTITUTE(Table1[[#This Row],[PitStopLaps]],",",""))+1)</f>
        <v>4</v>
      </c>
      <c r="U2425">
        <f>Table1[[#This Row],[StartPosition]]-Table1[[#This Row],[FinishPosition]]</f>
        <v>5</v>
      </c>
    </row>
    <row r="2426" spans="1:21" x14ac:dyDescent="0.3">
      <c r="A2426">
        <v>2023</v>
      </c>
      <c r="B2426">
        <v>20</v>
      </c>
      <c r="C2426" t="s">
        <v>741</v>
      </c>
      <c r="D2426" t="s">
        <v>58</v>
      </c>
      <c r="E2426" t="s">
        <v>59</v>
      </c>
      <c r="F2426" t="s">
        <v>603</v>
      </c>
      <c r="G2426">
        <v>3</v>
      </c>
      <c r="H2426">
        <v>5</v>
      </c>
      <c r="I2426">
        <v>10</v>
      </c>
      <c r="J2426" t="s">
        <v>34</v>
      </c>
      <c r="K2426" t="s">
        <v>24</v>
      </c>
      <c r="L2426">
        <v>71</v>
      </c>
      <c r="M2426">
        <v>74.007000000000005</v>
      </c>
      <c r="N2426">
        <v>76.581609</v>
      </c>
      <c r="O2426">
        <v>19.001000000000001</v>
      </c>
      <c r="P2426">
        <v>37.783999999999999</v>
      </c>
      <c r="Q2426">
        <v>17.067</v>
      </c>
      <c r="R2426" t="s">
        <v>1156</v>
      </c>
      <c r="S2426" t="s">
        <v>25</v>
      </c>
      <c r="T2426">
        <f>IF(TRIM(Table1[[#This Row],[PitStopLaps]])="",0,
LEN(Table1[[#This Row],[PitStopLaps]])-LEN(SUBSTITUTE(Table1[[#This Row],[PitStopLaps]],",",""))+1)</f>
        <v>4</v>
      </c>
      <c r="U2426">
        <f>Table1[[#This Row],[StartPosition]]-Table1[[#This Row],[FinishPosition]]</f>
        <v>-2</v>
      </c>
    </row>
    <row r="2427" spans="1:21" x14ac:dyDescent="0.3">
      <c r="A2427">
        <v>2023</v>
      </c>
      <c r="B2427">
        <v>20</v>
      </c>
      <c r="C2427" t="s">
        <v>741</v>
      </c>
      <c r="D2427" t="s">
        <v>47</v>
      </c>
      <c r="E2427" t="s">
        <v>48</v>
      </c>
      <c r="F2427" t="s">
        <v>22</v>
      </c>
      <c r="G2427">
        <v>7</v>
      </c>
      <c r="H2427">
        <v>6</v>
      </c>
      <c r="I2427">
        <v>8</v>
      </c>
      <c r="J2427" t="s">
        <v>34</v>
      </c>
      <c r="K2427" t="s">
        <v>24</v>
      </c>
      <c r="L2427">
        <v>71</v>
      </c>
      <c r="M2427">
        <v>74.406000000000006</v>
      </c>
      <c r="N2427">
        <v>76.562467999999996</v>
      </c>
      <c r="O2427">
        <v>19.114999999999998</v>
      </c>
      <c r="P2427">
        <v>37.929000000000002</v>
      </c>
      <c r="Q2427">
        <v>17.257999999999999</v>
      </c>
      <c r="R2427" t="s">
        <v>1157</v>
      </c>
      <c r="S2427" t="s">
        <v>25</v>
      </c>
      <c r="T2427">
        <f>IF(TRIM(Table1[[#This Row],[PitStopLaps]])="",0,
LEN(Table1[[#This Row],[PitStopLaps]])-LEN(SUBSTITUTE(Table1[[#This Row],[PitStopLaps]],",",""))+1)</f>
        <v>4</v>
      </c>
      <c r="U2427">
        <f>Table1[[#This Row],[StartPosition]]-Table1[[#This Row],[FinishPosition]]</f>
        <v>1</v>
      </c>
    </row>
    <row r="2428" spans="1:21" x14ac:dyDescent="0.3">
      <c r="A2428">
        <v>2023</v>
      </c>
      <c r="B2428">
        <v>20</v>
      </c>
      <c r="C2428" t="s">
        <v>741</v>
      </c>
      <c r="D2428" t="s">
        <v>73</v>
      </c>
      <c r="E2428" t="s">
        <v>74</v>
      </c>
      <c r="F2428" t="s">
        <v>607</v>
      </c>
      <c r="G2428">
        <v>15</v>
      </c>
      <c r="H2428">
        <v>7</v>
      </c>
      <c r="I2428">
        <v>6</v>
      </c>
      <c r="J2428" t="s">
        <v>34</v>
      </c>
      <c r="K2428" t="s">
        <v>24</v>
      </c>
      <c r="L2428">
        <v>71</v>
      </c>
      <c r="M2428">
        <v>74.521000000000001</v>
      </c>
      <c r="N2428">
        <v>76.114750000000001</v>
      </c>
      <c r="O2428">
        <v>19.059000000000001</v>
      </c>
      <c r="P2428">
        <v>38.216999999999999</v>
      </c>
      <c r="Q2428">
        <v>16.957999999999998</v>
      </c>
      <c r="R2428" t="s">
        <v>1158</v>
      </c>
      <c r="S2428" t="s">
        <v>25</v>
      </c>
      <c r="T2428">
        <f>IF(TRIM(Table1[[#This Row],[PitStopLaps]])="",0,
LEN(Table1[[#This Row],[PitStopLaps]])-LEN(SUBSTITUTE(Table1[[#This Row],[PitStopLaps]],",",""))+1)</f>
        <v>4</v>
      </c>
      <c r="U2428">
        <f>Table1[[#This Row],[StartPosition]]-Table1[[#This Row],[FinishPosition]]</f>
        <v>8</v>
      </c>
    </row>
    <row r="2429" spans="1:21" x14ac:dyDescent="0.3">
      <c r="A2429">
        <v>2023</v>
      </c>
      <c r="B2429">
        <v>20</v>
      </c>
      <c r="C2429" t="s">
        <v>741</v>
      </c>
      <c r="D2429" t="s">
        <v>26</v>
      </c>
      <c r="E2429" t="s">
        <v>27</v>
      </c>
      <c r="F2429" t="s">
        <v>28</v>
      </c>
      <c r="G2429">
        <v>5</v>
      </c>
      <c r="H2429">
        <v>8</v>
      </c>
      <c r="I2429">
        <v>4</v>
      </c>
      <c r="J2429" t="s">
        <v>34</v>
      </c>
      <c r="K2429" t="s">
        <v>24</v>
      </c>
      <c r="L2429">
        <v>71</v>
      </c>
      <c r="M2429">
        <v>74.739000000000004</v>
      </c>
      <c r="N2429">
        <v>76.936374999999998</v>
      </c>
      <c r="O2429">
        <v>19.11</v>
      </c>
      <c r="P2429">
        <v>38.290999999999997</v>
      </c>
      <c r="Q2429">
        <v>17.097999999999999</v>
      </c>
      <c r="R2429" t="s">
        <v>1159</v>
      </c>
      <c r="S2429" t="s">
        <v>25</v>
      </c>
      <c r="T2429">
        <f>IF(TRIM(Table1[[#This Row],[PitStopLaps]])="",0,
LEN(Table1[[#This Row],[PitStopLaps]])-LEN(SUBSTITUTE(Table1[[#This Row],[PitStopLaps]],",",""))+1)</f>
        <v>4</v>
      </c>
      <c r="U2429">
        <f>Table1[[#This Row],[StartPosition]]-Table1[[#This Row],[FinishPosition]]</f>
        <v>-3</v>
      </c>
    </row>
    <row r="2430" spans="1:21" x14ac:dyDescent="0.3">
      <c r="A2430">
        <v>2023</v>
      </c>
      <c r="B2430">
        <v>20</v>
      </c>
      <c r="C2430" t="s">
        <v>741</v>
      </c>
      <c r="D2430" t="s">
        <v>601</v>
      </c>
      <c r="E2430" t="s">
        <v>602</v>
      </c>
      <c r="F2430" t="s">
        <v>438</v>
      </c>
      <c r="G2430">
        <v>16</v>
      </c>
      <c r="H2430">
        <v>9</v>
      </c>
      <c r="I2430">
        <v>2</v>
      </c>
      <c r="J2430" t="s">
        <v>34</v>
      </c>
      <c r="K2430" t="s">
        <v>24</v>
      </c>
      <c r="L2430">
        <v>71</v>
      </c>
      <c r="M2430">
        <v>74.230999999999995</v>
      </c>
      <c r="N2430">
        <v>76.275092999999998</v>
      </c>
      <c r="O2430">
        <v>19.074999999999999</v>
      </c>
      <c r="P2430">
        <v>37.813000000000002</v>
      </c>
      <c r="Q2430">
        <v>17.239999999999998</v>
      </c>
      <c r="R2430" t="s">
        <v>1160</v>
      </c>
      <c r="S2430" t="s">
        <v>25</v>
      </c>
      <c r="T2430">
        <f>IF(TRIM(Table1[[#This Row],[PitStopLaps]])="",0,
LEN(Table1[[#This Row],[PitStopLaps]])-LEN(SUBSTITUTE(Table1[[#This Row],[PitStopLaps]],",",""))+1)</f>
        <v>4</v>
      </c>
      <c r="U2430">
        <f>Table1[[#This Row],[StartPosition]]-Table1[[#This Row],[FinishPosition]]</f>
        <v>7</v>
      </c>
    </row>
    <row r="2431" spans="1:21" x14ac:dyDescent="0.3">
      <c r="A2431">
        <v>2023</v>
      </c>
      <c r="B2431">
        <v>20</v>
      </c>
      <c r="C2431" t="s">
        <v>741</v>
      </c>
      <c r="D2431" t="s">
        <v>52</v>
      </c>
      <c r="E2431" t="s">
        <v>53</v>
      </c>
      <c r="F2431" t="s">
        <v>607</v>
      </c>
      <c r="G2431">
        <v>14</v>
      </c>
      <c r="H2431">
        <v>10</v>
      </c>
      <c r="I2431">
        <v>1</v>
      </c>
      <c r="J2431" t="s">
        <v>34</v>
      </c>
      <c r="K2431" t="s">
        <v>994</v>
      </c>
      <c r="L2431">
        <v>70</v>
      </c>
      <c r="M2431">
        <v>74.206000000000003</v>
      </c>
      <c r="N2431">
        <v>76.274557000000001</v>
      </c>
      <c r="O2431">
        <v>19.006</v>
      </c>
      <c r="P2431">
        <v>38.173999999999999</v>
      </c>
      <c r="Q2431">
        <v>16.920000000000002</v>
      </c>
      <c r="R2431" t="s">
        <v>1161</v>
      </c>
      <c r="S2431" t="s">
        <v>25</v>
      </c>
      <c r="T2431">
        <f>IF(TRIM(Table1[[#This Row],[PitStopLaps]])="",0,
LEN(Table1[[#This Row],[PitStopLaps]])-LEN(SUBSTITUTE(Table1[[#This Row],[PitStopLaps]],",",""))+1)</f>
        <v>5</v>
      </c>
      <c r="U2431">
        <f>Table1[[#This Row],[StartPosition]]-Table1[[#This Row],[FinishPosition]]</f>
        <v>4</v>
      </c>
    </row>
    <row r="2432" spans="1:21" x14ac:dyDescent="0.3">
      <c r="A2432">
        <v>2023</v>
      </c>
      <c r="B2432">
        <v>20</v>
      </c>
      <c r="C2432" t="s">
        <v>741</v>
      </c>
      <c r="D2432" t="s">
        <v>992</v>
      </c>
      <c r="E2432" t="s">
        <v>993</v>
      </c>
      <c r="F2432" t="s">
        <v>60</v>
      </c>
      <c r="G2432">
        <v>19</v>
      </c>
      <c r="H2432">
        <v>11</v>
      </c>
      <c r="I2432">
        <v>0</v>
      </c>
      <c r="J2432" t="s">
        <v>34</v>
      </c>
      <c r="K2432" t="s">
        <v>994</v>
      </c>
      <c r="L2432">
        <v>70</v>
      </c>
      <c r="M2432">
        <v>75.738</v>
      </c>
      <c r="N2432">
        <v>76.778063000000003</v>
      </c>
      <c r="O2432">
        <v>19.292999999999999</v>
      </c>
      <c r="P2432">
        <v>38.83</v>
      </c>
      <c r="Q2432">
        <v>17.321999999999999</v>
      </c>
      <c r="R2432" t="s">
        <v>1162</v>
      </c>
      <c r="S2432" t="s">
        <v>25</v>
      </c>
      <c r="T2432">
        <f>IF(TRIM(Table1[[#This Row],[PitStopLaps]])="",0,
LEN(Table1[[#This Row],[PitStopLaps]])-LEN(SUBSTITUTE(Table1[[#This Row],[PitStopLaps]],",",""))+1)</f>
        <v>4</v>
      </c>
      <c r="U2432">
        <f>Table1[[#This Row],[StartPosition]]-Table1[[#This Row],[FinishPosition]]</f>
        <v>8</v>
      </c>
    </row>
    <row r="2433" spans="1:21" x14ac:dyDescent="0.3">
      <c r="A2433">
        <v>2023</v>
      </c>
      <c r="B2433">
        <v>20</v>
      </c>
      <c r="C2433" t="s">
        <v>741</v>
      </c>
      <c r="D2433" t="s">
        <v>40</v>
      </c>
      <c r="E2433" t="s">
        <v>41</v>
      </c>
      <c r="F2433" t="s">
        <v>69</v>
      </c>
      <c r="G2433">
        <v>11</v>
      </c>
      <c r="H2433">
        <v>12</v>
      </c>
      <c r="I2433">
        <v>0</v>
      </c>
      <c r="J2433" t="s">
        <v>34</v>
      </c>
      <c r="K2433" t="s">
        <v>994</v>
      </c>
      <c r="L2433">
        <v>70</v>
      </c>
      <c r="M2433">
        <v>75.036000000000001</v>
      </c>
      <c r="N2433">
        <v>76.813316999999998</v>
      </c>
      <c r="O2433">
        <v>19.21</v>
      </c>
      <c r="P2433">
        <v>38.344000000000001</v>
      </c>
      <c r="Q2433">
        <v>17.350000000000001</v>
      </c>
      <c r="R2433" t="s">
        <v>1163</v>
      </c>
      <c r="S2433" t="s">
        <v>25</v>
      </c>
      <c r="T2433">
        <f>IF(TRIM(Table1[[#This Row],[PitStopLaps]])="",0,
LEN(Table1[[#This Row],[PitStopLaps]])-LEN(SUBSTITUTE(Table1[[#This Row],[PitStopLaps]],",",""))+1)</f>
        <v>4</v>
      </c>
      <c r="U2433">
        <f>Table1[[#This Row],[StartPosition]]-Table1[[#This Row],[FinishPosition]]</f>
        <v>-1</v>
      </c>
    </row>
    <row r="2434" spans="1:21" x14ac:dyDescent="0.3">
      <c r="A2434">
        <v>2023</v>
      </c>
      <c r="B2434">
        <v>20</v>
      </c>
      <c r="C2434" t="s">
        <v>741</v>
      </c>
      <c r="D2434" t="s">
        <v>31</v>
      </c>
      <c r="E2434" t="s">
        <v>32</v>
      </c>
      <c r="F2434" t="s">
        <v>438</v>
      </c>
      <c r="G2434">
        <v>17</v>
      </c>
      <c r="H2434">
        <v>13</v>
      </c>
      <c r="I2434">
        <v>0</v>
      </c>
      <c r="J2434" t="s">
        <v>34</v>
      </c>
      <c r="K2434" t="s">
        <v>994</v>
      </c>
      <c r="L2434">
        <v>70</v>
      </c>
      <c r="M2434">
        <v>73.866</v>
      </c>
      <c r="N2434">
        <v>76.134840999999994</v>
      </c>
      <c r="O2434">
        <v>18.896000000000001</v>
      </c>
      <c r="P2434">
        <v>37.703000000000003</v>
      </c>
      <c r="Q2434">
        <v>16.986000000000001</v>
      </c>
      <c r="R2434" t="s">
        <v>1160</v>
      </c>
      <c r="S2434" t="s">
        <v>25</v>
      </c>
      <c r="T2434">
        <f>IF(TRIM(Table1[[#This Row],[PitStopLaps]])="",0,
LEN(Table1[[#This Row],[PitStopLaps]])-LEN(SUBSTITUTE(Table1[[#This Row],[PitStopLaps]],",",""))+1)</f>
        <v>4</v>
      </c>
      <c r="U2434">
        <f>Table1[[#This Row],[StartPosition]]-Table1[[#This Row],[FinishPosition]]</f>
        <v>4</v>
      </c>
    </row>
    <row r="2435" spans="1:21" x14ac:dyDescent="0.3">
      <c r="A2435">
        <v>2023</v>
      </c>
      <c r="B2435">
        <v>20</v>
      </c>
      <c r="C2435" t="s">
        <v>741</v>
      </c>
      <c r="D2435" t="s">
        <v>1000</v>
      </c>
      <c r="E2435" t="s">
        <v>1001</v>
      </c>
      <c r="F2435" t="s">
        <v>37</v>
      </c>
      <c r="G2435">
        <v>10</v>
      </c>
      <c r="H2435">
        <v>14</v>
      </c>
      <c r="I2435">
        <v>0</v>
      </c>
      <c r="J2435" t="s">
        <v>34</v>
      </c>
      <c r="K2435" t="s">
        <v>994</v>
      </c>
      <c r="L2435">
        <v>69</v>
      </c>
      <c r="M2435">
        <v>74.31</v>
      </c>
      <c r="N2435">
        <v>76.272886999999997</v>
      </c>
      <c r="O2435">
        <v>18.988</v>
      </c>
      <c r="P2435">
        <v>37.795999999999999</v>
      </c>
      <c r="Q2435">
        <v>17.010000000000002</v>
      </c>
      <c r="R2435" t="s">
        <v>1164</v>
      </c>
      <c r="S2435" t="s">
        <v>25</v>
      </c>
      <c r="T2435">
        <f>IF(TRIM(Table1[[#This Row],[PitStopLaps]])="",0,
LEN(Table1[[#This Row],[PitStopLaps]])-LEN(SUBSTITUTE(Table1[[#This Row],[PitStopLaps]],",",""))+1)</f>
        <v>4</v>
      </c>
      <c r="U2435">
        <f>Table1[[#This Row],[StartPosition]]-Table1[[#This Row],[FinishPosition]]</f>
        <v>-4</v>
      </c>
    </row>
    <row r="2436" spans="1:21" x14ac:dyDescent="0.3">
      <c r="A2436">
        <v>2023</v>
      </c>
      <c r="B2436">
        <v>20</v>
      </c>
      <c r="C2436" t="s">
        <v>741</v>
      </c>
      <c r="D2436" t="s">
        <v>252</v>
      </c>
      <c r="E2436" t="s">
        <v>253</v>
      </c>
      <c r="F2436" t="s">
        <v>28</v>
      </c>
      <c r="G2436">
        <v>8</v>
      </c>
      <c r="H2436">
        <v>15</v>
      </c>
      <c r="I2436">
        <v>0</v>
      </c>
      <c r="J2436" t="s">
        <v>34</v>
      </c>
      <c r="K2436" t="s">
        <v>179</v>
      </c>
      <c r="L2436">
        <v>57</v>
      </c>
      <c r="M2436">
        <v>74.933999999999997</v>
      </c>
      <c r="N2436">
        <v>77.395325999999997</v>
      </c>
      <c r="O2436">
        <v>19.239999999999998</v>
      </c>
      <c r="P2436">
        <v>38.22</v>
      </c>
      <c r="Q2436">
        <v>17.331</v>
      </c>
      <c r="R2436" t="s">
        <v>1165</v>
      </c>
      <c r="S2436" t="s">
        <v>25</v>
      </c>
      <c r="T2436">
        <f>IF(TRIM(Table1[[#This Row],[PitStopLaps]])="",0,
LEN(Table1[[#This Row],[PitStopLaps]])-LEN(SUBSTITUTE(Table1[[#This Row],[PitStopLaps]],",",""))+1)</f>
        <v>5</v>
      </c>
      <c r="U2436">
        <f>Table1[[#This Row],[StartPosition]]-Table1[[#This Row],[FinishPosition]]</f>
        <v>-7</v>
      </c>
    </row>
    <row r="2437" spans="1:21" x14ac:dyDescent="0.3">
      <c r="A2437">
        <v>2023</v>
      </c>
      <c r="B2437">
        <v>20</v>
      </c>
      <c r="C2437" t="s">
        <v>741</v>
      </c>
      <c r="D2437" t="s">
        <v>43</v>
      </c>
      <c r="E2437" t="s">
        <v>44</v>
      </c>
      <c r="F2437" t="s">
        <v>789</v>
      </c>
      <c r="G2437">
        <v>18</v>
      </c>
      <c r="H2437">
        <v>16</v>
      </c>
      <c r="I2437">
        <v>0</v>
      </c>
      <c r="J2437" t="s">
        <v>34</v>
      </c>
      <c r="K2437" t="s">
        <v>179</v>
      </c>
      <c r="L2437">
        <v>39</v>
      </c>
      <c r="M2437">
        <v>75.730999999999995</v>
      </c>
      <c r="N2437">
        <v>77.178483999999997</v>
      </c>
      <c r="O2437">
        <v>19.32</v>
      </c>
      <c r="P2437">
        <v>38.835999999999999</v>
      </c>
      <c r="Q2437">
        <v>17.204000000000001</v>
      </c>
      <c r="R2437" t="s">
        <v>1166</v>
      </c>
      <c r="S2437" t="s">
        <v>25</v>
      </c>
      <c r="T2437">
        <f>IF(TRIM(Table1[[#This Row],[PitStopLaps]])="",0,
LEN(Table1[[#This Row],[PitStopLaps]])-LEN(SUBSTITUTE(Table1[[#This Row],[PitStopLaps]],",",""))+1)</f>
        <v>4</v>
      </c>
      <c r="U2437">
        <f>Table1[[#This Row],[StartPosition]]-Table1[[#This Row],[FinishPosition]]</f>
        <v>2</v>
      </c>
    </row>
    <row r="2438" spans="1:21" x14ac:dyDescent="0.3">
      <c r="A2438">
        <v>2023</v>
      </c>
      <c r="B2438">
        <v>20</v>
      </c>
      <c r="C2438" t="s">
        <v>741</v>
      </c>
      <c r="D2438" t="s">
        <v>794</v>
      </c>
      <c r="E2438" t="s">
        <v>795</v>
      </c>
      <c r="F2438" t="s">
        <v>789</v>
      </c>
      <c r="G2438">
        <v>20</v>
      </c>
      <c r="H2438">
        <v>17</v>
      </c>
      <c r="I2438">
        <v>0</v>
      </c>
      <c r="J2438" t="s">
        <v>34</v>
      </c>
      <c r="K2438" t="s">
        <v>179</v>
      </c>
      <c r="L2438">
        <v>22</v>
      </c>
      <c r="M2438">
        <v>76.231999999999999</v>
      </c>
      <c r="N2438">
        <v>77.404812000000007</v>
      </c>
      <c r="O2438">
        <v>19.527000000000001</v>
      </c>
      <c r="P2438">
        <v>38.707000000000001</v>
      </c>
      <c r="Q2438">
        <v>17.367999999999999</v>
      </c>
      <c r="R2438" t="s">
        <v>1167</v>
      </c>
      <c r="S2438" t="s">
        <v>25</v>
      </c>
      <c r="T2438">
        <f>IF(TRIM(Table1[[#This Row],[PitStopLaps]])="",0,
LEN(Table1[[#This Row],[PitStopLaps]])-LEN(SUBSTITUTE(Table1[[#This Row],[PitStopLaps]],",",""))+1)</f>
        <v>4</v>
      </c>
      <c r="U2438">
        <f>Table1[[#This Row],[StartPosition]]-Table1[[#This Row],[FinishPosition]]</f>
        <v>3</v>
      </c>
    </row>
    <row r="2439" spans="1:21" x14ac:dyDescent="0.3">
      <c r="A2439">
        <v>2023</v>
      </c>
      <c r="B2439">
        <v>20</v>
      </c>
      <c r="C2439" t="s">
        <v>741</v>
      </c>
      <c r="D2439" t="s">
        <v>71</v>
      </c>
      <c r="E2439" t="s">
        <v>72</v>
      </c>
      <c r="F2439" t="s">
        <v>69</v>
      </c>
      <c r="G2439">
        <v>12</v>
      </c>
      <c r="H2439">
        <v>18</v>
      </c>
      <c r="I2439">
        <v>0</v>
      </c>
      <c r="J2439" t="s">
        <v>34</v>
      </c>
      <c r="K2439" t="s">
        <v>179</v>
      </c>
      <c r="L2439">
        <v>1</v>
      </c>
      <c r="S2439" t="s">
        <v>25</v>
      </c>
      <c r="T2439">
        <f>IF(TRIM(Table1[[#This Row],[PitStopLaps]])="",0,
LEN(Table1[[#This Row],[PitStopLaps]])-LEN(SUBSTITUTE(Table1[[#This Row],[PitStopLaps]],",",""))+1)</f>
        <v>0</v>
      </c>
      <c r="U2439">
        <f>Table1[[#This Row],[StartPosition]]-Table1[[#This Row],[FinishPosition]]</f>
        <v>-6</v>
      </c>
    </row>
    <row r="2440" spans="1:21" x14ac:dyDescent="0.3">
      <c r="A2440">
        <v>2023</v>
      </c>
      <c r="B2440">
        <v>20</v>
      </c>
      <c r="C2440" t="s">
        <v>741</v>
      </c>
      <c r="D2440" t="s">
        <v>248</v>
      </c>
      <c r="E2440" t="s">
        <v>249</v>
      </c>
      <c r="F2440" t="s">
        <v>60</v>
      </c>
      <c r="G2440">
        <v>13</v>
      </c>
      <c r="H2440">
        <v>19</v>
      </c>
      <c r="I2440">
        <v>0</v>
      </c>
      <c r="J2440" t="s">
        <v>34</v>
      </c>
      <c r="K2440" t="s">
        <v>179</v>
      </c>
      <c r="L2440">
        <v>1</v>
      </c>
      <c r="S2440" t="s">
        <v>25</v>
      </c>
      <c r="T2440">
        <f>IF(TRIM(Table1[[#This Row],[PitStopLaps]])="",0,
LEN(Table1[[#This Row],[PitStopLaps]])-LEN(SUBSTITUTE(Table1[[#This Row],[PitStopLaps]],",",""))+1)</f>
        <v>0</v>
      </c>
      <c r="U2440">
        <f>Table1[[#This Row],[StartPosition]]-Table1[[#This Row],[FinishPosition]]</f>
        <v>-6</v>
      </c>
    </row>
    <row r="2441" spans="1:21" x14ac:dyDescent="0.3">
      <c r="A2441">
        <v>2023</v>
      </c>
      <c r="B2441">
        <v>20</v>
      </c>
      <c r="C2441" t="s">
        <v>741</v>
      </c>
      <c r="D2441" t="s">
        <v>54</v>
      </c>
      <c r="E2441" t="s">
        <v>55</v>
      </c>
      <c r="F2441" t="s">
        <v>22</v>
      </c>
      <c r="G2441">
        <v>2</v>
      </c>
      <c r="H2441">
        <v>20</v>
      </c>
      <c r="I2441">
        <v>0</v>
      </c>
      <c r="J2441" t="s">
        <v>34</v>
      </c>
      <c r="K2441" t="s">
        <v>1104</v>
      </c>
      <c r="S2441" t="s">
        <v>25</v>
      </c>
      <c r="T2441">
        <f>IF(TRIM(Table1[[#This Row],[PitStopLaps]])="",0,
LEN(Table1[[#This Row],[PitStopLaps]])-LEN(SUBSTITUTE(Table1[[#This Row],[PitStopLaps]],",",""))+1)</f>
        <v>0</v>
      </c>
      <c r="U2441">
        <f>Table1[[#This Row],[StartPosition]]-Table1[[#This Row],[FinishPosition]]</f>
        <v>-18</v>
      </c>
    </row>
    <row r="2442" spans="1:21" x14ac:dyDescent="0.3">
      <c r="A2442">
        <v>2023</v>
      </c>
      <c r="B2442">
        <v>21</v>
      </c>
      <c r="C2442" t="s">
        <v>1168</v>
      </c>
      <c r="D2442" t="s">
        <v>38</v>
      </c>
      <c r="E2442" t="s">
        <v>39</v>
      </c>
      <c r="F2442" t="s">
        <v>33</v>
      </c>
      <c r="G2442">
        <v>2</v>
      </c>
      <c r="H2442">
        <v>1</v>
      </c>
      <c r="I2442">
        <v>25</v>
      </c>
      <c r="J2442" t="s">
        <v>23</v>
      </c>
      <c r="K2442" t="s">
        <v>24</v>
      </c>
      <c r="L2442">
        <v>50</v>
      </c>
      <c r="M2442">
        <v>95.614000000000004</v>
      </c>
      <c r="N2442">
        <v>97.676000000000002</v>
      </c>
      <c r="O2442">
        <v>27.135000000000002</v>
      </c>
      <c r="P2442">
        <v>31.710999999999999</v>
      </c>
      <c r="Q2442">
        <v>36.335999999999999</v>
      </c>
      <c r="R2442" t="s">
        <v>90</v>
      </c>
      <c r="S2442" t="s">
        <v>83</v>
      </c>
      <c r="T2442">
        <f>IF(TRIM(Table1[[#This Row],[PitStopLaps]])="",0,
LEN(Table1[[#This Row],[PitStopLaps]])-LEN(SUBSTITUTE(Table1[[#This Row],[PitStopLaps]],",",""))+1)</f>
        <v>2</v>
      </c>
      <c r="U2442">
        <f>Table1[[#This Row],[StartPosition]]-Table1[[#This Row],[FinishPosition]]</f>
        <v>1</v>
      </c>
    </row>
    <row r="2443" spans="1:21" x14ac:dyDescent="0.3">
      <c r="A2443">
        <v>2023</v>
      </c>
      <c r="B2443">
        <v>21</v>
      </c>
      <c r="C2443" t="s">
        <v>1168</v>
      </c>
      <c r="D2443" t="s">
        <v>54</v>
      </c>
      <c r="E2443" t="s">
        <v>55</v>
      </c>
      <c r="F2443" t="s">
        <v>22</v>
      </c>
      <c r="G2443">
        <v>1</v>
      </c>
      <c r="H2443">
        <v>2</v>
      </c>
      <c r="I2443">
        <v>18</v>
      </c>
      <c r="J2443" t="s">
        <v>23</v>
      </c>
      <c r="K2443" t="s">
        <v>24</v>
      </c>
      <c r="L2443">
        <v>50</v>
      </c>
      <c r="M2443">
        <v>95.668999999999997</v>
      </c>
      <c r="N2443">
        <v>97.798896999999997</v>
      </c>
      <c r="O2443">
        <v>27.353999999999999</v>
      </c>
      <c r="P2443">
        <v>31.875</v>
      </c>
      <c r="Q2443">
        <v>36.286999999999999</v>
      </c>
      <c r="R2443">
        <v>21</v>
      </c>
      <c r="S2443" t="s">
        <v>83</v>
      </c>
      <c r="T2443">
        <f>IF(TRIM(Table1[[#This Row],[PitStopLaps]])="",0,
LEN(Table1[[#This Row],[PitStopLaps]])-LEN(SUBSTITUTE(Table1[[#This Row],[PitStopLaps]],",",""))+1)</f>
        <v>1</v>
      </c>
      <c r="U2443">
        <f>Table1[[#This Row],[StartPosition]]-Table1[[#This Row],[FinishPosition]]</f>
        <v>-1</v>
      </c>
    </row>
    <row r="2444" spans="1:21" x14ac:dyDescent="0.3">
      <c r="A2444">
        <v>2023</v>
      </c>
      <c r="B2444">
        <v>21</v>
      </c>
      <c r="C2444" t="s">
        <v>1168</v>
      </c>
      <c r="D2444" t="s">
        <v>49</v>
      </c>
      <c r="E2444" t="s">
        <v>50</v>
      </c>
      <c r="F2444" t="s">
        <v>33</v>
      </c>
      <c r="G2444">
        <v>11</v>
      </c>
      <c r="H2444">
        <v>3</v>
      </c>
      <c r="I2444">
        <v>15</v>
      </c>
      <c r="J2444" t="s">
        <v>23</v>
      </c>
      <c r="K2444" t="s">
        <v>24</v>
      </c>
      <c r="L2444">
        <v>50</v>
      </c>
      <c r="M2444">
        <v>95.938999999999993</v>
      </c>
      <c r="N2444">
        <v>97.931389999999993</v>
      </c>
      <c r="O2444">
        <v>27.152999999999999</v>
      </c>
      <c r="P2444">
        <v>31.818999999999999</v>
      </c>
      <c r="Q2444">
        <v>36.404000000000003</v>
      </c>
      <c r="R2444" t="s">
        <v>190</v>
      </c>
      <c r="S2444" t="s">
        <v>83</v>
      </c>
      <c r="T2444">
        <f>IF(TRIM(Table1[[#This Row],[PitStopLaps]])="",0,
LEN(Table1[[#This Row],[PitStopLaps]])-LEN(SUBSTITUTE(Table1[[#This Row],[PitStopLaps]],",",""))+1)</f>
        <v>2</v>
      </c>
      <c r="U2444">
        <f>Table1[[#This Row],[StartPosition]]-Table1[[#This Row],[FinishPosition]]</f>
        <v>8</v>
      </c>
    </row>
    <row r="2445" spans="1:21" x14ac:dyDescent="0.3">
      <c r="A2445">
        <v>2023</v>
      </c>
      <c r="B2445">
        <v>21</v>
      </c>
      <c r="C2445" t="s">
        <v>1168</v>
      </c>
      <c r="D2445" t="s">
        <v>52</v>
      </c>
      <c r="E2445" t="s">
        <v>53</v>
      </c>
      <c r="F2445" t="s">
        <v>607</v>
      </c>
      <c r="G2445">
        <v>16</v>
      </c>
      <c r="H2445">
        <v>4</v>
      </c>
      <c r="I2445">
        <v>12</v>
      </c>
      <c r="J2445" t="s">
        <v>34</v>
      </c>
      <c r="K2445" t="s">
        <v>24</v>
      </c>
      <c r="L2445">
        <v>50</v>
      </c>
      <c r="M2445">
        <v>96.637</v>
      </c>
      <c r="N2445">
        <v>98.448666000000003</v>
      </c>
      <c r="O2445">
        <v>27.494</v>
      </c>
      <c r="P2445">
        <v>32.356999999999999</v>
      </c>
      <c r="Q2445">
        <v>36.432000000000002</v>
      </c>
      <c r="R2445">
        <v>20</v>
      </c>
      <c r="S2445" t="s">
        <v>83</v>
      </c>
      <c r="T2445">
        <f>IF(TRIM(Table1[[#This Row],[PitStopLaps]])="",0,
LEN(Table1[[#This Row],[PitStopLaps]])-LEN(SUBSTITUTE(Table1[[#This Row],[PitStopLaps]],",",""))+1)</f>
        <v>1</v>
      </c>
      <c r="U2445">
        <f>Table1[[#This Row],[StartPosition]]-Table1[[#This Row],[FinishPosition]]</f>
        <v>12</v>
      </c>
    </row>
    <row r="2446" spans="1:21" x14ac:dyDescent="0.3">
      <c r="A2446">
        <v>2023</v>
      </c>
      <c r="B2446">
        <v>21</v>
      </c>
      <c r="C2446" t="s">
        <v>1168</v>
      </c>
      <c r="D2446" t="s">
        <v>58</v>
      </c>
      <c r="E2446" t="s">
        <v>59</v>
      </c>
      <c r="F2446" t="s">
        <v>603</v>
      </c>
      <c r="G2446">
        <v>19</v>
      </c>
      <c r="H2446">
        <v>5</v>
      </c>
      <c r="I2446">
        <v>10</v>
      </c>
      <c r="J2446" t="s">
        <v>34</v>
      </c>
      <c r="K2446" t="s">
        <v>24</v>
      </c>
      <c r="L2446">
        <v>50</v>
      </c>
      <c r="M2446">
        <v>96.584000000000003</v>
      </c>
      <c r="N2446">
        <v>98.608804000000006</v>
      </c>
      <c r="O2446">
        <v>27.597000000000001</v>
      </c>
      <c r="P2446">
        <v>32.188000000000002</v>
      </c>
      <c r="Q2446">
        <v>36.396999999999998</v>
      </c>
      <c r="R2446" t="s">
        <v>1169</v>
      </c>
      <c r="S2446" t="s">
        <v>83</v>
      </c>
      <c r="T2446">
        <f>IF(TRIM(Table1[[#This Row],[PitStopLaps]])="",0,
LEN(Table1[[#This Row],[PitStopLaps]])-LEN(SUBSTITUTE(Table1[[#This Row],[PitStopLaps]],",",""))+1)</f>
        <v>2</v>
      </c>
      <c r="U2446">
        <f>Table1[[#This Row],[StartPosition]]-Table1[[#This Row],[FinishPosition]]</f>
        <v>14</v>
      </c>
    </row>
    <row r="2447" spans="1:21" x14ac:dyDescent="0.3">
      <c r="A2447">
        <v>2023</v>
      </c>
      <c r="B2447">
        <v>21</v>
      </c>
      <c r="C2447" t="s">
        <v>1168</v>
      </c>
      <c r="D2447" t="s">
        <v>47</v>
      </c>
      <c r="E2447" t="s">
        <v>48</v>
      </c>
      <c r="F2447" t="s">
        <v>22</v>
      </c>
      <c r="G2447">
        <v>12</v>
      </c>
      <c r="H2447">
        <v>6</v>
      </c>
      <c r="I2447">
        <v>8</v>
      </c>
      <c r="J2447" t="s">
        <v>34</v>
      </c>
      <c r="K2447" t="s">
        <v>24</v>
      </c>
      <c r="L2447">
        <v>50</v>
      </c>
      <c r="M2447">
        <v>95.983999999999995</v>
      </c>
      <c r="N2447">
        <v>98.709609</v>
      </c>
      <c r="O2447">
        <v>27.404</v>
      </c>
      <c r="P2447">
        <v>31.95</v>
      </c>
      <c r="Q2447">
        <v>36.408000000000001</v>
      </c>
      <c r="R2447" t="s">
        <v>1169</v>
      </c>
      <c r="S2447" t="s">
        <v>83</v>
      </c>
      <c r="T2447">
        <f>IF(TRIM(Table1[[#This Row],[PitStopLaps]])="",0,
LEN(Table1[[#This Row],[PitStopLaps]])-LEN(SUBSTITUTE(Table1[[#This Row],[PitStopLaps]],",",""))+1)</f>
        <v>2</v>
      </c>
      <c r="U2447">
        <f>Table1[[#This Row],[StartPosition]]-Table1[[#This Row],[FinishPosition]]</f>
        <v>6</v>
      </c>
    </row>
    <row r="2448" spans="1:21" x14ac:dyDescent="0.3">
      <c r="A2448">
        <v>2023</v>
      </c>
      <c r="B2448">
        <v>21</v>
      </c>
      <c r="C2448" t="s">
        <v>1168</v>
      </c>
      <c r="D2448" t="s">
        <v>26</v>
      </c>
      <c r="E2448" t="s">
        <v>27</v>
      </c>
      <c r="F2448" t="s">
        <v>28</v>
      </c>
      <c r="G2448">
        <v>10</v>
      </c>
      <c r="H2448">
        <v>7</v>
      </c>
      <c r="I2448">
        <v>6</v>
      </c>
      <c r="J2448" t="s">
        <v>34</v>
      </c>
      <c r="K2448" t="s">
        <v>24</v>
      </c>
      <c r="L2448">
        <v>50</v>
      </c>
      <c r="M2448">
        <v>95.715999999999994</v>
      </c>
      <c r="N2448">
        <v>98.394306999999998</v>
      </c>
      <c r="O2448">
        <v>27.350999999999999</v>
      </c>
      <c r="P2448">
        <v>32.042000000000002</v>
      </c>
      <c r="Q2448">
        <v>35.850999999999999</v>
      </c>
      <c r="R2448" t="s">
        <v>1170</v>
      </c>
      <c r="S2448" t="s">
        <v>83</v>
      </c>
      <c r="T2448">
        <f>IF(TRIM(Table1[[#This Row],[PitStopLaps]])="",0,
LEN(Table1[[#This Row],[PitStopLaps]])-LEN(SUBSTITUTE(Table1[[#This Row],[PitStopLaps]],",",""))+1)</f>
        <v>2</v>
      </c>
      <c r="U2448">
        <f>Table1[[#This Row],[StartPosition]]-Table1[[#This Row],[FinishPosition]]</f>
        <v>3</v>
      </c>
    </row>
    <row r="2449" spans="1:21" x14ac:dyDescent="0.3">
      <c r="A2449">
        <v>2023</v>
      </c>
      <c r="B2449">
        <v>21</v>
      </c>
      <c r="C2449" t="s">
        <v>1168</v>
      </c>
      <c r="D2449" t="s">
        <v>252</v>
      </c>
      <c r="E2449" t="s">
        <v>253</v>
      </c>
      <c r="F2449" t="s">
        <v>28</v>
      </c>
      <c r="G2449">
        <v>3</v>
      </c>
      <c r="H2449">
        <v>8</v>
      </c>
      <c r="I2449">
        <v>4</v>
      </c>
      <c r="J2449" t="s">
        <v>34</v>
      </c>
      <c r="K2449" t="s">
        <v>24</v>
      </c>
      <c r="L2449">
        <v>50</v>
      </c>
      <c r="M2449">
        <v>96.070999999999998</v>
      </c>
      <c r="N2449">
        <v>98.256871000000004</v>
      </c>
      <c r="O2449">
        <v>27.273</v>
      </c>
      <c r="P2449">
        <v>32.18</v>
      </c>
      <c r="Q2449">
        <v>36.078000000000003</v>
      </c>
      <c r="R2449" t="s">
        <v>922</v>
      </c>
      <c r="S2449" t="s">
        <v>83</v>
      </c>
      <c r="T2449">
        <f>IF(TRIM(Table1[[#This Row],[PitStopLaps]])="",0,
LEN(Table1[[#This Row],[PitStopLaps]])-LEN(SUBSTITUTE(Table1[[#This Row],[PitStopLaps]],",",""))+1)</f>
        <v>2</v>
      </c>
      <c r="U2449">
        <f>Table1[[#This Row],[StartPosition]]-Table1[[#This Row],[FinishPosition]]</f>
        <v>-5</v>
      </c>
    </row>
    <row r="2450" spans="1:21" x14ac:dyDescent="0.3">
      <c r="A2450">
        <v>2023</v>
      </c>
      <c r="B2450">
        <v>21</v>
      </c>
      <c r="C2450" t="s">
        <v>1168</v>
      </c>
      <c r="D2450" t="s">
        <v>35</v>
      </c>
      <c r="E2450" t="s">
        <v>36</v>
      </c>
      <c r="F2450" t="s">
        <v>603</v>
      </c>
      <c r="G2450">
        <v>9</v>
      </c>
      <c r="H2450">
        <v>9</v>
      </c>
      <c r="I2450">
        <v>2</v>
      </c>
      <c r="J2450" t="s">
        <v>34</v>
      </c>
      <c r="K2450" t="s">
        <v>24</v>
      </c>
      <c r="L2450">
        <v>50</v>
      </c>
      <c r="M2450">
        <v>96.558999999999997</v>
      </c>
      <c r="N2450">
        <v>98.888803999999993</v>
      </c>
      <c r="O2450">
        <v>27.504999999999999</v>
      </c>
      <c r="P2450">
        <v>32.115000000000002</v>
      </c>
      <c r="Q2450">
        <v>36.404000000000003</v>
      </c>
      <c r="R2450" t="s">
        <v>190</v>
      </c>
      <c r="S2450" t="s">
        <v>83</v>
      </c>
      <c r="T2450">
        <f>IF(TRIM(Table1[[#This Row],[PitStopLaps]])="",0,
LEN(Table1[[#This Row],[PitStopLaps]])-LEN(SUBSTITUTE(Table1[[#This Row],[PitStopLaps]],",",""))+1)</f>
        <v>2</v>
      </c>
      <c r="U2450">
        <f>Table1[[#This Row],[StartPosition]]-Table1[[#This Row],[FinishPosition]]</f>
        <v>0</v>
      </c>
    </row>
    <row r="2451" spans="1:21" x14ac:dyDescent="0.3">
      <c r="A2451">
        <v>2023</v>
      </c>
      <c r="B2451">
        <v>21</v>
      </c>
      <c r="C2451" t="s">
        <v>1168</v>
      </c>
      <c r="D2451" t="s">
        <v>1000</v>
      </c>
      <c r="E2451" t="s">
        <v>1001</v>
      </c>
      <c r="F2451" t="s">
        <v>37</v>
      </c>
      <c r="G2451">
        <v>18</v>
      </c>
      <c r="H2451">
        <v>10</v>
      </c>
      <c r="I2451">
        <v>2</v>
      </c>
      <c r="J2451" t="s">
        <v>34</v>
      </c>
      <c r="K2451" t="s">
        <v>24</v>
      </c>
      <c r="L2451">
        <v>50</v>
      </c>
      <c r="M2451">
        <v>95.49</v>
      </c>
      <c r="N2451">
        <v>98.106971999999999</v>
      </c>
      <c r="O2451">
        <v>27.209</v>
      </c>
      <c r="P2451">
        <v>31.920999999999999</v>
      </c>
      <c r="Q2451">
        <v>36.101999999999997</v>
      </c>
      <c r="R2451" t="s">
        <v>889</v>
      </c>
      <c r="S2451" t="s">
        <v>83</v>
      </c>
      <c r="T2451">
        <f>IF(TRIM(Table1[[#This Row],[PitStopLaps]])="",0,
LEN(Table1[[#This Row],[PitStopLaps]])-LEN(SUBSTITUTE(Table1[[#This Row],[PitStopLaps]],",",""))+1)</f>
        <v>2</v>
      </c>
      <c r="U2451">
        <f>Table1[[#This Row],[StartPosition]]-Table1[[#This Row],[FinishPosition]]</f>
        <v>8</v>
      </c>
    </row>
    <row r="2452" spans="1:21" x14ac:dyDescent="0.3">
      <c r="A2452">
        <v>2023</v>
      </c>
      <c r="B2452">
        <v>21</v>
      </c>
      <c r="C2452" t="s">
        <v>1168</v>
      </c>
      <c r="D2452" t="s">
        <v>73</v>
      </c>
      <c r="E2452" t="s">
        <v>74</v>
      </c>
      <c r="F2452" t="s">
        <v>607</v>
      </c>
      <c r="G2452">
        <v>4</v>
      </c>
      <c r="H2452">
        <v>11</v>
      </c>
      <c r="I2452">
        <v>0</v>
      </c>
      <c r="J2452" t="s">
        <v>34</v>
      </c>
      <c r="K2452" t="s">
        <v>24</v>
      </c>
      <c r="L2452">
        <v>50</v>
      </c>
      <c r="M2452">
        <v>96.912999999999997</v>
      </c>
      <c r="N2452">
        <v>98.828947999999997</v>
      </c>
      <c r="O2452">
        <v>27.893999999999998</v>
      </c>
      <c r="P2452">
        <v>32.488999999999997</v>
      </c>
      <c r="Q2452">
        <v>36.451000000000001</v>
      </c>
      <c r="R2452">
        <v>17</v>
      </c>
      <c r="S2452" t="s">
        <v>83</v>
      </c>
      <c r="T2452">
        <f>IF(TRIM(Table1[[#This Row],[PitStopLaps]])="",0,
LEN(Table1[[#This Row],[PitStopLaps]])-LEN(SUBSTITUTE(Table1[[#This Row],[PitStopLaps]],",",""))+1)</f>
        <v>1</v>
      </c>
      <c r="U2452">
        <f>Table1[[#This Row],[StartPosition]]-Table1[[#This Row],[FinishPosition]]</f>
        <v>-7</v>
      </c>
    </row>
    <row r="2453" spans="1:21" x14ac:dyDescent="0.3">
      <c r="A2453">
        <v>2023</v>
      </c>
      <c r="B2453">
        <v>21</v>
      </c>
      <c r="C2453" t="s">
        <v>1168</v>
      </c>
      <c r="D2453" t="s">
        <v>248</v>
      </c>
      <c r="E2453" t="s">
        <v>249</v>
      </c>
      <c r="F2453" t="s">
        <v>60</v>
      </c>
      <c r="G2453">
        <v>5</v>
      </c>
      <c r="H2453">
        <v>12</v>
      </c>
      <c r="I2453">
        <v>0</v>
      </c>
      <c r="J2453" t="s">
        <v>34</v>
      </c>
      <c r="K2453" t="s">
        <v>24</v>
      </c>
      <c r="L2453">
        <v>50</v>
      </c>
      <c r="M2453">
        <v>97.356999999999999</v>
      </c>
      <c r="N2453">
        <v>99.099588999999995</v>
      </c>
      <c r="O2453">
        <v>27.937000000000001</v>
      </c>
      <c r="P2453">
        <v>32.814999999999998</v>
      </c>
      <c r="Q2453">
        <v>36.530999999999999</v>
      </c>
      <c r="R2453">
        <v>16</v>
      </c>
      <c r="S2453" t="s">
        <v>83</v>
      </c>
      <c r="T2453">
        <f>IF(TRIM(Table1[[#This Row],[PitStopLaps]])="",0,
LEN(Table1[[#This Row],[PitStopLaps]])-LEN(SUBSTITUTE(Table1[[#This Row],[PitStopLaps]],",",""))+1)</f>
        <v>1</v>
      </c>
      <c r="U2453">
        <f>Table1[[#This Row],[StartPosition]]-Table1[[#This Row],[FinishPosition]]</f>
        <v>-7</v>
      </c>
    </row>
    <row r="2454" spans="1:21" x14ac:dyDescent="0.3">
      <c r="A2454">
        <v>2023</v>
      </c>
      <c r="B2454">
        <v>21</v>
      </c>
      <c r="C2454" t="s">
        <v>1168</v>
      </c>
      <c r="D2454" t="s">
        <v>71</v>
      </c>
      <c r="E2454" t="s">
        <v>72</v>
      </c>
      <c r="F2454" t="s">
        <v>69</v>
      </c>
      <c r="G2454">
        <v>8</v>
      </c>
      <c r="H2454">
        <v>13</v>
      </c>
      <c r="I2454">
        <v>0</v>
      </c>
      <c r="J2454" t="s">
        <v>34</v>
      </c>
      <c r="K2454" t="s">
        <v>24</v>
      </c>
      <c r="L2454">
        <v>50</v>
      </c>
      <c r="M2454">
        <v>97.454999999999998</v>
      </c>
      <c r="N2454">
        <v>99.268461000000002</v>
      </c>
      <c r="O2454">
        <v>27.637</v>
      </c>
      <c r="P2454">
        <v>32.728999999999999</v>
      </c>
      <c r="Q2454">
        <v>36.590000000000003</v>
      </c>
      <c r="R2454" t="s">
        <v>1171</v>
      </c>
      <c r="S2454" t="s">
        <v>83</v>
      </c>
      <c r="T2454">
        <f>IF(TRIM(Table1[[#This Row],[PitStopLaps]])="",0,
LEN(Table1[[#This Row],[PitStopLaps]])-LEN(SUBSTITUTE(Table1[[#This Row],[PitStopLaps]],",",""))+1)</f>
        <v>2</v>
      </c>
      <c r="U2454">
        <f>Table1[[#This Row],[StartPosition]]-Table1[[#This Row],[FinishPosition]]</f>
        <v>-5</v>
      </c>
    </row>
    <row r="2455" spans="1:21" x14ac:dyDescent="0.3">
      <c r="A2455">
        <v>2023</v>
      </c>
      <c r="B2455">
        <v>21</v>
      </c>
      <c r="C2455" t="s">
        <v>1168</v>
      </c>
      <c r="D2455" t="s">
        <v>31</v>
      </c>
      <c r="E2455" t="s">
        <v>32</v>
      </c>
      <c r="F2455" t="s">
        <v>438</v>
      </c>
      <c r="G2455">
        <v>14</v>
      </c>
      <c r="H2455">
        <v>14</v>
      </c>
      <c r="I2455">
        <v>0</v>
      </c>
      <c r="J2455" t="s">
        <v>34</v>
      </c>
      <c r="K2455" t="s">
        <v>24</v>
      </c>
      <c r="L2455">
        <v>50</v>
      </c>
      <c r="M2455">
        <v>97.108000000000004</v>
      </c>
      <c r="N2455">
        <v>99.553717000000006</v>
      </c>
      <c r="O2455">
        <v>27.823</v>
      </c>
      <c r="P2455">
        <v>32.369</v>
      </c>
      <c r="Q2455">
        <v>36.07</v>
      </c>
      <c r="R2455">
        <v>17</v>
      </c>
      <c r="S2455" t="s">
        <v>83</v>
      </c>
      <c r="T2455">
        <f>IF(TRIM(Table1[[#This Row],[PitStopLaps]])="",0,
LEN(Table1[[#This Row],[PitStopLaps]])-LEN(SUBSTITUTE(Table1[[#This Row],[PitStopLaps]],",",""))+1)</f>
        <v>1</v>
      </c>
      <c r="U2455">
        <f>Table1[[#This Row],[StartPosition]]-Table1[[#This Row],[FinishPosition]]</f>
        <v>0</v>
      </c>
    </row>
    <row r="2456" spans="1:21" x14ac:dyDescent="0.3">
      <c r="A2456">
        <v>2023</v>
      </c>
      <c r="B2456">
        <v>21</v>
      </c>
      <c r="C2456" t="s">
        <v>1168</v>
      </c>
      <c r="D2456" t="s">
        <v>794</v>
      </c>
      <c r="E2456" t="s">
        <v>795</v>
      </c>
      <c r="F2456" t="s">
        <v>789</v>
      </c>
      <c r="G2456">
        <v>17</v>
      </c>
      <c r="H2456">
        <v>15</v>
      </c>
      <c r="I2456">
        <v>0</v>
      </c>
      <c r="J2456" t="s">
        <v>34</v>
      </c>
      <c r="K2456" t="s">
        <v>24</v>
      </c>
      <c r="L2456">
        <v>50</v>
      </c>
      <c r="M2456">
        <v>97.375</v>
      </c>
      <c r="N2456">
        <v>99.678804</v>
      </c>
      <c r="O2456">
        <v>28.061</v>
      </c>
      <c r="P2456">
        <v>32.732999999999997</v>
      </c>
      <c r="Q2456">
        <v>36.520000000000003</v>
      </c>
      <c r="R2456">
        <v>26</v>
      </c>
      <c r="S2456" t="s">
        <v>83</v>
      </c>
      <c r="T2456">
        <f>IF(TRIM(Table1[[#This Row],[PitStopLaps]])="",0,
LEN(Table1[[#This Row],[PitStopLaps]])-LEN(SUBSTITUTE(Table1[[#This Row],[PitStopLaps]],",",""))+1)</f>
        <v>1</v>
      </c>
      <c r="U2456">
        <f>Table1[[#This Row],[StartPosition]]-Table1[[#This Row],[FinishPosition]]</f>
        <v>2</v>
      </c>
    </row>
    <row r="2457" spans="1:21" x14ac:dyDescent="0.3">
      <c r="A2457">
        <v>2023</v>
      </c>
      <c r="B2457">
        <v>21</v>
      </c>
      <c r="C2457" t="s">
        <v>1168</v>
      </c>
      <c r="D2457" t="s">
        <v>992</v>
      </c>
      <c r="E2457" t="s">
        <v>993</v>
      </c>
      <c r="F2457" t="s">
        <v>60</v>
      </c>
      <c r="G2457">
        <v>6</v>
      </c>
      <c r="H2457">
        <v>16</v>
      </c>
      <c r="I2457">
        <v>0</v>
      </c>
      <c r="J2457" t="s">
        <v>34</v>
      </c>
      <c r="K2457" t="s">
        <v>24</v>
      </c>
      <c r="L2457">
        <v>50</v>
      </c>
      <c r="M2457">
        <v>97.74</v>
      </c>
      <c r="N2457">
        <v>99.315101999999996</v>
      </c>
      <c r="O2457">
        <v>28.25</v>
      </c>
      <c r="P2457">
        <v>32.695999999999998</v>
      </c>
      <c r="Q2457">
        <v>36.423999999999999</v>
      </c>
      <c r="R2457">
        <v>15</v>
      </c>
      <c r="S2457" t="s">
        <v>83</v>
      </c>
      <c r="T2457">
        <f>IF(TRIM(Table1[[#This Row],[PitStopLaps]])="",0,
LEN(Table1[[#This Row],[PitStopLaps]])-LEN(SUBSTITUTE(Table1[[#This Row],[PitStopLaps]],",",""))+1)</f>
        <v>1</v>
      </c>
      <c r="U2457">
        <f>Table1[[#This Row],[StartPosition]]-Table1[[#This Row],[FinishPosition]]</f>
        <v>-10</v>
      </c>
    </row>
    <row r="2458" spans="1:21" x14ac:dyDescent="0.3">
      <c r="A2458">
        <v>2023</v>
      </c>
      <c r="B2458">
        <v>21</v>
      </c>
      <c r="C2458" t="s">
        <v>1168</v>
      </c>
      <c r="D2458" t="s">
        <v>43</v>
      </c>
      <c r="E2458" t="s">
        <v>44</v>
      </c>
      <c r="F2458" t="s">
        <v>789</v>
      </c>
      <c r="G2458">
        <v>7</v>
      </c>
      <c r="H2458">
        <v>17</v>
      </c>
      <c r="I2458">
        <v>0</v>
      </c>
      <c r="J2458" t="s">
        <v>34</v>
      </c>
      <c r="K2458" t="s">
        <v>24</v>
      </c>
      <c r="L2458">
        <v>50</v>
      </c>
      <c r="M2458">
        <v>97.561999999999998</v>
      </c>
      <c r="N2458">
        <v>100.841897</v>
      </c>
      <c r="O2458">
        <v>28.029</v>
      </c>
      <c r="P2458">
        <v>32.439</v>
      </c>
      <c r="Q2458">
        <v>37.094000000000001</v>
      </c>
      <c r="R2458" t="s">
        <v>194</v>
      </c>
      <c r="S2458" t="s">
        <v>83</v>
      </c>
      <c r="T2458">
        <f>IF(TRIM(Table1[[#This Row],[PitStopLaps]])="",0,
LEN(Table1[[#This Row],[PitStopLaps]])-LEN(SUBSTITUTE(Table1[[#This Row],[PitStopLaps]],",",""))+1)</f>
        <v>2</v>
      </c>
      <c r="U2458">
        <f>Table1[[#This Row],[StartPosition]]-Table1[[#This Row],[FinishPosition]]</f>
        <v>-10</v>
      </c>
    </row>
    <row r="2459" spans="1:21" x14ac:dyDescent="0.3">
      <c r="A2459">
        <v>2023</v>
      </c>
      <c r="B2459">
        <v>21</v>
      </c>
      <c r="C2459" t="s">
        <v>1168</v>
      </c>
      <c r="D2459" t="s">
        <v>601</v>
      </c>
      <c r="E2459" t="s">
        <v>602</v>
      </c>
      <c r="F2459" t="s">
        <v>438</v>
      </c>
      <c r="G2459">
        <v>20</v>
      </c>
      <c r="H2459">
        <v>18</v>
      </c>
      <c r="I2459">
        <v>0</v>
      </c>
      <c r="J2459" t="s">
        <v>34</v>
      </c>
      <c r="K2459" t="s">
        <v>179</v>
      </c>
      <c r="L2459">
        <v>47</v>
      </c>
      <c r="M2459">
        <v>97.587000000000003</v>
      </c>
      <c r="N2459">
        <v>100.034121</v>
      </c>
      <c r="O2459">
        <v>28.385000000000002</v>
      </c>
      <c r="P2459">
        <v>32.401000000000003</v>
      </c>
      <c r="Q2459">
        <v>36.625999999999998</v>
      </c>
      <c r="R2459" t="s">
        <v>1172</v>
      </c>
      <c r="S2459" t="s">
        <v>83</v>
      </c>
      <c r="T2459">
        <f>IF(TRIM(Table1[[#This Row],[PitStopLaps]])="",0,
LEN(Table1[[#This Row],[PitStopLaps]])-LEN(SUBSTITUTE(Table1[[#This Row],[PitStopLaps]],",",""))+1)</f>
        <v>2</v>
      </c>
      <c r="U2459">
        <f>Table1[[#This Row],[StartPosition]]-Table1[[#This Row],[FinishPosition]]</f>
        <v>2</v>
      </c>
    </row>
    <row r="2460" spans="1:21" x14ac:dyDescent="0.3">
      <c r="A2460">
        <v>2023</v>
      </c>
      <c r="B2460">
        <v>21</v>
      </c>
      <c r="C2460" t="s">
        <v>1168</v>
      </c>
      <c r="D2460" t="s">
        <v>40</v>
      </c>
      <c r="E2460" t="s">
        <v>41</v>
      </c>
      <c r="F2460" t="s">
        <v>69</v>
      </c>
      <c r="G2460">
        <v>13</v>
      </c>
      <c r="H2460">
        <v>19</v>
      </c>
      <c r="I2460">
        <v>0</v>
      </c>
      <c r="J2460" t="s">
        <v>34</v>
      </c>
      <c r="K2460" t="s">
        <v>179</v>
      </c>
      <c r="L2460">
        <v>46</v>
      </c>
      <c r="M2460">
        <v>97.564999999999998</v>
      </c>
      <c r="N2460">
        <v>99.469294000000005</v>
      </c>
      <c r="O2460">
        <v>27.803000000000001</v>
      </c>
      <c r="P2460">
        <v>32.692999999999998</v>
      </c>
      <c r="Q2460">
        <v>36.680999999999997</v>
      </c>
      <c r="R2460" t="s">
        <v>272</v>
      </c>
      <c r="S2460" t="s">
        <v>83</v>
      </c>
      <c r="T2460">
        <f>IF(TRIM(Table1[[#This Row],[PitStopLaps]])="",0,
LEN(Table1[[#This Row],[PitStopLaps]])-LEN(SUBSTITUTE(Table1[[#This Row],[PitStopLaps]],",",""))+1)</f>
        <v>2</v>
      </c>
      <c r="U2460">
        <f>Table1[[#This Row],[StartPosition]]-Table1[[#This Row],[FinishPosition]]</f>
        <v>-6</v>
      </c>
    </row>
    <row r="2461" spans="1:21" x14ac:dyDescent="0.3">
      <c r="A2461">
        <v>2023</v>
      </c>
      <c r="B2461">
        <v>21</v>
      </c>
      <c r="C2461" t="s">
        <v>1168</v>
      </c>
      <c r="D2461" t="s">
        <v>246</v>
      </c>
      <c r="E2461" t="s">
        <v>247</v>
      </c>
      <c r="F2461" t="s">
        <v>37</v>
      </c>
      <c r="G2461">
        <v>15</v>
      </c>
      <c r="H2461">
        <v>20</v>
      </c>
      <c r="I2461">
        <v>0</v>
      </c>
      <c r="J2461" t="s">
        <v>34</v>
      </c>
      <c r="K2461" t="s">
        <v>179</v>
      </c>
      <c r="L2461">
        <v>3</v>
      </c>
      <c r="S2461" t="s">
        <v>83</v>
      </c>
      <c r="T2461">
        <f>IF(TRIM(Table1[[#This Row],[PitStopLaps]])="",0,
LEN(Table1[[#This Row],[PitStopLaps]])-LEN(SUBSTITUTE(Table1[[#This Row],[PitStopLaps]],",",""))+1)</f>
        <v>0</v>
      </c>
      <c r="U2461">
        <f>Table1[[#This Row],[StartPosition]]-Table1[[#This Row],[FinishPosition]]</f>
        <v>-5</v>
      </c>
    </row>
    <row r="2462" spans="1:21" x14ac:dyDescent="0.3">
      <c r="A2462">
        <v>2023</v>
      </c>
      <c r="B2462">
        <v>22</v>
      </c>
      <c r="C2462" t="s">
        <v>240</v>
      </c>
      <c r="D2462" t="s">
        <v>38</v>
      </c>
      <c r="E2462" t="s">
        <v>39</v>
      </c>
      <c r="F2462" t="s">
        <v>33</v>
      </c>
      <c r="G2462">
        <v>1</v>
      </c>
      <c r="H2462">
        <v>1</v>
      </c>
      <c r="I2462">
        <v>26</v>
      </c>
      <c r="J2462" t="s">
        <v>23</v>
      </c>
      <c r="K2462" t="s">
        <v>24</v>
      </c>
      <c r="L2462">
        <v>58</v>
      </c>
      <c r="M2462">
        <v>86.992999999999995</v>
      </c>
      <c r="N2462">
        <v>89.209942999999996</v>
      </c>
      <c r="O2462">
        <v>17.504999999999999</v>
      </c>
      <c r="P2462">
        <v>37.713999999999999</v>
      </c>
      <c r="Q2462">
        <v>31.774000000000001</v>
      </c>
      <c r="R2462" t="s">
        <v>889</v>
      </c>
      <c r="S2462" t="s">
        <v>83</v>
      </c>
      <c r="T2462">
        <f>IF(TRIM(Table1[[#This Row],[PitStopLaps]])="",0,
LEN(Table1[[#This Row],[PitStopLaps]])-LEN(SUBSTITUTE(Table1[[#This Row],[PitStopLaps]],",",""))+1)</f>
        <v>2</v>
      </c>
      <c r="U2462">
        <f>Table1[[#This Row],[StartPosition]]-Table1[[#This Row],[FinishPosition]]</f>
        <v>0</v>
      </c>
    </row>
    <row r="2463" spans="1:21" x14ac:dyDescent="0.3">
      <c r="A2463">
        <v>2023</v>
      </c>
      <c r="B2463">
        <v>22</v>
      </c>
      <c r="C2463" t="s">
        <v>240</v>
      </c>
      <c r="D2463" t="s">
        <v>54</v>
      </c>
      <c r="E2463" t="s">
        <v>55</v>
      </c>
      <c r="F2463" t="s">
        <v>22</v>
      </c>
      <c r="G2463">
        <v>2</v>
      </c>
      <c r="H2463">
        <v>2</v>
      </c>
      <c r="I2463">
        <v>18</v>
      </c>
      <c r="J2463" t="s">
        <v>23</v>
      </c>
      <c r="K2463" t="s">
        <v>24</v>
      </c>
      <c r="L2463">
        <v>58</v>
      </c>
      <c r="M2463">
        <v>88.198999999999998</v>
      </c>
      <c r="N2463">
        <v>89.517452000000006</v>
      </c>
      <c r="O2463">
        <v>17.736999999999998</v>
      </c>
      <c r="P2463">
        <v>37.737000000000002</v>
      </c>
      <c r="Q2463">
        <v>32.351999999999997</v>
      </c>
      <c r="R2463" t="s">
        <v>1130</v>
      </c>
      <c r="S2463" t="s">
        <v>83</v>
      </c>
      <c r="T2463">
        <f>IF(TRIM(Table1[[#This Row],[PitStopLaps]])="",0,
LEN(Table1[[#This Row],[PitStopLaps]])-LEN(SUBSTITUTE(Table1[[#This Row],[PitStopLaps]],",",""))+1)</f>
        <v>2</v>
      </c>
      <c r="U2463">
        <f>Table1[[#This Row],[StartPosition]]-Table1[[#This Row],[FinishPosition]]</f>
        <v>0</v>
      </c>
    </row>
    <row r="2464" spans="1:21" x14ac:dyDescent="0.3">
      <c r="A2464">
        <v>2023</v>
      </c>
      <c r="B2464">
        <v>22</v>
      </c>
      <c r="C2464" t="s">
        <v>240</v>
      </c>
      <c r="D2464" t="s">
        <v>252</v>
      </c>
      <c r="E2464" t="s">
        <v>253</v>
      </c>
      <c r="F2464" t="s">
        <v>28</v>
      </c>
      <c r="G2464">
        <v>4</v>
      </c>
      <c r="H2464">
        <v>3</v>
      </c>
      <c r="I2464">
        <v>15</v>
      </c>
      <c r="J2464" t="s">
        <v>23</v>
      </c>
      <c r="K2464" t="s">
        <v>24</v>
      </c>
      <c r="L2464">
        <v>58</v>
      </c>
      <c r="M2464">
        <v>88.186999999999998</v>
      </c>
      <c r="N2464">
        <v>89.545226</v>
      </c>
      <c r="O2464">
        <v>17.616</v>
      </c>
      <c r="P2464">
        <v>37.619</v>
      </c>
      <c r="Q2464">
        <v>32.438000000000002</v>
      </c>
      <c r="R2464" t="s">
        <v>525</v>
      </c>
      <c r="S2464" t="s">
        <v>83</v>
      </c>
      <c r="T2464">
        <f>IF(TRIM(Table1[[#This Row],[PitStopLaps]])="",0,
LEN(Table1[[#This Row],[PitStopLaps]])-LEN(SUBSTITUTE(Table1[[#This Row],[PitStopLaps]],",",""))+1)</f>
        <v>2</v>
      </c>
      <c r="U2464">
        <f>Table1[[#This Row],[StartPosition]]-Table1[[#This Row],[FinishPosition]]</f>
        <v>1</v>
      </c>
    </row>
    <row r="2465" spans="1:21" x14ac:dyDescent="0.3">
      <c r="A2465">
        <v>2023</v>
      </c>
      <c r="B2465">
        <v>22</v>
      </c>
      <c r="C2465" t="s">
        <v>240</v>
      </c>
      <c r="D2465" t="s">
        <v>49</v>
      </c>
      <c r="E2465" t="s">
        <v>50</v>
      </c>
      <c r="F2465" t="s">
        <v>33</v>
      </c>
      <c r="G2465">
        <v>9</v>
      </c>
      <c r="H2465">
        <v>4</v>
      </c>
      <c r="I2465">
        <v>12</v>
      </c>
      <c r="J2465" t="s">
        <v>34</v>
      </c>
      <c r="K2465" t="s">
        <v>24</v>
      </c>
      <c r="L2465">
        <v>58</v>
      </c>
      <c r="M2465">
        <v>87.492999999999995</v>
      </c>
      <c r="N2465">
        <v>89.434112999999996</v>
      </c>
      <c r="O2465">
        <v>17.584</v>
      </c>
      <c r="P2465">
        <v>37.503</v>
      </c>
      <c r="Q2465">
        <v>32.079000000000001</v>
      </c>
      <c r="R2465" t="s">
        <v>518</v>
      </c>
      <c r="S2465" t="s">
        <v>83</v>
      </c>
      <c r="T2465">
        <f>IF(TRIM(Table1[[#This Row],[PitStopLaps]])="",0,
LEN(Table1[[#This Row],[PitStopLaps]])-LEN(SUBSTITUTE(Table1[[#This Row],[PitStopLaps]],",",""))+1)</f>
        <v>2</v>
      </c>
      <c r="U2465">
        <f>Table1[[#This Row],[StartPosition]]-Table1[[#This Row],[FinishPosition]]</f>
        <v>5</v>
      </c>
    </row>
    <row r="2466" spans="1:21" x14ac:dyDescent="0.3">
      <c r="A2466">
        <v>2023</v>
      </c>
      <c r="B2466">
        <v>22</v>
      </c>
      <c r="C2466" t="s">
        <v>240</v>
      </c>
      <c r="D2466" t="s">
        <v>246</v>
      </c>
      <c r="E2466" t="s">
        <v>247</v>
      </c>
      <c r="F2466" t="s">
        <v>37</v>
      </c>
      <c r="G2466">
        <v>5</v>
      </c>
      <c r="H2466">
        <v>5</v>
      </c>
      <c r="I2466">
        <v>10</v>
      </c>
      <c r="J2466" t="s">
        <v>34</v>
      </c>
      <c r="K2466" t="s">
        <v>24</v>
      </c>
      <c r="L2466">
        <v>58</v>
      </c>
      <c r="M2466">
        <v>88.164000000000001</v>
      </c>
      <c r="N2466">
        <v>89.582319999999996</v>
      </c>
      <c r="O2466">
        <v>17.541</v>
      </c>
      <c r="P2466">
        <v>37.545000000000002</v>
      </c>
      <c r="Q2466">
        <v>32.423999999999999</v>
      </c>
      <c r="R2466" t="s">
        <v>526</v>
      </c>
      <c r="S2466" t="s">
        <v>83</v>
      </c>
      <c r="T2466">
        <f>IF(TRIM(Table1[[#This Row],[PitStopLaps]])="",0,
LEN(Table1[[#This Row],[PitStopLaps]])-LEN(SUBSTITUTE(Table1[[#This Row],[PitStopLaps]],",",""))+1)</f>
        <v>2</v>
      </c>
      <c r="U2466">
        <f>Table1[[#This Row],[StartPosition]]-Table1[[#This Row],[FinishPosition]]</f>
        <v>0</v>
      </c>
    </row>
    <row r="2467" spans="1:21" x14ac:dyDescent="0.3">
      <c r="A2467">
        <v>2023</v>
      </c>
      <c r="B2467">
        <v>22</v>
      </c>
      <c r="C2467" t="s">
        <v>240</v>
      </c>
      <c r="D2467" t="s">
        <v>1000</v>
      </c>
      <c r="E2467" t="s">
        <v>1001</v>
      </c>
      <c r="F2467" t="s">
        <v>37</v>
      </c>
      <c r="G2467">
        <v>3</v>
      </c>
      <c r="H2467">
        <v>6</v>
      </c>
      <c r="I2467">
        <v>8</v>
      </c>
      <c r="J2467" t="s">
        <v>34</v>
      </c>
      <c r="K2467" t="s">
        <v>24</v>
      </c>
      <c r="L2467">
        <v>58</v>
      </c>
      <c r="M2467">
        <v>88.138000000000005</v>
      </c>
      <c r="N2467">
        <v>89.774546999999998</v>
      </c>
      <c r="O2467">
        <v>17.57</v>
      </c>
      <c r="P2467">
        <v>37.851999999999997</v>
      </c>
      <c r="Q2467">
        <v>32.453000000000003</v>
      </c>
      <c r="R2467" t="s">
        <v>262</v>
      </c>
      <c r="S2467" t="s">
        <v>83</v>
      </c>
      <c r="T2467">
        <f>IF(TRIM(Table1[[#This Row],[PitStopLaps]])="",0,
LEN(Table1[[#This Row],[PitStopLaps]])-LEN(SUBSTITUTE(Table1[[#This Row],[PitStopLaps]],",",""))+1)</f>
        <v>2</v>
      </c>
      <c r="U2467">
        <f>Table1[[#This Row],[StartPosition]]-Table1[[#This Row],[FinishPosition]]</f>
        <v>-3</v>
      </c>
    </row>
    <row r="2468" spans="1:21" x14ac:dyDescent="0.3">
      <c r="A2468">
        <v>2023</v>
      </c>
      <c r="B2468">
        <v>22</v>
      </c>
      <c r="C2468" t="s">
        <v>240</v>
      </c>
      <c r="D2468" t="s">
        <v>35</v>
      </c>
      <c r="E2468" t="s">
        <v>36</v>
      </c>
      <c r="F2468" t="s">
        <v>603</v>
      </c>
      <c r="G2468">
        <v>7</v>
      </c>
      <c r="H2468">
        <v>7</v>
      </c>
      <c r="I2468">
        <v>6</v>
      </c>
      <c r="J2468" t="s">
        <v>34</v>
      </c>
      <c r="K2468" t="s">
        <v>24</v>
      </c>
      <c r="L2468">
        <v>58</v>
      </c>
      <c r="M2468">
        <v>88.256</v>
      </c>
      <c r="N2468">
        <v>89.818528000000001</v>
      </c>
      <c r="O2468">
        <v>17.675999999999998</v>
      </c>
      <c r="P2468">
        <v>37.863</v>
      </c>
      <c r="Q2468">
        <v>32.433999999999997</v>
      </c>
      <c r="R2468" t="s">
        <v>379</v>
      </c>
      <c r="S2468" t="s">
        <v>83</v>
      </c>
      <c r="T2468">
        <f>IF(TRIM(Table1[[#This Row],[PitStopLaps]])="",0,
LEN(Table1[[#This Row],[PitStopLaps]])-LEN(SUBSTITUTE(Table1[[#This Row],[PitStopLaps]],",",""))+1)</f>
        <v>2</v>
      </c>
      <c r="U2468">
        <f>Table1[[#This Row],[StartPosition]]-Table1[[#This Row],[FinishPosition]]</f>
        <v>0</v>
      </c>
    </row>
    <row r="2469" spans="1:21" x14ac:dyDescent="0.3">
      <c r="A2469">
        <v>2023</v>
      </c>
      <c r="B2469">
        <v>22</v>
      </c>
      <c r="C2469" t="s">
        <v>240</v>
      </c>
      <c r="D2469" t="s">
        <v>601</v>
      </c>
      <c r="E2469" t="s">
        <v>602</v>
      </c>
      <c r="F2469" t="s">
        <v>438</v>
      </c>
      <c r="G2469">
        <v>6</v>
      </c>
      <c r="H2469">
        <v>8</v>
      </c>
      <c r="I2469">
        <v>4</v>
      </c>
      <c r="J2469" t="s">
        <v>34</v>
      </c>
      <c r="K2469" t="s">
        <v>24</v>
      </c>
      <c r="L2469">
        <v>58</v>
      </c>
      <c r="M2469">
        <v>89.256</v>
      </c>
      <c r="N2469">
        <v>90.314654000000004</v>
      </c>
      <c r="O2469">
        <v>17.908000000000001</v>
      </c>
      <c r="P2469">
        <v>38.215000000000003</v>
      </c>
      <c r="Q2469">
        <v>32.752000000000002</v>
      </c>
      <c r="R2469">
        <v>22</v>
      </c>
      <c r="S2469" t="s">
        <v>83</v>
      </c>
      <c r="T2469">
        <f>IF(TRIM(Table1[[#This Row],[PitStopLaps]])="",0,
LEN(Table1[[#This Row],[PitStopLaps]])-LEN(SUBSTITUTE(Table1[[#This Row],[PitStopLaps]],",",""))+1)</f>
        <v>1</v>
      </c>
      <c r="U2469">
        <f>Table1[[#This Row],[StartPosition]]-Table1[[#This Row],[FinishPosition]]</f>
        <v>-2</v>
      </c>
    </row>
    <row r="2470" spans="1:21" x14ac:dyDescent="0.3">
      <c r="A2470">
        <v>2023</v>
      </c>
      <c r="B2470">
        <v>22</v>
      </c>
      <c r="C2470" t="s">
        <v>240</v>
      </c>
      <c r="D2470" t="s">
        <v>26</v>
      </c>
      <c r="E2470" t="s">
        <v>27</v>
      </c>
      <c r="F2470" t="s">
        <v>28</v>
      </c>
      <c r="G2470">
        <v>11</v>
      </c>
      <c r="H2470">
        <v>9</v>
      </c>
      <c r="I2470">
        <v>2</v>
      </c>
      <c r="J2470" t="s">
        <v>34</v>
      </c>
      <c r="K2470" t="s">
        <v>24</v>
      </c>
      <c r="L2470">
        <v>58</v>
      </c>
      <c r="M2470">
        <v>88.372</v>
      </c>
      <c r="N2470">
        <v>89.91</v>
      </c>
      <c r="O2470">
        <v>17.751000000000001</v>
      </c>
      <c r="P2470">
        <v>37.841999999999999</v>
      </c>
      <c r="Q2470">
        <v>32.393000000000001</v>
      </c>
      <c r="R2470" t="s">
        <v>89</v>
      </c>
      <c r="S2470" t="s">
        <v>83</v>
      </c>
      <c r="T2470">
        <f>IF(TRIM(Table1[[#This Row],[PitStopLaps]])="",0,
LEN(Table1[[#This Row],[PitStopLaps]])-LEN(SUBSTITUTE(Table1[[#This Row],[PitStopLaps]],",",""))+1)</f>
        <v>2</v>
      </c>
      <c r="U2470">
        <f>Table1[[#This Row],[StartPosition]]-Table1[[#This Row],[FinishPosition]]</f>
        <v>2</v>
      </c>
    </row>
    <row r="2471" spans="1:21" x14ac:dyDescent="0.3">
      <c r="A2471">
        <v>2023</v>
      </c>
      <c r="B2471">
        <v>22</v>
      </c>
      <c r="C2471" t="s">
        <v>240</v>
      </c>
      <c r="D2471" t="s">
        <v>58</v>
      </c>
      <c r="E2471" t="s">
        <v>59</v>
      </c>
      <c r="F2471" t="s">
        <v>603</v>
      </c>
      <c r="G2471">
        <v>13</v>
      </c>
      <c r="H2471">
        <v>10</v>
      </c>
      <c r="I2471">
        <v>1</v>
      </c>
      <c r="J2471" t="s">
        <v>34</v>
      </c>
      <c r="K2471" t="s">
        <v>24</v>
      </c>
      <c r="L2471">
        <v>58</v>
      </c>
      <c r="M2471">
        <v>88.05</v>
      </c>
      <c r="N2471">
        <v>90.146584000000004</v>
      </c>
      <c r="O2471">
        <v>17.675000000000001</v>
      </c>
      <c r="P2471">
        <v>37.627000000000002</v>
      </c>
      <c r="Q2471">
        <v>32.381999999999998</v>
      </c>
      <c r="R2471" t="s">
        <v>281</v>
      </c>
      <c r="S2471" t="s">
        <v>83</v>
      </c>
      <c r="T2471">
        <f>IF(TRIM(Table1[[#This Row],[PitStopLaps]])="",0,
LEN(Table1[[#This Row],[PitStopLaps]])-LEN(SUBSTITUTE(Table1[[#This Row],[PitStopLaps]],",",""))+1)</f>
        <v>2</v>
      </c>
      <c r="U2471">
        <f>Table1[[#This Row],[StartPosition]]-Table1[[#This Row],[FinishPosition]]</f>
        <v>3</v>
      </c>
    </row>
    <row r="2472" spans="1:21" x14ac:dyDescent="0.3">
      <c r="A2472">
        <v>2023</v>
      </c>
      <c r="B2472">
        <v>22</v>
      </c>
      <c r="C2472" t="s">
        <v>240</v>
      </c>
      <c r="D2472" t="s">
        <v>31</v>
      </c>
      <c r="E2472" t="s">
        <v>32</v>
      </c>
      <c r="F2472" t="s">
        <v>438</v>
      </c>
      <c r="G2472">
        <v>15</v>
      </c>
      <c r="H2472">
        <v>11</v>
      </c>
      <c r="I2472">
        <v>0</v>
      </c>
      <c r="J2472" t="s">
        <v>34</v>
      </c>
      <c r="K2472" t="s">
        <v>24</v>
      </c>
      <c r="L2472">
        <v>58</v>
      </c>
      <c r="M2472">
        <v>88.570999999999998</v>
      </c>
      <c r="N2472">
        <v>90.057226</v>
      </c>
      <c r="O2472">
        <v>17.795000000000002</v>
      </c>
      <c r="P2472">
        <v>37.869999999999997</v>
      </c>
      <c r="Q2472">
        <v>32.344000000000001</v>
      </c>
      <c r="R2472" t="s">
        <v>1173</v>
      </c>
      <c r="S2472" t="s">
        <v>83</v>
      </c>
      <c r="T2472">
        <f>IF(TRIM(Table1[[#This Row],[PitStopLaps]])="",0,
LEN(Table1[[#This Row],[PitStopLaps]])-LEN(SUBSTITUTE(Table1[[#This Row],[PitStopLaps]],",",""))+1)</f>
        <v>2</v>
      </c>
      <c r="U2472">
        <f>Table1[[#This Row],[StartPosition]]-Table1[[#This Row],[FinishPosition]]</f>
        <v>4</v>
      </c>
    </row>
    <row r="2473" spans="1:21" x14ac:dyDescent="0.3">
      <c r="A2473">
        <v>2023</v>
      </c>
      <c r="B2473">
        <v>22</v>
      </c>
      <c r="C2473" t="s">
        <v>240</v>
      </c>
      <c r="D2473" t="s">
        <v>52</v>
      </c>
      <c r="E2473" t="s">
        <v>53</v>
      </c>
      <c r="F2473" t="s">
        <v>607</v>
      </c>
      <c r="G2473">
        <v>12</v>
      </c>
      <c r="H2473">
        <v>12</v>
      </c>
      <c r="I2473">
        <v>0</v>
      </c>
      <c r="J2473" t="s">
        <v>34</v>
      </c>
      <c r="K2473" t="s">
        <v>24</v>
      </c>
      <c r="L2473">
        <v>58</v>
      </c>
      <c r="M2473">
        <v>90.033000000000001</v>
      </c>
      <c r="N2473">
        <v>90.663962999999995</v>
      </c>
      <c r="O2473">
        <v>18.068000000000001</v>
      </c>
      <c r="P2473">
        <v>37.981000000000002</v>
      </c>
      <c r="Q2473">
        <v>33.295999999999999</v>
      </c>
      <c r="R2473">
        <v>15</v>
      </c>
      <c r="S2473" t="s">
        <v>83</v>
      </c>
      <c r="T2473">
        <f>IF(TRIM(Table1[[#This Row],[PitStopLaps]])="",0,
LEN(Table1[[#This Row],[PitStopLaps]])-LEN(SUBSTITUTE(Table1[[#This Row],[PitStopLaps]],",",""))+1)</f>
        <v>1</v>
      </c>
      <c r="U2473">
        <f>Table1[[#This Row],[StartPosition]]-Table1[[#This Row],[FinishPosition]]</f>
        <v>0</v>
      </c>
    </row>
    <row r="2474" spans="1:21" x14ac:dyDescent="0.3">
      <c r="A2474">
        <v>2023</v>
      </c>
      <c r="B2474">
        <v>22</v>
      </c>
      <c r="C2474" t="s">
        <v>240</v>
      </c>
      <c r="D2474" t="s">
        <v>73</v>
      </c>
      <c r="E2474" t="s">
        <v>74</v>
      </c>
      <c r="F2474" t="s">
        <v>607</v>
      </c>
      <c r="G2474">
        <v>10</v>
      </c>
      <c r="H2474">
        <v>13</v>
      </c>
      <c r="I2474">
        <v>0</v>
      </c>
      <c r="J2474" t="s">
        <v>34</v>
      </c>
      <c r="K2474" t="s">
        <v>24</v>
      </c>
      <c r="L2474">
        <v>58</v>
      </c>
      <c r="M2474">
        <v>89.016000000000005</v>
      </c>
      <c r="N2474">
        <v>90.308867000000006</v>
      </c>
      <c r="O2474">
        <v>17.928999999999998</v>
      </c>
      <c r="P2474">
        <v>38.021999999999998</v>
      </c>
      <c r="Q2474">
        <v>32.78</v>
      </c>
      <c r="R2474" t="s">
        <v>165</v>
      </c>
      <c r="S2474" t="s">
        <v>83</v>
      </c>
      <c r="T2474">
        <f>IF(TRIM(Table1[[#This Row],[PitStopLaps]])="",0,
LEN(Table1[[#This Row],[PitStopLaps]])-LEN(SUBSTITUTE(Table1[[#This Row],[PitStopLaps]],",",""))+1)</f>
        <v>2</v>
      </c>
      <c r="U2474">
        <f>Table1[[#This Row],[StartPosition]]-Table1[[#This Row],[FinishPosition]]</f>
        <v>-3</v>
      </c>
    </row>
    <row r="2475" spans="1:21" x14ac:dyDescent="0.3">
      <c r="A2475">
        <v>2023</v>
      </c>
      <c r="B2475">
        <v>22</v>
      </c>
      <c r="C2475" t="s">
        <v>240</v>
      </c>
      <c r="D2475" t="s">
        <v>248</v>
      </c>
      <c r="E2475" t="s">
        <v>249</v>
      </c>
      <c r="F2475" t="s">
        <v>60</v>
      </c>
      <c r="G2475">
        <v>14</v>
      </c>
      <c r="H2475">
        <v>14</v>
      </c>
      <c r="I2475">
        <v>0</v>
      </c>
      <c r="J2475" t="s">
        <v>34</v>
      </c>
      <c r="K2475" t="s">
        <v>24</v>
      </c>
      <c r="L2475">
        <v>58</v>
      </c>
      <c r="M2475">
        <v>87.844999999999999</v>
      </c>
      <c r="N2475">
        <v>90.329055999999994</v>
      </c>
      <c r="O2475">
        <v>17.745999999999999</v>
      </c>
      <c r="P2475">
        <v>37.427</v>
      </c>
      <c r="Q2475">
        <v>32.671999999999997</v>
      </c>
      <c r="R2475" t="s">
        <v>889</v>
      </c>
      <c r="S2475" t="s">
        <v>83</v>
      </c>
      <c r="T2475">
        <f>IF(TRIM(Table1[[#This Row],[PitStopLaps]])="",0,
LEN(Table1[[#This Row],[PitStopLaps]])-LEN(SUBSTITUTE(Table1[[#This Row],[PitStopLaps]],",",""))+1)</f>
        <v>2</v>
      </c>
      <c r="U2475">
        <f>Table1[[#This Row],[StartPosition]]-Table1[[#This Row],[FinishPosition]]</f>
        <v>0</v>
      </c>
    </row>
    <row r="2476" spans="1:21" x14ac:dyDescent="0.3">
      <c r="A2476">
        <v>2023</v>
      </c>
      <c r="B2476">
        <v>22</v>
      </c>
      <c r="C2476" t="s">
        <v>240</v>
      </c>
      <c r="D2476" t="s">
        <v>40</v>
      </c>
      <c r="E2476" t="s">
        <v>41</v>
      </c>
      <c r="F2476" t="s">
        <v>69</v>
      </c>
      <c r="G2476">
        <v>8</v>
      </c>
      <c r="H2476">
        <v>15</v>
      </c>
      <c r="I2476">
        <v>0</v>
      </c>
      <c r="J2476" t="s">
        <v>34</v>
      </c>
      <c r="K2476" t="s">
        <v>24</v>
      </c>
      <c r="L2476">
        <v>58</v>
      </c>
      <c r="M2476">
        <v>89.216999999999999</v>
      </c>
      <c r="N2476">
        <v>90.564414999999997</v>
      </c>
      <c r="O2476">
        <v>17.922000000000001</v>
      </c>
      <c r="P2476">
        <v>38.444000000000003</v>
      </c>
      <c r="Q2476">
        <v>32.685000000000002</v>
      </c>
      <c r="R2476" t="s">
        <v>159</v>
      </c>
      <c r="S2476" t="s">
        <v>83</v>
      </c>
      <c r="T2476">
        <f>IF(TRIM(Table1[[#This Row],[PitStopLaps]])="",0,
LEN(Table1[[#This Row],[PitStopLaps]])-LEN(SUBSTITUTE(Table1[[#This Row],[PitStopLaps]],",",""))+1)</f>
        <v>2</v>
      </c>
      <c r="U2476">
        <f>Table1[[#This Row],[StartPosition]]-Table1[[#This Row],[FinishPosition]]</f>
        <v>-7</v>
      </c>
    </row>
    <row r="2477" spans="1:21" x14ac:dyDescent="0.3">
      <c r="A2477">
        <v>2023</v>
      </c>
      <c r="B2477">
        <v>22</v>
      </c>
      <c r="C2477" t="s">
        <v>240</v>
      </c>
      <c r="D2477" t="s">
        <v>992</v>
      </c>
      <c r="E2477" t="s">
        <v>993</v>
      </c>
      <c r="F2477" t="s">
        <v>60</v>
      </c>
      <c r="G2477">
        <v>20</v>
      </c>
      <c r="H2477">
        <v>16</v>
      </c>
      <c r="I2477">
        <v>0</v>
      </c>
      <c r="J2477" t="s">
        <v>34</v>
      </c>
      <c r="K2477" t="s">
        <v>24</v>
      </c>
      <c r="L2477">
        <v>58</v>
      </c>
      <c r="M2477">
        <v>88.58</v>
      </c>
      <c r="N2477">
        <v>90.545471000000006</v>
      </c>
      <c r="O2477">
        <v>17.736999999999998</v>
      </c>
      <c r="P2477">
        <v>37.779000000000003</v>
      </c>
      <c r="Q2477">
        <v>32.841999999999999</v>
      </c>
      <c r="R2477" t="s">
        <v>891</v>
      </c>
      <c r="S2477" t="s">
        <v>83</v>
      </c>
      <c r="T2477">
        <f>IF(TRIM(Table1[[#This Row],[PitStopLaps]])="",0,
LEN(Table1[[#This Row],[PitStopLaps]])-LEN(SUBSTITUTE(Table1[[#This Row],[PitStopLaps]],",",""))+1)</f>
        <v>2</v>
      </c>
      <c r="U2477">
        <f>Table1[[#This Row],[StartPosition]]-Table1[[#This Row],[FinishPosition]]</f>
        <v>4</v>
      </c>
    </row>
    <row r="2478" spans="1:21" x14ac:dyDescent="0.3">
      <c r="A2478">
        <v>2023</v>
      </c>
      <c r="B2478">
        <v>22</v>
      </c>
      <c r="C2478" t="s">
        <v>240</v>
      </c>
      <c r="D2478" t="s">
        <v>794</v>
      </c>
      <c r="E2478" t="s">
        <v>795</v>
      </c>
      <c r="F2478" t="s">
        <v>789</v>
      </c>
      <c r="G2478">
        <v>19</v>
      </c>
      <c r="H2478">
        <v>17</v>
      </c>
      <c r="I2478">
        <v>0</v>
      </c>
      <c r="J2478" t="s">
        <v>34</v>
      </c>
      <c r="K2478" t="s">
        <v>24</v>
      </c>
      <c r="L2478">
        <v>58</v>
      </c>
      <c r="M2478">
        <v>88.745999999999995</v>
      </c>
      <c r="N2478">
        <v>90.584018</v>
      </c>
      <c r="O2478">
        <v>17.908999999999999</v>
      </c>
      <c r="P2478">
        <v>37.807000000000002</v>
      </c>
      <c r="Q2478">
        <v>32.683</v>
      </c>
      <c r="R2478" t="s">
        <v>725</v>
      </c>
      <c r="S2478" t="s">
        <v>83</v>
      </c>
      <c r="T2478">
        <f>IF(TRIM(Table1[[#This Row],[PitStopLaps]])="",0,
LEN(Table1[[#This Row],[PitStopLaps]])-LEN(SUBSTITUTE(Table1[[#This Row],[PitStopLaps]],",",""))+1)</f>
        <v>2</v>
      </c>
      <c r="U2478">
        <f>Table1[[#This Row],[StartPosition]]-Table1[[#This Row],[FinishPosition]]</f>
        <v>2</v>
      </c>
    </row>
    <row r="2479" spans="1:21" x14ac:dyDescent="0.3">
      <c r="A2479">
        <v>2023</v>
      </c>
      <c r="B2479">
        <v>22</v>
      </c>
      <c r="C2479" t="s">
        <v>240</v>
      </c>
      <c r="D2479" t="s">
        <v>47</v>
      </c>
      <c r="E2479" t="s">
        <v>48</v>
      </c>
      <c r="F2479" t="s">
        <v>22</v>
      </c>
      <c r="G2479">
        <v>16</v>
      </c>
      <c r="H2479">
        <v>18</v>
      </c>
      <c r="I2479">
        <v>0</v>
      </c>
      <c r="J2479" t="s">
        <v>34</v>
      </c>
      <c r="K2479" t="s">
        <v>179</v>
      </c>
      <c r="L2479">
        <v>57</v>
      </c>
      <c r="M2479">
        <v>89.451999999999998</v>
      </c>
      <c r="N2479">
        <v>90.501999999999995</v>
      </c>
      <c r="O2479">
        <v>18.064</v>
      </c>
      <c r="P2479">
        <v>37.97</v>
      </c>
      <c r="Q2479">
        <v>32.89</v>
      </c>
      <c r="R2479" t="s">
        <v>1174</v>
      </c>
      <c r="S2479" t="s">
        <v>83</v>
      </c>
      <c r="T2479">
        <f>IF(TRIM(Table1[[#This Row],[PitStopLaps]])="",0,
LEN(Table1[[#This Row],[PitStopLaps]])-LEN(SUBSTITUTE(Table1[[#This Row],[PitStopLaps]],",",""))+1)</f>
        <v>3</v>
      </c>
      <c r="U2479">
        <f>Table1[[#This Row],[StartPosition]]-Table1[[#This Row],[FinishPosition]]</f>
        <v>-2</v>
      </c>
    </row>
    <row r="2480" spans="1:21" x14ac:dyDescent="0.3">
      <c r="A2480">
        <v>2023</v>
      </c>
      <c r="B2480">
        <v>22</v>
      </c>
      <c r="C2480" t="s">
        <v>240</v>
      </c>
      <c r="D2480" t="s">
        <v>43</v>
      </c>
      <c r="E2480" t="s">
        <v>44</v>
      </c>
      <c r="F2480" t="s">
        <v>789</v>
      </c>
      <c r="G2480">
        <v>18</v>
      </c>
      <c r="H2480">
        <v>19</v>
      </c>
      <c r="I2480">
        <v>0</v>
      </c>
      <c r="J2480" t="s">
        <v>34</v>
      </c>
      <c r="K2480" t="s">
        <v>994</v>
      </c>
      <c r="L2480">
        <v>57</v>
      </c>
      <c r="M2480">
        <v>89.863</v>
      </c>
      <c r="N2480">
        <v>91.251018000000002</v>
      </c>
      <c r="O2480">
        <v>18.206</v>
      </c>
      <c r="P2480">
        <v>38.058</v>
      </c>
      <c r="Q2480">
        <v>32.991</v>
      </c>
      <c r="R2480">
        <v>29</v>
      </c>
      <c r="S2480" t="s">
        <v>83</v>
      </c>
      <c r="T2480">
        <f>IF(TRIM(Table1[[#This Row],[PitStopLaps]])="",0,
LEN(Table1[[#This Row],[PitStopLaps]])-LEN(SUBSTITUTE(Table1[[#This Row],[PitStopLaps]],",",""))+1)</f>
        <v>1</v>
      </c>
      <c r="U2480">
        <f>Table1[[#This Row],[StartPosition]]-Table1[[#This Row],[FinishPosition]]</f>
        <v>-1</v>
      </c>
    </row>
    <row r="2481" spans="1:21" x14ac:dyDescent="0.3">
      <c r="A2481">
        <v>2023</v>
      </c>
      <c r="B2481">
        <v>22</v>
      </c>
      <c r="C2481" t="s">
        <v>240</v>
      </c>
      <c r="D2481" t="s">
        <v>71</v>
      </c>
      <c r="E2481" t="s">
        <v>72</v>
      </c>
      <c r="F2481" t="s">
        <v>69</v>
      </c>
      <c r="G2481">
        <v>17</v>
      </c>
      <c r="H2481">
        <v>20</v>
      </c>
      <c r="I2481">
        <v>0</v>
      </c>
      <c r="J2481" t="s">
        <v>34</v>
      </c>
      <c r="K2481" t="s">
        <v>994</v>
      </c>
      <c r="L2481">
        <v>57</v>
      </c>
      <c r="M2481">
        <v>89.933999999999997</v>
      </c>
      <c r="N2481">
        <v>90.871556999999996</v>
      </c>
      <c r="O2481">
        <v>18.146000000000001</v>
      </c>
      <c r="P2481">
        <v>38.125</v>
      </c>
      <c r="Q2481">
        <v>33.081000000000003</v>
      </c>
      <c r="R2481" t="s">
        <v>1077</v>
      </c>
      <c r="S2481" t="s">
        <v>83</v>
      </c>
      <c r="T2481">
        <f>IF(TRIM(Table1[[#This Row],[PitStopLaps]])="",0,
LEN(Table1[[#This Row],[PitStopLaps]])-LEN(SUBSTITUTE(Table1[[#This Row],[PitStopLaps]],",",""))+1)</f>
        <v>2</v>
      </c>
      <c r="U2481">
        <f>Table1[[#This Row],[StartPosition]]-Table1[[#This Row],[FinishPosition]]</f>
        <v>-3</v>
      </c>
    </row>
    <row r="2482" spans="1:21" x14ac:dyDescent="0.3">
      <c r="A2482">
        <v>2024</v>
      </c>
      <c r="B2482">
        <v>1</v>
      </c>
      <c r="C2482" t="s">
        <v>82</v>
      </c>
      <c r="D2482" t="s">
        <v>38</v>
      </c>
      <c r="E2482" t="s">
        <v>39</v>
      </c>
      <c r="F2482" t="s">
        <v>33</v>
      </c>
      <c r="G2482">
        <v>1</v>
      </c>
      <c r="H2482">
        <v>1</v>
      </c>
      <c r="I2482">
        <v>26</v>
      </c>
      <c r="J2482" t="s">
        <v>23</v>
      </c>
      <c r="K2482" t="s">
        <v>24</v>
      </c>
      <c r="L2482">
        <v>57</v>
      </c>
      <c r="M2482">
        <v>92.608000000000004</v>
      </c>
      <c r="N2482">
        <v>95.654403000000002</v>
      </c>
      <c r="O2482">
        <v>29.741</v>
      </c>
      <c r="P2482">
        <v>39.915999999999997</v>
      </c>
      <c r="Q2482">
        <v>22.951000000000001</v>
      </c>
      <c r="R2482" t="s">
        <v>1131</v>
      </c>
      <c r="S2482" t="s">
        <v>83</v>
      </c>
      <c r="T2482">
        <f>IF(TRIM(Table1[[#This Row],[PitStopLaps]])="",0,
LEN(Table1[[#This Row],[PitStopLaps]])-LEN(SUBSTITUTE(Table1[[#This Row],[PitStopLaps]],",",""))+1)</f>
        <v>2</v>
      </c>
      <c r="U2482">
        <f>Table1[[#This Row],[StartPosition]]-Table1[[#This Row],[FinishPosition]]</f>
        <v>0</v>
      </c>
    </row>
    <row r="2483" spans="1:21" x14ac:dyDescent="0.3">
      <c r="A2483">
        <v>2024</v>
      </c>
      <c r="B2483">
        <v>1</v>
      </c>
      <c r="C2483" t="s">
        <v>82</v>
      </c>
      <c r="D2483" t="s">
        <v>49</v>
      </c>
      <c r="E2483" t="s">
        <v>50</v>
      </c>
      <c r="F2483" t="s">
        <v>33</v>
      </c>
      <c r="G2483">
        <v>5</v>
      </c>
      <c r="H2483">
        <v>2</v>
      </c>
      <c r="I2483">
        <v>18</v>
      </c>
      <c r="J2483" t="s">
        <v>23</v>
      </c>
      <c r="K2483" t="s">
        <v>24</v>
      </c>
      <c r="L2483">
        <v>57</v>
      </c>
      <c r="M2483">
        <v>94.364000000000004</v>
      </c>
      <c r="N2483">
        <v>96.039845999999997</v>
      </c>
      <c r="O2483">
        <v>30.062999999999999</v>
      </c>
      <c r="P2483">
        <v>40.771999999999998</v>
      </c>
      <c r="Q2483">
        <v>23.151</v>
      </c>
      <c r="R2483" t="s">
        <v>379</v>
      </c>
      <c r="S2483" t="s">
        <v>83</v>
      </c>
      <c r="T2483">
        <f>IF(TRIM(Table1[[#This Row],[PitStopLaps]])="",0,
LEN(Table1[[#This Row],[PitStopLaps]])-LEN(SUBSTITUTE(Table1[[#This Row],[PitStopLaps]],",",""))+1)</f>
        <v>2</v>
      </c>
      <c r="U2483">
        <f>Table1[[#This Row],[StartPosition]]-Table1[[#This Row],[FinishPosition]]</f>
        <v>3</v>
      </c>
    </row>
    <row r="2484" spans="1:21" x14ac:dyDescent="0.3">
      <c r="A2484">
        <v>2024</v>
      </c>
      <c r="B2484">
        <v>1</v>
      </c>
      <c r="C2484" t="s">
        <v>82</v>
      </c>
      <c r="D2484" t="s">
        <v>47</v>
      </c>
      <c r="E2484" t="s">
        <v>48</v>
      </c>
      <c r="F2484" t="s">
        <v>22</v>
      </c>
      <c r="G2484">
        <v>4</v>
      </c>
      <c r="H2484">
        <v>3</v>
      </c>
      <c r="I2484">
        <v>15</v>
      </c>
      <c r="J2484" t="s">
        <v>23</v>
      </c>
      <c r="K2484" t="s">
        <v>24</v>
      </c>
      <c r="L2484">
        <v>57</v>
      </c>
      <c r="M2484">
        <v>94.507000000000005</v>
      </c>
      <c r="N2484">
        <v>96.103076000000001</v>
      </c>
      <c r="O2484">
        <v>30.202000000000002</v>
      </c>
      <c r="P2484">
        <v>40.970999999999997</v>
      </c>
      <c r="Q2484">
        <v>23.14</v>
      </c>
      <c r="R2484" t="s">
        <v>404</v>
      </c>
      <c r="S2484" t="s">
        <v>83</v>
      </c>
      <c r="T2484">
        <f>IF(TRIM(Table1[[#This Row],[PitStopLaps]])="",0,
LEN(Table1[[#This Row],[PitStopLaps]])-LEN(SUBSTITUTE(Table1[[#This Row],[PitStopLaps]],",",""))+1)</f>
        <v>2</v>
      </c>
      <c r="U2484">
        <f>Table1[[#This Row],[StartPosition]]-Table1[[#This Row],[FinishPosition]]</f>
        <v>1</v>
      </c>
    </row>
    <row r="2485" spans="1:21" x14ac:dyDescent="0.3">
      <c r="A2485">
        <v>2024</v>
      </c>
      <c r="B2485">
        <v>1</v>
      </c>
      <c r="C2485" t="s">
        <v>82</v>
      </c>
      <c r="D2485" t="s">
        <v>54</v>
      </c>
      <c r="E2485" t="s">
        <v>55</v>
      </c>
      <c r="F2485" t="s">
        <v>22</v>
      </c>
      <c r="G2485">
        <v>2</v>
      </c>
      <c r="H2485">
        <v>4</v>
      </c>
      <c r="I2485">
        <v>12</v>
      </c>
      <c r="J2485" t="s">
        <v>34</v>
      </c>
      <c r="K2485" t="s">
        <v>24</v>
      </c>
      <c r="L2485">
        <v>57</v>
      </c>
      <c r="M2485">
        <v>94.09</v>
      </c>
      <c r="N2485">
        <v>96.368307000000001</v>
      </c>
      <c r="O2485">
        <v>30.062999999999999</v>
      </c>
      <c r="P2485">
        <v>40.65</v>
      </c>
      <c r="Q2485">
        <v>23.28</v>
      </c>
      <c r="R2485" t="s">
        <v>730</v>
      </c>
      <c r="S2485" t="s">
        <v>83</v>
      </c>
      <c r="T2485">
        <f>IF(TRIM(Table1[[#This Row],[PitStopLaps]])="",0,
LEN(Table1[[#This Row],[PitStopLaps]])-LEN(SUBSTITUTE(Table1[[#This Row],[PitStopLaps]],",",""))+1)</f>
        <v>2</v>
      </c>
      <c r="U2485">
        <f>Table1[[#This Row],[StartPosition]]-Table1[[#This Row],[FinishPosition]]</f>
        <v>-2</v>
      </c>
    </row>
    <row r="2486" spans="1:21" x14ac:dyDescent="0.3">
      <c r="A2486">
        <v>2024</v>
      </c>
      <c r="B2486">
        <v>1</v>
      </c>
      <c r="C2486" t="s">
        <v>82</v>
      </c>
      <c r="D2486" t="s">
        <v>252</v>
      </c>
      <c r="E2486" t="s">
        <v>253</v>
      </c>
      <c r="F2486" t="s">
        <v>28</v>
      </c>
      <c r="G2486">
        <v>3</v>
      </c>
      <c r="H2486">
        <v>5</v>
      </c>
      <c r="I2486">
        <v>10</v>
      </c>
      <c r="J2486" t="s">
        <v>34</v>
      </c>
      <c r="K2486" t="s">
        <v>24</v>
      </c>
      <c r="L2486">
        <v>57</v>
      </c>
      <c r="M2486">
        <v>95.064999999999998</v>
      </c>
      <c r="N2486">
        <v>96.474134000000006</v>
      </c>
      <c r="O2486">
        <v>30.286000000000001</v>
      </c>
      <c r="P2486">
        <v>41.195999999999998</v>
      </c>
      <c r="Q2486">
        <v>23.302</v>
      </c>
      <c r="R2486" t="s">
        <v>104</v>
      </c>
      <c r="S2486" t="s">
        <v>83</v>
      </c>
      <c r="T2486">
        <f>IF(TRIM(Table1[[#This Row],[PitStopLaps]])="",0,
LEN(Table1[[#This Row],[PitStopLaps]])-LEN(SUBSTITUTE(Table1[[#This Row],[PitStopLaps]],",",""))+1)</f>
        <v>2</v>
      </c>
      <c r="U2486">
        <f>Table1[[#This Row],[StartPosition]]-Table1[[#This Row],[FinishPosition]]</f>
        <v>-2</v>
      </c>
    </row>
    <row r="2487" spans="1:21" x14ac:dyDescent="0.3">
      <c r="A2487">
        <v>2024</v>
      </c>
      <c r="B2487">
        <v>1</v>
      </c>
      <c r="C2487" t="s">
        <v>82</v>
      </c>
      <c r="D2487" t="s">
        <v>246</v>
      </c>
      <c r="E2487" t="s">
        <v>247</v>
      </c>
      <c r="F2487" t="s">
        <v>37</v>
      </c>
      <c r="G2487">
        <v>7</v>
      </c>
      <c r="H2487">
        <v>6</v>
      </c>
      <c r="I2487">
        <v>8</v>
      </c>
      <c r="J2487" t="s">
        <v>34</v>
      </c>
      <c r="K2487" t="s">
        <v>24</v>
      </c>
      <c r="L2487">
        <v>57</v>
      </c>
      <c r="M2487">
        <v>94.475999999999999</v>
      </c>
      <c r="N2487">
        <v>96.463519000000005</v>
      </c>
      <c r="O2487">
        <v>30.161999999999999</v>
      </c>
      <c r="P2487">
        <v>40.838000000000001</v>
      </c>
      <c r="Q2487">
        <v>23.318000000000001</v>
      </c>
      <c r="R2487" t="s">
        <v>159</v>
      </c>
      <c r="S2487" t="s">
        <v>83</v>
      </c>
      <c r="T2487">
        <f>IF(TRIM(Table1[[#This Row],[PitStopLaps]])="",0,
LEN(Table1[[#This Row],[PitStopLaps]])-LEN(SUBSTITUTE(Table1[[#This Row],[PitStopLaps]],",",""))+1)</f>
        <v>2</v>
      </c>
      <c r="U2487">
        <f>Table1[[#This Row],[StartPosition]]-Table1[[#This Row],[FinishPosition]]</f>
        <v>1</v>
      </c>
    </row>
    <row r="2488" spans="1:21" x14ac:dyDescent="0.3">
      <c r="A2488">
        <v>2024</v>
      </c>
      <c r="B2488">
        <v>1</v>
      </c>
      <c r="C2488" t="s">
        <v>82</v>
      </c>
      <c r="D2488" t="s">
        <v>26</v>
      </c>
      <c r="E2488" t="s">
        <v>27</v>
      </c>
      <c r="F2488" t="s">
        <v>28</v>
      </c>
      <c r="G2488">
        <v>9</v>
      </c>
      <c r="H2488">
        <v>7</v>
      </c>
      <c r="I2488">
        <v>6</v>
      </c>
      <c r="J2488" t="s">
        <v>34</v>
      </c>
      <c r="K2488" t="s">
        <v>24</v>
      </c>
      <c r="L2488">
        <v>57</v>
      </c>
      <c r="M2488">
        <v>94.721999999999994</v>
      </c>
      <c r="N2488">
        <v>96.495000000000005</v>
      </c>
      <c r="O2488">
        <v>30.06</v>
      </c>
      <c r="P2488">
        <v>41.116</v>
      </c>
      <c r="Q2488">
        <v>23.323</v>
      </c>
      <c r="R2488" t="s">
        <v>598</v>
      </c>
      <c r="S2488" t="s">
        <v>83</v>
      </c>
      <c r="T2488">
        <f>IF(TRIM(Table1[[#This Row],[PitStopLaps]])="",0,
LEN(Table1[[#This Row],[PitStopLaps]])-LEN(SUBSTITUTE(Table1[[#This Row],[PitStopLaps]],",",""))+1)</f>
        <v>2</v>
      </c>
      <c r="U2488">
        <f>Table1[[#This Row],[StartPosition]]-Table1[[#This Row],[FinishPosition]]</f>
        <v>2</v>
      </c>
    </row>
    <row r="2489" spans="1:21" x14ac:dyDescent="0.3">
      <c r="A2489">
        <v>2024</v>
      </c>
      <c r="B2489">
        <v>1</v>
      </c>
      <c r="C2489" t="s">
        <v>82</v>
      </c>
      <c r="D2489" t="s">
        <v>1000</v>
      </c>
      <c r="E2489" t="s">
        <v>1001</v>
      </c>
      <c r="F2489" t="s">
        <v>37</v>
      </c>
      <c r="G2489">
        <v>8</v>
      </c>
      <c r="H2489">
        <v>8</v>
      </c>
      <c r="I2489">
        <v>4</v>
      </c>
      <c r="J2489" t="s">
        <v>34</v>
      </c>
      <c r="K2489" t="s">
        <v>24</v>
      </c>
      <c r="L2489">
        <v>57</v>
      </c>
      <c r="M2489">
        <v>94.774000000000001</v>
      </c>
      <c r="N2489">
        <v>96.537672999999998</v>
      </c>
      <c r="O2489">
        <v>30.196000000000002</v>
      </c>
      <c r="P2489">
        <v>40.771999999999998</v>
      </c>
      <c r="Q2489">
        <v>23.451000000000001</v>
      </c>
      <c r="R2489" t="s">
        <v>551</v>
      </c>
      <c r="S2489" t="s">
        <v>83</v>
      </c>
      <c r="T2489">
        <f>IF(TRIM(Table1[[#This Row],[PitStopLaps]])="",0,
LEN(Table1[[#This Row],[PitStopLaps]])-LEN(SUBSTITUTE(Table1[[#This Row],[PitStopLaps]],",",""))+1)</f>
        <v>2</v>
      </c>
      <c r="U2489">
        <f>Table1[[#This Row],[StartPosition]]-Table1[[#This Row],[FinishPosition]]</f>
        <v>0</v>
      </c>
    </row>
    <row r="2490" spans="1:21" x14ac:dyDescent="0.3">
      <c r="A2490">
        <v>2024</v>
      </c>
      <c r="B2490">
        <v>1</v>
      </c>
      <c r="C2490" t="s">
        <v>82</v>
      </c>
      <c r="D2490" t="s">
        <v>35</v>
      </c>
      <c r="E2490" t="s">
        <v>36</v>
      </c>
      <c r="F2490" t="s">
        <v>603</v>
      </c>
      <c r="G2490">
        <v>6</v>
      </c>
      <c r="H2490">
        <v>9</v>
      </c>
      <c r="I2490">
        <v>2</v>
      </c>
      <c r="J2490" t="s">
        <v>34</v>
      </c>
      <c r="K2490" t="s">
        <v>24</v>
      </c>
      <c r="L2490">
        <v>57</v>
      </c>
      <c r="M2490">
        <v>94.198999999999998</v>
      </c>
      <c r="N2490">
        <v>96.939903000000001</v>
      </c>
      <c r="O2490">
        <v>30.045999999999999</v>
      </c>
      <c r="P2490">
        <v>40.783000000000001</v>
      </c>
      <c r="Q2490">
        <v>23.265000000000001</v>
      </c>
      <c r="R2490" t="s">
        <v>891</v>
      </c>
      <c r="S2490" t="s">
        <v>83</v>
      </c>
      <c r="T2490">
        <f>IF(TRIM(Table1[[#This Row],[PitStopLaps]])="",0,
LEN(Table1[[#This Row],[PitStopLaps]])-LEN(SUBSTITUTE(Table1[[#This Row],[PitStopLaps]],",",""))+1)</f>
        <v>2</v>
      </c>
      <c r="U2490">
        <f>Table1[[#This Row],[StartPosition]]-Table1[[#This Row],[FinishPosition]]</f>
        <v>-3</v>
      </c>
    </row>
    <row r="2491" spans="1:21" x14ac:dyDescent="0.3">
      <c r="A2491">
        <v>2024</v>
      </c>
      <c r="B2491">
        <v>1</v>
      </c>
      <c r="C2491" t="s">
        <v>82</v>
      </c>
      <c r="D2491" t="s">
        <v>58</v>
      </c>
      <c r="E2491" t="s">
        <v>59</v>
      </c>
      <c r="F2491" t="s">
        <v>603</v>
      </c>
      <c r="G2491">
        <v>12</v>
      </c>
      <c r="H2491">
        <v>10</v>
      </c>
      <c r="I2491">
        <v>1</v>
      </c>
      <c r="J2491" t="s">
        <v>34</v>
      </c>
      <c r="K2491" t="s">
        <v>24</v>
      </c>
      <c r="L2491">
        <v>57</v>
      </c>
      <c r="M2491">
        <v>95.632000000000005</v>
      </c>
      <c r="N2491">
        <v>97.124364999999997</v>
      </c>
      <c r="O2491">
        <v>30.248000000000001</v>
      </c>
      <c r="P2491">
        <v>41.609000000000002</v>
      </c>
      <c r="Q2491">
        <v>23.495999999999999</v>
      </c>
      <c r="R2491" t="s">
        <v>385</v>
      </c>
      <c r="S2491" t="s">
        <v>83</v>
      </c>
      <c r="T2491">
        <f>IF(TRIM(Table1[[#This Row],[PitStopLaps]])="",0,
LEN(Table1[[#This Row],[PitStopLaps]])-LEN(SUBSTITUTE(Table1[[#This Row],[PitStopLaps]],",",""))+1)</f>
        <v>2</v>
      </c>
      <c r="U2491">
        <f>Table1[[#This Row],[StartPosition]]-Table1[[#This Row],[FinishPosition]]</f>
        <v>2</v>
      </c>
    </row>
    <row r="2492" spans="1:21" x14ac:dyDescent="0.3">
      <c r="A2492">
        <v>2024</v>
      </c>
      <c r="B2492">
        <v>1</v>
      </c>
      <c r="C2492" t="s">
        <v>82</v>
      </c>
      <c r="D2492" t="s">
        <v>794</v>
      </c>
      <c r="E2492" t="s">
        <v>795</v>
      </c>
      <c r="F2492" t="s">
        <v>1175</v>
      </c>
      <c r="G2492">
        <v>17</v>
      </c>
      <c r="H2492">
        <v>11</v>
      </c>
      <c r="I2492">
        <v>0</v>
      </c>
      <c r="J2492" t="s">
        <v>34</v>
      </c>
      <c r="K2492" t="s">
        <v>994</v>
      </c>
      <c r="L2492">
        <v>56</v>
      </c>
      <c r="M2492">
        <v>95.457999999999998</v>
      </c>
      <c r="N2492">
        <v>97.407293999999993</v>
      </c>
      <c r="O2492">
        <v>30.611999999999998</v>
      </c>
      <c r="P2492">
        <v>41.19</v>
      </c>
      <c r="Q2492">
        <v>23.594000000000001</v>
      </c>
      <c r="R2492" t="s">
        <v>649</v>
      </c>
      <c r="S2492" t="s">
        <v>83</v>
      </c>
      <c r="T2492">
        <f>IF(TRIM(Table1[[#This Row],[PitStopLaps]])="",0,
LEN(Table1[[#This Row],[PitStopLaps]])-LEN(SUBSTITUTE(Table1[[#This Row],[PitStopLaps]],",",""))+1)</f>
        <v>2</v>
      </c>
      <c r="U2492">
        <f>Table1[[#This Row],[StartPosition]]-Table1[[#This Row],[FinishPosition]]</f>
        <v>6</v>
      </c>
    </row>
    <row r="2493" spans="1:21" x14ac:dyDescent="0.3">
      <c r="A2493">
        <v>2024</v>
      </c>
      <c r="B2493">
        <v>1</v>
      </c>
      <c r="C2493" t="s">
        <v>82</v>
      </c>
      <c r="D2493" t="s">
        <v>71</v>
      </c>
      <c r="E2493" t="s">
        <v>72</v>
      </c>
      <c r="F2493" t="s">
        <v>69</v>
      </c>
      <c r="G2493">
        <v>15</v>
      </c>
      <c r="H2493">
        <v>12</v>
      </c>
      <c r="I2493">
        <v>0</v>
      </c>
      <c r="J2493" t="s">
        <v>34</v>
      </c>
      <c r="K2493" t="s">
        <v>994</v>
      </c>
      <c r="L2493">
        <v>56</v>
      </c>
      <c r="M2493">
        <v>95.57</v>
      </c>
      <c r="N2493">
        <v>97.465078000000005</v>
      </c>
      <c r="O2493">
        <v>30.227</v>
      </c>
      <c r="P2493">
        <v>41.408999999999999</v>
      </c>
      <c r="Q2493">
        <v>23.629000000000001</v>
      </c>
      <c r="R2493" t="s">
        <v>263</v>
      </c>
      <c r="S2493" t="s">
        <v>83</v>
      </c>
      <c r="T2493">
        <f>IF(TRIM(Table1[[#This Row],[PitStopLaps]])="",0,
LEN(Table1[[#This Row],[PitStopLaps]])-LEN(SUBSTITUTE(Table1[[#This Row],[PitStopLaps]],",",""))+1)</f>
        <v>2</v>
      </c>
      <c r="U2493">
        <f>Table1[[#This Row],[StartPosition]]-Table1[[#This Row],[FinishPosition]]</f>
        <v>3</v>
      </c>
    </row>
    <row r="2494" spans="1:21" x14ac:dyDescent="0.3">
      <c r="A2494">
        <v>2024</v>
      </c>
      <c r="B2494">
        <v>1</v>
      </c>
      <c r="C2494" t="s">
        <v>82</v>
      </c>
      <c r="D2494" t="s">
        <v>31</v>
      </c>
      <c r="E2494" t="s">
        <v>32</v>
      </c>
      <c r="F2494" t="s">
        <v>1176</v>
      </c>
      <c r="G2494">
        <v>14</v>
      </c>
      <c r="H2494">
        <v>13</v>
      </c>
      <c r="I2494">
        <v>0</v>
      </c>
      <c r="J2494" t="s">
        <v>34</v>
      </c>
      <c r="K2494" t="s">
        <v>994</v>
      </c>
      <c r="L2494">
        <v>56</v>
      </c>
      <c r="M2494">
        <v>95.162999999999997</v>
      </c>
      <c r="N2494">
        <v>97.428646999999998</v>
      </c>
      <c r="O2494">
        <v>30.373999999999999</v>
      </c>
      <c r="P2494">
        <v>41.225999999999999</v>
      </c>
      <c r="Q2494">
        <v>23.515000000000001</v>
      </c>
      <c r="R2494" t="s">
        <v>334</v>
      </c>
      <c r="S2494" t="s">
        <v>83</v>
      </c>
      <c r="T2494">
        <f>IF(TRIM(Table1[[#This Row],[PitStopLaps]])="",0,
LEN(Table1[[#This Row],[PitStopLaps]])-LEN(SUBSTITUTE(Table1[[#This Row],[PitStopLaps]],",",""))+1)</f>
        <v>2</v>
      </c>
      <c r="U2494">
        <f>Table1[[#This Row],[StartPosition]]-Table1[[#This Row],[FinishPosition]]</f>
        <v>1</v>
      </c>
    </row>
    <row r="2495" spans="1:21" x14ac:dyDescent="0.3">
      <c r="A2495">
        <v>2024</v>
      </c>
      <c r="B2495">
        <v>1</v>
      </c>
      <c r="C2495" t="s">
        <v>82</v>
      </c>
      <c r="D2495" t="s">
        <v>601</v>
      </c>
      <c r="E2495" t="s">
        <v>602</v>
      </c>
      <c r="F2495" t="s">
        <v>1176</v>
      </c>
      <c r="G2495">
        <v>11</v>
      </c>
      <c r="H2495">
        <v>14</v>
      </c>
      <c r="I2495">
        <v>0</v>
      </c>
      <c r="J2495" t="s">
        <v>34</v>
      </c>
      <c r="K2495" t="s">
        <v>994</v>
      </c>
      <c r="L2495">
        <v>56</v>
      </c>
      <c r="M2495">
        <v>95.832999999999998</v>
      </c>
      <c r="N2495">
        <v>97.485508999999993</v>
      </c>
      <c r="O2495">
        <v>30.48</v>
      </c>
      <c r="P2495">
        <v>41.47</v>
      </c>
      <c r="Q2495">
        <v>23.626000000000001</v>
      </c>
      <c r="R2495" t="s">
        <v>525</v>
      </c>
      <c r="S2495" t="s">
        <v>83</v>
      </c>
      <c r="T2495">
        <f>IF(TRIM(Table1[[#This Row],[PitStopLaps]])="",0,
LEN(Table1[[#This Row],[PitStopLaps]])-LEN(SUBSTITUTE(Table1[[#This Row],[PitStopLaps]],",",""))+1)</f>
        <v>2</v>
      </c>
      <c r="U2495">
        <f>Table1[[#This Row],[StartPosition]]-Table1[[#This Row],[FinishPosition]]</f>
        <v>-3</v>
      </c>
    </row>
    <row r="2496" spans="1:21" x14ac:dyDescent="0.3">
      <c r="A2496">
        <v>2024</v>
      </c>
      <c r="B2496">
        <v>1</v>
      </c>
      <c r="C2496" t="s">
        <v>82</v>
      </c>
      <c r="D2496" t="s">
        <v>248</v>
      </c>
      <c r="E2496" t="s">
        <v>249</v>
      </c>
      <c r="F2496" t="s">
        <v>60</v>
      </c>
      <c r="G2496">
        <v>13</v>
      </c>
      <c r="H2496">
        <v>15</v>
      </c>
      <c r="I2496">
        <v>0</v>
      </c>
      <c r="J2496" t="s">
        <v>34</v>
      </c>
      <c r="K2496" t="s">
        <v>994</v>
      </c>
      <c r="L2496">
        <v>56</v>
      </c>
      <c r="M2496">
        <v>95.722999999999999</v>
      </c>
      <c r="N2496">
        <v>97.534567999999993</v>
      </c>
      <c r="O2496">
        <v>30.606999999999999</v>
      </c>
      <c r="P2496">
        <v>41.472000000000001</v>
      </c>
      <c r="Q2496">
        <v>23.469000000000001</v>
      </c>
      <c r="R2496" t="s">
        <v>393</v>
      </c>
      <c r="S2496" t="s">
        <v>83</v>
      </c>
      <c r="T2496">
        <f>IF(TRIM(Table1[[#This Row],[PitStopLaps]])="",0,
LEN(Table1[[#This Row],[PitStopLaps]])-LEN(SUBSTITUTE(Table1[[#This Row],[PitStopLaps]],",",""))+1)</f>
        <v>2</v>
      </c>
      <c r="U2496">
        <f>Table1[[#This Row],[StartPosition]]-Table1[[#This Row],[FinishPosition]]</f>
        <v>-2</v>
      </c>
    </row>
    <row r="2497" spans="1:21" x14ac:dyDescent="0.3">
      <c r="A2497">
        <v>2024</v>
      </c>
      <c r="B2497">
        <v>1</v>
      </c>
      <c r="C2497" t="s">
        <v>82</v>
      </c>
      <c r="D2497" t="s">
        <v>40</v>
      </c>
      <c r="E2497" t="s">
        <v>41</v>
      </c>
      <c r="F2497" t="s">
        <v>69</v>
      </c>
      <c r="G2497">
        <v>10</v>
      </c>
      <c r="H2497">
        <v>16</v>
      </c>
      <c r="I2497">
        <v>0</v>
      </c>
      <c r="J2497" t="s">
        <v>34</v>
      </c>
      <c r="K2497" t="s">
        <v>994</v>
      </c>
      <c r="L2497">
        <v>56</v>
      </c>
      <c r="M2497">
        <v>94.834000000000003</v>
      </c>
      <c r="N2497">
        <v>96.854680000000002</v>
      </c>
      <c r="O2497">
        <v>30.13</v>
      </c>
      <c r="P2497">
        <v>41.145000000000003</v>
      </c>
      <c r="Q2497">
        <v>23.486999999999998</v>
      </c>
      <c r="R2497" t="s">
        <v>1177</v>
      </c>
      <c r="S2497" t="s">
        <v>83</v>
      </c>
      <c r="T2497">
        <f>IF(TRIM(Table1[[#This Row],[PitStopLaps]])="",0,
LEN(Table1[[#This Row],[PitStopLaps]])-LEN(SUBSTITUTE(Table1[[#This Row],[PitStopLaps]],",",""))+1)</f>
        <v>3</v>
      </c>
      <c r="U2497">
        <f>Table1[[#This Row],[StartPosition]]-Table1[[#This Row],[FinishPosition]]</f>
        <v>-6</v>
      </c>
    </row>
    <row r="2498" spans="1:21" x14ac:dyDescent="0.3">
      <c r="A2498">
        <v>2024</v>
      </c>
      <c r="B2498">
        <v>1</v>
      </c>
      <c r="C2498" t="s">
        <v>82</v>
      </c>
      <c r="D2498" t="s">
        <v>52</v>
      </c>
      <c r="E2498" t="s">
        <v>53</v>
      </c>
      <c r="F2498" t="s">
        <v>607</v>
      </c>
      <c r="G2498">
        <v>19</v>
      </c>
      <c r="H2498">
        <v>17</v>
      </c>
      <c r="I2498">
        <v>0</v>
      </c>
      <c r="J2498" t="s">
        <v>34</v>
      </c>
      <c r="K2498" t="s">
        <v>994</v>
      </c>
      <c r="L2498">
        <v>56</v>
      </c>
      <c r="M2498">
        <v>96.225999999999999</v>
      </c>
      <c r="N2498">
        <v>97.810725000000005</v>
      </c>
      <c r="O2498">
        <v>30.898</v>
      </c>
      <c r="P2498">
        <v>41.548999999999999</v>
      </c>
      <c r="Q2498">
        <v>23.747</v>
      </c>
      <c r="R2498" t="s">
        <v>494</v>
      </c>
      <c r="S2498" t="s">
        <v>83</v>
      </c>
      <c r="T2498">
        <f>IF(TRIM(Table1[[#This Row],[PitStopLaps]])="",0,
LEN(Table1[[#This Row],[PitStopLaps]])-LEN(SUBSTITUTE(Table1[[#This Row],[PitStopLaps]],",",""))+1)</f>
        <v>2</v>
      </c>
      <c r="U2498">
        <f>Table1[[#This Row],[StartPosition]]-Table1[[#This Row],[FinishPosition]]</f>
        <v>2</v>
      </c>
    </row>
    <row r="2499" spans="1:21" x14ac:dyDescent="0.3">
      <c r="A2499">
        <v>2024</v>
      </c>
      <c r="B2499">
        <v>1</v>
      </c>
      <c r="C2499" t="s">
        <v>82</v>
      </c>
      <c r="D2499" t="s">
        <v>73</v>
      </c>
      <c r="E2499" t="s">
        <v>74</v>
      </c>
      <c r="F2499" t="s">
        <v>607</v>
      </c>
      <c r="G2499">
        <v>20</v>
      </c>
      <c r="H2499">
        <v>18</v>
      </c>
      <c r="I2499">
        <v>0</v>
      </c>
      <c r="J2499" t="s">
        <v>34</v>
      </c>
      <c r="K2499" t="s">
        <v>994</v>
      </c>
      <c r="L2499">
        <v>56</v>
      </c>
      <c r="M2499">
        <v>94.805000000000007</v>
      </c>
      <c r="N2499">
        <v>97.304570999999996</v>
      </c>
      <c r="O2499">
        <v>30.509</v>
      </c>
      <c r="P2499">
        <v>40.912999999999997</v>
      </c>
      <c r="Q2499">
        <v>23.382999999999999</v>
      </c>
      <c r="R2499" t="s">
        <v>1178</v>
      </c>
      <c r="S2499" t="s">
        <v>83</v>
      </c>
      <c r="T2499">
        <f>IF(TRIM(Table1[[#This Row],[PitStopLaps]])="",0,
LEN(Table1[[#This Row],[PitStopLaps]])-LEN(SUBSTITUTE(Table1[[#This Row],[PitStopLaps]],",",""))+1)</f>
        <v>3</v>
      </c>
      <c r="U2499">
        <f>Table1[[#This Row],[StartPosition]]-Table1[[#This Row],[FinishPosition]]</f>
        <v>2</v>
      </c>
    </row>
    <row r="2500" spans="1:21" x14ac:dyDescent="0.3">
      <c r="A2500">
        <v>2024</v>
      </c>
      <c r="B2500">
        <v>1</v>
      </c>
      <c r="C2500" t="s">
        <v>82</v>
      </c>
      <c r="D2500" t="s">
        <v>43</v>
      </c>
      <c r="E2500" t="s">
        <v>44</v>
      </c>
      <c r="F2500" t="s">
        <v>1175</v>
      </c>
      <c r="G2500">
        <v>16</v>
      </c>
      <c r="H2500">
        <v>19</v>
      </c>
      <c r="I2500">
        <v>0</v>
      </c>
      <c r="J2500" t="s">
        <v>34</v>
      </c>
      <c r="K2500" t="s">
        <v>994</v>
      </c>
      <c r="L2500">
        <v>56</v>
      </c>
      <c r="M2500">
        <v>96.201999999999998</v>
      </c>
      <c r="N2500">
        <v>97.719449999999995</v>
      </c>
      <c r="O2500">
        <v>30.501000000000001</v>
      </c>
      <c r="P2500">
        <v>41.558</v>
      </c>
      <c r="Q2500">
        <v>23.651</v>
      </c>
      <c r="R2500" t="s">
        <v>606</v>
      </c>
      <c r="S2500" t="s">
        <v>83</v>
      </c>
      <c r="T2500">
        <f>IF(TRIM(Table1[[#This Row],[PitStopLaps]])="",0,
LEN(Table1[[#This Row],[PitStopLaps]])-LEN(SUBSTITUTE(Table1[[#This Row],[PitStopLaps]],",",""))+1)</f>
        <v>2</v>
      </c>
      <c r="U2500">
        <f>Table1[[#This Row],[StartPosition]]-Table1[[#This Row],[FinishPosition]]</f>
        <v>-3</v>
      </c>
    </row>
    <row r="2501" spans="1:21" x14ac:dyDescent="0.3">
      <c r="A2501">
        <v>2024</v>
      </c>
      <c r="B2501">
        <v>1</v>
      </c>
      <c r="C2501" t="s">
        <v>82</v>
      </c>
      <c r="D2501" t="s">
        <v>992</v>
      </c>
      <c r="E2501" t="s">
        <v>993</v>
      </c>
      <c r="F2501" t="s">
        <v>60</v>
      </c>
      <c r="G2501">
        <v>18</v>
      </c>
      <c r="H2501">
        <v>20</v>
      </c>
      <c r="I2501">
        <v>0</v>
      </c>
      <c r="J2501" t="s">
        <v>34</v>
      </c>
      <c r="K2501" t="s">
        <v>994</v>
      </c>
      <c r="L2501">
        <v>55</v>
      </c>
      <c r="M2501">
        <v>94.734999999999999</v>
      </c>
      <c r="N2501">
        <v>97.564644999999999</v>
      </c>
      <c r="O2501">
        <v>30.315999999999999</v>
      </c>
      <c r="P2501">
        <v>40.966000000000001</v>
      </c>
      <c r="Q2501">
        <v>23.385000000000002</v>
      </c>
      <c r="R2501" t="s">
        <v>1179</v>
      </c>
      <c r="S2501" t="s">
        <v>83</v>
      </c>
      <c r="T2501">
        <f>IF(TRIM(Table1[[#This Row],[PitStopLaps]])="",0,
LEN(Table1[[#This Row],[PitStopLaps]])-LEN(SUBSTITUTE(Table1[[#This Row],[PitStopLaps]],",",""))+1)</f>
        <v>3</v>
      </c>
      <c r="U2501">
        <f>Table1[[#This Row],[StartPosition]]-Table1[[#This Row],[FinishPosition]]</f>
        <v>-2</v>
      </c>
    </row>
    <row r="2502" spans="1:21" x14ac:dyDescent="0.3">
      <c r="A2502">
        <v>2024</v>
      </c>
      <c r="B2502">
        <v>2</v>
      </c>
      <c r="C2502" t="s">
        <v>766</v>
      </c>
      <c r="D2502" t="s">
        <v>38</v>
      </c>
      <c r="E2502" t="s">
        <v>39</v>
      </c>
      <c r="F2502" t="s">
        <v>33</v>
      </c>
      <c r="G2502">
        <v>1</v>
      </c>
      <c r="H2502">
        <v>1</v>
      </c>
      <c r="I2502">
        <v>25</v>
      </c>
      <c r="J2502" t="s">
        <v>23</v>
      </c>
      <c r="K2502" t="s">
        <v>24</v>
      </c>
      <c r="L2502">
        <v>50</v>
      </c>
      <c r="M2502">
        <v>91.772999999999996</v>
      </c>
      <c r="N2502">
        <v>92.929804000000004</v>
      </c>
      <c r="O2502">
        <v>33.743000000000002</v>
      </c>
      <c r="P2502">
        <v>28.864000000000001</v>
      </c>
      <c r="Q2502">
        <v>29.128</v>
      </c>
      <c r="R2502">
        <v>7</v>
      </c>
      <c r="S2502" t="s">
        <v>83</v>
      </c>
      <c r="T2502">
        <f>IF(TRIM(Table1[[#This Row],[PitStopLaps]])="",0,
LEN(Table1[[#This Row],[PitStopLaps]])-LEN(SUBSTITUTE(Table1[[#This Row],[PitStopLaps]],",",""))+1)</f>
        <v>1</v>
      </c>
      <c r="U2502">
        <f>Table1[[#This Row],[StartPosition]]-Table1[[#This Row],[FinishPosition]]</f>
        <v>0</v>
      </c>
    </row>
    <row r="2503" spans="1:21" x14ac:dyDescent="0.3">
      <c r="A2503">
        <v>2024</v>
      </c>
      <c r="B2503">
        <v>2</v>
      </c>
      <c r="C2503" t="s">
        <v>766</v>
      </c>
      <c r="D2503" t="s">
        <v>49</v>
      </c>
      <c r="E2503" t="s">
        <v>50</v>
      </c>
      <c r="F2503" t="s">
        <v>33</v>
      </c>
      <c r="G2503">
        <v>3</v>
      </c>
      <c r="H2503">
        <v>2</v>
      </c>
      <c r="I2503">
        <v>18</v>
      </c>
      <c r="J2503" t="s">
        <v>23</v>
      </c>
      <c r="K2503" t="s">
        <v>24</v>
      </c>
      <c r="L2503">
        <v>50</v>
      </c>
      <c r="M2503">
        <v>92.272999999999996</v>
      </c>
      <c r="N2503">
        <v>93.126390999999998</v>
      </c>
      <c r="O2503">
        <v>33.780999999999999</v>
      </c>
      <c r="P2503">
        <v>29.091999999999999</v>
      </c>
      <c r="Q2503">
        <v>29.204000000000001</v>
      </c>
      <c r="R2503">
        <v>7</v>
      </c>
      <c r="S2503" t="s">
        <v>83</v>
      </c>
      <c r="T2503">
        <f>IF(TRIM(Table1[[#This Row],[PitStopLaps]])="",0,
LEN(Table1[[#This Row],[PitStopLaps]])-LEN(SUBSTITUTE(Table1[[#This Row],[PitStopLaps]],",",""))+1)</f>
        <v>1</v>
      </c>
      <c r="U2503">
        <f>Table1[[#This Row],[StartPosition]]-Table1[[#This Row],[FinishPosition]]</f>
        <v>1</v>
      </c>
    </row>
    <row r="2504" spans="1:21" x14ac:dyDescent="0.3">
      <c r="A2504">
        <v>2024</v>
      </c>
      <c r="B2504">
        <v>2</v>
      </c>
      <c r="C2504" t="s">
        <v>766</v>
      </c>
      <c r="D2504" t="s">
        <v>54</v>
      </c>
      <c r="E2504" t="s">
        <v>55</v>
      </c>
      <c r="F2504" t="s">
        <v>22</v>
      </c>
      <c r="G2504">
        <v>2</v>
      </c>
      <c r="H2504">
        <v>3</v>
      </c>
      <c r="I2504">
        <v>16</v>
      </c>
      <c r="J2504" t="s">
        <v>23</v>
      </c>
      <c r="K2504" t="s">
        <v>24</v>
      </c>
      <c r="L2504">
        <v>50</v>
      </c>
      <c r="M2504">
        <v>91.632000000000005</v>
      </c>
      <c r="N2504">
        <v>93.377086000000006</v>
      </c>
      <c r="O2504">
        <v>33.634</v>
      </c>
      <c r="P2504">
        <v>28.667999999999999</v>
      </c>
      <c r="Q2504">
        <v>29.213999999999999</v>
      </c>
      <c r="R2504">
        <v>7</v>
      </c>
      <c r="S2504" t="s">
        <v>83</v>
      </c>
      <c r="T2504">
        <f>IF(TRIM(Table1[[#This Row],[PitStopLaps]])="",0,
LEN(Table1[[#This Row],[PitStopLaps]])-LEN(SUBSTITUTE(Table1[[#This Row],[PitStopLaps]],",",""))+1)</f>
        <v>1</v>
      </c>
      <c r="U2504">
        <f>Table1[[#This Row],[StartPosition]]-Table1[[#This Row],[FinishPosition]]</f>
        <v>-1</v>
      </c>
    </row>
    <row r="2505" spans="1:21" x14ac:dyDescent="0.3">
      <c r="A2505">
        <v>2024</v>
      </c>
      <c r="B2505">
        <v>2</v>
      </c>
      <c r="C2505" t="s">
        <v>766</v>
      </c>
      <c r="D2505" t="s">
        <v>1000</v>
      </c>
      <c r="E2505" t="s">
        <v>1001</v>
      </c>
      <c r="F2505" t="s">
        <v>37</v>
      </c>
      <c r="G2505">
        <v>5</v>
      </c>
      <c r="H2505">
        <v>4</v>
      </c>
      <c r="I2505">
        <v>12</v>
      </c>
      <c r="J2505" t="s">
        <v>34</v>
      </c>
      <c r="K2505" t="s">
        <v>24</v>
      </c>
      <c r="L2505">
        <v>50</v>
      </c>
      <c r="M2505">
        <v>92.31</v>
      </c>
      <c r="N2505">
        <v>93.675738999999993</v>
      </c>
      <c r="O2505">
        <v>33.816000000000003</v>
      </c>
      <c r="P2505">
        <v>28.959</v>
      </c>
      <c r="Q2505">
        <v>29.271999999999998</v>
      </c>
      <c r="R2505">
        <v>7</v>
      </c>
      <c r="S2505" t="s">
        <v>83</v>
      </c>
      <c r="T2505">
        <f>IF(TRIM(Table1[[#This Row],[PitStopLaps]])="",0,
LEN(Table1[[#This Row],[PitStopLaps]])-LEN(SUBSTITUTE(Table1[[#This Row],[PitStopLaps]],",",""))+1)</f>
        <v>1</v>
      </c>
      <c r="U2505">
        <f>Table1[[#This Row],[StartPosition]]-Table1[[#This Row],[FinishPosition]]</f>
        <v>1</v>
      </c>
    </row>
    <row r="2506" spans="1:21" x14ac:dyDescent="0.3">
      <c r="A2506">
        <v>2024</v>
      </c>
      <c r="B2506">
        <v>2</v>
      </c>
      <c r="C2506" t="s">
        <v>766</v>
      </c>
      <c r="D2506" t="s">
        <v>35</v>
      </c>
      <c r="E2506" t="s">
        <v>36</v>
      </c>
      <c r="F2506" t="s">
        <v>603</v>
      </c>
      <c r="G2506">
        <v>4</v>
      </c>
      <c r="H2506">
        <v>5</v>
      </c>
      <c r="I2506">
        <v>10</v>
      </c>
      <c r="J2506" t="s">
        <v>34</v>
      </c>
      <c r="K2506" t="s">
        <v>24</v>
      </c>
      <c r="L2506">
        <v>50</v>
      </c>
      <c r="M2506">
        <v>92.387</v>
      </c>
      <c r="N2506">
        <v>93.769172999999995</v>
      </c>
      <c r="O2506">
        <v>33.948999999999998</v>
      </c>
      <c r="P2506">
        <v>28.907</v>
      </c>
      <c r="Q2506">
        <v>29.384</v>
      </c>
      <c r="R2506">
        <v>7</v>
      </c>
      <c r="S2506" t="s">
        <v>83</v>
      </c>
      <c r="T2506">
        <f>IF(TRIM(Table1[[#This Row],[PitStopLaps]])="",0,
LEN(Table1[[#This Row],[PitStopLaps]])-LEN(SUBSTITUTE(Table1[[#This Row],[PitStopLaps]],",",""))+1)</f>
        <v>1</v>
      </c>
      <c r="U2506">
        <f>Table1[[#This Row],[StartPosition]]-Table1[[#This Row],[FinishPosition]]</f>
        <v>-1</v>
      </c>
    </row>
    <row r="2507" spans="1:21" x14ac:dyDescent="0.3">
      <c r="A2507">
        <v>2024</v>
      </c>
      <c r="B2507">
        <v>2</v>
      </c>
      <c r="C2507" t="s">
        <v>766</v>
      </c>
      <c r="D2507" t="s">
        <v>252</v>
      </c>
      <c r="E2507" t="s">
        <v>253</v>
      </c>
      <c r="F2507" t="s">
        <v>28</v>
      </c>
      <c r="G2507">
        <v>7</v>
      </c>
      <c r="H2507">
        <v>6</v>
      </c>
      <c r="I2507">
        <v>8</v>
      </c>
      <c r="J2507" t="s">
        <v>34</v>
      </c>
      <c r="K2507" t="s">
        <v>24</v>
      </c>
      <c r="L2507">
        <v>50</v>
      </c>
      <c r="M2507">
        <v>92.254000000000005</v>
      </c>
      <c r="N2507">
        <v>93.888216999999997</v>
      </c>
      <c r="O2507">
        <v>34.061</v>
      </c>
      <c r="P2507">
        <v>28.821000000000002</v>
      </c>
      <c r="Q2507">
        <v>29.305</v>
      </c>
      <c r="R2507">
        <v>7</v>
      </c>
      <c r="S2507" t="s">
        <v>83</v>
      </c>
      <c r="T2507">
        <f>IF(TRIM(Table1[[#This Row],[PitStopLaps]])="",0,
LEN(Table1[[#This Row],[PitStopLaps]])-LEN(SUBSTITUTE(Table1[[#This Row],[PitStopLaps]],",",""))+1)</f>
        <v>1</v>
      </c>
      <c r="U2507">
        <f>Table1[[#This Row],[StartPosition]]-Table1[[#This Row],[FinishPosition]]</f>
        <v>1</v>
      </c>
    </row>
    <row r="2508" spans="1:21" x14ac:dyDescent="0.3">
      <c r="A2508">
        <v>2024</v>
      </c>
      <c r="B2508">
        <v>2</v>
      </c>
      <c r="C2508" t="s">
        <v>766</v>
      </c>
      <c r="D2508" t="s">
        <v>1180</v>
      </c>
      <c r="E2508" t="s">
        <v>1181</v>
      </c>
      <c r="F2508" t="s">
        <v>22</v>
      </c>
      <c r="G2508">
        <v>11</v>
      </c>
      <c r="H2508">
        <v>7</v>
      </c>
      <c r="I2508">
        <v>6</v>
      </c>
      <c r="J2508" t="s">
        <v>34</v>
      </c>
      <c r="K2508" t="s">
        <v>24</v>
      </c>
      <c r="L2508">
        <v>50</v>
      </c>
      <c r="M2508">
        <v>92.186000000000007</v>
      </c>
      <c r="N2508">
        <v>94.031694999999999</v>
      </c>
      <c r="O2508">
        <v>33.792999999999999</v>
      </c>
      <c r="P2508">
        <v>29.04</v>
      </c>
      <c r="Q2508">
        <v>29.247</v>
      </c>
      <c r="R2508">
        <v>7</v>
      </c>
      <c r="S2508" t="s">
        <v>83</v>
      </c>
      <c r="T2508">
        <f>IF(TRIM(Table1[[#This Row],[PitStopLaps]])="",0,
LEN(Table1[[#This Row],[PitStopLaps]])-LEN(SUBSTITUTE(Table1[[#This Row],[PitStopLaps]],",",""))+1)</f>
        <v>1</v>
      </c>
      <c r="U2508">
        <f>Table1[[#This Row],[StartPosition]]-Table1[[#This Row],[FinishPosition]]</f>
        <v>4</v>
      </c>
    </row>
    <row r="2509" spans="1:21" x14ac:dyDescent="0.3">
      <c r="A2509">
        <v>2024</v>
      </c>
      <c r="B2509">
        <v>2</v>
      </c>
      <c r="C2509" t="s">
        <v>766</v>
      </c>
      <c r="D2509" t="s">
        <v>246</v>
      </c>
      <c r="E2509" t="s">
        <v>247</v>
      </c>
      <c r="F2509" t="s">
        <v>37</v>
      </c>
      <c r="G2509">
        <v>6</v>
      </c>
      <c r="H2509">
        <v>8</v>
      </c>
      <c r="I2509">
        <v>4</v>
      </c>
      <c r="J2509" t="s">
        <v>34</v>
      </c>
      <c r="K2509" t="s">
        <v>24</v>
      </c>
      <c r="L2509">
        <v>50</v>
      </c>
      <c r="M2509">
        <v>91.944000000000003</v>
      </c>
      <c r="N2509">
        <v>93.607044999999999</v>
      </c>
      <c r="O2509">
        <v>33.575000000000003</v>
      </c>
      <c r="P2509">
        <v>28.986999999999998</v>
      </c>
      <c r="Q2509">
        <v>29.332000000000001</v>
      </c>
      <c r="R2509">
        <v>37</v>
      </c>
      <c r="S2509" t="s">
        <v>83</v>
      </c>
      <c r="T2509">
        <f>IF(TRIM(Table1[[#This Row],[PitStopLaps]])="",0,
LEN(Table1[[#This Row],[PitStopLaps]])-LEN(SUBSTITUTE(Table1[[#This Row],[PitStopLaps]],",",""))+1)</f>
        <v>1</v>
      </c>
      <c r="U2509">
        <f>Table1[[#This Row],[StartPosition]]-Table1[[#This Row],[FinishPosition]]</f>
        <v>-2</v>
      </c>
    </row>
    <row r="2510" spans="1:21" x14ac:dyDescent="0.3">
      <c r="A2510">
        <v>2024</v>
      </c>
      <c r="B2510">
        <v>2</v>
      </c>
      <c r="C2510" t="s">
        <v>766</v>
      </c>
      <c r="D2510" t="s">
        <v>26</v>
      </c>
      <c r="E2510" t="s">
        <v>27</v>
      </c>
      <c r="F2510" t="s">
        <v>28</v>
      </c>
      <c r="G2510">
        <v>8</v>
      </c>
      <c r="H2510">
        <v>9</v>
      </c>
      <c r="I2510">
        <v>2</v>
      </c>
      <c r="J2510" t="s">
        <v>34</v>
      </c>
      <c r="K2510" t="s">
        <v>24</v>
      </c>
      <c r="L2510">
        <v>50</v>
      </c>
      <c r="M2510">
        <v>91.745999999999995</v>
      </c>
      <c r="N2510">
        <v>93.712772000000001</v>
      </c>
      <c r="O2510">
        <v>33.994999999999997</v>
      </c>
      <c r="P2510">
        <v>28.77</v>
      </c>
      <c r="Q2510">
        <v>28.873000000000001</v>
      </c>
      <c r="R2510">
        <v>36</v>
      </c>
      <c r="S2510" t="s">
        <v>83</v>
      </c>
      <c r="T2510">
        <f>IF(TRIM(Table1[[#This Row],[PitStopLaps]])="",0,
LEN(Table1[[#This Row],[PitStopLaps]])-LEN(SUBSTITUTE(Table1[[#This Row],[PitStopLaps]],",",""))+1)</f>
        <v>1</v>
      </c>
      <c r="U2510">
        <f>Table1[[#This Row],[StartPosition]]-Table1[[#This Row],[FinishPosition]]</f>
        <v>-1</v>
      </c>
    </row>
    <row r="2511" spans="1:21" x14ac:dyDescent="0.3">
      <c r="A2511">
        <v>2024</v>
      </c>
      <c r="B2511">
        <v>2</v>
      </c>
      <c r="C2511" t="s">
        <v>766</v>
      </c>
      <c r="D2511" t="s">
        <v>40</v>
      </c>
      <c r="E2511" t="s">
        <v>41</v>
      </c>
      <c r="F2511" t="s">
        <v>69</v>
      </c>
      <c r="G2511">
        <v>15</v>
      </c>
      <c r="H2511">
        <v>10</v>
      </c>
      <c r="I2511">
        <v>1</v>
      </c>
      <c r="J2511" t="s">
        <v>34</v>
      </c>
      <c r="K2511" t="s">
        <v>24</v>
      </c>
      <c r="L2511">
        <v>50</v>
      </c>
      <c r="M2511">
        <v>92.366</v>
      </c>
      <c r="N2511">
        <v>94.426500000000004</v>
      </c>
      <c r="O2511">
        <v>33.911999999999999</v>
      </c>
      <c r="P2511">
        <v>28.975999999999999</v>
      </c>
      <c r="Q2511">
        <v>29.306999999999999</v>
      </c>
      <c r="R2511">
        <v>33</v>
      </c>
      <c r="S2511" t="s">
        <v>83</v>
      </c>
      <c r="T2511">
        <f>IF(TRIM(Table1[[#This Row],[PitStopLaps]])="",0,
LEN(Table1[[#This Row],[PitStopLaps]])-LEN(SUBSTITUTE(Table1[[#This Row],[PitStopLaps]],",",""))+1)</f>
        <v>1</v>
      </c>
      <c r="U2511">
        <f>Table1[[#This Row],[StartPosition]]-Table1[[#This Row],[FinishPosition]]</f>
        <v>5</v>
      </c>
    </row>
    <row r="2512" spans="1:21" x14ac:dyDescent="0.3">
      <c r="A2512">
        <v>2024</v>
      </c>
      <c r="B2512">
        <v>2</v>
      </c>
      <c r="C2512" t="s">
        <v>766</v>
      </c>
      <c r="D2512" t="s">
        <v>248</v>
      </c>
      <c r="E2512" t="s">
        <v>249</v>
      </c>
      <c r="F2512" t="s">
        <v>60</v>
      </c>
      <c r="G2512">
        <v>12</v>
      </c>
      <c r="H2512">
        <v>11</v>
      </c>
      <c r="I2512">
        <v>0</v>
      </c>
      <c r="J2512" t="s">
        <v>34</v>
      </c>
      <c r="K2512" t="s">
        <v>24</v>
      </c>
      <c r="L2512">
        <v>50</v>
      </c>
      <c r="M2512">
        <v>92.307000000000002</v>
      </c>
      <c r="N2512">
        <v>95.021259999999998</v>
      </c>
      <c r="O2512">
        <v>33.975000000000001</v>
      </c>
      <c r="P2512">
        <v>28.916</v>
      </c>
      <c r="Q2512">
        <v>29.294</v>
      </c>
      <c r="R2512">
        <v>7</v>
      </c>
      <c r="S2512" t="s">
        <v>83</v>
      </c>
      <c r="T2512">
        <f>IF(TRIM(Table1[[#This Row],[PitStopLaps]])="",0,
LEN(Table1[[#This Row],[PitStopLaps]])-LEN(SUBSTITUTE(Table1[[#This Row],[PitStopLaps]],",",""))+1)</f>
        <v>1</v>
      </c>
      <c r="U2512">
        <f>Table1[[#This Row],[StartPosition]]-Table1[[#This Row],[FinishPosition]]</f>
        <v>1</v>
      </c>
    </row>
    <row r="2513" spans="1:21" x14ac:dyDescent="0.3">
      <c r="A2513">
        <v>2024</v>
      </c>
      <c r="B2513">
        <v>2</v>
      </c>
      <c r="C2513" t="s">
        <v>766</v>
      </c>
      <c r="D2513" t="s">
        <v>71</v>
      </c>
      <c r="E2513" t="s">
        <v>72</v>
      </c>
      <c r="F2513" t="s">
        <v>69</v>
      </c>
      <c r="G2513">
        <v>13</v>
      </c>
      <c r="H2513">
        <v>12</v>
      </c>
      <c r="I2513">
        <v>0</v>
      </c>
      <c r="J2513" t="s">
        <v>34</v>
      </c>
      <c r="K2513" t="s">
        <v>24</v>
      </c>
      <c r="L2513">
        <v>50</v>
      </c>
      <c r="M2513">
        <v>92.337999999999994</v>
      </c>
      <c r="N2513">
        <v>94.965826000000007</v>
      </c>
      <c r="O2513">
        <v>33.856000000000002</v>
      </c>
      <c r="P2513">
        <v>29.088000000000001</v>
      </c>
      <c r="Q2513">
        <v>29.353999999999999</v>
      </c>
      <c r="R2513">
        <v>7</v>
      </c>
      <c r="S2513" t="s">
        <v>83</v>
      </c>
      <c r="T2513">
        <f>IF(TRIM(Table1[[#This Row],[PitStopLaps]])="",0,
LEN(Table1[[#This Row],[PitStopLaps]])-LEN(SUBSTITUTE(Table1[[#This Row],[PitStopLaps]],",",""))+1)</f>
        <v>1</v>
      </c>
      <c r="U2513">
        <f>Table1[[#This Row],[StartPosition]]-Table1[[#This Row],[FinishPosition]]</f>
        <v>1</v>
      </c>
    </row>
    <row r="2514" spans="1:21" x14ac:dyDescent="0.3">
      <c r="A2514">
        <v>2024</v>
      </c>
      <c r="B2514">
        <v>2</v>
      </c>
      <c r="C2514" t="s">
        <v>766</v>
      </c>
      <c r="D2514" t="s">
        <v>52</v>
      </c>
      <c r="E2514" t="s">
        <v>53</v>
      </c>
      <c r="F2514" t="s">
        <v>607</v>
      </c>
      <c r="G2514">
        <v>17</v>
      </c>
      <c r="H2514">
        <v>13</v>
      </c>
      <c r="I2514">
        <v>0</v>
      </c>
      <c r="J2514" t="s">
        <v>34</v>
      </c>
      <c r="K2514" t="s">
        <v>994</v>
      </c>
      <c r="L2514">
        <v>49</v>
      </c>
      <c r="M2514">
        <v>93.480999999999995</v>
      </c>
      <c r="N2514">
        <v>95.334866000000005</v>
      </c>
      <c r="O2514">
        <v>34.502000000000002</v>
      </c>
      <c r="P2514">
        <v>29.347000000000001</v>
      </c>
      <c r="Q2514">
        <v>29.448</v>
      </c>
      <c r="R2514">
        <v>7</v>
      </c>
      <c r="S2514" t="s">
        <v>83</v>
      </c>
      <c r="T2514">
        <f>IF(TRIM(Table1[[#This Row],[PitStopLaps]])="",0,
LEN(Table1[[#This Row],[PitStopLaps]])-LEN(SUBSTITUTE(Table1[[#This Row],[PitStopLaps]],",",""))+1)</f>
        <v>1</v>
      </c>
      <c r="U2514">
        <f>Table1[[#This Row],[StartPosition]]-Table1[[#This Row],[FinishPosition]]</f>
        <v>4</v>
      </c>
    </row>
    <row r="2515" spans="1:21" x14ac:dyDescent="0.3">
      <c r="A2515">
        <v>2024</v>
      </c>
      <c r="B2515">
        <v>2</v>
      </c>
      <c r="C2515" t="s">
        <v>766</v>
      </c>
      <c r="D2515" t="s">
        <v>992</v>
      </c>
      <c r="E2515" t="s">
        <v>993</v>
      </c>
      <c r="F2515" t="s">
        <v>60</v>
      </c>
      <c r="G2515">
        <v>19</v>
      </c>
      <c r="H2515">
        <v>14</v>
      </c>
      <c r="I2515">
        <v>0</v>
      </c>
      <c r="J2515" t="s">
        <v>34</v>
      </c>
      <c r="K2515" t="s">
        <v>994</v>
      </c>
      <c r="L2515">
        <v>49</v>
      </c>
      <c r="M2515">
        <v>93.025999999999996</v>
      </c>
      <c r="N2515">
        <v>95.372866000000002</v>
      </c>
      <c r="O2515">
        <v>34.439</v>
      </c>
      <c r="P2515">
        <v>29.210999999999999</v>
      </c>
      <c r="Q2515">
        <v>29.376000000000001</v>
      </c>
      <c r="R2515">
        <v>7</v>
      </c>
      <c r="S2515" t="s">
        <v>83</v>
      </c>
      <c r="T2515">
        <f>IF(TRIM(Table1[[#This Row],[PitStopLaps]])="",0,
LEN(Table1[[#This Row],[PitStopLaps]])-LEN(SUBSTITUTE(Table1[[#This Row],[PitStopLaps]],",",""))+1)</f>
        <v>1</v>
      </c>
      <c r="U2515">
        <f>Table1[[#This Row],[StartPosition]]-Table1[[#This Row],[FinishPosition]]</f>
        <v>5</v>
      </c>
    </row>
    <row r="2516" spans="1:21" x14ac:dyDescent="0.3">
      <c r="A2516">
        <v>2024</v>
      </c>
      <c r="B2516">
        <v>2</v>
      </c>
      <c r="C2516" t="s">
        <v>766</v>
      </c>
      <c r="D2516" t="s">
        <v>601</v>
      </c>
      <c r="E2516" t="s">
        <v>602</v>
      </c>
      <c r="F2516" t="s">
        <v>1176</v>
      </c>
      <c r="G2516">
        <v>9</v>
      </c>
      <c r="H2516">
        <v>15</v>
      </c>
      <c r="I2516">
        <v>0</v>
      </c>
      <c r="J2516" t="s">
        <v>34</v>
      </c>
      <c r="K2516" t="s">
        <v>994</v>
      </c>
      <c r="L2516">
        <v>49</v>
      </c>
      <c r="M2516">
        <v>93.522999999999996</v>
      </c>
      <c r="N2516">
        <v>95.286732999999998</v>
      </c>
      <c r="O2516">
        <v>34.540999999999997</v>
      </c>
      <c r="P2516">
        <v>29.343</v>
      </c>
      <c r="Q2516">
        <v>29.462</v>
      </c>
      <c r="R2516">
        <v>7</v>
      </c>
      <c r="S2516" t="s">
        <v>83</v>
      </c>
      <c r="T2516">
        <f>IF(TRIM(Table1[[#This Row],[PitStopLaps]])="",0,
LEN(Table1[[#This Row],[PitStopLaps]])-LEN(SUBSTITUTE(Table1[[#This Row],[PitStopLaps]],",",""))+1)</f>
        <v>1</v>
      </c>
      <c r="U2516">
        <f>Table1[[#This Row],[StartPosition]]-Table1[[#This Row],[FinishPosition]]</f>
        <v>-6</v>
      </c>
    </row>
    <row r="2517" spans="1:21" x14ac:dyDescent="0.3">
      <c r="A2517">
        <v>2024</v>
      </c>
      <c r="B2517">
        <v>2</v>
      </c>
      <c r="C2517" t="s">
        <v>766</v>
      </c>
      <c r="D2517" t="s">
        <v>31</v>
      </c>
      <c r="E2517" t="s">
        <v>32</v>
      </c>
      <c r="F2517" t="s">
        <v>1176</v>
      </c>
      <c r="G2517">
        <v>14</v>
      </c>
      <c r="H2517">
        <v>16</v>
      </c>
      <c r="I2517">
        <v>0</v>
      </c>
      <c r="J2517" t="s">
        <v>34</v>
      </c>
      <c r="K2517" t="s">
        <v>994</v>
      </c>
      <c r="L2517">
        <v>49</v>
      </c>
      <c r="M2517">
        <v>93.322999999999993</v>
      </c>
      <c r="N2517">
        <v>95.632777000000004</v>
      </c>
      <c r="O2517">
        <v>34.334000000000003</v>
      </c>
      <c r="P2517">
        <v>29.300999999999998</v>
      </c>
      <c r="Q2517">
        <v>29.396999999999998</v>
      </c>
      <c r="R2517">
        <v>7</v>
      </c>
      <c r="S2517" t="s">
        <v>83</v>
      </c>
      <c r="T2517">
        <f>IF(TRIM(Table1[[#This Row],[PitStopLaps]])="",0,
LEN(Table1[[#This Row],[PitStopLaps]])-LEN(SUBSTITUTE(Table1[[#This Row],[PitStopLaps]],",",""))+1)</f>
        <v>1</v>
      </c>
      <c r="U2517">
        <f>Table1[[#This Row],[StartPosition]]-Table1[[#This Row],[FinishPosition]]</f>
        <v>-2</v>
      </c>
    </row>
    <row r="2518" spans="1:21" x14ac:dyDescent="0.3">
      <c r="A2518">
        <v>2024</v>
      </c>
      <c r="B2518">
        <v>2</v>
      </c>
      <c r="C2518" t="s">
        <v>766</v>
      </c>
      <c r="D2518" t="s">
        <v>43</v>
      </c>
      <c r="E2518" t="s">
        <v>44</v>
      </c>
      <c r="F2518" t="s">
        <v>1175</v>
      </c>
      <c r="G2518">
        <v>16</v>
      </c>
      <c r="H2518">
        <v>17</v>
      </c>
      <c r="I2518">
        <v>0</v>
      </c>
      <c r="J2518" t="s">
        <v>34</v>
      </c>
      <c r="K2518" t="s">
        <v>994</v>
      </c>
      <c r="L2518">
        <v>49</v>
      </c>
      <c r="M2518">
        <v>92.706000000000003</v>
      </c>
      <c r="N2518">
        <v>95.271534000000003</v>
      </c>
      <c r="O2518">
        <v>34.026000000000003</v>
      </c>
      <c r="P2518">
        <v>29.17</v>
      </c>
      <c r="Q2518">
        <v>29.439</v>
      </c>
      <c r="R2518" t="s">
        <v>1182</v>
      </c>
      <c r="S2518" t="s">
        <v>83</v>
      </c>
      <c r="T2518">
        <f>IF(TRIM(Table1[[#This Row],[PitStopLaps]])="",0,
LEN(Table1[[#This Row],[PitStopLaps]])-LEN(SUBSTITUTE(Table1[[#This Row],[PitStopLaps]],",",""))+1)</f>
        <v>2</v>
      </c>
      <c r="U2518">
        <f>Table1[[#This Row],[StartPosition]]-Table1[[#This Row],[FinishPosition]]</f>
        <v>-1</v>
      </c>
    </row>
    <row r="2519" spans="1:21" x14ac:dyDescent="0.3">
      <c r="A2519">
        <v>2024</v>
      </c>
      <c r="B2519">
        <v>2</v>
      </c>
      <c r="C2519" t="s">
        <v>766</v>
      </c>
      <c r="D2519" t="s">
        <v>794</v>
      </c>
      <c r="E2519" t="s">
        <v>795</v>
      </c>
      <c r="F2519" t="s">
        <v>1175</v>
      </c>
      <c r="G2519">
        <v>20</v>
      </c>
      <c r="H2519">
        <v>18</v>
      </c>
      <c r="I2519">
        <v>0</v>
      </c>
      <c r="J2519" t="s">
        <v>34</v>
      </c>
      <c r="K2519" t="s">
        <v>994</v>
      </c>
      <c r="L2519">
        <v>49</v>
      </c>
      <c r="M2519">
        <v>92.207999999999998</v>
      </c>
      <c r="N2519">
        <v>94.988208999999998</v>
      </c>
      <c r="O2519">
        <v>33.892000000000003</v>
      </c>
      <c r="P2519">
        <v>28.978999999999999</v>
      </c>
      <c r="Q2519">
        <v>29.337</v>
      </c>
      <c r="R2519">
        <v>41</v>
      </c>
      <c r="S2519" t="s">
        <v>83</v>
      </c>
      <c r="T2519">
        <f>IF(TRIM(Table1[[#This Row],[PitStopLaps]])="",0,
LEN(Table1[[#This Row],[PitStopLaps]])-LEN(SUBSTITUTE(Table1[[#This Row],[PitStopLaps]],",",""))+1)</f>
        <v>1</v>
      </c>
      <c r="U2519">
        <f>Table1[[#This Row],[StartPosition]]-Table1[[#This Row],[FinishPosition]]</f>
        <v>2</v>
      </c>
    </row>
    <row r="2520" spans="1:21" x14ac:dyDescent="0.3">
      <c r="A2520">
        <v>2024</v>
      </c>
      <c r="B2520">
        <v>2</v>
      </c>
      <c r="C2520" t="s">
        <v>766</v>
      </c>
      <c r="D2520" t="s">
        <v>58</v>
      </c>
      <c r="E2520" t="s">
        <v>59</v>
      </c>
      <c r="F2520" t="s">
        <v>603</v>
      </c>
      <c r="G2520">
        <v>10</v>
      </c>
      <c r="H2520">
        <v>19</v>
      </c>
      <c r="I2520">
        <v>0</v>
      </c>
      <c r="J2520" t="s">
        <v>34</v>
      </c>
      <c r="K2520" t="s">
        <v>179</v>
      </c>
      <c r="L2520">
        <v>6</v>
      </c>
      <c r="M2520">
        <v>95.56</v>
      </c>
      <c r="N2520">
        <v>95.794749999999993</v>
      </c>
      <c r="O2520">
        <v>35.292999999999999</v>
      </c>
      <c r="P2520">
        <v>30.148</v>
      </c>
      <c r="Q2520">
        <v>30.079000000000001</v>
      </c>
      <c r="S2520" t="s">
        <v>83</v>
      </c>
      <c r="T2520">
        <f>IF(TRIM(Table1[[#This Row],[PitStopLaps]])="",0,
LEN(Table1[[#This Row],[PitStopLaps]])-LEN(SUBSTITUTE(Table1[[#This Row],[PitStopLaps]],",",""))+1)</f>
        <v>0</v>
      </c>
      <c r="U2520">
        <f>Table1[[#This Row],[StartPosition]]-Table1[[#This Row],[FinishPosition]]</f>
        <v>-9</v>
      </c>
    </row>
    <row r="2521" spans="1:21" x14ac:dyDescent="0.3">
      <c r="A2521">
        <v>2024</v>
      </c>
      <c r="B2521">
        <v>2</v>
      </c>
      <c r="C2521" t="s">
        <v>766</v>
      </c>
      <c r="D2521" t="s">
        <v>73</v>
      </c>
      <c r="E2521" t="s">
        <v>74</v>
      </c>
      <c r="F2521" t="s">
        <v>607</v>
      </c>
      <c r="G2521">
        <v>18</v>
      </c>
      <c r="H2521">
        <v>20</v>
      </c>
      <c r="I2521">
        <v>0</v>
      </c>
      <c r="J2521" t="s">
        <v>34</v>
      </c>
      <c r="K2521" t="s">
        <v>179</v>
      </c>
      <c r="L2521">
        <v>1</v>
      </c>
      <c r="R2521">
        <v>1</v>
      </c>
      <c r="S2521" t="s">
        <v>83</v>
      </c>
      <c r="T2521">
        <f>IF(TRIM(Table1[[#This Row],[PitStopLaps]])="",0,
LEN(Table1[[#This Row],[PitStopLaps]])-LEN(SUBSTITUTE(Table1[[#This Row],[PitStopLaps]],",",""))+1)</f>
        <v>1</v>
      </c>
      <c r="U2521">
        <f>Table1[[#This Row],[StartPosition]]-Table1[[#This Row],[FinishPosition]]</f>
        <v>-2</v>
      </c>
    </row>
    <row r="2522" spans="1:21" x14ac:dyDescent="0.3">
      <c r="A2522">
        <v>2024</v>
      </c>
      <c r="B2522">
        <v>3</v>
      </c>
      <c r="C2522" t="s">
        <v>19</v>
      </c>
      <c r="D2522" t="s">
        <v>47</v>
      </c>
      <c r="E2522" t="s">
        <v>48</v>
      </c>
      <c r="F2522" t="s">
        <v>22</v>
      </c>
      <c r="G2522">
        <v>2</v>
      </c>
      <c r="H2522">
        <v>1</v>
      </c>
      <c r="I2522">
        <v>25</v>
      </c>
      <c r="J2522" t="s">
        <v>23</v>
      </c>
      <c r="K2522" t="s">
        <v>24</v>
      </c>
      <c r="L2522">
        <v>58</v>
      </c>
      <c r="M2522">
        <v>80.031000000000006</v>
      </c>
      <c r="N2522">
        <v>81.458332999999996</v>
      </c>
      <c r="O2522">
        <v>27.853000000000002</v>
      </c>
      <c r="P2522">
        <v>17.821000000000002</v>
      </c>
      <c r="Q2522">
        <v>34.212000000000003</v>
      </c>
      <c r="R2522" t="s">
        <v>1032</v>
      </c>
      <c r="S2522" t="s">
        <v>83</v>
      </c>
      <c r="T2522">
        <f>IF(TRIM(Table1[[#This Row],[PitStopLaps]])="",0,
LEN(Table1[[#This Row],[PitStopLaps]])-LEN(SUBSTITUTE(Table1[[#This Row],[PitStopLaps]],",",""))+1)</f>
        <v>2</v>
      </c>
      <c r="U2522">
        <f>Table1[[#This Row],[StartPosition]]-Table1[[#This Row],[FinishPosition]]</f>
        <v>1</v>
      </c>
    </row>
    <row r="2523" spans="1:21" x14ac:dyDescent="0.3">
      <c r="A2523">
        <v>2024</v>
      </c>
      <c r="B2523">
        <v>3</v>
      </c>
      <c r="C2523" t="s">
        <v>19</v>
      </c>
      <c r="D2523" t="s">
        <v>54</v>
      </c>
      <c r="E2523" t="s">
        <v>55</v>
      </c>
      <c r="F2523" t="s">
        <v>22</v>
      </c>
      <c r="G2523">
        <v>4</v>
      </c>
      <c r="H2523">
        <v>2</v>
      </c>
      <c r="I2523">
        <v>19</v>
      </c>
      <c r="J2523" t="s">
        <v>23</v>
      </c>
      <c r="K2523" t="s">
        <v>24</v>
      </c>
      <c r="L2523">
        <v>58</v>
      </c>
      <c r="M2523">
        <v>79.813000000000002</v>
      </c>
      <c r="N2523">
        <v>81.491060000000004</v>
      </c>
      <c r="O2523">
        <v>27.806999999999999</v>
      </c>
      <c r="P2523">
        <v>17.571999999999999</v>
      </c>
      <c r="Q2523">
        <v>34.197000000000003</v>
      </c>
      <c r="R2523" t="s">
        <v>762</v>
      </c>
      <c r="S2523" t="s">
        <v>83</v>
      </c>
      <c r="T2523">
        <f>IF(TRIM(Table1[[#This Row],[PitStopLaps]])="",0,
LEN(Table1[[#This Row],[PitStopLaps]])-LEN(SUBSTITUTE(Table1[[#This Row],[PitStopLaps]],",",""))+1)</f>
        <v>2</v>
      </c>
      <c r="U2523">
        <f>Table1[[#This Row],[StartPosition]]-Table1[[#This Row],[FinishPosition]]</f>
        <v>2</v>
      </c>
    </row>
    <row r="2524" spans="1:21" x14ac:dyDescent="0.3">
      <c r="A2524">
        <v>2024</v>
      </c>
      <c r="B2524">
        <v>3</v>
      </c>
      <c r="C2524" t="s">
        <v>19</v>
      </c>
      <c r="D2524" t="s">
        <v>246</v>
      </c>
      <c r="E2524" t="s">
        <v>247</v>
      </c>
      <c r="F2524" t="s">
        <v>37</v>
      </c>
      <c r="G2524">
        <v>3</v>
      </c>
      <c r="H2524">
        <v>3</v>
      </c>
      <c r="I2524">
        <v>15</v>
      </c>
      <c r="J2524" t="s">
        <v>23</v>
      </c>
      <c r="K2524" t="s">
        <v>24</v>
      </c>
      <c r="L2524">
        <v>58</v>
      </c>
      <c r="M2524">
        <v>79.915000000000006</v>
      </c>
      <c r="N2524">
        <v>81.55198</v>
      </c>
      <c r="O2524">
        <v>27.632999999999999</v>
      </c>
      <c r="P2524">
        <v>17.716999999999999</v>
      </c>
      <c r="Q2524">
        <v>34.270000000000003</v>
      </c>
      <c r="R2524" t="s">
        <v>1183</v>
      </c>
      <c r="S2524" t="s">
        <v>83</v>
      </c>
      <c r="T2524">
        <f>IF(TRIM(Table1[[#This Row],[PitStopLaps]])="",0,
LEN(Table1[[#This Row],[PitStopLaps]])-LEN(SUBSTITUTE(Table1[[#This Row],[PitStopLaps]],",",""))+1)</f>
        <v>2</v>
      </c>
      <c r="U2524">
        <f>Table1[[#This Row],[StartPosition]]-Table1[[#This Row],[FinishPosition]]</f>
        <v>0</v>
      </c>
    </row>
    <row r="2525" spans="1:21" x14ac:dyDescent="0.3">
      <c r="A2525">
        <v>2024</v>
      </c>
      <c r="B2525">
        <v>3</v>
      </c>
      <c r="C2525" t="s">
        <v>19</v>
      </c>
      <c r="D2525" t="s">
        <v>1000</v>
      </c>
      <c r="E2525" t="s">
        <v>1001</v>
      </c>
      <c r="F2525" t="s">
        <v>37</v>
      </c>
      <c r="G2525">
        <v>5</v>
      </c>
      <c r="H2525">
        <v>4</v>
      </c>
      <c r="I2525">
        <v>12</v>
      </c>
      <c r="J2525" t="s">
        <v>34</v>
      </c>
      <c r="K2525" t="s">
        <v>24</v>
      </c>
      <c r="L2525">
        <v>58</v>
      </c>
      <c r="M2525">
        <v>80.198999999999998</v>
      </c>
      <c r="N2525">
        <v>81.798612000000006</v>
      </c>
      <c r="O2525">
        <v>27.902999999999999</v>
      </c>
      <c r="P2525">
        <v>17.593</v>
      </c>
      <c r="Q2525">
        <v>34.442999999999998</v>
      </c>
      <c r="R2525" t="s">
        <v>267</v>
      </c>
      <c r="S2525" t="s">
        <v>83</v>
      </c>
      <c r="T2525">
        <f>IF(TRIM(Table1[[#This Row],[PitStopLaps]])="",0,
LEN(Table1[[#This Row],[PitStopLaps]])-LEN(SUBSTITUTE(Table1[[#This Row],[PitStopLaps]],",",""))+1)</f>
        <v>2</v>
      </c>
      <c r="U2525">
        <f>Table1[[#This Row],[StartPosition]]-Table1[[#This Row],[FinishPosition]]</f>
        <v>1</v>
      </c>
    </row>
    <row r="2526" spans="1:21" x14ac:dyDescent="0.3">
      <c r="A2526">
        <v>2024</v>
      </c>
      <c r="B2526">
        <v>3</v>
      </c>
      <c r="C2526" t="s">
        <v>19</v>
      </c>
      <c r="D2526" t="s">
        <v>49</v>
      </c>
      <c r="E2526" t="s">
        <v>50</v>
      </c>
      <c r="F2526" t="s">
        <v>33</v>
      </c>
      <c r="G2526">
        <v>6</v>
      </c>
      <c r="H2526">
        <v>5</v>
      </c>
      <c r="I2526">
        <v>10</v>
      </c>
      <c r="J2526" t="s">
        <v>34</v>
      </c>
      <c r="K2526" t="s">
        <v>24</v>
      </c>
      <c r="L2526">
        <v>58</v>
      </c>
      <c r="M2526">
        <v>80.388000000000005</v>
      </c>
      <c r="N2526">
        <v>81.976794999999996</v>
      </c>
      <c r="O2526">
        <v>28.091000000000001</v>
      </c>
      <c r="P2526">
        <v>17.600000000000001</v>
      </c>
      <c r="Q2526">
        <v>34.506</v>
      </c>
      <c r="R2526" t="s">
        <v>404</v>
      </c>
      <c r="S2526" t="s">
        <v>83</v>
      </c>
      <c r="T2526">
        <f>IF(TRIM(Table1[[#This Row],[PitStopLaps]])="",0,
LEN(Table1[[#This Row],[PitStopLaps]])-LEN(SUBSTITUTE(Table1[[#This Row],[PitStopLaps]],",",""))+1)</f>
        <v>2</v>
      </c>
      <c r="U2526">
        <f>Table1[[#This Row],[StartPosition]]-Table1[[#This Row],[FinishPosition]]</f>
        <v>1</v>
      </c>
    </row>
    <row r="2527" spans="1:21" x14ac:dyDescent="0.3">
      <c r="A2527">
        <v>2024</v>
      </c>
      <c r="B2527">
        <v>3</v>
      </c>
      <c r="C2527" t="s">
        <v>19</v>
      </c>
      <c r="D2527" t="s">
        <v>58</v>
      </c>
      <c r="E2527" t="s">
        <v>59</v>
      </c>
      <c r="F2527" t="s">
        <v>603</v>
      </c>
      <c r="G2527">
        <v>9</v>
      </c>
      <c r="H2527">
        <v>6</v>
      </c>
      <c r="I2527">
        <v>8</v>
      </c>
      <c r="J2527" t="s">
        <v>34</v>
      </c>
      <c r="K2527" t="s">
        <v>24</v>
      </c>
      <c r="L2527">
        <v>58</v>
      </c>
      <c r="M2527">
        <v>80.930000000000007</v>
      </c>
      <c r="N2527">
        <v>82.540734</v>
      </c>
      <c r="O2527">
        <v>28.029</v>
      </c>
      <c r="P2527">
        <v>17.98</v>
      </c>
      <c r="Q2527">
        <v>34.747</v>
      </c>
      <c r="R2527" t="s">
        <v>1184</v>
      </c>
      <c r="S2527" t="s">
        <v>83</v>
      </c>
      <c r="T2527">
        <f>IF(TRIM(Table1[[#This Row],[PitStopLaps]])="",0,
LEN(Table1[[#This Row],[PitStopLaps]])-LEN(SUBSTITUTE(Table1[[#This Row],[PitStopLaps]],",",""))+1)</f>
        <v>2</v>
      </c>
      <c r="U2527">
        <f>Table1[[#This Row],[StartPosition]]-Table1[[#This Row],[FinishPosition]]</f>
        <v>3</v>
      </c>
    </row>
    <row r="2528" spans="1:21" x14ac:dyDescent="0.3">
      <c r="A2528">
        <v>2024</v>
      </c>
      <c r="B2528">
        <v>3</v>
      </c>
      <c r="C2528" t="s">
        <v>19</v>
      </c>
      <c r="D2528" t="s">
        <v>601</v>
      </c>
      <c r="E2528" t="s">
        <v>602</v>
      </c>
      <c r="F2528" t="s">
        <v>1176</v>
      </c>
      <c r="G2528">
        <v>8</v>
      </c>
      <c r="H2528">
        <v>7</v>
      </c>
      <c r="I2528">
        <v>6</v>
      </c>
      <c r="J2528" t="s">
        <v>34</v>
      </c>
      <c r="K2528" t="s">
        <v>24</v>
      </c>
      <c r="L2528">
        <v>58</v>
      </c>
      <c r="M2528">
        <v>81.134</v>
      </c>
      <c r="N2528">
        <v>82.609285</v>
      </c>
      <c r="O2528">
        <v>28.22</v>
      </c>
      <c r="P2528">
        <v>17.731999999999999</v>
      </c>
      <c r="Q2528">
        <v>34.85</v>
      </c>
      <c r="R2528" t="s">
        <v>552</v>
      </c>
      <c r="S2528" t="s">
        <v>83</v>
      </c>
      <c r="T2528">
        <f>IF(TRIM(Table1[[#This Row],[PitStopLaps]])="",0,
LEN(Table1[[#This Row],[PitStopLaps]])-LEN(SUBSTITUTE(Table1[[#This Row],[PitStopLaps]],",",""))+1)</f>
        <v>2</v>
      </c>
      <c r="U2528">
        <f>Table1[[#This Row],[StartPosition]]-Table1[[#This Row],[FinishPosition]]</f>
        <v>1</v>
      </c>
    </row>
    <row r="2529" spans="1:21" x14ac:dyDescent="0.3">
      <c r="A2529">
        <v>2024</v>
      </c>
      <c r="B2529">
        <v>3</v>
      </c>
      <c r="C2529" t="s">
        <v>19</v>
      </c>
      <c r="D2529" t="s">
        <v>35</v>
      </c>
      <c r="E2529" t="s">
        <v>36</v>
      </c>
      <c r="F2529" t="s">
        <v>603</v>
      </c>
      <c r="G2529">
        <v>10</v>
      </c>
      <c r="H2529">
        <v>8</v>
      </c>
      <c r="I2529">
        <v>4</v>
      </c>
      <c r="J2529" t="s">
        <v>34</v>
      </c>
      <c r="K2529" t="s">
        <v>24</v>
      </c>
      <c r="L2529">
        <v>58</v>
      </c>
      <c r="M2529">
        <v>80.492999999999995</v>
      </c>
      <c r="N2529">
        <v>82.431783999999993</v>
      </c>
      <c r="O2529">
        <v>27.908999999999999</v>
      </c>
      <c r="P2529">
        <v>17.887</v>
      </c>
      <c r="Q2529">
        <v>34.508000000000003</v>
      </c>
      <c r="R2529" t="s">
        <v>126</v>
      </c>
      <c r="S2529" t="s">
        <v>83</v>
      </c>
      <c r="T2529">
        <f>IF(TRIM(Table1[[#This Row],[PitStopLaps]])="",0,
LEN(Table1[[#This Row],[PitStopLaps]])-LEN(SUBSTITUTE(Table1[[#This Row],[PitStopLaps]],",",""))+1)</f>
        <v>2</v>
      </c>
      <c r="U2529">
        <f>Table1[[#This Row],[StartPosition]]-Table1[[#This Row],[FinishPosition]]</f>
        <v>2</v>
      </c>
    </row>
    <row r="2530" spans="1:21" x14ac:dyDescent="0.3">
      <c r="A2530">
        <v>2024</v>
      </c>
      <c r="B2530">
        <v>3</v>
      </c>
      <c r="C2530" t="s">
        <v>19</v>
      </c>
      <c r="D2530" t="s">
        <v>40</v>
      </c>
      <c r="E2530" t="s">
        <v>41</v>
      </c>
      <c r="F2530" t="s">
        <v>69</v>
      </c>
      <c r="G2530">
        <v>16</v>
      </c>
      <c r="H2530">
        <v>9</v>
      </c>
      <c r="I2530">
        <v>2</v>
      </c>
      <c r="J2530" t="s">
        <v>34</v>
      </c>
      <c r="K2530" t="s">
        <v>24</v>
      </c>
      <c r="L2530">
        <v>58</v>
      </c>
      <c r="M2530">
        <v>81.144999999999996</v>
      </c>
      <c r="N2530">
        <v>82.864215000000002</v>
      </c>
      <c r="O2530">
        <v>28.292000000000002</v>
      </c>
      <c r="P2530">
        <v>17.742999999999999</v>
      </c>
      <c r="Q2530">
        <v>35.052</v>
      </c>
      <c r="R2530" t="s">
        <v>1130</v>
      </c>
      <c r="S2530" t="s">
        <v>83</v>
      </c>
      <c r="T2530">
        <f>IF(TRIM(Table1[[#This Row],[PitStopLaps]])="",0,
LEN(Table1[[#This Row],[PitStopLaps]])-LEN(SUBSTITUTE(Table1[[#This Row],[PitStopLaps]],",",""))+1)</f>
        <v>2</v>
      </c>
      <c r="U2530">
        <f>Table1[[#This Row],[StartPosition]]-Table1[[#This Row],[FinishPosition]]</f>
        <v>7</v>
      </c>
    </row>
    <row r="2531" spans="1:21" x14ac:dyDescent="0.3">
      <c r="A2531">
        <v>2024</v>
      </c>
      <c r="B2531">
        <v>3</v>
      </c>
      <c r="C2531" t="s">
        <v>19</v>
      </c>
      <c r="D2531" t="s">
        <v>71</v>
      </c>
      <c r="E2531" t="s">
        <v>72</v>
      </c>
      <c r="F2531" t="s">
        <v>69</v>
      </c>
      <c r="G2531">
        <v>14</v>
      </c>
      <c r="H2531">
        <v>10</v>
      </c>
      <c r="I2531">
        <v>1</v>
      </c>
      <c r="J2531" t="s">
        <v>34</v>
      </c>
      <c r="K2531" t="s">
        <v>994</v>
      </c>
      <c r="L2531">
        <v>57</v>
      </c>
      <c r="M2531">
        <v>81.081999999999994</v>
      </c>
      <c r="N2531">
        <v>82.887439999999998</v>
      </c>
      <c r="O2531">
        <v>28.306999999999999</v>
      </c>
      <c r="P2531">
        <v>17.488</v>
      </c>
      <c r="Q2531">
        <v>35.084000000000003</v>
      </c>
      <c r="R2531" t="s">
        <v>482</v>
      </c>
      <c r="S2531" t="s">
        <v>83</v>
      </c>
      <c r="T2531">
        <f>IF(TRIM(Table1[[#This Row],[PitStopLaps]])="",0,
LEN(Table1[[#This Row],[PitStopLaps]])-LEN(SUBSTITUTE(Table1[[#This Row],[PitStopLaps]],",",""))+1)</f>
        <v>2</v>
      </c>
      <c r="U2531">
        <f>Table1[[#This Row],[StartPosition]]-Table1[[#This Row],[FinishPosition]]</f>
        <v>4</v>
      </c>
    </row>
    <row r="2532" spans="1:21" x14ac:dyDescent="0.3">
      <c r="A2532">
        <v>2024</v>
      </c>
      <c r="B2532">
        <v>3</v>
      </c>
      <c r="C2532" t="s">
        <v>19</v>
      </c>
      <c r="D2532" t="s">
        <v>248</v>
      </c>
      <c r="E2532" t="s">
        <v>249</v>
      </c>
      <c r="F2532" t="s">
        <v>60</v>
      </c>
      <c r="G2532">
        <v>12</v>
      </c>
      <c r="H2532">
        <v>11</v>
      </c>
      <c r="I2532">
        <v>0</v>
      </c>
      <c r="J2532" t="s">
        <v>34</v>
      </c>
      <c r="K2532" t="s">
        <v>994</v>
      </c>
      <c r="L2532">
        <v>57</v>
      </c>
      <c r="M2532">
        <v>81.617999999999995</v>
      </c>
      <c r="N2532">
        <v>82.968580000000003</v>
      </c>
      <c r="O2532">
        <v>28.341000000000001</v>
      </c>
      <c r="P2532">
        <v>17.917999999999999</v>
      </c>
      <c r="Q2532">
        <v>35.250999999999998</v>
      </c>
      <c r="R2532" t="s">
        <v>1185</v>
      </c>
      <c r="S2532" t="s">
        <v>83</v>
      </c>
      <c r="T2532">
        <f>IF(TRIM(Table1[[#This Row],[PitStopLaps]])="",0,
LEN(Table1[[#This Row],[PitStopLaps]])-LEN(SUBSTITUTE(Table1[[#This Row],[PitStopLaps]],",",""))+1)</f>
        <v>2</v>
      </c>
      <c r="U2532">
        <f>Table1[[#This Row],[StartPosition]]-Table1[[#This Row],[FinishPosition]]</f>
        <v>1</v>
      </c>
    </row>
    <row r="2533" spans="1:21" x14ac:dyDescent="0.3">
      <c r="A2533">
        <v>2024</v>
      </c>
      <c r="B2533">
        <v>3</v>
      </c>
      <c r="C2533" t="s">
        <v>19</v>
      </c>
      <c r="D2533" t="s">
        <v>31</v>
      </c>
      <c r="E2533" t="s">
        <v>32</v>
      </c>
      <c r="F2533" t="s">
        <v>1176</v>
      </c>
      <c r="G2533">
        <v>18</v>
      </c>
      <c r="H2533">
        <v>12</v>
      </c>
      <c r="I2533">
        <v>0</v>
      </c>
      <c r="J2533" t="s">
        <v>34</v>
      </c>
      <c r="K2533" t="s">
        <v>994</v>
      </c>
      <c r="L2533">
        <v>57</v>
      </c>
      <c r="M2533">
        <v>81.239000000000004</v>
      </c>
      <c r="N2533">
        <v>82.88982</v>
      </c>
      <c r="O2533">
        <v>28.202000000000002</v>
      </c>
      <c r="P2533">
        <v>17.748999999999999</v>
      </c>
      <c r="Q2533">
        <v>34.875</v>
      </c>
      <c r="R2533" t="s">
        <v>1186</v>
      </c>
      <c r="S2533" t="s">
        <v>83</v>
      </c>
      <c r="T2533">
        <f>IF(TRIM(Table1[[#This Row],[PitStopLaps]])="",0,
LEN(Table1[[#This Row],[PitStopLaps]])-LEN(SUBSTITUTE(Table1[[#This Row],[PitStopLaps]],",",""))+1)</f>
        <v>2</v>
      </c>
      <c r="U2533">
        <f>Table1[[#This Row],[StartPosition]]-Table1[[#This Row],[FinishPosition]]</f>
        <v>6</v>
      </c>
    </row>
    <row r="2534" spans="1:21" x14ac:dyDescent="0.3">
      <c r="A2534">
        <v>2024</v>
      </c>
      <c r="B2534">
        <v>3</v>
      </c>
      <c r="C2534" t="s">
        <v>19</v>
      </c>
      <c r="D2534" t="s">
        <v>73</v>
      </c>
      <c r="E2534" t="s">
        <v>74</v>
      </c>
      <c r="F2534" t="s">
        <v>607</v>
      </c>
      <c r="G2534">
        <v>17</v>
      </c>
      <c r="H2534">
        <v>13</v>
      </c>
      <c r="I2534">
        <v>0</v>
      </c>
      <c r="J2534" t="s">
        <v>34</v>
      </c>
      <c r="K2534" t="s">
        <v>994</v>
      </c>
      <c r="L2534">
        <v>57</v>
      </c>
      <c r="M2534">
        <v>81.09</v>
      </c>
      <c r="N2534">
        <v>83.146420000000006</v>
      </c>
      <c r="O2534">
        <v>28.114999999999998</v>
      </c>
      <c r="P2534">
        <v>17.815999999999999</v>
      </c>
      <c r="Q2534">
        <v>34.814</v>
      </c>
      <c r="R2534" t="s">
        <v>126</v>
      </c>
      <c r="S2534" t="s">
        <v>83</v>
      </c>
      <c r="T2534">
        <f>IF(TRIM(Table1[[#This Row],[PitStopLaps]])="",0,
LEN(Table1[[#This Row],[PitStopLaps]])-LEN(SUBSTITUTE(Table1[[#This Row],[PitStopLaps]],",",""))+1)</f>
        <v>2</v>
      </c>
      <c r="U2534">
        <f>Table1[[#This Row],[StartPosition]]-Table1[[#This Row],[FinishPosition]]</f>
        <v>4</v>
      </c>
    </row>
    <row r="2535" spans="1:21" x14ac:dyDescent="0.3">
      <c r="A2535">
        <v>2024</v>
      </c>
      <c r="B2535">
        <v>3</v>
      </c>
      <c r="C2535" t="s">
        <v>19</v>
      </c>
      <c r="D2535" t="s">
        <v>43</v>
      </c>
      <c r="E2535" t="s">
        <v>44</v>
      </c>
      <c r="F2535" t="s">
        <v>1175</v>
      </c>
      <c r="G2535">
        <v>13</v>
      </c>
      <c r="H2535">
        <v>14</v>
      </c>
      <c r="I2535">
        <v>0</v>
      </c>
      <c r="J2535" t="s">
        <v>34</v>
      </c>
      <c r="K2535" t="s">
        <v>994</v>
      </c>
      <c r="L2535">
        <v>57</v>
      </c>
      <c r="M2535">
        <v>81.421999999999997</v>
      </c>
      <c r="N2535">
        <v>82.811312000000001</v>
      </c>
      <c r="O2535">
        <v>28.297999999999998</v>
      </c>
      <c r="P2535">
        <v>18.07</v>
      </c>
      <c r="Q2535">
        <v>34.936999999999998</v>
      </c>
      <c r="R2535" t="s">
        <v>811</v>
      </c>
      <c r="S2535" t="s">
        <v>83</v>
      </c>
      <c r="T2535">
        <f>IF(TRIM(Table1[[#This Row],[PitStopLaps]])="",0,
LEN(Table1[[#This Row],[PitStopLaps]])-LEN(SUBSTITUTE(Table1[[#This Row],[PitStopLaps]],",",""))+1)</f>
        <v>2</v>
      </c>
      <c r="U2535">
        <f>Table1[[#This Row],[StartPosition]]-Table1[[#This Row],[FinishPosition]]</f>
        <v>-1</v>
      </c>
    </row>
    <row r="2536" spans="1:21" x14ac:dyDescent="0.3">
      <c r="A2536">
        <v>2024</v>
      </c>
      <c r="B2536">
        <v>3</v>
      </c>
      <c r="C2536" t="s">
        <v>19</v>
      </c>
      <c r="D2536" t="s">
        <v>794</v>
      </c>
      <c r="E2536" t="s">
        <v>795</v>
      </c>
      <c r="F2536" t="s">
        <v>1175</v>
      </c>
      <c r="G2536">
        <v>19</v>
      </c>
      <c r="H2536">
        <v>15</v>
      </c>
      <c r="I2536">
        <v>0</v>
      </c>
      <c r="J2536" t="s">
        <v>34</v>
      </c>
      <c r="K2536" t="s">
        <v>994</v>
      </c>
      <c r="L2536">
        <v>57</v>
      </c>
      <c r="M2536">
        <v>81.326999999999998</v>
      </c>
      <c r="N2536">
        <v>82.971121999999994</v>
      </c>
      <c r="O2536">
        <v>28.288</v>
      </c>
      <c r="P2536">
        <v>17.952999999999999</v>
      </c>
      <c r="Q2536">
        <v>35.085999999999999</v>
      </c>
      <c r="R2536" t="s">
        <v>1187</v>
      </c>
      <c r="S2536" t="s">
        <v>83</v>
      </c>
      <c r="T2536">
        <f>IF(TRIM(Table1[[#This Row],[PitStopLaps]])="",0,
LEN(Table1[[#This Row],[PitStopLaps]])-LEN(SUBSTITUTE(Table1[[#This Row],[PitStopLaps]],",",""))+1)</f>
        <v>2</v>
      </c>
      <c r="U2536">
        <f>Table1[[#This Row],[StartPosition]]-Table1[[#This Row],[FinishPosition]]</f>
        <v>4</v>
      </c>
    </row>
    <row r="2537" spans="1:21" x14ac:dyDescent="0.3">
      <c r="A2537">
        <v>2024</v>
      </c>
      <c r="B2537">
        <v>3</v>
      </c>
      <c r="C2537" t="s">
        <v>19</v>
      </c>
      <c r="D2537" t="s">
        <v>52</v>
      </c>
      <c r="E2537" t="s">
        <v>53</v>
      </c>
      <c r="F2537" t="s">
        <v>607</v>
      </c>
      <c r="G2537">
        <v>15</v>
      </c>
      <c r="H2537">
        <v>16</v>
      </c>
      <c r="I2537">
        <v>0</v>
      </c>
      <c r="J2537" t="s">
        <v>34</v>
      </c>
      <c r="K2537" t="s">
        <v>994</v>
      </c>
      <c r="L2537">
        <v>57</v>
      </c>
      <c r="M2537">
        <v>81.353999999999999</v>
      </c>
      <c r="N2537">
        <v>82.897144999999995</v>
      </c>
      <c r="O2537">
        <v>28.306000000000001</v>
      </c>
      <c r="P2537">
        <v>17.856999999999999</v>
      </c>
      <c r="Q2537">
        <v>35.003</v>
      </c>
      <c r="R2537" t="s">
        <v>1188</v>
      </c>
      <c r="S2537" t="s">
        <v>83</v>
      </c>
      <c r="T2537">
        <f>IF(TRIM(Table1[[#This Row],[PitStopLaps]])="",0,
LEN(Table1[[#This Row],[PitStopLaps]])-LEN(SUBSTITUTE(Table1[[#This Row],[PitStopLaps]],",",""))+1)</f>
        <v>3</v>
      </c>
      <c r="U2537">
        <f>Table1[[#This Row],[StartPosition]]-Table1[[#This Row],[FinishPosition]]</f>
        <v>-1</v>
      </c>
    </row>
    <row r="2538" spans="1:21" x14ac:dyDescent="0.3">
      <c r="A2538">
        <v>2024</v>
      </c>
      <c r="B2538">
        <v>3</v>
      </c>
      <c r="C2538" t="s">
        <v>19</v>
      </c>
      <c r="D2538" t="s">
        <v>252</v>
      </c>
      <c r="E2538" t="s">
        <v>253</v>
      </c>
      <c r="F2538" t="s">
        <v>28</v>
      </c>
      <c r="G2538">
        <v>7</v>
      </c>
      <c r="H2538">
        <v>17</v>
      </c>
      <c r="I2538">
        <v>0</v>
      </c>
      <c r="J2538" t="s">
        <v>34</v>
      </c>
      <c r="K2538" t="s">
        <v>179</v>
      </c>
      <c r="L2538">
        <v>57</v>
      </c>
      <c r="M2538">
        <v>80.284000000000006</v>
      </c>
      <c r="N2538">
        <v>82.370305999999999</v>
      </c>
      <c r="O2538">
        <v>27.721</v>
      </c>
      <c r="P2538">
        <v>17.61</v>
      </c>
      <c r="Q2538">
        <v>34.686</v>
      </c>
      <c r="R2538" t="s">
        <v>1189</v>
      </c>
      <c r="S2538" t="s">
        <v>83</v>
      </c>
      <c r="T2538">
        <f>IF(TRIM(Table1[[#This Row],[PitStopLaps]])="",0,
LEN(Table1[[#This Row],[PitStopLaps]])-LEN(SUBSTITUTE(Table1[[#This Row],[PitStopLaps]],",",""))+1)</f>
        <v>2</v>
      </c>
      <c r="U2538">
        <f>Table1[[#This Row],[StartPosition]]-Table1[[#This Row],[FinishPosition]]</f>
        <v>-10</v>
      </c>
    </row>
    <row r="2539" spans="1:21" x14ac:dyDescent="0.3">
      <c r="A2539">
        <v>2024</v>
      </c>
      <c r="B2539">
        <v>3</v>
      </c>
      <c r="C2539" t="s">
        <v>19</v>
      </c>
      <c r="D2539" t="s">
        <v>26</v>
      </c>
      <c r="E2539" t="s">
        <v>27</v>
      </c>
      <c r="F2539" t="s">
        <v>28</v>
      </c>
      <c r="G2539">
        <v>11</v>
      </c>
      <c r="H2539">
        <v>18</v>
      </c>
      <c r="I2539">
        <v>0</v>
      </c>
      <c r="J2539" t="s">
        <v>34</v>
      </c>
      <c r="K2539" t="s">
        <v>179</v>
      </c>
      <c r="L2539">
        <v>16</v>
      </c>
      <c r="M2539">
        <v>82.444000000000003</v>
      </c>
      <c r="N2539">
        <v>83.309665999999893</v>
      </c>
      <c r="O2539">
        <v>28.718</v>
      </c>
      <c r="P2539">
        <v>17.977</v>
      </c>
      <c r="Q2539">
        <v>35.558</v>
      </c>
      <c r="R2539">
        <v>7</v>
      </c>
      <c r="S2539" t="s">
        <v>83</v>
      </c>
      <c r="T2539">
        <f>IF(TRIM(Table1[[#This Row],[PitStopLaps]])="",0,
LEN(Table1[[#This Row],[PitStopLaps]])-LEN(SUBSTITUTE(Table1[[#This Row],[PitStopLaps]],",",""))+1)</f>
        <v>1</v>
      </c>
      <c r="U2539">
        <f>Table1[[#This Row],[StartPosition]]-Table1[[#This Row],[FinishPosition]]</f>
        <v>-7</v>
      </c>
    </row>
    <row r="2540" spans="1:21" x14ac:dyDescent="0.3">
      <c r="A2540">
        <v>2024</v>
      </c>
      <c r="B2540">
        <v>3</v>
      </c>
      <c r="C2540" t="s">
        <v>19</v>
      </c>
      <c r="D2540" t="s">
        <v>38</v>
      </c>
      <c r="E2540" t="s">
        <v>39</v>
      </c>
      <c r="F2540" t="s">
        <v>33</v>
      </c>
      <c r="G2540">
        <v>1</v>
      </c>
      <c r="H2540">
        <v>19</v>
      </c>
      <c r="I2540">
        <v>0</v>
      </c>
      <c r="J2540" t="s">
        <v>34</v>
      </c>
      <c r="K2540" t="s">
        <v>179</v>
      </c>
      <c r="L2540">
        <v>4</v>
      </c>
      <c r="M2540">
        <v>83.114999999999995</v>
      </c>
      <c r="N2540">
        <v>83.606999999999999</v>
      </c>
      <c r="O2540">
        <v>28.792999999999999</v>
      </c>
      <c r="P2540">
        <v>18.375</v>
      </c>
      <c r="Q2540">
        <v>35.749000000000002</v>
      </c>
      <c r="R2540">
        <v>4</v>
      </c>
      <c r="S2540" t="s">
        <v>83</v>
      </c>
      <c r="T2540">
        <f>IF(TRIM(Table1[[#This Row],[PitStopLaps]])="",0,
LEN(Table1[[#This Row],[PitStopLaps]])-LEN(SUBSTITUTE(Table1[[#This Row],[PitStopLaps]],",",""))+1)</f>
        <v>1</v>
      </c>
      <c r="U2540">
        <f>Table1[[#This Row],[StartPosition]]-Table1[[#This Row],[FinishPosition]]</f>
        <v>-18</v>
      </c>
    </row>
    <row r="2541" spans="1:21" x14ac:dyDescent="0.3">
      <c r="A2541">
        <v>2024</v>
      </c>
      <c r="B2541">
        <v>4</v>
      </c>
      <c r="C2541" t="s">
        <v>208</v>
      </c>
      <c r="D2541" t="s">
        <v>38</v>
      </c>
      <c r="E2541" t="s">
        <v>39</v>
      </c>
      <c r="F2541" t="s">
        <v>33</v>
      </c>
      <c r="G2541">
        <v>1</v>
      </c>
      <c r="H2541">
        <v>1</v>
      </c>
      <c r="I2541">
        <v>26</v>
      </c>
      <c r="J2541" t="s">
        <v>23</v>
      </c>
      <c r="K2541" t="s">
        <v>24</v>
      </c>
      <c r="L2541">
        <v>53</v>
      </c>
      <c r="M2541">
        <v>93.706000000000003</v>
      </c>
      <c r="N2541">
        <v>96.028238999999999</v>
      </c>
      <c r="O2541">
        <v>33.404000000000003</v>
      </c>
      <c r="P2541">
        <v>42.069000000000003</v>
      </c>
      <c r="Q2541">
        <v>18.161000000000001</v>
      </c>
      <c r="R2541" t="s">
        <v>1190</v>
      </c>
      <c r="S2541" t="s">
        <v>83</v>
      </c>
      <c r="T2541">
        <f>IF(TRIM(Table1[[#This Row],[PitStopLaps]])="",0,
LEN(Table1[[#This Row],[PitStopLaps]])-LEN(SUBSTITUTE(Table1[[#This Row],[PitStopLaps]],",",""))+1)</f>
        <v>3</v>
      </c>
      <c r="U2541">
        <f>Table1[[#This Row],[StartPosition]]-Table1[[#This Row],[FinishPosition]]</f>
        <v>0</v>
      </c>
    </row>
    <row r="2542" spans="1:21" x14ac:dyDescent="0.3">
      <c r="A2542">
        <v>2024</v>
      </c>
      <c r="B2542">
        <v>4</v>
      </c>
      <c r="C2542" t="s">
        <v>208</v>
      </c>
      <c r="D2542" t="s">
        <v>49</v>
      </c>
      <c r="E2542" t="s">
        <v>50</v>
      </c>
      <c r="F2542" t="s">
        <v>33</v>
      </c>
      <c r="G2542">
        <v>2</v>
      </c>
      <c r="H2542">
        <v>2</v>
      </c>
      <c r="I2542">
        <v>18</v>
      </c>
      <c r="J2542" t="s">
        <v>23</v>
      </c>
      <c r="K2542" t="s">
        <v>24</v>
      </c>
      <c r="L2542">
        <v>53</v>
      </c>
      <c r="M2542">
        <v>93.944999999999993</v>
      </c>
      <c r="N2542">
        <v>96.309455999999997</v>
      </c>
      <c r="O2542">
        <v>33.433</v>
      </c>
      <c r="P2542">
        <v>42.191000000000003</v>
      </c>
      <c r="Q2542">
        <v>18.27</v>
      </c>
      <c r="R2542" t="s">
        <v>1191</v>
      </c>
      <c r="S2542" t="s">
        <v>83</v>
      </c>
      <c r="T2542">
        <f>IF(TRIM(Table1[[#This Row],[PitStopLaps]])="",0,
LEN(Table1[[#This Row],[PitStopLaps]])-LEN(SUBSTITUTE(Table1[[#This Row],[PitStopLaps]],",",""))+1)</f>
        <v>3</v>
      </c>
      <c r="U2542">
        <f>Table1[[#This Row],[StartPosition]]-Table1[[#This Row],[FinishPosition]]</f>
        <v>0</v>
      </c>
    </row>
    <row r="2543" spans="1:21" x14ac:dyDescent="0.3">
      <c r="A2543">
        <v>2024</v>
      </c>
      <c r="B2543">
        <v>4</v>
      </c>
      <c r="C2543" t="s">
        <v>208</v>
      </c>
      <c r="D2543" t="s">
        <v>47</v>
      </c>
      <c r="E2543" t="s">
        <v>48</v>
      </c>
      <c r="F2543" t="s">
        <v>22</v>
      </c>
      <c r="G2543">
        <v>4</v>
      </c>
      <c r="H2543">
        <v>3</v>
      </c>
      <c r="I2543">
        <v>15</v>
      </c>
      <c r="J2543" t="s">
        <v>23</v>
      </c>
      <c r="K2543" t="s">
        <v>24</v>
      </c>
      <c r="L2543">
        <v>53</v>
      </c>
      <c r="M2543">
        <v>93.840999999999994</v>
      </c>
      <c r="N2543">
        <v>96.441478000000004</v>
      </c>
      <c r="O2543">
        <v>33.31</v>
      </c>
      <c r="P2543">
        <v>42.106999999999999</v>
      </c>
      <c r="Q2543">
        <v>18.189</v>
      </c>
      <c r="R2543" t="s">
        <v>1192</v>
      </c>
      <c r="S2543" t="s">
        <v>83</v>
      </c>
      <c r="T2543">
        <f>IF(TRIM(Table1[[#This Row],[PitStopLaps]])="",0,
LEN(Table1[[#This Row],[PitStopLaps]])-LEN(SUBSTITUTE(Table1[[#This Row],[PitStopLaps]],",",""))+1)</f>
        <v>3</v>
      </c>
      <c r="U2543">
        <f>Table1[[#This Row],[StartPosition]]-Table1[[#This Row],[FinishPosition]]</f>
        <v>1</v>
      </c>
    </row>
    <row r="2544" spans="1:21" x14ac:dyDescent="0.3">
      <c r="A2544">
        <v>2024</v>
      </c>
      <c r="B2544">
        <v>4</v>
      </c>
      <c r="C2544" t="s">
        <v>208</v>
      </c>
      <c r="D2544" t="s">
        <v>54</v>
      </c>
      <c r="E2544" t="s">
        <v>55</v>
      </c>
      <c r="F2544" t="s">
        <v>22</v>
      </c>
      <c r="G2544">
        <v>8</v>
      </c>
      <c r="H2544">
        <v>4</v>
      </c>
      <c r="I2544">
        <v>12</v>
      </c>
      <c r="J2544" t="s">
        <v>34</v>
      </c>
      <c r="K2544" t="s">
        <v>24</v>
      </c>
      <c r="L2544">
        <v>53</v>
      </c>
      <c r="M2544">
        <v>95.043999999999997</v>
      </c>
      <c r="N2544">
        <v>96.91825</v>
      </c>
      <c r="O2544">
        <v>34.140999999999998</v>
      </c>
      <c r="P2544">
        <v>42.491999999999997</v>
      </c>
      <c r="Q2544">
        <v>18.373999999999999</v>
      </c>
      <c r="R2544" t="s">
        <v>190</v>
      </c>
      <c r="S2544" t="s">
        <v>83</v>
      </c>
      <c r="T2544">
        <f>IF(TRIM(Table1[[#This Row],[PitStopLaps]])="",0,
LEN(Table1[[#This Row],[PitStopLaps]])-LEN(SUBSTITUTE(Table1[[#This Row],[PitStopLaps]],",",""))+1)</f>
        <v>2</v>
      </c>
      <c r="U2544">
        <f>Table1[[#This Row],[StartPosition]]-Table1[[#This Row],[FinishPosition]]</f>
        <v>4</v>
      </c>
    </row>
    <row r="2545" spans="1:21" x14ac:dyDescent="0.3">
      <c r="A2545">
        <v>2024</v>
      </c>
      <c r="B2545">
        <v>4</v>
      </c>
      <c r="C2545" t="s">
        <v>208</v>
      </c>
      <c r="D2545" t="s">
        <v>246</v>
      </c>
      <c r="E2545" t="s">
        <v>247</v>
      </c>
      <c r="F2545" t="s">
        <v>37</v>
      </c>
      <c r="G2545">
        <v>3</v>
      </c>
      <c r="H2545">
        <v>5</v>
      </c>
      <c r="I2545">
        <v>10</v>
      </c>
      <c r="J2545" t="s">
        <v>34</v>
      </c>
      <c r="K2545" t="s">
        <v>24</v>
      </c>
      <c r="L2545">
        <v>53</v>
      </c>
      <c r="M2545">
        <v>95.186000000000007</v>
      </c>
      <c r="N2545">
        <v>96.579108000000005</v>
      </c>
      <c r="O2545">
        <v>34.119</v>
      </c>
      <c r="P2545">
        <v>42.603999999999999</v>
      </c>
      <c r="Q2545">
        <v>18.332000000000001</v>
      </c>
      <c r="R2545" t="s">
        <v>1193</v>
      </c>
      <c r="S2545" t="s">
        <v>83</v>
      </c>
      <c r="T2545">
        <f>IF(TRIM(Table1[[#This Row],[PitStopLaps]])="",0,
LEN(Table1[[#This Row],[PitStopLaps]])-LEN(SUBSTITUTE(Table1[[#This Row],[PitStopLaps]],",",""))+1)</f>
        <v>3</v>
      </c>
      <c r="U2545">
        <f>Table1[[#This Row],[StartPosition]]-Table1[[#This Row],[FinishPosition]]</f>
        <v>-2</v>
      </c>
    </row>
    <row r="2546" spans="1:21" x14ac:dyDescent="0.3">
      <c r="A2546">
        <v>2024</v>
      </c>
      <c r="B2546">
        <v>4</v>
      </c>
      <c r="C2546" t="s">
        <v>208</v>
      </c>
      <c r="D2546" t="s">
        <v>35</v>
      </c>
      <c r="E2546" t="s">
        <v>36</v>
      </c>
      <c r="F2546" t="s">
        <v>603</v>
      </c>
      <c r="G2546">
        <v>5</v>
      </c>
      <c r="H2546">
        <v>6</v>
      </c>
      <c r="I2546">
        <v>8</v>
      </c>
      <c r="J2546" t="s">
        <v>34</v>
      </c>
      <c r="K2546" t="s">
        <v>24</v>
      </c>
      <c r="L2546">
        <v>53</v>
      </c>
      <c r="M2546">
        <v>94.725999999999999</v>
      </c>
      <c r="N2546">
        <v>96.910477999999998</v>
      </c>
      <c r="O2546">
        <v>33.923999999999999</v>
      </c>
      <c r="P2546">
        <v>42.332000000000001</v>
      </c>
      <c r="Q2546">
        <v>18.279</v>
      </c>
      <c r="R2546" t="s">
        <v>1194</v>
      </c>
      <c r="S2546" t="s">
        <v>83</v>
      </c>
      <c r="T2546">
        <f>IF(TRIM(Table1[[#This Row],[PitStopLaps]])="",0,
LEN(Table1[[#This Row],[PitStopLaps]])-LEN(SUBSTITUTE(Table1[[#This Row],[PitStopLaps]],",",""))+1)</f>
        <v>3</v>
      </c>
      <c r="U2546">
        <f>Table1[[#This Row],[StartPosition]]-Table1[[#This Row],[FinishPosition]]</f>
        <v>-1</v>
      </c>
    </row>
    <row r="2547" spans="1:21" x14ac:dyDescent="0.3">
      <c r="A2547">
        <v>2024</v>
      </c>
      <c r="B2547">
        <v>4</v>
      </c>
      <c r="C2547" t="s">
        <v>208</v>
      </c>
      <c r="D2547" t="s">
        <v>252</v>
      </c>
      <c r="E2547" t="s">
        <v>253</v>
      </c>
      <c r="F2547" t="s">
        <v>28</v>
      </c>
      <c r="G2547">
        <v>9</v>
      </c>
      <c r="H2547">
        <v>7</v>
      </c>
      <c r="I2547">
        <v>6</v>
      </c>
      <c r="J2547" t="s">
        <v>34</v>
      </c>
      <c r="K2547" t="s">
        <v>24</v>
      </c>
      <c r="L2547">
        <v>53</v>
      </c>
      <c r="M2547">
        <v>94.403999999999996</v>
      </c>
      <c r="N2547">
        <v>96.937717000000006</v>
      </c>
      <c r="O2547">
        <v>33.81</v>
      </c>
      <c r="P2547">
        <v>42.024000000000001</v>
      </c>
      <c r="Q2547">
        <v>18.292999999999999</v>
      </c>
      <c r="R2547" t="s">
        <v>1195</v>
      </c>
      <c r="S2547" t="s">
        <v>83</v>
      </c>
      <c r="T2547">
        <f>IF(TRIM(Table1[[#This Row],[PitStopLaps]])="",0,
LEN(Table1[[#This Row],[PitStopLaps]])-LEN(SUBSTITUTE(Table1[[#This Row],[PitStopLaps]],",",""))+1)</f>
        <v>3</v>
      </c>
      <c r="U2547">
        <f>Table1[[#This Row],[StartPosition]]-Table1[[#This Row],[FinishPosition]]</f>
        <v>2</v>
      </c>
    </row>
    <row r="2548" spans="1:21" x14ac:dyDescent="0.3">
      <c r="A2548">
        <v>2024</v>
      </c>
      <c r="B2548">
        <v>4</v>
      </c>
      <c r="C2548" t="s">
        <v>208</v>
      </c>
      <c r="D2548" t="s">
        <v>1000</v>
      </c>
      <c r="E2548" t="s">
        <v>1001</v>
      </c>
      <c r="F2548" t="s">
        <v>37</v>
      </c>
      <c r="G2548">
        <v>6</v>
      </c>
      <c r="H2548">
        <v>8</v>
      </c>
      <c r="I2548">
        <v>4</v>
      </c>
      <c r="J2548" t="s">
        <v>34</v>
      </c>
      <c r="K2548" t="s">
        <v>24</v>
      </c>
      <c r="L2548">
        <v>53</v>
      </c>
      <c r="M2548">
        <v>94.802000000000007</v>
      </c>
      <c r="N2548">
        <v>96.909477999999993</v>
      </c>
      <c r="O2548">
        <v>34.133000000000003</v>
      </c>
      <c r="P2548">
        <v>42.289000000000001</v>
      </c>
      <c r="Q2548">
        <v>18.378</v>
      </c>
      <c r="R2548" t="s">
        <v>1196</v>
      </c>
      <c r="S2548" t="s">
        <v>83</v>
      </c>
      <c r="T2548">
        <f>IF(TRIM(Table1[[#This Row],[PitStopLaps]])="",0,
LEN(Table1[[#This Row],[PitStopLaps]])-LEN(SUBSTITUTE(Table1[[#This Row],[PitStopLaps]],",",""))+1)</f>
        <v>3</v>
      </c>
      <c r="U2548">
        <f>Table1[[#This Row],[StartPosition]]-Table1[[#This Row],[FinishPosition]]</f>
        <v>-2</v>
      </c>
    </row>
    <row r="2549" spans="1:21" x14ac:dyDescent="0.3">
      <c r="A2549">
        <v>2024</v>
      </c>
      <c r="B2549">
        <v>4</v>
      </c>
      <c r="C2549" t="s">
        <v>208</v>
      </c>
      <c r="D2549" t="s">
        <v>26</v>
      </c>
      <c r="E2549" t="s">
        <v>27</v>
      </c>
      <c r="F2549" t="s">
        <v>28</v>
      </c>
      <c r="G2549">
        <v>7</v>
      </c>
      <c r="H2549">
        <v>9</v>
      </c>
      <c r="I2549">
        <v>2</v>
      </c>
      <c r="J2549" t="s">
        <v>34</v>
      </c>
      <c r="K2549" t="s">
        <v>24</v>
      </c>
      <c r="L2549">
        <v>53</v>
      </c>
      <c r="M2549">
        <v>93.951999999999998</v>
      </c>
      <c r="N2549">
        <v>97.006912999999997</v>
      </c>
      <c r="O2549">
        <v>33.633000000000003</v>
      </c>
      <c r="P2549">
        <v>42.033000000000001</v>
      </c>
      <c r="Q2549">
        <v>18.213000000000001</v>
      </c>
      <c r="R2549" t="s">
        <v>1197</v>
      </c>
      <c r="S2549" t="s">
        <v>83</v>
      </c>
      <c r="T2549">
        <f>IF(TRIM(Table1[[#This Row],[PitStopLaps]])="",0,
LEN(Table1[[#This Row],[PitStopLaps]])-LEN(SUBSTITUTE(Table1[[#This Row],[PitStopLaps]],",",""))+1)</f>
        <v>3</v>
      </c>
      <c r="U2549">
        <f>Table1[[#This Row],[StartPosition]]-Table1[[#This Row],[FinishPosition]]</f>
        <v>-2</v>
      </c>
    </row>
    <row r="2550" spans="1:21" x14ac:dyDescent="0.3">
      <c r="A2550">
        <v>2024</v>
      </c>
      <c r="B2550">
        <v>4</v>
      </c>
      <c r="C2550" t="s">
        <v>208</v>
      </c>
      <c r="D2550" t="s">
        <v>601</v>
      </c>
      <c r="E2550" t="s">
        <v>602</v>
      </c>
      <c r="F2550" t="s">
        <v>1176</v>
      </c>
      <c r="G2550">
        <v>10</v>
      </c>
      <c r="H2550">
        <v>10</v>
      </c>
      <c r="I2550">
        <v>1</v>
      </c>
      <c r="J2550" t="s">
        <v>34</v>
      </c>
      <c r="K2550" t="s">
        <v>994</v>
      </c>
      <c r="L2550">
        <v>52</v>
      </c>
      <c r="M2550">
        <v>96.341999999999999</v>
      </c>
      <c r="N2550">
        <v>97.915777000000006</v>
      </c>
      <c r="O2550">
        <v>34.779000000000003</v>
      </c>
      <c r="P2550">
        <v>42.920999999999999</v>
      </c>
      <c r="Q2550">
        <v>18.556999999999999</v>
      </c>
      <c r="R2550" t="s">
        <v>1198</v>
      </c>
      <c r="S2550" t="s">
        <v>83</v>
      </c>
      <c r="T2550">
        <f>IF(TRIM(Table1[[#This Row],[PitStopLaps]])="",0,
LEN(Table1[[#This Row],[PitStopLaps]])-LEN(SUBSTITUTE(Table1[[#This Row],[PitStopLaps]],",",""))+1)</f>
        <v>3</v>
      </c>
      <c r="U2550">
        <f>Table1[[#This Row],[StartPosition]]-Table1[[#This Row],[FinishPosition]]</f>
        <v>0</v>
      </c>
    </row>
    <row r="2551" spans="1:21" x14ac:dyDescent="0.3">
      <c r="A2551">
        <v>2024</v>
      </c>
      <c r="B2551">
        <v>4</v>
      </c>
      <c r="C2551" t="s">
        <v>208</v>
      </c>
      <c r="D2551" t="s">
        <v>40</v>
      </c>
      <c r="E2551" t="s">
        <v>41</v>
      </c>
      <c r="F2551" t="s">
        <v>69</v>
      </c>
      <c r="G2551">
        <v>12</v>
      </c>
      <c r="H2551">
        <v>11</v>
      </c>
      <c r="I2551">
        <v>0</v>
      </c>
      <c r="J2551" t="s">
        <v>34</v>
      </c>
      <c r="K2551" t="s">
        <v>994</v>
      </c>
      <c r="L2551">
        <v>52</v>
      </c>
      <c r="M2551">
        <v>95.325000000000003</v>
      </c>
      <c r="N2551">
        <v>97.916043999999999</v>
      </c>
      <c r="O2551">
        <v>34.325000000000003</v>
      </c>
      <c r="P2551">
        <v>42.485999999999997</v>
      </c>
      <c r="Q2551">
        <v>18.225000000000001</v>
      </c>
      <c r="R2551" t="s">
        <v>1199</v>
      </c>
      <c r="S2551" t="s">
        <v>83</v>
      </c>
      <c r="T2551">
        <f>IF(TRIM(Table1[[#This Row],[PitStopLaps]])="",0,
LEN(Table1[[#This Row],[PitStopLaps]])-LEN(SUBSTITUTE(Table1[[#This Row],[PitStopLaps]],",",""))+1)</f>
        <v>3</v>
      </c>
      <c r="U2551">
        <f>Table1[[#This Row],[StartPosition]]-Table1[[#This Row],[FinishPosition]]</f>
        <v>1</v>
      </c>
    </row>
    <row r="2552" spans="1:21" x14ac:dyDescent="0.3">
      <c r="A2552">
        <v>2024</v>
      </c>
      <c r="B2552">
        <v>4</v>
      </c>
      <c r="C2552" t="s">
        <v>208</v>
      </c>
      <c r="D2552" t="s">
        <v>58</v>
      </c>
      <c r="E2552" t="s">
        <v>59</v>
      </c>
      <c r="F2552" t="s">
        <v>603</v>
      </c>
      <c r="G2552">
        <v>16</v>
      </c>
      <c r="H2552">
        <v>12</v>
      </c>
      <c r="I2552">
        <v>0</v>
      </c>
      <c r="J2552" t="s">
        <v>34</v>
      </c>
      <c r="K2552" t="s">
        <v>994</v>
      </c>
      <c r="L2552">
        <v>52</v>
      </c>
      <c r="M2552">
        <v>95.798000000000002</v>
      </c>
      <c r="N2552">
        <v>97.715254999999999</v>
      </c>
      <c r="O2552">
        <v>34.43</v>
      </c>
      <c r="P2552">
        <v>42.606999999999999</v>
      </c>
      <c r="Q2552">
        <v>18.468</v>
      </c>
      <c r="R2552" t="s">
        <v>1200</v>
      </c>
      <c r="S2552" t="s">
        <v>83</v>
      </c>
      <c r="T2552">
        <f>IF(TRIM(Table1[[#This Row],[PitStopLaps]])="",0,
LEN(Table1[[#This Row],[PitStopLaps]])-LEN(SUBSTITUTE(Table1[[#This Row],[PitStopLaps]],",",""))+1)</f>
        <v>4</v>
      </c>
      <c r="U2552">
        <f>Table1[[#This Row],[StartPosition]]-Table1[[#This Row],[FinishPosition]]</f>
        <v>4</v>
      </c>
    </row>
    <row r="2553" spans="1:21" x14ac:dyDescent="0.3">
      <c r="A2553">
        <v>2024</v>
      </c>
      <c r="B2553">
        <v>4</v>
      </c>
      <c r="C2553" t="s">
        <v>208</v>
      </c>
      <c r="D2553" t="s">
        <v>71</v>
      </c>
      <c r="E2553" t="s">
        <v>72</v>
      </c>
      <c r="F2553" t="s">
        <v>69</v>
      </c>
      <c r="G2553">
        <v>18</v>
      </c>
      <c r="H2553">
        <v>13</v>
      </c>
      <c r="I2553">
        <v>0</v>
      </c>
      <c r="J2553" t="s">
        <v>34</v>
      </c>
      <c r="K2553" t="s">
        <v>994</v>
      </c>
      <c r="L2553">
        <v>52</v>
      </c>
      <c r="M2553">
        <v>96.653999999999996</v>
      </c>
      <c r="N2553">
        <v>99.312749999999994</v>
      </c>
      <c r="O2553">
        <v>35.152000000000001</v>
      </c>
      <c r="P2553">
        <v>43.006999999999998</v>
      </c>
      <c r="Q2553">
        <v>18.414999999999999</v>
      </c>
      <c r="R2553" t="s">
        <v>66</v>
      </c>
      <c r="S2553" t="s">
        <v>83</v>
      </c>
      <c r="T2553">
        <f>IF(TRIM(Table1[[#This Row],[PitStopLaps]])="",0,
LEN(Table1[[#This Row],[PitStopLaps]])-LEN(SUBSTITUTE(Table1[[#This Row],[PitStopLaps]],",",""))+1)</f>
        <v>2</v>
      </c>
      <c r="U2553">
        <f>Table1[[#This Row],[StartPosition]]-Table1[[#This Row],[FinishPosition]]</f>
        <v>5</v>
      </c>
    </row>
    <row r="2554" spans="1:21" x14ac:dyDescent="0.3">
      <c r="A2554">
        <v>2024</v>
      </c>
      <c r="B2554">
        <v>4</v>
      </c>
      <c r="C2554" t="s">
        <v>208</v>
      </c>
      <c r="D2554" t="s">
        <v>43</v>
      </c>
      <c r="E2554" t="s">
        <v>44</v>
      </c>
      <c r="F2554" t="s">
        <v>1175</v>
      </c>
      <c r="G2554">
        <v>13</v>
      </c>
      <c r="H2554">
        <v>14</v>
      </c>
      <c r="I2554">
        <v>0</v>
      </c>
      <c r="J2554" t="s">
        <v>34</v>
      </c>
      <c r="K2554" t="s">
        <v>994</v>
      </c>
      <c r="L2554">
        <v>52</v>
      </c>
      <c r="M2554">
        <v>96.608000000000004</v>
      </c>
      <c r="N2554">
        <v>99.270651999999998</v>
      </c>
      <c r="O2554">
        <v>34.463999999999999</v>
      </c>
      <c r="P2554">
        <v>43.206000000000003</v>
      </c>
      <c r="Q2554">
        <v>18.439</v>
      </c>
      <c r="R2554" t="s">
        <v>1201</v>
      </c>
      <c r="S2554" t="s">
        <v>83</v>
      </c>
      <c r="T2554">
        <f>IF(TRIM(Table1[[#This Row],[PitStopLaps]])="",0,
LEN(Table1[[#This Row],[PitStopLaps]])-LEN(SUBSTITUTE(Table1[[#This Row],[PitStopLaps]],",",""))+1)</f>
        <v>3</v>
      </c>
      <c r="U2554">
        <f>Table1[[#This Row],[StartPosition]]-Table1[[#This Row],[FinishPosition]]</f>
        <v>-1</v>
      </c>
    </row>
    <row r="2555" spans="1:21" x14ac:dyDescent="0.3">
      <c r="A2555">
        <v>2024</v>
      </c>
      <c r="B2555">
        <v>4</v>
      </c>
      <c r="C2555" t="s">
        <v>208</v>
      </c>
      <c r="D2555" t="s">
        <v>52</v>
      </c>
      <c r="E2555" t="s">
        <v>53</v>
      </c>
      <c r="F2555" t="s">
        <v>607</v>
      </c>
      <c r="G2555">
        <v>15</v>
      </c>
      <c r="H2555">
        <v>15</v>
      </c>
      <c r="I2555">
        <v>0</v>
      </c>
      <c r="J2555" t="s">
        <v>34</v>
      </c>
      <c r="K2555" t="s">
        <v>994</v>
      </c>
      <c r="L2555">
        <v>52</v>
      </c>
      <c r="M2555">
        <v>96.231999999999999</v>
      </c>
      <c r="N2555">
        <v>99.645413000000005</v>
      </c>
      <c r="O2555">
        <v>34.512</v>
      </c>
      <c r="P2555">
        <v>42.972999999999999</v>
      </c>
      <c r="Q2555">
        <v>18.574999999999999</v>
      </c>
      <c r="R2555" t="s">
        <v>1202</v>
      </c>
      <c r="S2555" t="s">
        <v>83</v>
      </c>
      <c r="T2555">
        <f>IF(TRIM(Table1[[#This Row],[PitStopLaps]])="",0,
LEN(Table1[[#This Row],[PitStopLaps]])-LEN(SUBSTITUTE(Table1[[#This Row],[PitStopLaps]],",",""))+1)</f>
        <v>3</v>
      </c>
      <c r="U2555">
        <f>Table1[[#This Row],[StartPosition]]-Table1[[#This Row],[FinishPosition]]</f>
        <v>0</v>
      </c>
    </row>
    <row r="2556" spans="1:21" x14ac:dyDescent="0.3">
      <c r="A2556">
        <v>2024</v>
      </c>
      <c r="B2556">
        <v>4</v>
      </c>
      <c r="C2556" t="s">
        <v>208</v>
      </c>
      <c r="D2556" t="s">
        <v>73</v>
      </c>
      <c r="E2556" t="s">
        <v>74</v>
      </c>
      <c r="F2556" t="s">
        <v>607</v>
      </c>
      <c r="G2556">
        <v>17</v>
      </c>
      <c r="H2556">
        <v>16</v>
      </c>
      <c r="I2556">
        <v>0</v>
      </c>
      <c r="J2556" t="s">
        <v>34</v>
      </c>
      <c r="K2556" t="s">
        <v>994</v>
      </c>
      <c r="L2556">
        <v>52</v>
      </c>
      <c r="M2556">
        <v>96.641999999999996</v>
      </c>
      <c r="N2556">
        <v>99.824217000000004</v>
      </c>
      <c r="O2556">
        <v>34.847000000000001</v>
      </c>
      <c r="P2556">
        <v>43.043999999999997</v>
      </c>
      <c r="Q2556">
        <v>18.587</v>
      </c>
      <c r="R2556" t="s">
        <v>1203</v>
      </c>
      <c r="S2556" t="s">
        <v>83</v>
      </c>
      <c r="T2556">
        <f>IF(TRIM(Table1[[#This Row],[PitStopLaps]])="",0,
LEN(Table1[[#This Row],[PitStopLaps]])-LEN(SUBSTITUTE(Table1[[#This Row],[PitStopLaps]],",",""))+1)</f>
        <v>3</v>
      </c>
      <c r="U2556">
        <f>Table1[[#This Row],[StartPosition]]-Table1[[#This Row],[FinishPosition]]</f>
        <v>1</v>
      </c>
    </row>
    <row r="2557" spans="1:21" x14ac:dyDescent="0.3">
      <c r="A2557">
        <v>2024</v>
      </c>
      <c r="B2557">
        <v>4</v>
      </c>
      <c r="C2557" t="s">
        <v>208</v>
      </c>
      <c r="D2557" t="s">
        <v>992</v>
      </c>
      <c r="E2557" t="s">
        <v>993</v>
      </c>
      <c r="F2557" t="s">
        <v>60</v>
      </c>
      <c r="G2557">
        <v>19</v>
      </c>
      <c r="H2557">
        <v>17</v>
      </c>
      <c r="I2557">
        <v>0</v>
      </c>
      <c r="J2557" t="s">
        <v>34</v>
      </c>
      <c r="K2557" t="s">
        <v>994</v>
      </c>
      <c r="L2557">
        <v>52</v>
      </c>
      <c r="M2557">
        <v>94.9</v>
      </c>
      <c r="N2557">
        <v>98.727000000000004</v>
      </c>
      <c r="O2557">
        <v>34.223999999999997</v>
      </c>
      <c r="P2557">
        <v>42.201000000000001</v>
      </c>
      <c r="Q2557">
        <v>18.404</v>
      </c>
      <c r="R2557" t="s">
        <v>1204</v>
      </c>
      <c r="S2557" t="s">
        <v>83</v>
      </c>
      <c r="T2557">
        <f>IF(TRIM(Table1[[#This Row],[PitStopLaps]])="",0,
LEN(Table1[[#This Row],[PitStopLaps]])-LEN(SUBSTITUTE(Table1[[#This Row],[PitStopLaps]],",",""))+1)</f>
        <v>4</v>
      </c>
      <c r="U2557">
        <f>Table1[[#This Row],[StartPosition]]-Table1[[#This Row],[FinishPosition]]</f>
        <v>2</v>
      </c>
    </row>
    <row r="2558" spans="1:21" x14ac:dyDescent="0.3">
      <c r="A2558">
        <v>2024</v>
      </c>
      <c r="B2558">
        <v>4</v>
      </c>
      <c r="C2558" t="s">
        <v>208</v>
      </c>
      <c r="D2558" t="s">
        <v>794</v>
      </c>
      <c r="E2558" t="s">
        <v>795</v>
      </c>
      <c r="F2558" t="s">
        <v>1175</v>
      </c>
      <c r="G2558">
        <v>20</v>
      </c>
      <c r="H2558">
        <v>18</v>
      </c>
      <c r="I2558">
        <v>0</v>
      </c>
      <c r="J2558" t="s">
        <v>34</v>
      </c>
      <c r="K2558" t="s">
        <v>179</v>
      </c>
      <c r="L2558">
        <v>12</v>
      </c>
      <c r="M2558">
        <v>97.16</v>
      </c>
      <c r="N2558">
        <v>103.96083299999999</v>
      </c>
      <c r="O2558">
        <v>35.186</v>
      </c>
      <c r="P2558">
        <v>43.256999999999998</v>
      </c>
      <c r="Q2558">
        <v>18.709</v>
      </c>
      <c r="R2558" t="s">
        <v>1205</v>
      </c>
      <c r="S2558" t="s">
        <v>83</v>
      </c>
      <c r="T2558">
        <f>IF(TRIM(Table1[[#This Row],[PitStopLaps]])="",0,
LEN(Table1[[#This Row],[PitStopLaps]])-LEN(SUBSTITUTE(Table1[[#This Row],[PitStopLaps]],",",""))+1)</f>
        <v>4</v>
      </c>
      <c r="U2558">
        <f>Table1[[#This Row],[StartPosition]]-Table1[[#This Row],[FinishPosition]]</f>
        <v>2</v>
      </c>
    </row>
    <row r="2559" spans="1:21" x14ac:dyDescent="0.3">
      <c r="A2559">
        <v>2024</v>
      </c>
      <c r="B2559">
        <v>4</v>
      </c>
      <c r="C2559" t="s">
        <v>208</v>
      </c>
      <c r="D2559" t="s">
        <v>31</v>
      </c>
      <c r="E2559" t="s">
        <v>32</v>
      </c>
      <c r="F2559" t="s">
        <v>1176</v>
      </c>
      <c r="G2559">
        <v>11</v>
      </c>
      <c r="H2559">
        <v>19</v>
      </c>
      <c r="I2559">
        <v>0</v>
      </c>
      <c r="J2559" t="s">
        <v>34</v>
      </c>
      <c r="K2559" t="s">
        <v>179</v>
      </c>
      <c r="L2559">
        <v>1</v>
      </c>
      <c r="S2559" t="s">
        <v>83</v>
      </c>
      <c r="T2559">
        <f>IF(TRIM(Table1[[#This Row],[PitStopLaps]])="",0,
LEN(Table1[[#This Row],[PitStopLaps]])-LEN(SUBSTITUTE(Table1[[#This Row],[PitStopLaps]],",",""))+1)</f>
        <v>0</v>
      </c>
      <c r="U2559">
        <f>Table1[[#This Row],[StartPosition]]-Table1[[#This Row],[FinishPosition]]</f>
        <v>-8</v>
      </c>
    </row>
    <row r="2560" spans="1:21" x14ac:dyDescent="0.3">
      <c r="A2560">
        <v>2024</v>
      </c>
      <c r="B2560">
        <v>4</v>
      </c>
      <c r="C2560" t="s">
        <v>208</v>
      </c>
      <c r="D2560" t="s">
        <v>248</v>
      </c>
      <c r="E2560" t="s">
        <v>249</v>
      </c>
      <c r="F2560" t="s">
        <v>60</v>
      </c>
      <c r="G2560">
        <v>14</v>
      </c>
      <c r="H2560">
        <v>20</v>
      </c>
      <c r="I2560">
        <v>0</v>
      </c>
      <c r="J2560" t="s">
        <v>34</v>
      </c>
      <c r="K2560" t="s">
        <v>179</v>
      </c>
      <c r="L2560">
        <v>1</v>
      </c>
      <c r="S2560" t="s">
        <v>83</v>
      </c>
      <c r="T2560">
        <f>IF(TRIM(Table1[[#This Row],[PitStopLaps]])="",0,
LEN(Table1[[#This Row],[PitStopLaps]])-LEN(SUBSTITUTE(Table1[[#This Row],[PitStopLaps]],",",""))+1)</f>
        <v>0</v>
      </c>
      <c r="U2560">
        <f>Table1[[#This Row],[StartPosition]]-Table1[[#This Row],[FinishPosition]]</f>
        <v>-6</v>
      </c>
    </row>
    <row r="2561" spans="1:21" x14ac:dyDescent="0.3">
      <c r="A2561">
        <v>2024</v>
      </c>
      <c r="B2561">
        <v>5</v>
      </c>
      <c r="C2561" t="s">
        <v>100</v>
      </c>
      <c r="D2561" t="s">
        <v>38</v>
      </c>
      <c r="E2561" t="s">
        <v>39</v>
      </c>
      <c r="F2561" t="s">
        <v>33</v>
      </c>
      <c r="G2561">
        <v>1</v>
      </c>
      <c r="H2561">
        <v>1</v>
      </c>
      <c r="I2561">
        <v>25</v>
      </c>
      <c r="J2561" t="s">
        <v>23</v>
      </c>
      <c r="K2561" t="s">
        <v>24</v>
      </c>
      <c r="L2561">
        <v>56</v>
      </c>
      <c r="M2561">
        <v>98.406000000000006</v>
      </c>
      <c r="N2561">
        <v>99.778744000000003</v>
      </c>
      <c r="O2561">
        <v>26.06</v>
      </c>
      <c r="P2561">
        <v>29.364999999999998</v>
      </c>
      <c r="Q2561">
        <v>42.715000000000003</v>
      </c>
      <c r="R2561" t="s">
        <v>813</v>
      </c>
      <c r="S2561" t="s">
        <v>83</v>
      </c>
      <c r="T2561">
        <f>IF(TRIM(Table1[[#This Row],[PitStopLaps]])="",0,
LEN(Table1[[#This Row],[PitStopLaps]])-LEN(SUBSTITUTE(Table1[[#This Row],[PitStopLaps]],",",""))+1)</f>
        <v>2</v>
      </c>
      <c r="U2561">
        <f>Table1[[#This Row],[StartPosition]]-Table1[[#This Row],[FinishPosition]]</f>
        <v>0</v>
      </c>
    </row>
    <row r="2562" spans="1:21" x14ac:dyDescent="0.3">
      <c r="A2562">
        <v>2024</v>
      </c>
      <c r="B2562">
        <v>5</v>
      </c>
      <c r="C2562" t="s">
        <v>100</v>
      </c>
      <c r="D2562" t="s">
        <v>246</v>
      </c>
      <c r="E2562" t="s">
        <v>247</v>
      </c>
      <c r="F2562" t="s">
        <v>37</v>
      </c>
      <c r="G2562">
        <v>4</v>
      </c>
      <c r="H2562">
        <v>2</v>
      </c>
      <c r="I2562">
        <v>18</v>
      </c>
      <c r="J2562" t="s">
        <v>23</v>
      </c>
      <c r="K2562" t="s">
        <v>24</v>
      </c>
      <c r="L2562">
        <v>56</v>
      </c>
      <c r="M2562">
        <v>98.751000000000005</v>
      </c>
      <c r="N2562">
        <v>100.64609</v>
      </c>
      <c r="O2562">
        <v>26.280999999999999</v>
      </c>
      <c r="P2562">
        <v>29.536000000000001</v>
      </c>
      <c r="Q2562">
        <v>42.795999999999999</v>
      </c>
      <c r="R2562">
        <v>22</v>
      </c>
      <c r="S2562" t="s">
        <v>83</v>
      </c>
      <c r="T2562">
        <f>IF(TRIM(Table1[[#This Row],[PitStopLaps]])="",0,
LEN(Table1[[#This Row],[PitStopLaps]])-LEN(SUBSTITUTE(Table1[[#This Row],[PitStopLaps]],",",""))+1)</f>
        <v>1</v>
      </c>
      <c r="U2562">
        <f>Table1[[#This Row],[StartPosition]]-Table1[[#This Row],[FinishPosition]]</f>
        <v>2</v>
      </c>
    </row>
    <row r="2563" spans="1:21" x14ac:dyDescent="0.3">
      <c r="A2563">
        <v>2024</v>
      </c>
      <c r="B2563">
        <v>5</v>
      </c>
      <c r="C2563" t="s">
        <v>100</v>
      </c>
      <c r="D2563" t="s">
        <v>49</v>
      </c>
      <c r="E2563" t="s">
        <v>50</v>
      </c>
      <c r="F2563" t="s">
        <v>33</v>
      </c>
      <c r="G2563">
        <v>2</v>
      </c>
      <c r="H2563">
        <v>3</v>
      </c>
      <c r="I2563">
        <v>15</v>
      </c>
      <c r="J2563" t="s">
        <v>23</v>
      </c>
      <c r="K2563" t="s">
        <v>24</v>
      </c>
      <c r="L2563">
        <v>56</v>
      </c>
      <c r="M2563">
        <v>99.388000000000005</v>
      </c>
      <c r="N2563">
        <v>100.43847599999999</v>
      </c>
      <c r="O2563">
        <v>26.285</v>
      </c>
      <c r="P2563">
        <v>29.899000000000001</v>
      </c>
      <c r="Q2563">
        <v>43.002000000000002</v>
      </c>
      <c r="R2563" t="s">
        <v>813</v>
      </c>
      <c r="S2563" t="s">
        <v>83</v>
      </c>
      <c r="T2563">
        <f>IF(TRIM(Table1[[#This Row],[PitStopLaps]])="",0,
LEN(Table1[[#This Row],[PitStopLaps]])-LEN(SUBSTITUTE(Table1[[#This Row],[PitStopLaps]],",",""))+1)</f>
        <v>2</v>
      </c>
      <c r="U2563">
        <f>Table1[[#This Row],[StartPosition]]-Table1[[#This Row],[FinishPosition]]</f>
        <v>-1</v>
      </c>
    </row>
    <row r="2564" spans="1:21" x14ac:dyDescent="0.3">
      <c r="A2564">
        <v>2024</v>
      </c>
      <c r="B2564">
        <v>5</v>
      </c>
      <c r="C2564" t="s">
        <v>100</v>
      </c>
      <c r="D2564" t="s">
        <v>54</v>
      </c>
      <c r="E2564" t="s">
        <v>55</v>
      </c>
      <c r="F2564" t="s">
        <v>22</v>
      </c>
      <c r="G2564">
        <v>6</v>
      </c>
      <c r="H2564">
        <v>4</v>
      </c>
      <c r="I2564">
        <v>12</v>
      </c>
      <c r="J2564" t="s">
        <v>34</v>
      </c>
      <c r="K2564" t="s">
        <v>24</v>
      </c>
      <c r="L2564">
        <v>56</v>
      </c>
      <c r="M2564">
        <v>99.384</v>
      </c>
      <c r="N2564">
        <v>100.979159</v>
      </c>
      <c r="O2564">
        <v>26.414999999999999</v>
      </c>
      <c r="P2564">
        <v>29.829000000000001</v>
      </c>
      <c r="Q2564">
        <v>42.993000000000002</v>
      </c>
      <c r="R2564">
        <v>21</v>
      </c>
      <c r="S2564" t="s">
        <v>83</v>
      </c>
      <c r="T2564">
        <f>IF(TRIM(Table1[[#This Row],[PitStopLaps]])="",0,
LEN(Table1[[#This Row],[PitStopLaps]])-LEN(SUBSTITUTE(Table1[[#This Row],[PitStopLaps]],",",""))+1)</f>
        <v>1</v>
      </c>
      <c r="U2564">
        <f>Table1[[#This Row],[StartPosition]]-Table1[[#This Row],[FinishPosition]]</f>
        <v>2</v>
      </c>
    </row>
    <row r="2565" spans="1:21" x14ac:dyDescent="0.3">
      <c r="A2565">
        <v>2024</v>
      </c>
      <c r="B2565">
        <v>5</v>
      </c>
      <c r="C2565" t="s">
        <v>100</v>
      </c>
      <c r="D2565" t="s">
        <v>47</v>
      </c>
      <c r="E2565" t="s">
        <v>48</v>
      </c>
      <c r="F2565" t="s">
        <v>22</v>
      </c>
      <c r="G2565">
        <v>7</v>
      </c>
      <c r="H2565">
        <v>5</v>
      </c>
      <c r="I2565">
        <v>10</v>
      </c>
      <c r="J2565" t="s">
        <v>34</v>
      </c>
      <c r="K2565" t="s">
        <v>24</v>
      </c>
      <c r="L2565">
        <v>56</v>
      </c>
      <c r="M2565">
        <v>99.763999999999996</v>
      </c>
      <c r="N2565">
        <v>101.203</v>
      </c>
      <c r="O2565">
        <v>26.579000000000001</v>
      </c>
      <c r="P2565">
        <v>29.898</v>
      </c>
      <c r="Q2565">
        <v>43.256999999999998</v>
      </c>
      <c r="R2565">
        <v>17</v>
      </c>
      <c r="S2565" t="s">
        <v>83</v>
      </c>
      <c r="T2565">
        <f>IF(TRIM(Table1[[#This Row],[PitStopLaps]])="",0,
LEN(Table1[[#This Row],[PitStopLaps]])-LEN(SUBSTITUTE(Table1[[#This Row],[PitStopLaps]],",",""))+1)</f>
        <v>1</v>
      </c>
      <c r="U2565">
        <f>Table1[[#This Row],[StartPosition]]-Table1[[#This Row],[FinishPosition]]</f>
        <v>2</v>
      </c>
    </row>
    <row r="2566" spans="1:21" x14ac:dyDescent="0.3">
      <c r="A2566">
        <v>2024</v>
      </c>
      <c r="B2566">
        <v>5</v>
      </c>
      <c r="C2566" t="s">
        <v>100</v>
      </c>
      <c r="D2566" t="s">
        <v>252</v>
      </c>
      <c r="E2566" t="s">
        <v>253</v>
      </c>
      <c r="F2566" t="s">
        <v>28</v>
      </c>
      <c r="G2566">
        <v>8</v>
      </c>
      <c r="H2566">
        <v>6</v>
      </c>
      <c r="I2566">
        <v>8</v>
      </c>
      <c r="J2566" t="s">
        <v>34</v>
      </c>
      <c r="K2566" t="s">
        <v>24</v>
      </c>
      <c r="L2566">
        <v>56</v>
      </c>
      <c r="M2566">
        <v>100.11199999999999</v>
      </c>
      <c r="N2566">
        <v>101.189547</v>
      </c>
      <c r="O2566">
        <v>26.699000000000002</v>
      </c>
      <c r="P2566">
        <v>29.963999999999999</v>
      </c>
      <c r="Q2566">
        <v>43.377000000000002</v>
      </c>
      <c r="R2566" t="s">
        <v>1206</v>
      </c>
      <c r="S2566" t="s">
        <v>83</v>
      </c>
      <c r="T2566">
        <f>IF(TRIM(Table1[[#This Row],[PitStopLaps]])="",0,
LEN(Table1[[#This Row],[PitStopLaps]])-LEN(SUBSTITUTE(Table1[[#This Row],[PitStopLaps]],",",""))+1)</f>
        <v>2</v>
      </c>
      <c r="U2566">
        <f>Table1[[#This Row],[StartPosition]]-Table1[[#This Row],[FinishPosition]]</f>
        <v>2</v>
      </c>
    </row>
    <row r="2567" spans="1:21" x14ac:dyDescent="0.3">
      <c r="A2567">
        <v>2024</v>
      </c>
      <c r="B2567">
        <v>5</v>
      </c>
      <c r="C2567" t="s">
        <v>100</v>
      </c>
      <c r="D2567" t="s">
        <v>35</v>
      </c>
      <c r="E2567" t="s">
        <v>36</v>
      </c>
      <c r="F2567" t="s">
        <v>603</v>
      </c>
      <c r="G2567">
        <v>3</v>
      </c>
      <c r="H2567">
        <v>7</v>
      </c>
      <c r="I2567">
        <v>7</v>
      </c>
      <c r="J2567" t="s">
        <v>34</v>
      </c>
      <c r="K2567" t="s">
        <v>24</v>
      </c>
      <c r="L2567">
        <v>56</v>
      </c>
      <c r="M2567">
        <v>97.81</v>
      </c>
      <c r="N2567">
        <v>100.771225</v>
      </c>
      <c r="O2567">
        <v>26.106000000000002</v>
      </c>
      <c r="P2567">
        <v>29.306000000000001</v>
      </c>
      <c r="Q2567">
        <v>42.398000000000003</v>
      </c>
      <c r="R2567" t="s">
        <v>1207</v>
      </c>
      <c r="S2567" t="s">
        <v>83</v>
      </c>
      <c r="T2567">
        <f>IF(TRIM(Table1[[#This Row],[PitStopLaps]])="",0,
LEN(Table1[[#This Row],[PitStopLaps]])-LEN(SUBSTITUTE(Table1[[#This Row],[PitStopLaps]],",",""))+1)</f>
        <v>3</v>
      </c>
      <c r="U2567">
        <f>Table1[[#This Row],[StartPosition]]-Table1[[#This Row],[FinishPosition]]</f>
        <v>-4</v>
      </c>
    </row>
    <row r="2568" spans="1:21" x14ac:dyDescent="0.3">
      <c r="A2568">
        <v>2024</v>
      </c>
      <c r="B2568">
        <v>5</v>
      </c>
      <c r="C2568" t="s">
        <v>100</v>
      </c>
      <c r="D2568" t="s">
        <v>1000</v>
      </c>
      <c r="E2568" t="s">
        <v>1001</v>
      </c>
      <c r="F2568" t="s">
        <v>37</v>
      </c>
      <c r="G2568">
        <v>5</v>
      </c>
      <c r="H2568">
        <v>8</v>
      </c>
      <c r="I2568">
        <v>4</v>
      </c>
      <c r="J2568" t="s">
        <v>34</v>
      </c>
      <c r="K2568" t="s">
        <v>24</v>
      </c>
      <c r="L2568">
        <v>56</v>
      </c>
      <c r="M2568">
        <v>99.739000000000004</v>
      </c>
      <c r="N2568">
        <v>101.639523</v>
      </c>
      <c r="O2568">
        <v>26.748000000000001</v>
      </c>
      <c r="P2568">
        <v>30.158999999999999</v>
      </c>
      <c r="Q2568">
        <v>42.819000000000003</v>
      </c>
      <c r="R2568" t="s">
        <v>1208</v>
      </c>
      <c r="S2568" t="s">
        <v>83</v>
      </c>
      <c r="T2568">
        <f>IF(TRIM(Table1[[#This Row],[PitStopLaps]])="",0,
LEN(Table1[[#This Row],[PitStopLaps]])-LEN(SUBSTITUTE(Table1[[#This Row],[PitStopLaps]],",",""))+1)</f>
        <v>2</v>
      </c>
      <c r="U2568">
        <f>Table1[[#This Row],[StartPosition]]-Table1[[#This Row],[FinishPosition]]</f>
        <v>-3</v>
      </c>
    </row>
    <row r="2569" spans="1:21" x14ac:dyDescent="0.3">
      <c r="A2569">
        <v>2024</v>
      </c>
      <c r="B2569">
        <v>5</v>
      </c>
      <c r="C2569" t="s">
        <v>100</v>
      </c>
      <c r="D2569" t="s">
        <v>26</v>
      </c>
      <c r="E2569" t="s">
        <v>27</v>
      </c>
      <c r="F2569" t="s">
        <v>28</v>
      </c>
      <c r="G2569">
        <v>18</v>
      </c>
      <c r="H2569">
        <v>9</v>
      </c>
      <c r="I2569">
        <v>2</v>
      </c>
      <c r="J2569" t="s">
        <v>34</v>
      </c>
      <c r="K2569" t="s">
        <v>24</v>
      </c>
      <c r="L2569">
        <v>56</v>
      </c>
      <c r="M2569">
        <v>100.83499999999999</v>
      </c>
      <c r="N2569">
        <v>101.888238</v>
      </c>
      <c r="O2569">
        <v>26.614999999999998</v>
      </c>
      <c r="P2569">
        <v>30.260999999999999</v>
      </c>
      <c r="Q2569">
        <v>43.499000000000002</v>
      </c>
      <c r="R2569" t="s">
        <v>1209</v>
      </c>
      <c r="S2569" t="s">
        <v>83</v>
      </c>
      <c r="T2569">
        <f>IF(TRIM(Table1[[#This Row],[PitStopLaps]])="",0,
LEN(Table1[[#This Row],[PitStopLaps]])-LEN(SUBSTITUTE(Table1[[#This Row],[PitStopLaps]],",",""))+1)</f>
        <v>2</v>
      </c>
      <c r="U2569">
        <f>Table1[[#This Row],[StartPosition]]-Table1[[#This Row],[FinishPosition]]</f>
        <v>9</v>
      </c>
    </row>
    <row r="2570" spans="1:21" x14ac:dyDescent="0.3">
      <c r="A2570">
        <v>2024</v>
      </c>
      <c r="B2570">
        <v>5</v>
      </c>
      <c r="C2570" t="s">
        <v>100</v>
      </c>
      <c r="D2570" t="s">
        <v>40</v>
      </c>
      <c r="E2570" t="s">
        <v>41</v>
      </c>
      <c r="F2570" t="s">
        <v>69</v>
      </c>
      <c r="G2570">
        <v>9</v>
      </c>
      <c r="H2570">
        <v>10</v>
      </c>
      <c r="I2570">
        <v>1</v>
      </c>
      <c r="J2570" t="s">
        <v>34</v>
      </c>
      <c r="K2570" t="s">
        <v>24</v>
      </c>
      <c r="L2570">
        <v>56</v>
      </c>
      <c r="M2570">
        <v>100.815</v>
      </c>
      <c r="N2570">
        <v>101.85426099999999</v>
      </c>
      <c r="O2570">
        <v>26.718</v>
      </c>
      <c r="P2570">
        <v>30.449000000000002</v>
      </c>
      <c r="Q2570">
        <v>43.526000000000003</v>
      </c>
      <c r="R2570" t="s">
        <v>1210</v>
      </c>
      <c r="S2570" t="s">
        <v>83</v>
      </c>
      <c r="T2570">
        <f>IF(TRIM(Table1[[#This Row],[PitStopLaps]])="",0,
LEN(Table1[[#This Row],[PitStopLaps]])-LEN(SUBSTITUTE(Table1[[#This Row],[PitStopLaps]],",",""))+1)</f>
        <v>2</v>
      </c>
      <c r="U2570">
        <f>Table1[[#This Row],[StartPosition]]-Table1[[#This Row],[FinishPosition]]</f>
        <v>-1</v>
      </c>
    </row>
    <row r="2571" spans="1:21" x14ac:dyDescent="0.3">
      <c r="A2571">
        <v>2024</v>
      </c>
      <c r="B2571">
        <v>5</v>
      </c>
      <c r="C2571" t="s">
        <v>100</v>
      </c>
      <c r="D2571" t="s">
        <v>52</v>
      </c>
      <c r="E2571" t="s">
        <v>53</v>
      </c>
      <c r="F2571" t="s">
        <v>607</v>
      </c>
      <c r="G2571">
        <v>13</v>
      </c>
      <c r="H2571">
        <v>11</v>
      </c>
      <c r="I2571">
        <v>0</v>
      </c>
      <c r="J2571" t="s">
        <v>34</v>
      </c>
      <c r="K2571" t="s">
        <v>24</v>
      </c>
      <c r="L2571">
        <v>56</v>
      </c>
      <c r="M2571">
        <v>100.937</v>
      </c>
      <c r="N2571">
        <v>101.94035700000001</v>
      </c>
      <c r="O2571">
        <v>26.806000000000001</v>
      </c>
      <c r="P2571">
        <v>30.138999999999999</v>
      </c>
      <c r="Q2571">
        <v>43.779000000000003</v>
      </c>
      <c r="R2571" t="s">
        <v>862</v>
      </c>
      <c r="S2571" t="s">
        <v>83</v>
      </c>
      <c r="T2571">
        <f>IF(TRIM(Table1[[#This Row],[PitStopLaps]])="",0,
LEN(Table1[[#This Row],[PitStopLaps]])-LEN(SUBSTITUTE(Table1[[#This Row],[PitStopLaps]],",",""))+1)</f>
        <v>2</v>
      </c>
      <c r="U2571">
        <f>Table1[[#This Row],[StartPosition]]-Table1[[#This Row],[FinishPosition]]</f>
        <v>2</v>
      </c>
    </row>
    <row r="2572" spans="1:21" x14ac:dyDescent="0.3">
      <c r="A2572">
        <v>2024</v>
      </c>
      <c r="B2572">
        <v>5</v>
      </c>
      <c r="C2572" t="s">
        <v>100</v>
      </c>
      <c r="D2572" t="s">
        <v>248</v>
      </c>
      <c r="E2572" t="s">
        <v>249</v>
      </c>
      <c r="F2572" t="s">
        <v>60</v>
      </c>
      <c r="G2572">
        <v>14</v>
      </c>
      <c r="H2572">
        <v>12</v>
      </c>
      <c r="I2572">
        <v>0</v>
      </c>
      <c r="J2572" t="s">
        <v>34</v>
      </c>
      <c r="K2572" t="s">
        <v>24</v>
      </c>
      <c r="L2572">
        <v>56</v>
      </c>
      <c r="M2572">
        <v>100.79</v>
      </c>
      <c r="N2572">
        <v>102.15371399999999</v>
      </c>
      <c r="O2572">
        <v>26.852</v>
      </c>
      <c r="P2572">
        <v>30.277000000000001</v>
      </c>
      <c r="Q2572">
        <v>43.527000000000001</v>
      </c>
      <c r="R2572" t="s">
        <v>862</v>
      </c>
      <c r="S2572" t="s">
        <v>83</v>
      </c>
      <c r="T2572">
        <f>IF(TRIM(Table1[[#This Row],[PitStopLaps]])="",0,
LEN(Table1[[#This Row],[PitStopLaps]])-LEN(SUBSTITUTE(Table1[[#This Row],[PitStopLaps]],",",""))+1)</f>
        <v>2</v>
      </c>
      <c r="U2572">
        <f>Table1[[#This Row],[StartPosition]]-Table1[[#This Row],[FinishPosition]]</f>
        <v>2</v>
      </c>
    </row>
    <row r="2573" spans="1:21" x14ac:dyDescent="0.3">
      <c r="A2573">
        <v>2024</v>
      </c>
      <c r="B2573">
        <v>5</v>
      </c>
      <c r="C2573" t="s">
        <v>100</v>
      </c>
      <c r="D2573" t="s">
        <v>73</v>
      </c>
      <c r="E2573" t="s">
        <v>74</v>
      </c>
      <c r="F2573" t="s">
        <v>607</v>
      </c>
      <c r="G2573">
        <v>15</v>
      </c>
      <c r="H2573">
        <v>13</v>
      </c>
      <c r="I2573">
        <v>0</v>
      </c>
      <c r="J2573" t="s">
        <v>34</v>
      </c>
      <c r="K2573" t="s">
        <v>24</v>
      </c>
      <c r="L2573">
        <v>56</v>
      </c>
      <c r="M2573">
        <v>99.197999999999993</v>
      </c>
      <c r="N2573">
        <v>101.526425</v>
      </c>
      <c r="O2573">
        <v>26.381</v>
      </c>
      <c r="P2573">
        <v>29.724</v>
      </c>
      <c r="Q2573">
        <v>43.093000000000004</v>
      </c>
      <c r="R2573" t="s">
        <v>1211</v>
      </c>
      <c r="S2573" t="s">
        <v>83</v>
      </c>
      <c r="T2573">
        <f>IF(TRIM(Table1[[#This Row],[PitStopLaps]])="",0,
LEN(Table1[[#This Row],[PitStopLaps]])-LEN(SUBSTITUTE(Table1[[#This Row],[PitStopLaps]],",",""))+1)</f>
        <v>3</v>
      </c>
      <c r="U2573">
        <f>Table1[[#This Row],[StartPosition]]-Table1[[#This Row],[FinishPosition]]</f>
        <v>2</v>
      </c>
    </row>
    <row r="2574" spans="1:21" x14ac:dyDescent="0.3">
      <c r="A2574">
        <v>2024</v>
      </c>
      <c r="B2574">
        <v>5</v>
      </c>
      <c r="C2574" t="s">
        <v>100</v>
      </c>
      <c r="D2574" t="s">
        <v>794</v>
      </c>
      <c r="E2574" t="s">
        <v>795</v>
      </c>
      <c r="F2574" t="s">
        <v>1175</v>
      </c>
      <c r="G2574">
        <v>16</v>
      </c>
      <c r="H2574">
        <v>14</v>
      </c>
      <c r="I2574">
        <v>0</v>
      </c>
      <c r="J2574" t="s">
        <v>34</v>
      </c>
      <c r="K2574" t="s">
        <v>24</v>
      </c>
      <c r="L2574">
        <v>56</v>
      </c>
      <c r="M2574">
        <v>98.632999999999996</v>
      </c>
      <c r="N2574">
        <v>101.7766</v>
      </c>
      <c r="O2574">
        <v>26.215</v>
      </c>
      <c r="P2574">
        <v>29.445</v>
      </c>
      <c r="Q2574">
        <v>42.972999999999999</v>
      </c>
      <c r="R2574" t="s">
        <v>1212</v>
      </c>
      <c r="S2574" t="s">
        <v>83</v>
      </c>
      <c r="T2574">
        <f>IF(TRIM(Table1[[#This Row],[PitStopLaps]])="",0,
LEN(Table1[[#This Row],[PitStopLaps]])-LEN(SUBSTITUTE(Table1[[#This Row],[PitStopLaps]],",",""))+1)</f>
        <v>3</v>
      </c>
      <c r="U2574">
        <f>Table1[[#This Row],[StartPosition]]-Table1[[#This Row],[FinishPosition]]</f>
        <v>2</v>
      </c>
    </row>
    <row r="2575" spans="1:21" x14ac:dyDescent="0.3">
      <c r="A2575">
        <v>2024</v>
      </c>
      <c r="B2575">
        <v>5</v>
      </c>
      <c r="C2575" t="s">
        <v>100</v>
      </c>
      <c r="D2575" t="s">
        <v>58</v>
      </c>
      <c r="E2575" t="s">
        <v>59</v>
      </c>
      <c r="F2575" t="s">
        <v>603</v>
      </c>
      <c r="G2575">
        <v>11</v>
      </c>
      <c r="H2575">
        <v>15</v>
      </c>
      <c r="I2575">
        <v>0</v>
      </c>
      <c r="J2575" t="s">
        <v>34</v>
      </c>
      <c r="K2575" t="s">
        <v>24</v>
      </c>
      <c r="L2575">
        <v>56</v>
      </c>
      <c r="M2575">
        <v>99.444000000000003</v>
      </c>
      <c r="N2575">
        <v>101.364825</v>
      </c>
      <c r="O2575">
        <v>26.428999999999998</v>
      </c>
      <c r="P2575">
        <v>29.661000000000001</v>
      </c>
      <c r="Q2575">
        <v>43.246000000000002</v>
      </c>
      <c r="R2575" t="s">
        <v>1213</v>
      </c>
      <c r="S2575" t="s">
        <v>83</v>
      </c>
      <c r="T2575">
        <f>IF(TRIM(Table1[[#This Row],[PitStopLaps]])="",0,
LEN(Table1[[#This Row],[PitStopLaps]])-LEN(SUBSTITUTE(Table1[[#This Row],[PitStopLaps]],",",""))+1)</f>
        <v>4</v>
      </c>
      <c r="U2575">
        <f>Table1[[#This Row],[StartPosition]]-Table1[[#This Row],[FinishPosition]]</f>
        <v>-4</v>
      </c>
    </row>
    <row r="2576" spans="1:21" x14ac:dyDescent="0.3">
      <c r="A2576">
        <v>2024</v>
      </c>
      <c r="B2576">
        <v>5</v>
      </c>
      <c r="C2576" t="s">
        <v>100</v>
      </c>
      <c r="D2576" t="s">
        <v>71</v>
      </c>
      <c r="E2576" t="s">
        <v>72</v>
      </c>
      <c r="F2576" t="s">
        <v>69</v>
      </c>
      <c r="G2576">
        <v>17</v>
      </c>
      <c r="H2576">
        <v>16</v>
      </c>
      <c r="I2576">
        <v>0</v>
      </c>
      <c r="J2576" t="s">
        <v>34</v>
      </c>
      <c r="K2576" t="s">
        <v>24</v>
      </c>
      <c r="L2576">
        <v>56</v>
      </c>
      <c r="M2576">
        <v>101.077</v>
      </c>
      <c r="N2576">
        <v>102.578738</v>
      </c>
      <c r="O2576">
        <v>26.677</v>
      </c>
      <c r="P2576">
        <v>30.364999999999998</v>
      </c>
      <c r="Q2576">
        <v>43.625</v>
      </c>
      <c r="R2576" t="s">
        <v>1003</v>
      </c>
      <c r="S2576" t="s">
        <v>83</v>
      </c>
      <c r="T2576">
        <f>IF(TRIM(Table1[[#This Row],[PitStopLaps]])="",0,
LEN(Table1[[#This Row],[PitStopLaps]])-LEN(SUBSTITUTE(Table1[[#This Row],[PitStopLaps]],",",""))+1)</f>
        <v>2</v>
      </c>
      <c r="U2576">
        <f>Table1[[#This Row],[StartPosition]]-Table1[[#This Row],[FinishPosition]]</f>
        <v>1</v>
      </c>
    </row>
    <row r="2577" spans="1:21" x14ac:dyDescent="0.3">
      <c r="A2577">
        <v>2024</v>
      </c>
      <c r="B2577">
        <v>5</v>
      </c>
      <c r="C2577" t="s">
        <v>100</v>
      </c>
      <c r="D2577" t="s">
        <v>992</v>
      </c>
      <c r="E2577" t="s">
        <v>993</v>
      </c>
      <c r="F2577" t="s">
        <v>60</v>
      </c>
      <c r="G2577">
        <v>20</v>
      </c>
      <c r="H2577">
        <v>17</v>
      </c>
      <c r="I2577">
        <v>0</v>
      </c>
      <c r="J2577" t="s">
        <v>34</v>
      </c>
      <c r="K2577" t="s">
        <v>24</v>
      </c>
      <c r="L2577">
        <v>56</v>
      </c>
      <c r="M2577">
        <v>101</v>
      </c>
      <c r="N2577">
        <v>102.64097599999999</v>
      </c>
      <c r="O2577">
        <v>26.901</v>
      </c>
      <c r="P2577">
        <v>30.265000000000001</v>
      </c>
      <c r="Q2577">
        <v>43.728999999999999</v>
      </c>
      <c r="R2577" t="s">
        <v>1079</v>
      </c>
      <c r="S2577" t="s">
        <v>83</v>
      </c>
      <c r="T2577">
        <f>IF(TRIM(Table1[[#This Row],[PitStopLaps]])="",0,
LEN(Table1[[#This Row],[PitStopLaps]])-LEN(SUBSTITUTE(Table1[[#This Row],[PitStopLaps]],",",""))+1)</f>
        <v>2</v>
      </c>
      <c r="U2577">
        <f>Table1[[#This Row],[StartPosition]]-Table1[[#This Row],[FinishPosition]]</f>
        <v>3</v>
      </c>
    </row>
    <row r="2578" spans="1:21" x14ac:dyDescent="0.3">
      <c r="A2578">
        <v>2024</v>
      </c>
      <c r="B2578">
        <v>5</v>
      </c>
      <c r="C2578" t="s">
        <v>100</v>
      </c>
      <c r="D2578" t="s">
        <v>31</v>
      </c>
      <c r="E2578" t="s">
        <v>32</v>
      </c>
      <c r="F2578" t="s">
        <v>1176</v>
      </c>
      <c r="G2578">
        <v>12</v>
      </c>
      <c r="H2578">
        <v>18</v>
      </c>
      <c r="I2578">
        <v>0</v>
      </c>
      <c r="J2578" t="s">
        <v>34</v>
      </c>
      <c r="K2578" t="s">
        <v>179</v>
      </c>
      <c r="L2578">
        <v>33</v>
      </c>
      <c r="M2578">
        <v>100.994</v>
      </c>
      <c r="N2578">
        <v>102.90077700000001</v>
      </c>
      <c r="O2578">
        <v>26.681999999999999</v>
      </c>
      <c r="P2578">
        <v>30.486999999999998</v>
      </c>
      <c r="Q2578">
        <v>43.466000000000001</v>
      </c>
      <c r="R2578" t="s">
        <v>526</v>
      </c>
      <c r="S2578" t="s">
        <v>83</v>
      </c>
      <c r="T2578">
        <f>IF(TRIM(Table1[[#This Row],[PitStopLaps]])="",0,
LEN(Table1[[#This Row],[PitStopLaps]])-LEN(SUBSTITUTE(Table1[[#This Row],[PitStopLaps]],",",""))+1)</f>
        <v>2</v>
      </c>
      <c r="U2578">
        <f>Table1[[#This Row],[StartPosition]]-Table1[[#This Row],[FinishPosition]]</f>
        <v>-6</v>
      </c>
    </row>
    <row r="2579" spans="1:21" x14ac:dyDescent="0.3">
      <c r="A2579">
        <v>2024</v>
      </c>
      <c r="B2579">
        <v>5</v>
      </c>
      <c r="C2579" t="s">
        <v>100</v>
      </c>
      <c r="D2579" t="s">
        <v>601</v>
      </c>
      <c r="E2579" t="s">
        <v>602</v>
      </c>
      <c r="F2579" t="s">
        <v>1176</v>
      </c>
      <c r="G2579">
        <v>19</v>
      </c>
      <c r="H2579">
        <v>19</v>
      </c>
      <c r="I2579">
        <v>0</v>
      </c>
      <c r="J2579" t="s">
        <v>34</v>
      </c>
      <c r="K2579" t="s">
        <v>179</v>
      </c>
      <c r="L2579">
        <v>27</v>
      </c>
      <c r="M2579">
        <v>101.593</v>
      </c>
      <c r="N2579">
        <v>102.91647</v>
      </c>
      <c r="O2579">
        <v>27.018999999999998</v>
      </c>
      <c r="P2579">
        <v>30.593</v>
      </c>
      <c r="Q2579">
        <v>43.981000000000002</v>
      </c>
      <c r="R2579" t="s">
        <v>1210</v>
      </c>
      <c r="S2579" t="s">
        <v>83</v>
      </c>
      <c r="T2579">
        <f>IF(TRIM(Table1[[#This Row],[PitStopLaps]])="",0,
LEN(Table1[[#This Row],[PitStopLaps]])-LEN(SUBSTITUTE(Table1[[#This Row],[PitStopLaps]],",",""))+1)</f>
        <v>2</v>
      </c>
      <c r="U2579">
        <f>Table1[[#This Row],[StartPosition]]-Table1[[#This Row],[FinishPosition]]</f>
        <v>0</v>
      </c>
    </row>
    <row r="2580" spans="1:21" x14ac:dyDescent="0.3">
      <c r="A2580">
        <v>2024</v>
      </c>
      <c r="B2580">
        <v>5</v>
      </c>
      <c r="C2580" t="s">
        <v>100</v>
      </c>
      <c r="D2580" t="s">
        <v>43</v>
      </c>
      <c r="E2580" t="s">
        <v>44</v>
      </c>
      <c r="F2580" t="s">
        <v>1175</v>
      </c>
      <c r="G2580">
        <v>10</v>
      </c>
      <c r="H2580">
        <v>20</v>
      </c>
      <c r="I2580">
        <v>0</v>
      </c>
      <c r="J2580" t="s">
        <v>34</v>
      </c>
      <c r="K2580" t="s">
        <v>179</v>
      </c>
      <c r="L2580">
        <v>20</v>
      </c>
      <c r="M2580">
        <v>101.276</v>
      </c>
      <c r="N2580">
        <v>102.586125</v>
      </c>
      <c r="O2580">
        <v>27.03</v>
      </c>
      <c r="P2580">
        <v>30.425999999999998</v>
      </c>
      <c r="Q2580">
        <v>43.82</v>
      </c>
      <c r="R2580">
        <v>9</v>
      </c>
      <c r="S2580" t="s">
        <v>83</v>
      </c>
      <c r="T2580">
        <f>IF(TRIM(Table1[[#This Row],[PitStopLaps]])="",0,
LEN(Table1[[#This Row],[PitStopLaps]])-LEN(SUBSTITUTE(Table1[[#This Row],[PitStopLaps]],",",""))+1)</f>
        <v>1</v>
      </c>
      <c r="U2580">
        <f>Table1[[#This Row],[StartPosition]]-Table1[[#This Row],[FinishPosition]]</f>
        <v>-10</v>
      </c>
    </row>
    <row r="2581" spans="1:21" x14ac:dyDescent="0.3">
      <c r="A2581">
        <v>2024</v>
      </c>
      <c r="B2581">
        <v>6</v>
      </c>
      <c r="C2581" t="s">
        <v>819</v>
      </c>
      <c r="D2581" t="s">
        <v>246</v>
      </c>
      <c r="E2581" t="s">
        <v>247</v>
      </c>
      <c r="F2581" t="s">
        <v>37</v>
      </c>
      <c r="G2581">
        <v>5</v>
      </c>
      <c r="H2581">
        <v>1</v>
      </c>
      <c r="I2581">
        <v>25</v>
      </c>
      <c r="J2581" t="s">
        <v>23</v>
      </c>
      <c r="K2581" t="s">
        <v>24</v>
      </c>
      <c r="L2581">
        <v>57</v>
      </c>
      <c r="M2581">
        <v>90.98</v>
      </c>
      <c r="N2581">
        <v>92.129840000000002</v>
      </c>
      <c r="O2581">
        <v>30.309000000000001</v>
      </c>
      <c r="P2581">
        <v>34.634999999999998</v>
      </c>
      <c r="Q2581">
        <v>25.648</v>
      </c>
      <c r="R2581">
        <v>29</v>
      </c>
      <c r="S2581" t="s">
        <v>83</v>
      </c>
      <c r="T2581">
        <f>IF(TRIM(Table1[[#This Row],[PitStopLaps]])="",0,
LEN(Table1[[#This Row],[PitStopLaps]])-LEN(SUBSTITUTE(Table1[[#This Row],[PitStopLaps]],",",""))+1)</f>
        <v>1</v>
      </c>
      <c r="U2581">
        <f>Table1[[#This Row],[StartPosition]]-Table1[[#This Row],[FinishPosition]]</f>
        <v>4</v>
      </c>
    </row>
    <row r="2582" spans="1:21" x14ac:dyDescent="0.3">
      <c r="A2582">
        <v>2024</v>
      </c>
      <c r="B2582">
        <v>6</v>
      </c>
      <c r="C2582" t="s">
        <v>819</v>
      </c>
      <c r="D2582" t="s">
        <v>38</v>
      </c>
      <c r="E2582" t="s">
        <v>39</v>
      </c>
      <c r="F2582" t="s">
        <v>33</v>
      </c>
      <c r="G2582">
        <v>1</v>
      </c>
      <c r="H2582">
        <v>2</v>
      </c>
      <c r="I2582">
        <v>18</v>
      </c>
      <c r="J2582" t="s">
        <v>23</v>
      </c>
      <c r="K2582" t="s">
        <v>24</v>
      </c>
      <c r="L2582">
        <v>57</v>
      </c>
      <c r="M2582">
        <v>91.260999999999996</v>
      </c>
      <c r="N2582">
        <v>92.197958999999997</v>
      </c>
      <c r="O2582">
        <v>30.530999999999999</v>
      </c>
      <c r="P2582">
        <v>34.728999999999999</v>
      </c>
      <c r="Q2582">
        <v>25.667999999999999</v>
      </c>
      <c r="R2582">
        <v>23</v>
      </c>
      <c r="S2582" t="s">
        <v>83</v>
      </c>
      <c r="T2582">
        <f>IF(TRIM(Table1[[#This Row],[PitStopLaps]])="",0,
LEN(Table1[[#This Row],[PitStopLaps]])-LEN(SUBSTITUTE(Table1[[#This Row],[PitStopLaps]],",",""))+1)</f>
        <v>1</v>
      </c>
      <c r="U2582">
        <f>Table1[[#This Row],[StartPosition]]-Table1[[#This Row],[FinishPosition]]</f>
        <v>-1</v>
      </c>
    </row>
    <row r="2583" spans="1:21" x14ac:dyDescent="0.3">
      <c r="A2583">
        <v>2024</v>
      </c>
      <c r="B2583">
        <v>6</v>
      </c>
      <c r="C2583" t="s">
        <v>819</v>
      </c>
      <c r="D2583" t="s">
        <v>54</v>
      </c>
      <c r="E2583" t="s">
        <v>55</v>
      </c>
      <c r="F2583" t="s">
        <v>22</v>
      </c>
      <c r="G2583">
        <v>2</v>
      </c>
      <c r="H2583">
        <v>3</v>
      </c>
      <c r="I2583">
        <v>15</v>
      </c>
      <c r="J2583" t="s">
        <v>23</v>
      </c>
      <c r="K2583" t="s">
        <v>24</v>
      </c>
      <c r="L2583">
        <v>57</v>
      </c>
      <c r="M2583">
        <v>91.084000000000003</v>
      </c>
      <c r="N2583">
        <v>92.244791000000006</v>
      </c>
      <c r="O2583">
        <v>30.382999999999999</v>
      </c>
      <c r="P2583">
        <v>34.798000000000002</v>
      </c>
      <c r="Q2583">
        <v>25.603999999999999</v>
      </c>
      <c r="R2583">
        <v>19</v>
      </c>
      <c r="S2583" t="s">
        <v>83</v>
      </c>
      <c r="T2583">
        <f>IF(TRIM(Table1[[#This Row],[PitStopLaps]])="",0,
LEN(Table1[[#This Row],[PitStopLaps]])-LEN(SUBSTITUTE(Table1[[#This Row],[PitStopLaps]],",",""))+1)</f>
        <v>1</v>
      </c>
      <c r="U2583">
        <f>Table1[[#This Row],[StartPosition]]-Table1[[#This Row],[FinishPosition]]</f>
        <v>-1</v>
      </c>
    </row>
    <row r="2584" spans="1:21" x14ac:dyDescent="0.3">
      <c r="A2584">
        <v>2024</v>
      </c>
      <c r="B2584">
        <v>6</v>
      </c>
      <c r="C2584" t="s">
        <v>819</v>
      </c>
      <c r="D2584" t="s">
        <v>49</v>
      </c>
      <c r="E2584" t="s">
        <v>50</v>
      </c>
      <c r="F2584" t="s">
        <v>33</v>
      </c>
      <c r="G2584">
        <v>4</v>
      </c>
      <c r="H2584">
        <v>4</v>
      </c>
      <c r="I2584">
        <v>12</v>
      </c>
      <c r="J2584" t="s">
        <v>34</v>
      </c>
      <c r="K2584" t="s">
        <v>24</v>
      </c>
      <c r="L2584">
        <v>57</v>
      </c>
      <c r="M2584">
        <v>90.855000000000004</v>
      </c>
      <c r="N2584">
        <v>92.420978000000005</v>
      </c>
      <c r="O2584">
        <v>30.488</v>
      </c>
      <c r="P2584">
        <v>34.765999999999998</v>
      </c>
      <c r="Q2584">
        <v>25.535</v>
      </c>
      <c r="R2584" t="s">
        <v>1214</v>
      </c>
      <c r="S2584" t="s">
        <v>83</v>
      </c>
      <c r="T2584">
        <f>IF(TRIM(Table1[[#This Row],[PitStopLaps]])="",0,
LEN(Table1[[#This Row],[PitStopLaps]])-LEN(SUBSTITUTE(Table1[[#This Row],[PitStopLaps]],",",""))+1)</f>
        <v>2</v>
      </c>
      <c r="U2584">
        <f>Table1[[#This Row],[StartPosition]]-Table1[[#This Row],[FinishPosition]]</f>
        <v>0</v>
      </c>
    </row>
    <row r="2585" spans="1:21" x14ac:dyDescent="0.3">
      <c r="A2585">
        <v>2024</v>
      </c>
      <c r="B2585">
        <v>6</v>
      </c>
      <c r="C2585" t="s">
        <v>819</v>
      </c>
      <c r="D2585" t="s">
        <v>47</v>
      </c>
      <c r="E2585" t="s">
        <v>48</v>
      </c>
      <c r="F2585" t="s">
        <v>22</v>
      </c>
      <c r="G2585">
        <v>3</v>
      </c>
      <c r="H2585">
        <v>5</v>
      </c>
      <c r="I2585">
        <v>10</v>
      </c>
      <c r="J2585" t="s">
        <v>34</v>
      </c>
      <c r="K2585" t="s">
        <v>24</v>
      </c>
      <c r="L2585">
        <v>57</v>
      </c>
      <c r="M2585">
        <v>90.927999999999997</v>
      </c>
      <c r="N2585">
        <v>92.323652999999993</v>
      </c>
      <c r="O2585">
        <v>30.318000000000001</v>
      </c>
      <c r="P2585">
        <v>34.671999999999997</v>
      </c>
      <c r="Q2585">
        <v>25.524000000000001</v>
      </c>
      <c r="R2585">
        <v>27</v>
      </c>
      <c r="S2585" t="s">
        <v>83</v>
      </c>
      <c r="T2585">
        <f>IF(TRIM(Table1[[#This Row],[PitStopLaps]])="",0,
LEN(Table1[[#This Row],[PitStopLaps]])-LEN(SUBSTITUTE(Table1[[#This Row],[PitStopLaps]],",",""))+1)</f>
        <v>1</v>
      </c>
      <c r="U2585">
        <f>Table1[[#This Row],[StartPosition]]-Table1[[#This Row],[FinishPosition]]</f>
        <v>-2</v>
      </c>
    </row>
    <row r="2586" spans="1:21" x14ac:dyDescent="0.3">
      <c r="A2586">
        <v>2024</v>
      </c>
      <c r="B2586">
        <v>6</v>
      </c>
      <c r="C2586" t="s">
        <v>819</v>
      </c>
      <c r="D2586" t="s">
        <v>26</v>
      </c>
      <c r="E2586" t="s">
        <v>27</v>
      </c>
      <c r="F2586" t="s">
        <v>28</v>
      </c>
      <c r="G2586">
        <v>8</v>
      </c>
      <c r="H2586">
        <v>6</v>
      </c>
      <c r="I2586">
        <v>8</v>
      </c>
      <c r="J2586" t="s">
        <v>34</v>
      </c>
      <c r="K2586" t="s">
        <v>24</v>
      </c>
      <c r="L2586">
        <v>57</v>
      </c>
      <c r="M2586">
        <v>91.233000000000004</v>
      </c>
      <c r="N2586">
        <v>92.744394999999997</v>
      </c>
      <c r="O2586">
        <v>30.51</v>
      </c>
      <c r="P2586">
        <v>34.845999999999997</v>
      </c>
      <c r="Q2586">
        <v>25.52</v>
      </c>
      <c r="R2586">
        <v>26</v>
      </c>
      <c r="S2586" t="s">
        <v>83</v>
      </c>
      <c r="T2586">
        <f>IF(TRIM(Table1[[#This Row],[PitStopLaps]])="",0,
LEN(Table1[[#This Row],[PitStopLaps]])-LEN(SUBSTITUTE(Table1[[#This Row],[PitStopLaps]],",",""))+1)</f>
        <v>1</v>
      </c>
      <c r="U2586">
        <f>Table1[[#This Row],[StartPosition]]-Table1[[#This Row],[FinishPosition]]</f>
        <v>2</v>
      </c>
    </row>
    <row r="2587" spans="1:21" x14ac:dyDescent="0.3">
      <c r="A2587">
        <v>2024</v>
      </c>
      <c r="B2587">
        <v>6</v>
      </c>
      <c r="C2587" t="s">
        <v>819</v>
      </c>
      <c r="D2587" t="s">
        <v>601</v>
      </c>
      <c r="E2587" t="s">
        <v>602</v>
      </c>
      <c r="F2587" t="s">
        <v>1176</v>
      </c>
      <c r="G2587">
        <v>10</v>
      </c>
      <c r="H2587">
        <v>7</v>
      </c>
      <c r="I2587">
        <v>6</v>
      </c>
      <c r="J2587" t="s">
        <v>34</v>
      </c>
      <c r="K2587" t="s">
        <v>24</v>
      </c>
      <c r="L2587">
        <v>57</v>
      </c>
      <c r="M2587">
        <v>91.682000000000002</v>
      </c>
      <c r="N2587">
        <v>93.059427999999997</v>
      </c>
      <c r="O2587">
        <v>30.670999999999999</v>
      </c>
      <c r="P2587">
        <v>34.933999999999997</v>
      </c>
      <c r="Q2587">
        <v>25.797000000000001</v>
      </c>
      <c r="R2587">
        <v>28</v>
      </c>
      <c r="S2587" t="s">
        <v>83</v>
      </c>
      <c r="T2587">
        <f>IF(TRIM(Table1[[#This Row],[PitStopLaps]])="",0,
LEN(Table1[[#This Row],[PitStopLaps]])-LEN(SUBSTITUTE(Table1[[#This Row],[PitStopLaps]],",",""))+1)</f>
        <v>1</v>
      </c>
      <c r="U2587">
        <f>Table1[[#This Row],[StartPosition]]-Table1[[#This Row],[FinishPosition]]</f>
        <v>3</v>
      </c>
    </row>
    <row r="2588" spans="1:21" x14ac:dyDescent="0.3">
      <c r="A2588">
        <v>2024</v>
      </c>
      <c r="B2588">
        <v>6</v>
      </c>
      <c r="C2588" t="s">
        <v>819</v>
      </c>
      <c r="D2588" t="s">
        <v>252</v>
      </c>
      <c r="E2588" t="s">
        <v>253</v>
      </c>
      <c r="F2588" t="s">
        <v>28</v>
      </c>
      <c r="G2588">
        <v>7</v>
      </c>
      <c r="H2588">
        <v>8</v>
      </c>
      <c r="I2588">
        <v>4</v>
      </c>
      <c r="J2588" t="s">
        <v>34</v>
      </c>
      <c r="K2588" t="s">
        <v>24</v>
      </c>
      <c r="L2588">
        <v>57</v>
      </c>
      <c r="M2588">
        <v>91.921000000000006</v>
      </c>
      <c r="N2588">
        <v>93.108999999999995</v>
      </c>
      <c r="O2588">
        <v>30.722999999999999</v>
      </c>
      <c r="P2588">
        <v>35.165999999999997</v>
      </c>
      <c r="Q2588">
        <v>25.696999999999999</v>
      </c>
      <c r="R2588">
        <v>24</v>
      </c>
      <c r="S2588" t="s">
        <v>83</v>
      </c>
      <c r="T2588">
        <f>IF(TRIM(Table1[[#This Row],[PitStopLaps]])="",0,
LEN(Table1[[#This Row],[PitStopLaps]])-LEN(SUBSTITUTE(Table1[[#This Row],[PitStopLaps]],",",""))+1)</f>
        <v>1</v>
      </c>
      <c r="U2588">
        <f>Table1[[#This Row],[StartPosition]]-Table1[[#This Row],[FinishPosition]]</f>
        <v>-1</v>
      </c>
    </row>
    <row r="2589" spans="1:21" x14ac:dyDescent="0.3">
      <c r="A2589">
        <v>2024</v>
      </c>
      <c r="B2589">
        <v>6</v>
      </c>
      <c r="C2589" t="s">
        <v>819</v>
      </c>
      <c r="D2589" t="s">
        <v>35</v>
      </c>
      <c r="E2589" t="s">
        <v>36</v>
      </c>
      <c r="F2589" t="s">
        <v>603</v>
      </c>
      <c r="G2589">
        <v>15</v>
      </c>
      <c r="H2589">
        <v>9</v>
      </c>
      <c r="I2589">
        <v>2</v>
      </c>
      <c r="J2589" t="s">
        <v>34</v>
      </c>
      <c r="K2589" t="s">
        <v>24</v>
      </c>
      <c r="L2589">
        <v>57</v>
      </c>
      <c r="M2589">
        <v>91.727000000000004</v>
      </c>
      <c r="N2589">
        <v>93.371183000000002</v>
      </c>
      <c r="O2589">
        <v>30.652999999999999</v>
      </c>
      <c r="P2589">
        <v>35.198999999999998</v>
      </c>
      <c r="Q2589">
        <v>25.666</v>
      </c>
      <c r="R2589">
        <v>22</v>
      </c>
      <c r="S2589" t="s">
        <v>83</v>
      </c>
      <c r="T2589">
        <f>IF(TRIM(Table1[[#This Row],[PitStopLaps]])="",0,
LEN(Table1[[#This Row],[PitStopLaps]])-LEN(SUBSTITUTE(Table1[[#This Row],[PitStopLaps]],",",""))+1)</f>
        <v>1</v>
      </c>
      <c r="U2589">
        <f>Table1[[#This Row],[StartPosition]]-Table1[[#This Row],[FinishPosition]]</f>
        <v>6</v>
      </c>
    </row>
    <row r="2590" spans="1:21" x14ac:dyDescent="0.3">
      <c r="A2590">
        <v>2024</v>
      </c>
      <c r="B2590">
        <v>6</v>
      </c>
      <c r="C2590" t="s">
        <v>819</v>
      </c>
      <c r="D2590" t="s">
        <v>52</v>
      </c>
      <c r="E2590" t="s">
        <v>53</v>
      </c>
      <c r="F2590" t="s">
        <v>607</v>
      </c>
      <c r="G2590">
        <v>13</v>
      </c>
      <c r="H2590">
        <v>10</v>
      </c>
      <c r="I2590">
        <v>1</v>
      </c>
      <c r="J2590" t="s">
        <v>34</v>
      </c>
      <c r="K2590" t="s">
        <v>24</v>
      </c>
      <c r="L2590">
        <v>57</v>
      </c>
      <c r="M2590">
        <v>92.037000000000006</v>
      </c>
      <c r="N2590">
        <v>93.339408000000006</v>
      </c>
      <c r="O2590">
        <v>30.829000000000001</v>
      </c>
      <c r="P2590">
        <v>35.031999999999996</v>
      </c>
      <c r="Q2590">
        <v>25.663</v>
      </c>
      <c r="R2590">
        <v>22</v>
      </c>
      <c r="S2590" t="s">
        <v>83</v>
      </c>
      <c r="T2590">
        <f>IF(TRIM(Table1[[#This Row],[PitStopLaps]])="",0,
LEN(Table1[[#This Row],[PitStopLaps]])-LEN(SUBSTITUTE(Table1[[#This Row],[PitStopLaps]],",",""))+1)</f>
        <v>1</v>
      </c>
      <c r="U2590">
        <f>Table1[[#This Row],[StartPosition]]-Table1[[#This Row],[FinishPosition]]</f>
        <v>3</v>
      </c>
    </row>
    <row r="2591" spans="1:21" x14ac:dyDescent="0.3">
      <c r="A2591">
        <v>2024</v>
      </c>
      <c r="B2591">
        <v>6</v>
      </c>
      <c r="C2591" t="s">
        <v>819</v>
      </c>
      <c r="D2591" t="s">
        <v>40</v>
      </c>
      <c r="E2591" t="s">
        <v>41</v>
      </c>
      <c r="F2591" t="s">
        <v>69</v>
      </c>
      <c r="G2591">
        <v>9</v>
      </c>
      <c r="H2591">
        <v>11</v>
      </c>
      <c r="I2591">
        <v>0</v>
      </c>
      <c r="J2591" t="s">
        <v>34</v>
      </c>
      <c r="K2591" t="s">
        <v>24</v>
      </c>
      <c r="L2591">
        <v>57</v>
      </c>
      <c r="M2591">
        <v>91.941000000000003</v>
      </c>
      <c r="N2591">
        <v>93.239659000000003</v>
      </c>
      <c r="O2591">
        <v>31.068000000000001</v>
      </c>
      <c r="P2591">
        <v>35.180999999999997</v>
      </c>
      <c r="Q2591">
        <v>25.341000000000001</v>
      </c>
      <c r="R2591" t="s">
        <v>604</v>
      </c>
      <c r="S2591" t="s">
        <v>83</v>
      </c>
      <c r="T2591">
        <f>IF(TRIM(Table1[[#This Row],[PitStopLaps]])="",0,
LEN(Table1[[#This Row],[PitStopLaps]])-LEN(SUBSTITUTE(Table1[[#This Row],[PitStopLaps]],",",""))+1)</f>
        <v>2</v>
      </c>
      <c r="U2591">
        <f>Table1[[#This Row],[StartPosition]]-Table1[[#This Row],[FinishPosition]]</f>
        <v>-2</v>
      </c>
    </row>
    <row r="2592" spans="1:21" x14ac:dyDescent="0.3">
      <c r="A2592">
        <v>2024</v>
      </c>
      <c r="B2592">
        <v>6</v>
      </c>
      <c r="C2592" t="s">
        <v>819</v>
      </c>
      <c r="D2592" t="s">
        <v>73</v>
      </c>
      <c r="E2592" t="s">
        <v>74</v>
      </c>
      <c r="F2592" t="s">
        <v>607</v>
      </c>
      <c r="G2592">
        <v>12</v>
      </c>
      <c r="H2592">
        <v>12</v>
      </c>
      <c r="I2592">
        <v>0</v>
      </c>
      <c r="J2592" t="s">
        <v>34</v>
      </c>
      <c r="K2592" t="s">
        <v>24</v>
      </c>
      <c r="L2592">
        <v>57</v>
      </c>
      <c r="M2592">
        <v>92.055000000000007</v>
      </c>
      <c r="N2592">
        <v>93.328106000000005</v>
      </c>
      <c r="O2592">
        <v>30.856999999999999</v>
      </c>
      <c r="P2592">
        <v>35.220999999999997</v>
      </c>
      <c r="Q2592">
        <v>25.811</v>
      </c>
      <c r="R2592">
        <v>12</v>
      </c>
      <c r="S2592" t="s">
        <v>83</v>
      </c>
      <c r="T2592">
        <f>IF(TRIM(Table1[[#This Row],[PitStopLaps]])="",0,
LEN(Table1[[#This Row],[PitStopLaps]])-LEN(SUBSTITUTE(Table1[[#This Row],[PitStopLaps]],",",""))+1)</f>
        <v>1</v>
      </c>
      <c r="U2592">
        <f>Table1[[#This Row],[StartPosition]]-Table1[[#This Row],[FinishPosition]]</f>
        <v>0</v>
      </c>
    </row>
    <row r="2593" spans="1:21" x14ac:dyDescent="0.3">
      <c r="A2593">
        <v>2024</v>
      </c>
      <c r="B2593">
        <v>6</v>
      </c>
      <c r="C2593" t="s">
        <v>819</v>
      </c>
      <c r="D2593" t="s">
        <v>1000</v>
      </c>
      <c r="E2593" t="s">
        <v>1001</v>
      </c>
      <c r="F2593" t="s">
        <v>37</v>
      </c>
      <c r="G2593">
        <v>6</v>
      </c>
      <c r="H2593">
        <v>13</v>
      </c>
      <c r="I2593">
        <v>0</v>
      </c>
      <c r="J2593" t="s">
        <v>34</v>
      </c>
      <c r="K2593" t="s">
        <v>24</v>
      </c>
      <c r="L2593">
        <v>57</v>
      </c>
      <c r="M2593">
        <v>90.634</v>
      </c>
      <c r="N2593">
        <v>92.471594999999994</v>
      </c>
      <c r="O2593">
        <v>30.353999999999999</v>
      </c>
      <c r="P2593">
        <v>34.61</v>
      </c>
      <c r="Q2593">
        <v>25.411000000000001</v>
      </c>
      <c r="R2593" t="s">
        <v>1215</v>
      </c>
      <c r="S2593" t="s">
        <v>83</v>
      </c>
      <c r="T2593">
        <f>IF(TRIM(Table1[[#This Row],[PitStopLaps]])="",0,
LEN(Table1[[#This Row],[PitStopLaps]])-LEN(SUBSTITUTE(Table1[[#This Row],[PitStopLaps]],",",""))+1)</f>
        <v>2</v>
      </c>
      <c r="U2593">
        <f>Table1[[#This Row],[StartPosition]]-Table1[[#This Row],[FinishPosition]]</f>
        <v>-7</v>
      </c>
    </row>
    <row r="2594" spans="1:21" x14ac:dyDescent="0.3">
      <c r="A2594">
        <v>2024</v>
      </c>
      <c r="B2594">
        <v>6</v>
      </c>
      <c r="C2594" t="s">
        <v>819</v>
      </c>
      <c r="D2594" t="s">
        <v>794</v>
      </c>
      <c r="E2594" t="s">
        <v>795</v>
      </c>
      <c r="F2594" t="s">
        <v>1175</v>
      </c>
      <c r="G2594">
        <v>19</v>
      </c>
      <c r="H2594">
        <v>14</v>
      </c>
      <c r="I2594">
        <v>0</v>
      </c>
      <c r="J2594" t="s">
        <v>34</v>
      </c>
      <c r="K2594" t="s">
        <v>24</v>
      </c>
      <c r="L2594">
        <v>57</v>
      </c>
      <c r="M2594">
        <v>91.991</v>
      </c>
      <c r="N2594">
        <v>93.605774999999994</v>
      </c>
      <c r="O2594">
        <v>30.989000000000001</v>
      </c>
      <c r="P2594">
        <v>35.21</v>
      </c>
      <c r="Q2594">
        <v>25.635999999999999</v>
      </c>
      <c r="R2594">
        <v>28</v>
      </c>
      <c r="S2594" t="s">
        <v>83</v>
      </c>
      <c r="T2594">
        <f>IF(TRIM(Table1[[#This Row],[PitStopLaps]])="",0,
LEN(Table1[[#This Row],[PitStopLaps]])-LEN(SUBSTITUTE(Table1[[#This Row],[PitStopLaps]],",",""))+1)</f>
        <v>1</v>
      </c>
      <c r="U2594">
        <f>Table1[[#This Row],[StartPosition]]-Table1[[#This Row],[FinishPosition]]</f>
        <v>5</v>
      </c>
    </row>
    <row r="2595" spans="1:21" x14ac:dyDescent="0.3">
      <c r="A2595">
        <v>2024</v>
      </c>
      <c r="B2595">
        <v>6</v>
      </c>
      <c r="C2595" t="s">
        <v>819</v>
      </c>
      <c r="D2595" t="s">
        <v>31</v>
      </c>
      <c r="E2595" t="s">
        <v>32</v>
      </c>
      <c r="F2595" t="s">
        <v>1176</v>
      </c>
      <c r="G2595">
        <v>20</v>
      </c>
      <c r="H2595">
        <v>15</v>
      </c>
      <c r="I2595">
        <v>0</v>
      </c>
      <c r="J2595" t="s">
        <v>34</v>
      </c>
      <c r="K2595" t="s">
        <v>24</v>
      </c>
      <c r="L2595">
        <v>57</v>
      </c>
      <c r="M2595">
        <v>92.122</v>
      </c>
      <c r="N2595">
        <v>93.676835999999994</v>
      </c>
      <c r="O2595">
        <v>31.08</v>
      </c>
      <c r="P2595">
        <v>34.984999999999999</v>
      </c>
      <c r="Q2595">
        <v>25.632999999999999</v>
      </c>
      <c r="R2595">
        <v>28</v>
      </c>
      <c r="S2595" t="s">
        <v>83</v>
      </c>
      <c r="T2595">
        <f>IF(TRIM(Table1[[#This Row],[PitStopLaps]])="",0,
LEN(Table1[[#This Row],[PitStopLaps]])-LEN(SUBSTITUTE(Table1[[#This Row],[PitStopLaps]],",",""))+1)</f>
        <v>1</v>
      </c>
      <c r="U2595">
        <f>Table1[[#This Row],[StartPosition]]-Table1[[#This Row],[FinishPosition]]</f>
        <v>5</v>
      </c>
    </row>
    <row r="2596" spans="1:21" x14ac:dyDescent="0.3">
      <c r="A2596">
        <v>2024</v>
      </c>
      <c r="B2596">
        <v>6</v>
      </c>
      <c r="C2596" t="s">
        <v>819</v>
      </c>
      <c r="D2596" t="s">
        <v>43</v>
      </c>
      <c r="E2596" t="s">
        <v>44</v>
      </c>
      <c r="F2596" t="s">
        <v>1175</v>
      </c>
      <c r="G2596">
        <v>16</v>
      </c>
      <c r="H2596">
        <v>16</v>
      </c>
      <c r="I2596">
        <v>0</v>
      </c>
      <c r="J2596" t="s">
        <v>34</v>
      </c>
      <c r="K2596" t="s">
        <v>24</v>
      </c>
      <c r="L2596">
        <v>57</v>
      </c>
      <c r="M2596">
        <v>92.097999999999999</v>
      </c>
      <c r="N2596">
        <v>93.465126999999995</v>
      </c>
      <c r="O2596">
        <v>31.158000000000001</v>
      </c>
      <c r="P2596">
        <v>35.176000000000002</v>
      </c>
      <c r="Q2596">
        <v>25.597000000000001</v>
      </c>
      <c r="R2596" t="s">
        <v>727</v>
      </c>
      <c r="S2596" t="s">
        <v>83</v>
      </c>
      <c r="T2596">
        <f>IF(TRIM(Table1[[#This Row],[PitStopLaps]])="",0,
LEN(Table1[[#This Row],[PitStopLaps]])-LEN(SUBSTITUTE(Table1[[#This Row],[PitStopLaps]],",",""))+1)</f>
        <v>2</v>
      </c>
      <c r="U2596">
        <f>Table1[[#This Row],[StartPosition]]-Table1[[#This Row],[FinishPosition]]</f>
        <v>0</v>
      </c>
    </row>
    <row r="2597" spans="1:21" x14ac:dyDescent="0.3">
      <c r="A2597">
        <v>2024</v>
      </c>
      <c r="B2597">
        <v>6</v>
      </c>
      <c r="C2597" t="s">
        <v>819</v>
      </c>
      <c r="D2597" t="s">
        <v>58</v>
      </c>
      <c r="E2597" t="s">
        <v>59</v>
      </c>
      <c r="F2597" t="s">
        <v>603</v>
      </c>
      <c r="G2597">
        <v>11</v>
      </c>
      <c r="H2597">
        <v>17</v>
      </c>
      <c r="I2597">
        <v>0</v>
      </c>
      <c r="J2597" t="s">
        <v>34</v>
      </c>
      <c r="K2597" t="s">
        <v>24</v>
      </c>
      <c r="L2597">
        <v>57</v>
      </c>
      <c r="M2597">
        <v>91.587999999999994</v>
      </c>
      <c r="N2597">
        <v>93.254892999999996</v>
      </c>
      <c r="O2597">
        <v>30.866</v>
      </c>
      <c r="P2597">
        <v>35.082000000000001</v>
      </c>
      <c r="Q2597">
        <v>25.437999999999999</v>
      </c>
      <c r="R2597" t="s">
        <v>1216</v>
      </c>
      <c r="S2597" t="s">
        <v>83</v>
      </c>
      <c r="T2597">
        <f>IF(TRIM(Table1[[#This Row],[PitStopLaps]])="",0,
LEN(Table1[[#This Row],[PitStopLaps]])-LEN(SUBSTITUTE(Table1[[#This Row],[PitStopLaps]],",",""))+1)</f>
        <v>2</v>
      </c>
      <c r="U2597">
        <f>Table1[[#This Row],[StartPosition]]-Table1[[#This Row],[FinishPosition]]</f>
        <v>-6</v>
      </c>
    </row>
    <row r="2598" spans="1:21" x14ac:dyDescent="0.3">
      <c r="A2598">
        <v>2024</v>
      </c>
      <c r="B2598">
        <v>6</v>
      </c>
      <c r="C2598" t="s">
        <v>819</v>
      </c>
      <c r="D2598" t="s">
        <v>248</v>
      </c>
      <c r="E2598" t="s">
        <v>249</v>
      </c>
      <c r="F2598" t="s">
        <v>60</v>
      </c>
      <c r="G2598">
        <v>14</v>
      </c>
      <c r="H2598">
        <v>18</v>
      </c>
      <c r="I2598">
        <v>0</v>
      </c>
      <c r="J2598" t="s">
        <v>34</v>
      </c>
      <c r="K2598" t="s">
        <v>24</v>
      </c>
      <c r="L2598">
        <v>57</v>
      </c>
      <c r="M2598">
        <v>90.849000000000004</v>
      </c>
      <c r="N2598">
        <v>93.438687999999999</v>
      </c>
      <c r="O2598">
        <v>30.981000000000002</v>
      </c>
      <c r="P2598">
        <v>34.424999999999997</v>
      </c>
      <c r="Q2598">
        <v>25.393999999999998</v>
      </c>
      <c r="R2598" t="s">
        <v>1217</v>
      </c>
      <c r="S2598" t="s">
        <v>83</v>
      </c>
      <c r="T2598">
        <f>IF(TRIM(Table1[[#This Row],[PitStopLaps]])="",0,
LEN(Table1[[#This Row],[PitStopLaps]])-LEN(SUBSTITUTE(Table1[[#This Row],[PitStopLaps]],",",""))+1)</f>
        <v>2</v>
      </c>
      <c r="U2598">
        <f>Table1[[#This Row],[StartPosition]]-Table1[[#This Row],[FinishPosition]]</f>
        <v>-4</v>
      </c>
    </row>
    <row r="2599" spans="1:21" x14ac:dyDescent="0.3">
      <c r="A2599">
        <v>2024</v>
      </c>
      <c r="B2599">
        <v>6</v>
      </c>
      <c r="C2599" t="s">
        <v>819</v>
      </c>
      <c r="D2599" t="s">
        <v>71</v>
      </c>
      <c r="E2599" t="s">
        <v>72</v>
      </c>
      <c r="F2599" t="s">
        <v>69</v>
      </c>
      <c r="G2599">
        <v>18</v>
      </c>
      <c r="H2599">
        <v>19</v>
      </c>
      <c r="I2599">
        <v>0</v>
      </c>
      <c r="J2599" t="s">
        <v>34</v>
      </c>
      <c r="K2599" t="s">
        <v>24</v>
      </c>
      <c r="L2599">
        <v>57</v>
      </c>
      <c r="M2599">
        <v>91.774000000000001</v>
      </c>
      <c r="N2599">
        <v>93.393265</v>
      </c>
      <c r="O2599">
        <v>30.917000000000002</v>
      </c>
      <c r="P2599">
        <v>34.960999999999999</v>
      </c>
      <c r="Q2599">
        <v>25.527000000000001</v>
      </c>
      <c r="R2599" t="s">
        <v>1218</v>
      </c>
      <c r="S2599" t="s">
        <v>83</v>
      </c>
      <c r="T2599">
        <f>IF(TRIM(Table1[[#This Row],[PitStopLaps]])="",0,
LEN(Table1[[#This Row],[PitStopLaps]])-LEN(SUBSTITUTE(Table1[[#This Row],[PitStopLaps]],",",""))+1)</f>
        <v>3</v>
      </c>
      <c r="U2599">
        <f>Table1[[#This Row],[StartPosition]]-Table1[[#This Row],[FinishPosition]]</f>
        <v>-1</v>
      </c>
    </row>
    <row r="2600" spans="1:21" x14ac:dyDescent="0.3">
      <c r="A2600">
        <v>2024</v>
      </c>
      <c r="B2600">
        <v>6</v>
      </c>
      <c r="C2600" t="s">
        <v>819</v>
      </c>
      <c r="D2600" t="s">
        <v>992</v>
      </c>
      <c r="E2600" t="s">
        <v>993</v>
      </c>
      <c r="F2600" t="s">
        <v>60</v>
      </c>
      <c r="G2600">
        <v>17</v>
      </c>
      <c r="H2600">
        <v>20</v>
      </c>
      <c r="I2600">
        <v>0</v>
      </c>
      <c r="J2600" t="s">
        <v>34</v>
      </c>
      <c r="K2600" t="s">
        <v>179</v>
      </c>
      <c r="L2600">
        <v>28</v>
      </c>
      <c r="M2600">
        <v>93.451999999999998</v>
      </c>
      <c r="N2600">
        <v>94.053363000000004</v>
      </c>
      <c r="O2600">
        <v>31.792000000000002</v>
      </c>
      <c r="P2600">
        <v>35.381</v>
      </c>
      <c r="Q2600">
        <v>25.762</v>
      </c>
      <c r="R2600">
        <v>11</v>
      </c>
      <c r="S2600" t="s">
        <v>83</v>
      </c>
      <c r="T2600">
        <f>IF(TRIM(Table1[[#This Row],[PitStopLaps]])="",0,
LEN(Table1[[#This Row],[PitStopLaps]])-LEN(SUBSTITUTE(Table1[[#This Row],[PitStopLaps]],",",""))+1)</f>
        <v>1</v>
      </c>
      <c r="U2600">
        <f>Table1[[#This Row],[StartPosition]]-Table1[[#This Row],[FinishPosition]]</f>
        <v>-3</v>
      </c>
    </row>
    <row r="2601" spans="1:21" x14ac:dyDescent="0.3">
      <c r="A2601">
        <v>2024</v>
      </c>
      <c r="B2601">
        <v>7</v>
      </c>
      <c r="C2601" t="s">
        <v>535</v>
      </c>
      <c r="D2601" t="s">
        <v>38</v>
      </c>
      <c r="E2601" t="s">
        <v>39</v>
      </c>
      <c r="F2601" t="s">
        <v>33</v>
      </c>
      <c r="G2601">
        <v>1</v>
      </c>
      <c r="H2601">
        <v>1</v>
      </c>
      <c r="I2601">
        <v>25</v>
      </c>
      <c r="J2601" t="s">
        <v>23</v>
      </c>
      <c r="K2601" t="s">
        <v>24</v>
      </c>
      <c r="L2601">
        <v>63</v>
      </c>
      <c r="M2601">
        <v>80.366</v>
      </c>
      <c r="N2601">
        <v>80.875950000000003</v>
      </c>
      <c r="O2601">
        <v>25.300999999999998</v>
      </c>
      <c r="P2601">
        <v>27.898</v>
      </c>
      <c r="Q2601">
        <v>26.814</v>
      </c>
      <c r="R2601">
        <v>24</v>
      </c>
      <c r="S2601" t="s">
        <v>83</v>
      </c>
      <c r="T2601">
        <f>IF(TRIM(Table1[[#This Row],[PitStopLaps]])="",0,
LEN(Table1[[#This Row],[PitStopLaps]])-LEN(SUBSTITUTE(Table1[[#This Row],[PitStopLaps]],",",""))+1)</f>
        <v>1</v>
      </c>
      <c r="U2601">
        <f>Table1[[#This Row],[StartPosition]]-Table1[[#This Row],[FinishPosition]]</f>
        <v>0</v>
      </c>
    </row>
    <row r="2602" spans="1:21" x14ac:dyDescent="0.3">
      <c r="A2602">
        <v>2024</v>
      </c>
      <c r="B2602">
        <v>7</v>
      </c>
      <c r="C2602" t="s">
        <v>535</v>
      </c>
      <c r="D2602" t="s">
        <v>246</v>
      </c>
      <c r="E2602" t="s">
        <v>247</v>
      </c>
      <c r="F2602" t="s">
        <v>37</v>
      </c>
      <c r="G2602">
        <v>2</v>
      </c>
      <c r="H2602">
        <v>2</v>
      </c>
      <c r="I2602">
        <v>18</v>
      </c>
      <c r="J2602" t="s">
        <v>23</v>
      </c>
      <c r="K2602" t="s">
        <v>24</v>
      </c>
      <c r="L2602">
        <v>63</v>
      </c>
      <c r="M2602">
        <v>79.994</v>
      </c>
      <c r="N2602">
        <v>80.856882999999996</v>
      </c>
      <c r="O2602">
        <v>25.07</v>
      </c>
      <c r="P2602">
        <v>27.882000000000001</v>
      </c>
      <c r="Q2602">
        <v>26.809000000000001</v>
      </c>
      <c r="R2602">
        <v>22</v>
      </c>
      <c r="S2602" t="s">
        <v>83</v>
      </c>
      <c r="T2602">
        <f>IF(TRIM(Table1[[#This Row],[PitStopLaps]])="",0,
LEN(Table1[[#This Row],[PitStopLaps]])-LEN(SUBSTITUTE(Table1[[#This Row],[PitStopLaps]],",",""))+1)</f>
        <v>1</v>
      </c>
      <c r="U2602">
        <f>Table1[[#This Row],[StartPosition]]-Table1[[#This Row],[FinishPosition]]</f>
        <v>0</v>
      </c>
    </row>
    <row r="2603" spans="1:21" x14ac:dyDescent="0.3">
      <c r="A2603">
        <v>2024</v>
      </c>
      <c r="B2603">
        <v>7</v>
      </c>
      <c r="C2603" t="s">
        <v>535</v>
      </c>
      <c r="D2603" t="s">
        <v>54</v>
      </c>
      <c r="E2603" t="s">
        <v>55</v>
      </c>
      <c r="F2603" t="s">
        <v>22</v>
      </c>
      <c r="G2603">
        <v>3</v>
      </c>
      <c r="H2603">
        <v>3</v>
      </c>
      <c r="I2603">
        <v>15</v>
      </c>
      <c r="J2603" t="s">
        <v>23</v>
      </c>
      <c r="K2603" t="s">
        <v>24</v>
      </c>
      <c r="L2603">
        <v>63</v>
      </c>
      <c r="M2603">
        <v>79.935000000000002</v>
      </c>
      <c r="N2603">
        <v>80.959316000000001</v>
      </c>
      <c r="O2603">
        <v>25.111999999999998</v>
      </c>
      <c r="P2603">
        <v>27.79</v>
      </c>
      <c r="Q2603">
        <v>26.805</v>
      </c>
      <c r="R2603">
        <v>25</v>
      </c>
      <c r="S2603" t="s">
        <v>83</v>
      </c>
      <c r="T2603">
        <f>IF(TRIM(Table1[[#This Row],[PitStopLaps]])="",0,
LEN(Table1[[#This Row],[PitStopLaps]])-LEN(SUBSTITUTE(Table1[[#This Row],[PitStopLaps]],",",""))+1)</f>
        <v>1</v>
      </c>
      <c r="U2603">
        <f>Table1[[#This Row],[StartPosition]]-Table1[[#This Row],[FinishPosition]]</f>
        <v>0</v>
      </c>
    </row>
    <row r="2604" spans="1:21" x14ac:dyDescent="0.3">
      <c r="A2604">
        <v>2024</v>
      </c>
      <c r="B2604">
        <v>7</v>
      </c>
      <c r="C2604" t="s">
        <v>535</v>
      </c>
      <c r="D2604" t="s">
        <v>1000</v>
      </c>
      <c r="E2604" t="s">
        <v>1001</v>
      </c>
      <c r="F2604" t="s">
        <v>37</v>
      </c>
      <c r="G2604">
        <v>5</v>
      </c>
      <c r="H2604">
        <v>4</v>
      </c>
      <c r="I2604">
        <v>12</v>
      </c>
      <c r="J2604" t="s">
        <v>34</v>
      </c>
      <c r="K2604" t="s">
        <v>24</v>
      </c>
      <c r="L2604">
        <v>63</v>
      </c>
      <c r="M2604">
        <v>79.906999999999996</v>
      </c>
      <c r="N2604">
        <v>81.069565999999995</v>
      </c>
      <c r="O2604">
        <v>24.925999999999998</v>
      </c>
      <c r="P2604">
        <v>28.003</v>
      </c>
      <c r="Q2604">
        <v>26.885000000000002</v>
      </c>
      <c r="R2604">
        <v>23</v>
      </c>
      <c r="S2604" t="s">
        <v>83</v>
      </c>
      <c r="T2604">
        <f>IF(TRIM(Table1[[#This Row],[PitStopLaps]])="",0,
LEN(Table1[[#This Row],[PitStopLaps]])-LEN(SUBSTITUTE(Table1[[#This Row],[PitStopLaps]],",",""))+1)</f>
        <v>1</v>
      </c>
      <c r="U2604">
        <f>Table1[[#This Row],[StartPosition]]-Table1[[#This Row],[FinishPosition]]</f>
        <v>1</v>
      </c>
    </row>
    <row r="2605" spans="1:21" x14ac:dyDescent="0.3">
      <c r="A2605">
        <v>2024</v>
      </c>
      <c r="B2605">
        <v>7</v>
      </c>
      <c r="C2605" t="s">
        <v>535</v>
      </c>
      <c r="D2605" t="s">
        <v>47</v>
      </c>
      <c r="E2605" t="s">
        <v>48</v>
      </c>
      <c r="F2605" t="s">
        <v>22</v>
      </c>
      <c r="G2605">
        <v>4</v>
      </c>
      <c r="H2605">
        <v>5</v>
      </c>
      <c r="I2605">
        <v>10</v>
      </c>
      <c r="J2605" t="s">
        <v>34</v>
      </c>
      <c r="K2605" t="s">
        <v>24</v>
      </c>
      <c r="L2605">
        <v>63</v>
      </c>
      <c r="M2605">
        <v>80.22</v>
      </c>
      <c r="N2605">
        <v>81.199166000000005</v>
      </c>
      <c r="O2605">
        <v>25.408999999999999</v>
      </c>
      <c r="P2605">
        <v>27.998000000000001</v>
      </c>
      <c r="Q2605">
        <v>26.68</v>
      </c>
      <c r="R2605">
        <v>27</v>
      </c>
      <c r="S2605" t="s">
        <v>83</v>
      </c>
      <c r="T2605">
        <f>IF(TRIM(Table1[[#This Row],[PitStopLaps]])="",0,
LEN(Table1[[#This Row],[PitStopLaps]])-LEN(SUBSTITUTE(Table1[[#This Row],[PitStopLaps]],",",""))+1)</f>
        <v>1</v>
      </c>
      <c r="U2605">
        <f>Table1[[#This Row],[StartPosition]]-Table1[[#This Row],[FinishPosition]]</f>
        <v>-1</v>
      </c>
    </row>
    <row r="2606" spans="1:21" x14ac:dyDescent="0.3">
      <c r="A2606">
        <v>2024</v>
      </c>
      <c r="B2606">
        <v>7</v>
      </c>
      <c r="C2606" t="s">
        <v>535</v>
      </c>
      <c r="D2606" t="s">
        <v>26</v>
      </c>
      <c r="E2606" t="s">
        <v>27</v>
      </c>
      <c r="F2606" t="s">
        <v>28</v>
      </c>
      <c r="G2606">
        <v>8</v>
      </c>
      <c r="H2606">
        <v>6</v>
      </c>
      <c r="I2606">
        <v>8</v>
      </c>
      <c r="J2606" t="s">
        <v>34</v>
      </c>
      <c r="K2606" t="s">
        <v>24</v>
      </c>
      <c r="L2606">
        <v>63</v>
      </c>
      <c r="M2606">
        <v>80.331000000000003</v>
      </c>
      <c r="N2606">
        <v>81.393732999999997</v>
      </c>
      <c r="O2606">
        <v>25.190999999999999</v>
      </c>
      <c r="P2606">
        <v>27.960999999999999</v>
      </c>
      <c r="Q2606">
        <v>26.849</v>
      </c>
      <c r="R2606">
        <v>27</v>
      </c>
      <c r="S2606" t="s">
        <v>83</v>
      </c>
      <c r="T2606">
        <f>IF(TRIM(Table1[[#This Row],[PitStopLaps]])="",0,
LEN(Table1[[#This Row],[PitStopLaps]])-LEN(SUBSTITUTE(Table1[[#This Row],[PitStopLaps]],",",""))+1)</f>
        <v>1</v>
      </c>
      <c r="U2606">
        <f>Table1[[#This Row],[StartPosition]]-Table1[[#This Row],[FinishPosition]]</f>
        <v>2</v>
      </c>
    </row>
    <row r="2607" spans="1:21" x14ac:dyDescent="0.3">
      <c r="A2607">
        <v>2024</v>
      </c>
      <c r="B2607">
        <v>7</v>
      </c>
      <c r="C2607" t="s">
        <v>535</v>
      </c>
      <c r="D2607" t="s">
        <v>252</v>
      </c>
      <c r="E2607" t="s">
        <v>253</v>
      </c>
      <c r="F2607" t="s">
        <v>28</v>
      </c>
      <c r="G2607">
        <v>6</v>
      </c>
      <c r="H2607">
        <v>7</v>
      </c>
      <c r="I2607">
        <v>7</v>
      </c>
      <c r="J2607" t="s">
        <v>34</v>
      </c>
      <c r="K2607" t="s">
        <v>24</v>
      </c>
      <c r="L2607">
        <v>63</v>
      </c>
      <c r="M2607">
        <v>78.588999999999999</v>
      </c>
      <c r="N2607">
        <v>81.120740999999995</v>
      </c>
      <c r="O2607">
        <v>25.137</v>
      </c>
      <c r="P2607">
        <v>27.091999999999999</v>
      </c>
      <c r="Q2607">
        <v>26.36</v>
      </c>
      <c r="R2607" t="s">
        <v>780</v>
      </c>
      <c r="S2607" t="s">
        <v>83</v>
      </c>
      <c r="T2607">
        <f>IF(TRIM(Table1[[#This Row],[PitStopLaps]])="",0,
LEN(Table1[[#This Row],[PitStopLaps]])-LEN(SUBSTITUTE(Table1[[#This Row],[PitStopLaps]],",",""))+1)</f>
        <v>2</v>
      </c>
      <c r="U2607">
        <f>Table1[[#This Row],[StartPosition]]-Table1[[#This Row],[FinishPosition]]</f>
        <v>-1</v>
      </c>
    </row>
    <row r="2608" spans="1:21" x14ac:dyDescent="0.3">
      <c r="A2608">
        <v>2024</v>
      </c>
      <c r="B2608">
        <v>7</v>
      </c>
      <c r="C2608" t="s">
        <v>535</v>
      </c>
      <c r="D2608" t="s">
        <v>49</v>
      </c>
      <c r="E2608" t="s">
        <v>50</v>
      </c>
      <c r="F2608" t="s">
        <v>33</v>
      </c>
      <c r="G2608">
        <v>11</v>
      </c>
      <c r="H2608">
        <v>8</v>
      </c>
      <c r="I2608">
        <v>4</v>
      </c>
      <c r="J2608" t="s">
        <v>34</v>
      </c>
      <c r="K2608" t="s">
        <v>24</v>
      </c>
      <c r="L2608">
        <v>63</v>
      </c>
      <c r="M2608">
        <v>79.686000000000007</v>
      </c>
      <c r="N2608">
        <v>81.664715999999999</v>
      </c>
      <c r="O2608">
        <v>25.177</v>
      </c>
      <c r="P2608">
        <v>27.622</v>
      </c>
      <c r="Q2608">
        <v>26.728000000000002</v>
      </c>
      <c r="R2608">
        <v>37</v>
      </c>
      <c r="S2608" t="s">
        <v>83</v>
      </c>
      <c r="T2608">
        <f>IF(TRIM(Table1[[#This Row],[PitStopLaps]])="",0,
LEN(Table1[[#This Row],[PitStopLaps]])-LEN(SUBSTITUTE(Table1[[#This Row],[PitStopLaps]],",",""))+1)</f>
        <v>1</v>
      </c>
      <c r="U2608">
        <f>Table1[[#This Row],[StartPosition]]-Table1[[#This Row],[FinishPosition]]</f>
        <v>3</v>
      </c>
    </row>
    <row r="2609" spans="1:21" x14ac:dyDescent="0.3">
      <c r="A2609">
        <v>2024</v>
      </c>
      <c r="B2609">
        <v>7</v>
      </c>
      <c r="C2609" t="s">
        <v>535</v>
      </c>
      <c r="D2609" t="s">
        <v>58</v>
      </c>
      <c r="E2609" t="s">
        <v>59</v>
      </c>
      <c r="F2609" t="s">
        <v>603</v>
      </c>
      <c r="G2609">
        <v>13</v>
      </c>
      <c r="H2609">
        <v>9</v>
      </c>
      <c r="I2609">
        <v>2</v>
      </c>
      <c r="J2609" t="s">
        <v>34</v>
      </c>
      <c r="K2609" t="s">
        <v>24</v>
      </c>
      <c r="L2609">
        <v>63</v>
      </c>
      <c r="M2609">
        <v>80.569999999999993</v>
      </c>
      <c r="N2609">
        <v>82.060100000000006</v>
      </c>
      <c r="O2609">
        <v>25.154</v>
      </c>
      <c r="P2609">
        <v>27.922999999999998</v>
      </c>
      <c r="Q2609">
        <v>26.972000000000001</v>
      </c>
      <c r="R2609">
        <v>37</v>
      </c>
      <c r="S2609" t="s">
        <v>83</v>
      </c>
      <c r="T2609">
        <f>IF(TRIM(Table1[[#This Row],[PitStopLaps]])="",0,
LEN(Table1[[#This Row],[PitStopLaps]])-LEN(SUBSTITUTE(Table1[[#This Row],[PitStopLaps]],",",""))+1)</f>
        <v>1</v>
      </c>
      <c r="U2609">
        <f>Table1[[#This Row],[StartPosition]]-Table1[[#This Row],[FinishPosition]]</f>
        <v>4</v>
      </c>
    </row>
    <row r="2610" spans="1:21" x14ac:dyDescent="0.3">
      <c r="A2610">
        <v>2024</v>
      </c>
      <c r="B2610">
        <v>7</v>
      </c>
      <c r="C2610" t="s">
        <v>535</v>
      </c>
      <c r="D2610" t="s">
        <v>601</v>
      </c>
      <c r="E2610" t="s">
        <v>602</v>
      </c>
      <c r="F2610" t="s">
        <v>1176</v>
      </c>
      <c r="G2610">
        <v>7</v>
      </c>
      <c r="H2610">
        <v>10</v>
      </c>
      <c r="I2610">
        <v>1</v>
      </c>
      <c r="J2610" t="s">
        <v>34</v>
      </c>
      <c r="K2610" t="s">
        <v>994</v>
      </c>
      <c r="L2610">
        <v>62</v>
      </c>
      <c r="M2610">
        <v>80.936000000000007</v>
      </c>
      <c r="N2610">
        <v>82.448982999999998</v>
      </c>
      <c r="O2610">
        <v>25.648</v>
      </c>
      <c r="P2610">
        <v>28.018999999999998</v>
      </c>
      <c r="Q2610">
        <v>27.195</v>
      </c>
      <c r="R2610">
        <v>12</v>
      </c>
      <c r="S2610" t="s">
        <v>83</v>
      </c>
      <c r="T2610">
        <f>IF(TRIM(Table1[[#This Row],[PitStopLaps]])="",0,
LEN(Table1[[#This Row],[PitStopLaps]])-LEN(SUBSTITUTE(Table1[[#This Row],[PitStopLaps]],",",""))+1)</f>
        <v>1</v>
      </c>
      <c r="U2610">
        <f>Table1[[#This Row],[StartPosition]]-Table1[[#This Row],[FinishPosition]]</f>
        <v>-3</v>
      </c>
    </row>
    <row r="2611" spans="1:21" x14ac:dyDescent="0.3">
      <c r="A2611">
        <v>2024</v>
      </c>
      <c r="B2611">
        <v>7</v>
      </c>
      <c r="C2611" t="s">
        <v>535</v>
      </c>
      <c r="D2611" t="s">
        <v>40</v>
      </c>
      <c r="E2611" t="s">
        <v>41</v>
      </c>
      <c r="F2611" t="s">
        <v>69</v>
      </c>
      <c r="G2611">
        <v>10</v>
      </c>
      <c r="H2611">
        <v>11</v>
      </c>
      <c r="I2611">
        <v>0</v>
      </c>
      <c r="J2611" t="s">
        <v>34</v>
      </c>
      <c r="K2611" t="s">
        <v>994</v>
      </c>
      <c r="L2611">
        <v>62</v>
      </c>
      <c r="M2611">
        <v>81.7</v>
      </c>
      <c r="N2611">
        <v>82.566880999999995</v>
      </c>
      <c r="O2611">
        <v>25.623999999999999</v>
      </c>
      <c r="P2611">
        <v>28.361000000000001</v>
      </c>
      <c r="Q2611">
        <v>27.382999999999999</v>
      </c>
      <c r="R2611">
        <v>13</v>
      </c>
      <c r="S2611" t="s">
        <v>83</v>
      </c>
      <c r="T2611">
        <f>IF(TRIM(Table1[[#This Row],[PitStopLaps]])="",0,
LEN(Table1[[#This Row],[PitStopLaps]])-LEN(SUBSTITUTE(Table1[[#This Row],[PitStopLaps]],",",""))+1)</f>
        <v>1</v>
      </c>
      <c r="U2611">
        <f>Table1[[#This Row],[StartPosition]]-Table1[[#This Row],[FinishPosition]]</f>
        <v>-1</v>
      </c>
    </row>
    <row r="2612" spans="1:21" x14ac:dyDescent="0.3">
      <c r="A2612">
        <v>2024</v>
      </c>
      <c r="B2612">
        <v>7</v>
      </c>
      <c r="C2612" t="s">
        <v>535</v>
      </c>
      <c r="D2612" t="s">
        <v>71</v>
      </c>
      <c r="E2612" t="s">
        <v>72</v>
      </c>
      <c r="F2612" t="s">
        <v>69</v>
      </c>
      <c r="G2612">
        <v>18</v>
      </c>
      <c r="H2612">
        <v>12</v>
      </c>
      <c r="I2612">
        <v>0</v>
      </c>
      <c r="J2612" t="s">
        <v>34</v>
      </c>
      <c r="K2612" t="s">
        <v>994</v>
      </c>
      <c r="L2612">
        <v>62</v>
      </c>
      <c r="M2612">
        <v>81.009</v>
      </c>
      <c r="N2612">
        <v>82.476693999999995</v>
      </c>
      <c r="O2612">
        <v>25.388999999999999</v>
      </c>
      <c r="P2612">
        <v>28.184999999999999</v>
      </c>
      <c r="Q2612">
        <v>27.088999999999999</v>
      </c>
      <c r="R2612">
        <v>37</v>
      </c>
      <c r="S2612" t="s">
        <v>83</v>
      </c>
      <c r="T2612">
        <f>IF(TRIM(Table1[[#This Row],[PitStopLaps]])="",0,
LEN(Table1[[#This Row],[PitStopLaps]])-LEN(SUBSTITUTE(Table1[[#This Row],[PitStopLaps]],",",""))+1)</f>
        <v>1</v>
      </c>
      <c r="U2612">
        <f>Table1[[#This Row],[StartPosition]]-Table1[[#This Row],[FinishPosition]]</f>
        <v>6</v>
      </c>
    </row>
    <row r="2613" spans="1:21" x14ac:dyDescent="0.3">
      <c r="A2613">
        <v>2024</v>
      </c>
      <c r="B2613">
        <v>7</v>
      </c>
      <c r="C2613" t="s">
        <v>535</v>
      </c>
      <c r="D2613" t="s">
        <v>31</v>
      </c>
      <c r="E2613" t="s">
        <v>32</v>
      </c>
      <c r="F2613" t="s">
        <v>1176</v>
      </c>
      <c r="G2613">
        <v>9</v>
      </c>
      <c r="H2613">
        <v>13</v>
      </c>
      <c r="I2613">
        <v>0</v>
      </c>
      <c r="J2613" t="s">
        <v>34</v>
      </c>
      <c r="K2613" t="s">
        <v>994</v>
      </c>
      <c r="L2613">
        <v>62</v>
      </c>
      <c r="M2613">
        <v>81.569000000000003</v>
      </c>
      <c r="N2613">
        <v>82.571117999999998</v>
      </c>
      <c r="O2613">
        <v>25.614000000000001</v>
      </c>
      <c r="P2613">
        <v>28.364999999999998</v>
      </c>
      <c r="Q2613">
        <v>27.079000000000001</v>
      </c>
      <c r="R2613">
        <v>11</v>
      </c>
      <c r="S2613" t="s">
        <v>83</v>
      </c>
      <c r="T2613">
        <f>IF(TRIM(Table1[[#This Row],[PitStopLaps]])="",0,
LEN(Table1[[#This Row],[PitStopLaps]])-LEN(SUBSTITUTE(Table1[[#This Row],[PitStopLaps]],",",""))+1)</f>
        <v>1</v>
      </c>
      <c r="U2613">
        <f>Table1[[#This Row],[StartPosition]]-Table1[[#This Row],[FinishPosition]]</f>
        <v>-4</v>
      </c>
    </row>
    <row r="2614" spans="1:21" x14ac:dyDescent="0.3">
      <c r="A2614">
        <v>2024</v>
      </c>
      <c r="B2614">
        <v>7</v>
      </c>
      <c r="C2614" t="s">
        <v>535</v>
      </c>
      <c r="D2614" t="s">
        <v>52</v>
      </c>
      <c r="E2614" t="s">
        <v>53</v>
      </c>
      <c r="F2614" t="s">
        <v>607</v>
      </c>
      <c r="G2614">
        <v>12</v>
      </c>
      <c r="H2614">
        <v>14</v>
      </c>
      <c r="I2614">
        <v>0</v>
      </c>
      <c r="J2614" t="s">
        <v>34</v>
      </c>
      <c r="K2614" t="s">
        <v>994</v>
      </c>
      <c r="L2614">
        <v>62</v>
      </c>
      <c r="M2614">
        <v>81.304000000000002</v>
      </c>
      <c r="N2614">
        <v>82.810237000000001</v>
      </c>
      <c r="O2614">
        <v>25.46</v>
      </c>
      <c r="P2614">
        <v>28.381</v>
      </c>
      <c r="Q2614">
        <v>27.327000000000002</v>
      </c>
      <c r="R2614">
        <v>25</v>
      </c>
      <c r="S2614" t="s">
        <v>83</v>
      </c>
      <c r="T2614">
        <f>IF(TRIM(Table1[[#This Row],[PitStopLaps]])="",0,
LEN(Table1[[#This Row],[PitStopLaps]])-LEN(SUBSTITUTE(Table1[[#This Row],[PitStopLaps]],",",""))+1)</f>
        <v>1</v>
      </c>
      <c r="U2614">
        <f>Table1[[#This Row],[StartPosition]]-Table1[[#This Row],[FinishPosition]]</f>
        <v>-2</v>
      </c>
    </row>
    <row r="2615" spans="1:21" x14ac:dyDescent="0.3">
      <c r="A2615">
        <v>2024</v>
      </c>
      <c r="B2615">
        <v>7</v>
      </c>
      <c r="C2615" t="s">
        <v>535</v>
      </c>
      <c r="D2615" t="s">
        <v>794</v>
      </c>
      <c r="E2615" t="s">
        <v>795</v>
      </c>
      <c r="F2615" t="s">
        <v>1175</v>
      </c>
      <c r="G2615">
        <v>17</v>
      </c>
      <c r="H2615">
        <v>15</v>
      </c>
      <c r="I2615">
        <v>0</v>
      </c>
      <c r="J2615" t="s">
        <v>34</v>
      </c>
      <c r="K2615" t="s">
        <v>994</v>
      </c>
      <c r="L2615">
        <v>62</v>
      </c>
      <c r="M2615">
        <v>81.016000000000005</v>
      </c>
      <c r="N2615">
        <v>82.759422999999998</v>
      </c>
      <c r="O2615">
        <v>25.495000000000001</v>
      </c>
      <c r="P2615">
        <v>28.169</v>
      </c>
      <c r="Q2615">
        <v>27.102</v>
      </c>
      <c r="R2615">
        <v>33</v>
      </c>
      <c r="S2615" t="s">
        <v>83</v>
      </c>
      <c r="T2615">
        <f>IF(TRIM(Table1[[#This Row],[PitStopLaps]])="",0,
LEN(Table1[[#This Row],[PitStopLaps]])-LEN(SUBSTITUTE(Table1[[#This Row],[PitStopLaps]],",",""))+1)</f>
        <v>1</v>
      </c>
      <c r="U2615">
        <f>Table1[[#This Row],[StartPosition]]-Table1[[#This Row],[FinishPosition]]</f>
        <v>2</v>
      </c>
    </row>
    <row r="2616" spans="1:21" x14ac:dyDescent="0.3">
      <c r="A2616">
        <v>2024</v>
      </c>
      <c r="B2616">
        <v>7</v>
      </c>
      <c r="C2616" t="s">
        <v>535</v>
      </c>
      <c r="D2616" t="s">
        <v>73</v>
      </c>
      <c r="E2616" t="s">
        <v>74</v>
      </c>
      <c r="F2616" t="s">
        <v>607</v>
      </c>
      <c r="G2616">
        <v>15</v>
      </c>
      <c r="H2616">
        <v>16</v>
      </c>
      <c r="I2616">
        <v>0</v>
      </c>
      <c r="J2616" t="s">
        <v>34</v>
      </c>
      <c r="K2616" t="s">
        <v>994</v>
      </c>
      <c r="L2616">
        <v>62</v>
      </c>
      <c r="M2616">
        <v>81.370999999999995</v>
      </c>
      <c r="N2616">
        <v>82.433649000000003</v>
      </c>
      <c r="O2616">
        <v>25.69</v>
      </c>
      <c r="P2616">
        <v>28.17</v>
      </c>
      <c r="Q2616">
        <v>27.08</v>
      </c>
      <c r="R2616" t="s">
        <v>1219</v>
      </c>
      <c r="S2616" t="s">
        <v>83</v>
      </c>
      <c r="T2616">
        <f>IF(TRIM(Table1[[#This Row],[PitStopLaps]])="",0,
LEN(Table1[[#This Row],[PitStopLaps]])-LEN(SUBSTITUTE(Table1[[#This Row],[PitStopLaps]],",",""))+1)</f>
        <v>2</v>
      </c>
      <c r="U2616">
        <f>Table1[[#This Row],[StartPosition]]-Table1[[#This Row],[FinishPosition]]</f>
        <v>-1</v>
      </c>
    </row>
    <row r="2617" spans="1:21" x14ac:dyDescent="0.3">
      <c r="A2617">
        <v>2024</v>
      </c>
      <c r="B2617">
        <v>7</v>
      </c>
      <c r="C2617" t="s">
        <v>535</v>
      </c>
      <c r="D2617" t="s">
        <v>992</v>
      </c>
      <c r="E2617" t="s">
        <v>993</v>
      </c>
      <c r="F2617" t="s">
        <v>60</v>
      </c>
      <c r="G2617">
        <v>19</v>
      </c>
      <c r="H2617">
        <v>17</v>
      </c>
      <c r="I2617">
        <v>0</v>
      </c>
      <c r="J2617" t="s">
        <v>34</v>
      </c>
      <c r="K2617" t="s">
        <v>994</v>
      </c>
      <c r="L2617">
        <v>62</v>
      </c>
      <c r="M2617">
        <v>81.228999999999999</v>
      </c>
      <c r="N2617">
        <v>82.827117999999999</v>
      </c>
      <c r="O2617">
        <v>25.53</v>
      </c>
      <c r="P2617">
        <v>28.263999999999999</v>
      </c>
      <c r="Q2617">
        <v>27.135000000000002</v>
      </c>
      <c r="R2617">
        <v>31</v>
      </c>
      <c r="S2617" t="s">
        <v>83</v>
      </c>
      <c r="T2617">
        <f>IF(TRIM(Table1[[#This Row],[PitStopLaps]])="",0,
LEN(Table1[[#This Row],[PitStopLaps]])-LEN(SUBSTITUTE(Table1[[#This Row],[PitStopLaps]],",",""))+1)</f>
        <v>1</v>
      </c>
      <c r="U2617">
        <f>Table1[[#This Row],[StartPosition]]-Table1[[#This Row],[FinishPosition]]</f>
        <v>2</v>
      </c>
    </row>
    <row r="2618" spans="1:21" x14ac:dyDescent="0.3">
      <c r="A2618">
        <v>2024</v>
      </c>
      <c r="B2618">
        <v>7</v>
      </c>
      <c r="C2618" t="s">
        <v>535</v>
      </c>
      <c r="D2618" t="s">
        <v>43</v>
      </c>
      <c r="E2618" t="s">
        <v>44</v>
      </c>
      <c r="F2618" t="s">
        <v>1175</v>
      </c>
      <c r="G2618">
        <v>16</v>
      </c>
      <c r="H2618">
        <v>18</v>
      </c>
      <c r="I2618">
        <v>0</v>
      </c>
      <c r="J2618" t="s">
        <v>34</v>
      </c>
      <c r="K2618" t="s">
        <v>994</v>
      </c>
      <c r="L2618">
        <v>62</v>
      </c>
      <c r="M2618">
        <v>81.454999999999998</v>
      </c>
      <c r="N2618">
        <v>82.986795999999998</v>
      </c>
      <c r="O2618">
        <v>25.890999999999998</v>
      </c>
      <c r="P2618">
        <v>28.263999999999999</v>
      </c>
      <c r="Q2618">
        <v>27.202000000000002</v>
      </c>
      <c r="R2618">
        <v>8</v>
      </c>
      <c r="S2618" t="s">
        <v>83</v>
      </c>
      <c r="T2618">
        <f>IF(TRIM(Table1[[#This Row],[PitStopLaps]])="",0,
LEN(Table1[[#This Row],[PitStopLaps]])-LEN(SUBSTITUTE(Table1[[#This Row],[PitStopLaps]],",",""))+1)</f>
        <v>1</v>
      </c>
      <c r="U2618">
        <f>Table1[[#This Row],[StartPosition]]-Table1[[#This Row],[FinishPosition]]</f>
        <v>-2</v>
      </c>
    </row>
    <row r="2619" spans="1:21" x14ac:dyDescent="0.3">
      <c r="A2619">
        <v>2024</v>
      </c>
      <c r="B2619">
        <v>7</v>
      </c>
      <c r="C2619" t="s">
        <v>535</v>
      </c>
      <c r="D2619" t="s">
        <v>35</v>
      </c>
      <c r="E2619" t="s">
        <v>36</v>
      </c>
      <c r="F2619" t="s">
        <v>603</v>
      </c>
      <c r="G2619">
        <v>20</v>
      </c>
      <c r="H2619">
        <v>19</v>
      </c>
      <c r="I2619">
        <v>0</v>
      </c>
      <c r="J2619" t="s">
        <v>34</v>
      </c>
      <c r="K2619" t="s">
        <v>994</v>
      </c>
      <c r="L2619">
        <v>62</v>
      </c>
      <c r="M2619">
        <v>79.004000000000005</v>
      </c>
      <c r="N2619">
        <v>82.289199999999994</v>
      </c>
      <c r="O2619">
        <v>25.184000000000001</v>
      </c>
      <c r="P2619">
        <v>27.367000000000001</v>
      </c>
      <c r="Q2619">
        <v>26.452999999999999</v>
      </c>
      <c r="R2619" t="s">
        <v>1220</v>
      </c>
      <c r="S2619" t="s">
        <v>83</v>
      </c>
      <c r="T2619">
        <f>IF(TRIM(Table1[[#This Row],[PitStopLaps]])="",0,
LEN(Table1[[#This Row],[PitStopLaps]])-LEN(SUBSTITUTE(Table1[[#This Row],[PitStopLaps]],",",""))+1)</f>
        <v>3</v>
      </c>
      <c r="U2619">
        <f>Table1[[#This Row],[StartPosition]]-Table1[[#This Row],[FinishPosition]]</f>
        <v>1</v>
      </c>
    </row>
    <row r="2620" spans="1:21" x14ac:dyDescent="0.3">
      <c r="A2620">
        <v>2024</v>
      </c>
      <c r="B2620">
        <v>7</v>
      </c>
      <c r="C2620" t="s">
        <v>535</v>
      </c>
      <c r="D2620" t="s">
        <v>248</v>
      </c>
      <c r="E2620" t="s">
        <v>249</v>
      </c>
      <c r="F2620" t="s">
        <v>60</v>
      </c>
      <c r="G2620">
        <v>14</v>
      </c>
      <c r="H2620">
        <v>20</v>
      </c>
      <c r="I2620">
        <v>0</v>
      </c>
      <c r="J2620" t="s">
        <v>34</v>
      </c>
      <c r="K2620" t="s">
        <v>179</v>
      </c>
      <c r="L2620">
        <v>51</v>
      </c>
      <c r="M2620">
        <v>81.274000000000001</v>
      </c>
      <c r="N2620">
        <v>82.078119000000001</v>
      </c>
      <c r="O2620">
        <v>25.384</v>
      </c>
      <c r="P2620">
        <v>28.45</v>
      </c>
      <c r="Q2620">
        <v>27.135000000000002</v>
      </c>
      <c r="R2620" t="s">
        <v>1221</v>
      </c>
      <c r="S2620" t="s">
        <v>83</v>
      </c>
      <c r="T2620">
        <f>IF(TRIM(Table1[[#This Row],[PitStopLaps]])="",0,
LEN(Table1[[#This Row],[PitStopLaps]])-LEN(SUBSTITUTE(Table1[[#This Row],[PitStopLaps]],",",""))+1)</f>
        <v>5</v>
      </c>
      <c r="U2620">
        <f>Table1[[#This Row],[StartPosition]]-Table1[[#This Row],[FinishPosition]]</f>
        <v>-6</v>
      </c>
    </row>
    <row r="2621" spans="1:21" x14ac:dyDescent="0.3">
      <c r="A2621">
        <v>2024</v>
      </c>
      <c r="B2621">
        <v>8</v>
      </c>
      <c r="C2621" t="s">
        <v>136</v>
      </c>
      <c r="D2621" t="s">
        <v>54</v>
      </c>
      <c r="E2621" t="s">
        <v>55</v>
      </c>
      <c r="F2621" t="s">
        <v>22</v>
      </c>
      <c r="G2621">
        <v>1</v>
      </c>
      <c r="H2621">
        <v>1</v>
      </c>
      <c r="I2621">
        <v>25</v>
      </c>
      <c r="J2621" t="s">
        <v>23</v>
      </c>
      <c r="K2621" t="s">
        <v>24</v>
      </c>
      <c r="L2621">
        <v>78</v>
      </c>
      <c r="M2621">
        <v>75.162000000000006</v>
      </c>
      <c r="N2621">
        <v>78.439038999999994</v>
      </c>
      <c r="O2621">
        <v>19.716000000000001</v>
      </c>
      <c r="P2621">
        <v>35.500999999999998</v>
      </c>
      <c r="Q2621">
        <v>19.942</v>
      </c>
      <c r="R2621">
        <v>1</v>
      </c>
      <c r="S2621" t="s">
        <v>83</v>
      </c>
      <c r="T2621">
        <f>IF(TRIM(Table1[[#This Row],[PitStopLaps]])="",0,
LEN(Table1[[#This Row],[PitStopLaps]])-LEN(SUBSTITUTE(Table1[[#This Row],[PitStopLaps]],",",""))+1)</f>
        <v>1</v>
      </c>
      <c r="U2621">
        <f>Table1[[#This Row],[StartPosition]]-Table1[[#This Row],[FinishPosition]]</f>
        <v>0</v>
      </c>
    </row>
    <row r="2622" spans="1:21" x14ac:dyDescent="0.3">
      <c r="A2622">
        <v>2024</v>
      </c>
      <c r="B2622">
        <v>8</v>
      </c>
      <c r="C2622" t="s">
        <v>136</v>
      </c>
      <c r="D2622" t="s">
        <v>1000</v>
      </c>
      <c r="E2622" t="s">
        <v>1001</v>
      </c>
      <c r="F2622" t="s">
        <v>37</v>
      </c>
      <c r="G2622">
        <v>2</v>
      </c>
      <c r="H2622">
        <v>2</v>
      </c>
      <c r="I2622">
        <v>18</v>
      </c>
      <c r="J2622" t="s">
        <v>23</v>
      </c>
      <c r="K2622" t="s">
        <v>24</v>
      </c>
      <c r="L2622">
        <v>78</v>
      </c>
      <c r="M2622">
        <v>76.281000000000006</v>
      </c>
      <c r="N2622">
        <v>78.524144000000007</v>
      </c>
      <c r="O2622">
        <v>19.797999999999998</v>
      </c>
      <c r="P2622">
        <v>36.018000000000001</v>
      </c>
      <c r="Q2622">
        <v>20.379000000000001</v>
      </c>
      <c r="R2622">
        <v>1</v>
      </c>
      <c r="S2622" t="s">
        <v>83</v>
      </c>
      <c r="T2622">
        <f>IF(TRIM(Table1[[#This Row],[PitStopLaps]])="",0,
LEN(Table1[[#This Row],[PitStopLaps]])-LEN(SUBSTITUTE(Table1[[#This Row],[PitStopLaps]],",",""))+1)</f>
        <v>1</v>
      </c>
      <c r="U2622">
        <f>Table1[[#This Row],[StartPosition]]-Table1[[#This Row],[FinishPosition]]</f>
        <v>0</v>
      </c>
    </row>
    <row r="2623" spans="1:21" x14ac:dyDescent="0.3">
      <c r="A2623">
        <v>2024</v>
      </c>
      <c r="B2623">
        <v>8</v>
      </c>
      <c r="C2623" t="s">
        <v>136</v>
      </c>
      <c r="D2623" t="s">
        <v>47</v>
      </c>
      <c r="E2623" t="s">
        <v>48</v>
      </c>
      <c r="F2623" t="s">
        <v>22</v>
      </c>
      <c r="G2623">
        <v>3</v>
      </c>
      <c r="H2623">
        <v>3</v>
      </c>
      <c r="I2623">
        <v>15</v>
      </c>
      <c r="J2623" t="s">
        <v>23</v>
      </c>
      <c r="K2623" t="s">
        <v>24</v>
      </c>
      <c r="L2623">
        <v>78</v>
      </c>
      <c r="M2623">
        <v>74.725999999999999</v>
      </c>
      <c r="N2623">
        <v>78.523077999999998</v>
      </c>
      <c r="O2623">
        <v>19.53</v>
      </c>
      <c r="P2623">
        <v>35.265999999999998</v>
      </c>
      <c r="Q2623">
        <v>19.849</v>
      </c>
      <c r="R2623">
        <v>1</v>
      </c>
      <c r="S2623" t="s">
        <v>83</v>
      </c>
      <c r="T2623">
        <f>IF(TRIM(Table1[[#This Row],[PitStopLaps]])="",0,
LEN(Table1[[#This Row],[PitStopLaps]])-LEN(SUBSTITUTE(Table1[[#This Row],[PitStopLaps]],",",""))+1)</f>
        <v>1</v>
      </c>
      <c r="U2623">
        <f>Table1[[#This Row],[StartPosition]]-Table1[[#This Row],[FinishPosition]]</f>
        <v>0</v>
      </c>
    </row>
    <row r="2624" spans="1:21" x14ac:dyDescent="0.3">
      <c r="A2624">
        <v>2024</v>
      </c>
      <c r="B2624">
        <v>8</v>
      </c>
      <c r="C2624" t="s">
        <v>136</v>
      </c>
      <c r="D2624" t="s">
        <v>246</v>
      </c>
      <c r="E2624" t="s">
        <v>247</v>
      </c>
      <c r="F2624" t="s">
        <v>37</v>
      </c>
      <c r="G2624">
        <v>4</v>
      </c>
      <c r="H2624">
        <v>4</v>
      </c>
      <c r="I2624">
        <v>12</v>
      </c>
      <c r="J2624" t="s">
        <v>34</v>
      </c>
      <c r="K2624" t="s">
        <v>24</v>
      </c>
      <c r="L2624">
        <v>78</v>
      </c>
      <c r="M2624">
        <v>75.742000000000004</v>
      </c>
      <c r="N2624">
        <v>78.532842000000002</v>
      </c>
      <c r="O2624">
        <v>19.811</v>
      </c>
      <c r="P2624">
        <v>35.837000000000003</v>
      </c>
      <c r="Q2624">
        <v>20.012</v>
      </c>
      <c r="R2624">
        <v>1</v>
      </c>
      <c r="S2624" t="s">
        <v>83</v>
      </c>
      <c r="T2624">
        <f>IF(TRIM(Table1[[#This Row],[PitStopLaps]])="",0,
LEN(Table1[[#This Row],[PitStopLaps]])-LEN(SUBSTITUTE(Table1[[#This Row],[PitStopLaps]],",",""))+1)</f>
        <v>1</v>
      </c>
      <c r="U2624">
        <f>Table1[[#This Row],[StartPosition]]-Table1[[#This Row],[FinishPosition]]</f>
        <v>0</v>
      </c>
    </row>
    <row r="2625" spans="1:21" x14ac:dyDescent="0.3">
      <c r="A2625">
        <v>2024</v>
      </c>
      <c r="B2625">
        <v>8</v>
      </c>
      <c r="C2625" t="s">
        <v>136</v>
      </c>
      <c r="D2625" t="s">
        <v>252</v>
      </c>
      <c r="E2625" t="s">
        <v>253</v>
      </c>
      <c r="F2625" t="s">
        <v>28</v>
      </c>
      <c r="G2625">
        <v>5</v>
      </c>
      <c r="H2625">
        <v>5</v>
      </c>
      <c r="I2625">
        <v>10</v>
      </c>
      <c r="J2625" t="s">
        <v>34</v>
      </c>
      <c r="K2625" t="s">
        <v>24</v>
      </c>
      <c r="L2625">
        <v>78</v>
      </c>
      <c r="M2625">
        <v>75.227999999999994</v>
      </c>
      <c r="N2625">
        <v>78.589644000000007</v>
      </c>
      <c r="O2625">
        <v>19.584</v>
      </c>
      <c r="P2625">
        <v>35.408000000000001</v>
      </c>
      <c r="Q2625">
        <v>20.161999999999999</v>
      </c>
      <c r="R2625">
        <v>1</v>
      </c>
      <c r="S2625" t="s">
        <v>83</v>
      </c>
      <c r="T2625">
        <f>IF(TRIM(Table1[[#This Row],[PitStopLaps]])="",0,
LEN(Table1[[#This Row],[PitStopLaps]])-LEN(SUBSTITUTE(Table1[[#This Row],[PitStopLaps]],",",""))+1)</f>
        <v>1</v>
      </c>
      <c r="U2625">
        <f>Table1[[#This Row],[StartPosition]]-Table1[[#This Row],[FinishPosition]]</f>
        <v>0</v>
      </c>
    </row>
    <row r="2626" spans="1:21" x14ac:dyDescent="0.3">
      <c r="A2626">
        <v>2024</v>
      </c>
      <c r="B2626">
        <v>8</v>
      </c>
      <c r="C2626" t="s">
        <v>136</v>
      </c>
      <c r="D2626" t="s">
        <v>38</v>
      </c>
      <c r="E2626" t="s">
        <v>39</v>
      </c>
      <c r="F2626" t="s">
        <v>33</v>
      </c>
      <c r="G2626">
        <v>6</v>
      </c>
      <c r="H2626">
        <v>6</v>
      </c>
      <c r="I2626">
        <v>8</v>
      </c>
      <c r="J2626" t="s">
        <v>34</v>
      </c>
      <c r="K2626" t="s">
        <v>24</v>
      </c>
      <c r="L2626">
        <v>78</v>
      </c>
      <c r="M2626">
        <v>74.569000000000003</v>
      </c>
      <c r="N2626">
        <v>78.383662000000001</v>
      </c>
      <c r="O2626">
        <v>19.343</v>
      </c>
      <c r="P2626">
        <v>35.369</v>
      </c>
      <c r="Q2626">
        <v>19.835999999999999</v>
      </c>
      <c r="R2626" t="s">
        <v>1024</v>
      </c>
      <c r="S2626" t="s">
        <v>83</v>
      </c>
      <c r="T2626">
        <f>IF(TRIM(Table1[[#This Row],[PitStopLaps]])="",0,
LEN(Table1[[#This Row],[PitStopLaps]])-LEN(SUBSTITUTE(Table1[[#This Row],[PitStopLaps]],",",""))+1)</f>
        <v>2</v>
      </c>
      <c r="U2626">
        <f>Table1[[#This Row],[StartPosition]]-Table1[[#This Row],[FinishPosition]]</f>
        <v>0</v>
      </c>
    </row>
    <row r="2627" spans="1:21" x14ac:dyDescent="0.3">
      <c r="A2627">
        <v>2024</v>
      </c>
      <c r="B2627">
        <v>8</v>
      </c>
      <c r="C2627" t="s">
        <v>136</v>
      </c>
      <c r="D2627" t="s">
        <v>26</v>
      </c>
      <c r="E2627" t="s">
        <v>27</v>
      </c>
      <c r="F2627" t="s">
        <v>28</v>
      </c>
      <c r="G2627">
        <v>7</v>
      </c>
      <c r="H2627">
        <v>7</v>
      </c>
      <c r="I2627">
        <v>7</v>
      </c>
      <c r="J2627" t="s">
        <v>34</v>
      </c>
      <c r="K2627" t="s">
        <v>24</v>
      </c>
      <c r="L2627">
        <v>78</v>
      </c>
      <c r="M2627">
        <v>74.165000000000006</v>
      </c>
      <c r="N2627">
        <v>78.363985999999997</v>
      </c>
      <c r="O2627">
        <v>19.484999999999999</v>
      </c>
      <c r="P2627">
        <v>34.841999999999999</v>
      </c>
      <c r="Q2627">
        <v>19.7</v>
      </c>
      <c r="R2627" t="s">
        <v>1222</v>
      </c>
      <c r="S2627" t="s">
        <v>83</v>
      </c>
      <c r="T2627">
        <f>IF(TRIM(Table1[[#This Row],[PitStopLaps]])="",0,
LEN(Table1[[#This Row],[PitStopLaps]])-LEN(SUBSTITUTE(Table1[[#This Row],[PitStopLaps]],",",""))+1)</f>
        <v>2</v>
      </c>
      <c r="U2627">
        <f>Table1[[#This Row],[StartPosition]]-Table1[[#This Row],[FinishPosition]]</f>
        <v>0</v>
      </c>
    </row>
    <row r="2628" spans="1:21" x14ac:dyDescent="0.3">
      <c r="A2628">
        <v>2024</v>
      </c>
      <c r="B2628">
        <v>8</v>
      </c>
      <c r="C2628" t="s">
        <v>136</v>
      </c>
      <c r="D2628" t="s">
        <v>601</v>
      </c>
      <c r="E2628" t="s">
        <v>602</v>
      </c>
      <c r="F2628" t="s">
        <v>1176</v>
      </c>
      <c r="G2628">
        <v>8</v>
      </c>
      <c r="H2628">
        <v>8</v>
      </c>
      <c r="I2628">
        <v>4</v>
      </c>
      <c r="J2628" t="s">
        <v>34</v>
      </c>
      <c r="K2628" t="s">
        <v>994</v>
      </c>
      <c r="L2628">
        <v>77</v>
      </c>
      <c r="M2628">
        <v>74.72</v>
      </c>
      <c r="N2628">
        <v>79.975399999999993</v>
      </c>
      <c r="O2628">
        <v>19.503</v>
      </c>
      <c r="P2628">
        <v>35.232999999999997</v>
      </c>
      <c r="Q2628">
        <v>19.984000000000002</v>
      </c>
      <c r="R2628">
        <v>1</v>
      </c>
      <c r="S2628" t="s">
        <v>83</v>
      </c>
      <c r="T2628">
        <f>IF(TRIM(Table1[[#This Row],[PitStopLaps]])="",0,
LEN(Table1[[#This Row],[PitStopLaps]])-LEN(SUBSTITUTE(Table1[[#This Row],[PitStopLaps]],",",""))+1)</f>
        <v>1</v>
      </c>
      <c r="U2628">
        <f>Table1[[#This Row],[StartPosition]]-Table1[[#This Row],[FinishPosition]]</f>
        <v>0</v>
      </c>
    </row>
    <row r="2629" spans="1:21" x14ac:dyDescent="0.3">
      <c r="A2629">
        <v>2024</v>
      </c>
      <c r="B2629">
        <v>8</v>
      </c>
      <c r="C2629" t="s">
        <v>136</v>
      </c>
      <c r="D2629" t="s">
        <v>248</v>
      </c>
      <c r="E2629" t="s">
        <v>249</v>
      </c>
      <c r="F2629" t="s">
        <v>60</v>
      </c>
      <c r="G2629">
        <v>9</v>
      </c>
      <c r="H2629">
        <v>9</v>
      </c>
      <c r="I2629">
        <v>2</v>
      </c>
      <c r="J2629" t="s">
        <v>34</v>
      </c>
      <c r="K2629" t="s">
        <v>994</v>
      </c>
      <c r="L2629">
        <v>77</v>
      </c>
      <c r="M2629">
        <v>77.06</v>
      </c>
      <c r="N2629">
        <v>80.167119999999997</v>
      </c>
      <c r="O2629">
        <v>20.364000000000001</v>
      </c>
      <c r="P2629">
        <v>36.195999999999998</v>
      </c>
      <c r="Q2629">
        <v>20.5</v>
      </c>
      <c r="R2629">
        <v>1</v>
      </c>
      <c r="S2629" t="s">
        <v>83</v>
      </c>
      <c r="T2629">
        <f>IF(TRIM(Table1[[#This Row],[PitStopLaps]])="",0,
LEN(Table1[[#This Row],[PitStopLaps]])-LEN(SUBSTITUTE(Table1[[#This Row],[PitStopLaps]],",",""))+1)</f>
        <v>1</v>
      </c>
      <c r="U2629">
        <f>Table1[[#This Row],[StartPosition]]-Table1[[#This Row],[FinishPosition]]</f>
        <v>0</v>
      </c>
    </row>
    <row r="2630" spans="1:21" x14ac:dyDescent="0.3">
      <c r="A2630">
        <v>2024</v>
      </c>
      <c r="B2630">
        <v>8</v>
      </c>
      <c r="C2630" t="s">
        <v>136</v>
      </c>
      <c r="D2630" t="s">
        <v>73</v>
      </c>
      <c r="E2630" t="s">
        <v>74</v>
      </c>
      <c r="F2630" t="s">
        <v>607</v>
      </c>
      <c r="G2630">
        <v>10</v>
      </c>
      <c r="H2630">
        <v>10</v>
      </c>
      <c r="I2630">
        <v>1</v>
      </c>
      <c r="J2630" t="s">
        <v>34</v>
      </c>
      <c r="K2630" t="s">
        <v>994</v>
      </c>
      <c r="L2630">
        <v>77</v>
      </c>
      <c r="M2630">
        <v>75.625</v>
      </c>
      <c r="N2630">
        <v>80.246426</v>
      </c>
      <c r="O2630">
        <v>19.978000000000002</v>
      </c>
      <c r="P2630">
        <v>35.326999999999998</v>
      </c>
      <c r="Q2630">
        <v>20.32</v>
      </c>
      <c r="R2630">
        <v>1</v>
      </c>
      <c r="S2630" t="s">
        <v>83</v>
      </c>
      <c r="T2630">
        <f>IF(TRIM(Table1[[#This Row],[PitStopLaps]])="",0,
LEN(Table1[[#This Row],[PitStopLaps]])-LEN(SUBSTITUTE(Table1[[#This Row],[PitStopLaps]],",",""))+1)</f>
        <v>1</v>
      </c>
      <c r="U2630">
        <f>Table1[[#This Row],[StartPosition]]-Table1[[#This Row],[FinishPosition]]</f>
        <v>0</v>
      </c>
    </row>
    <row r="2631" spans="1:21" x14ac:dyDescent="0.3">
      <c r="A2631">
        <v>2024</v>
      </c>
      <c r="B2631">
        <v>8</v>
      </c>
      <c r="C2631" t="s">
        <v>136</v>
      </c>
      <c r="D2631" t="s">
        <v>35</v>
      </c>
      <c r="E2631" t="s">
        <v>36</v>
      </c>
      <c r="F2631" t="s">
        <v>603</v>
      </c>
      <c r="G2631">
        <v>14</v>
      </c>
      <c r="H2631">
        <v>11</v>
      </c>
      <c r="I2631">
        <v>0</v>
      </c>
      <c r="J2631" t="s">
        <v>34</v>
      </c>
      <c r="K2631" t="s">
        <v>994</v>
      </c>
      <c r="L2631">
        <v>76</v>
      </c>
      <c r="M2631">
        <v>77.938999999999993</v>
      </c>
      <c r="N2631">
        <v>80.562877999999998</v>
      </c>
      <c r="O2631">
        <v>20.279</v>
      </c>
      <c r="P2631">
        <v>36.658999999999999</v>
      </c>
      <c r="Q2631">
        <v>20.83</v>
      </c>
      <c r="R2631">
        <v>1</v>
      </c>
      <c r="S2631" t="s">
        <v>83</v>
      </c>
      <c r="T2631">
        <f>IF(TRIM(Table1[[#This Row],[PitStopLaps]])="",0,
LEN(Table1[[#This Row],[PitStopLaps]])-LEN(SUBSTITUTE(Table1[[#This Row],[PitStopLaps]],",",""))+1)</f>
        <v>1</v>
      </c>
      <c r="U2631">
        <f>Table1[[#This Row],[StartPosition]]-Table1[[#This Row],[FinishPosition]]</f>
        <v>3</v>
      </c>
    </row>
    <row r="2632" spans="1:21" x14ac:dyDescent="0.3">
      <c r="A2632">
        <v>2024</v>
      </c>
      <c r="B2632">
        <v>8</v>
      </c>
      <c r="C2632" t="s">
        <v>136</v>
      </c>
      <c r="D2632" t="s">
        <v>31</v>
      </c>
      <c r="E2632" t="s">
        <v>32</v>
      </c>
      <c r="F2632" t="s">
        <v>1176</v>
      </c>
      <c r="G2632">
        <v>12</v>
      </c>
      <c r="H2632">
        <v>12</v>
      </c>
      <c r="I2632">
        <v>0</v>
      </c>
      <c r="J2632" t="s">
        <v>34</v>
      </c>
      <c r="K2632" t="s">
        <v>994</v>
      </c>
      <c r="L2632">
        <v>76</v>
      </c>
      <c r="M2632">
        <v>77.171999999999997</v>
      </c>
      <c r="N2632">
        <v>80.568959000000007</v>
      </c>
      <c r="O2632">
        <v>20.128</v>
      </c>
      <c r="P2632">
        <v>36.241999999999997</v>
      </c>
      <c r="Q2632">
        <v>20.655000000000001</v>
      </c>
      <c r="R2632">
        <v>1</v>
      </c>
      <c r="S2632" t="s">
        <v>83</v>
      </c>
      <c r="T2632">
        <f>IF(TRIM(Table1[[#This Row],[PitStopLaps]])="",0,
LEN(Table1[[#This Row],[PitStopLaps]])-LEN(SUBSTITUTE(Table1[[#This Row],[PitStopLaps]],",",""))+1)</f>
        <v>1</v>
      </c>
      <c r="U2632">
        <f>Table1[[#This Row],[StartPosition]]-Table1[[#This Row],[FinishPosition]]</f>
        <v>0</v>
      </c>
    </row>
    <row r="2633" spans="1:21" x14ac:dyDescent="0.3">
      <c r="A2633">
        <v>2024</v>
      </c>
      <c r="B2633">
        <v>8</v>
      </c>
      <c r="C2633" t="s">
        <v>136</v>
      </c>
      <c r="D2633" t="s">
        <v>43</v>
      </c>
      <c r="E2633" t="s">
        <v>44</v>
      </c>
      <c r="F2633" t="s">
        <v>1175</v>
      </c>
      <c r="G2633">
        <v>17</v>
      </c>
      <c r="H2633">
        <v>13</v>
      </c>
      <c r="I2633">
        <v>0</v>
      </c>
      <c r="J2633" t="s">
        <v>34</v>
      </c>
      <c r="K2633" t="s">
        <v>994</v>
      </c>
      <c r="L2633">
        <v>76</v>
      </c>
      <c r="M2633">
        <v>76.561000000000007</v>
      </c>
      <c r="N2633">
        <v>80.333680000000001</v>
      </c>
      <c r="O2633">
        <v>20.149000000000001</v>
      </c>
      <c r="P2633">
        <v>35.884</v>
      </c>
      <c r="Q2633">
        <v>20.286999999999999</v>
      </c>
      <c r="R2633" t="s">
        <v>1223</v>
      </c>
      <c r="S2633" t="s">
        <v>83</v>
      </c>
      <c r="T2633">
        <f>IF(TRIM(Table1[[#This Row],[PitStopLaps]])="",0,
LEN(Table1[[#This Row],[PitStopLaps]])-LEN(SUBSTITUTE(Table1[[#This Row],[PitStopLaps]],",",""))+1)</f>
        <v>2</v>
      </c>
      <c r="U2633">
        <f>Table1[[#This Row],[StartPosition]]-Table1[[#This Row],[FinishPosition]]</f>
        <v>4</v>
      </c>
    </row>
    <row r="2634" spans="1:21" x14ac:dyDescent="0.3">
      <c r="A2634">
        <v>2024</v>
      </c>
      <c r="B2634">
        <v>8</v>
      </c>
      <c r="C2634" t="s">
        <v>136</v>
      </c>
      <c r="D2634" t="s">
        <v>58</v>
      </c>
      <c r="E2634" t="s">
        <v>59</v>
      </c>
      <c r="F2634" t="s">
        <v>603</v>
      </c>
      <c r="G2634">
        <v>13</v>
      </c>
      <c r="H2634">
        <v>14</v>
      </c>
      <c r="I2634">
        <v>0</v>
      </c>
      <c r="J2634" t="s">
        <v>34</v>
      </c>
      <c r="K2634" t="s">
        <v>994</v>
      </c>
      <c r="L2634">
        <v>76</v>
      </c>
      <c r="M2634">
        <v>76.709999999999994</v>
      </c>
      <c r="N2634">
        <v>79.942442</v>
      </c>
      <c r="O2634">
        <v>19.890999999999998</v>
      </c>
      <c r="P2634">
        <v>35.89</v>
      </c>
      <c r="Q2634">
        <v>20.617000000000001</v>
      </c>
      <c r="R2634" t="s">
        <v>1224</v>
      </c>
      <c r="S2634" t="s">
        <v>83</v>
      </c>
      <c r="T2634">
        <f>IF(TRIM(Table1[[#This Row],[PitStopLaps]])="",0,
LEN(Table1[[#This Row],[PitStopLaps]])-LEN(SUBSTITUTE(Table1[[#This Row],[PitStopLaps]],",",""))+1)</f>
        <v>3</v>
      </c>
      <c r="U2634">
        <f>Table1[[#This Row],[StartPosition]]-Table1[[#This Row],[FinishPosition]]</f>
        <v>-1</v>
      </c>
    </row>
    <row r="2635" spans="1:21" x14ac:dyDescent="0.3">
      <c r="A2635">
        <v>2024</v>
      </c>
      <c r="B2635">
        <v>8</v>
      </c>
      <c r="C2635" t="s">
        <v>136</v>
      </c>
      <c r="D2635" t="s">
        <v>992</v>
      </c>
      <c r="E2635" t="s">
        <v>993</v>
      </c>
      <c r="F2635" t="s">
        <v>60</v>
      </c>
      <c r="G2635">
        <v>15</v>
      </c>
      <c r="H2635">
        <v>15</v>
      </c>
      <c r="I2635">
        <v>0</v>
      </c>
      <c r="J2635" t="s">
        <v>34</v>
      </c>
      <c r="K2635" t="s">
        <v>994</v>
      </c>
      <c r="L2635">
        <v>76</v>
      </c>
      <c r="M2635">
        <v>75.525000000000006</v>
      </c>
      <c r="N2635">
        <v>80.401832999999996</v>
      </c>
      <c r="O2635">
        <v>19.670999999999999</v>
      </c>
      <c r="P2635">
        <v>35.555999999999997</v>
      </c>
      <c r="Q2635">
        <v>20.100999999999999</v>
      </c>
      <c r="R2635" t="s">
        <v>1225</v>
      </c>
      <c r="S2635" t="s">
        <v>83</v>
      </c>
      <c r="T2635">
        <f>IF(TRIM(Table1[[#This Row],[PitStopLaps]])="",0,
LEN(Table1[[#This Row],[PitStopLaps]])-LEN(SUBSTITUTE(Table1[[#This Row],[PitStopLaps]],",",""))+1)</f>
        <v>2</v>
      </c>
      <c r="U2635">
        <f>Table1[[#This Row],[StartPosition]]-Table1[[#This Row],[FinishPosition]]</f>
        <v>0</v>
      </c>
    </row>
    <row r="2636" spans="1:21" x14ac:dyDescent="0.3">
      <c r="A2636">
        <v>2024</v>
      </c>
      <c r="B2636">
        <v>8</v>
      </c>
      <c r="C2636" t="s">
        <v>136</v>
      </c>
      <c r="D2636" t="s">
        <v>794</v>
      </c>
      <c r="E2636" t="s">
        <v>795</v>
      </c>
      <c r="F2636" t="s">
        <v>1175</v>
      </c>
      <c r="G2636">
        <v>18</v>
      </c>
      <c r="H2636">
        <v>16</v>
      </c>
      <c r="I2636">
        <v>0</v>
      </c>
      <c r="J2636" t="s">
        <v>34</v>
      </c>
      <c r="K2636" t="s">
        <v>994</v>
      </c>
      <c r="L2636">
        <v>76</v>
      </c>
      <c r="M2636">
        <v>74.718000000000004</v>
      </c>
      <c r="N2636">
        <v>80.919957999999994</v>
      </c>
      <c r="O2636">
        <v>19.751000000000001</v>
      </c>
      <c r="P2636">
        <v>34.99</v>
      </c>
      <c r="Q2636">
        <v>19.977</v>
      </c>
      <c r="R2636" t="s">
        <v>1226</v>
      </c>
      <c r="S2636" t="s">
        <v>83</v>
      </c>
      <c r="T2636">
        <f>IF(TRIM(Table1[[#This Row],[PitStopLaps]])="",0,
LEN(Table1[[#This Row],[PitStopLaps]])-LEN(SUBSTITUTE(Table1[[#This Row],[PitStopLaps]],",",""))+1)</f>
        <v>2</v>
      </c>
      <c r="U2636">
        <f>Table1[[#This Row],[StartPosition]]-Table1[[#This Row],[FinishPosition]]</f>
        <v>2</v>
      </c>
    </row>
    <row r="2637" spans="1:21" x14ac:dyDescent="0.3">
      <c r="A2637">
        <v>2024</v>
      </c>
      <c r="B2637">
        <v>8</v>
      </c>
      <c r="C2637" t="s">
        <v>136</v>
      </c>
      <c r="D2637" t="s">
        <v>52</v>
      </c>
      <c r="E2637" t="s">
        <v>53</v>
      </c>
      <c r="F2637" t="s">
        <v>607</v>
      </c>
      <c r="G2637">
        <v>11</v>
      </c>
      <c r="H2637">
        <v>17</v>
      </c>
      <c r="I2637">
        <v>0</v>
      </c>
      <c r="J2637" t="s">
        <v>34</v>
      </c>
      <c r="K2637" t="s">
        <v>179</v>
      </c>
      <c r="L2637">
        <v>1</v>
      </c>
      <c r="S2637" t="s">
        <v>83</v>
      </c>
      <c r="T2637">
        <f>IF(TRIM(Table1[[#This Row],[PitStopLaps]])="",0,
LEN(Table1[[#This Row],[PitStopLaps]])-LEN(SUBSTITUTE(Table1[[#This Row],[PitStopLaps]],",",""))+1)</f>
        <v>0</v>
      </c>
      <c r="U2637">
        <f>Table1[[#This Row],[StartPosition]]-Table1[[#This Row],[FinishPosition]]</f>
        <v>-6</v>
      </c>
    </row>
    <row r="2638" spans="1:21" x14ac:dyDescent="0.3">
      <c r="A2638">
        <v>2024</v>
      </c>
      <c r="B2638">
        <v>8</v>
      </c>
      <c r="C2638" t="s">
        <v>136</v>
      </c>
      <c r="D2638" t="s">
        <v>49</v>
      </c>
      <c r="E2638" t="s">
        <v>50</v>
      </c>
      <c r="F2638" t="s">
        <v>33</v>
      </c>
      <c r="G2638">
        <v>16</v>
      </c>
      <c r="H2638">
        <v>18</v>
      </c>
      <c r="I2638">
        <v>0</v>
      </c>
      <c r="J2638" t="s">
        <v>34</v>
      </c>
      <c r="K2638" t="s">
        <v>179</v>
      </c>
      <c r="L2638">
        <v>1</v>
      </c>
      <c r="S2638" t="s">
        <v>83</v>
      </c>
      <c r="T2638">
        <f>IF(TRIM(Table1[[#This Row],[PitStopLaps]])="",0,
LEN(Table1[[#This Row],[PitStopLaps]])-LEN(SUBSTITUTE(Table1[[#This Row],[PitStopLaps]],",",""))+1)</f>
        <v>0</v>
      </c>
      <c r="U2638">
        <f>Table1[[#This Row],[StartPosition]]-Table1[[#This Row],[FinishPosition]]</f>
        <v>-2</v>
      </c>
    </row>
    <row r="2639" spans="1:21" x14ac:dyDescent="0.3">
      <c r="A2639">
        <v>2024</v>
      </c>
      <c r="B2639">
        <v>8</v>
      </c>
      <c r="C2639" t="s">
        <v>136</v>
      </c>
      <c r="D2639" t="s">
        <v>40</v>
      </c>
      <c r="E2639" t="s">
        <v>41</v>
      </c>
      <c r="F2639" t="s">
        <v>69</v>
      </c>
      <c r="G2639">
        <v>19</v>
      </c>
      <c r="H2639">
        <v>19</v>
      </c>
      <c r="I2639">
        <v>0</v>
      </c>
      <c r="J2639" t="s">
        <v>34</v>
      </c>
      <c r="K2639" t="s">
        <v>179</v>
      </c>
      <c r="L2639">
        <v>1</v>
      </c>
      <c r="S2639" t="s">
        <v>83</v>
      </c>
      <c r="T2639">
        <f>IF(TRIM(Table1[[#This Row],[PitStopLaps]])="",0,
LEN(Table1[[#This Row],[PitStopLaps]])-LEN(SUBSTITUTE(Table1[[#This Row],[PitStopLaps]],",",""))+1)</f>
        <v>0</v>
      </c>
      <c r="U2639">
        <f>Table1[[#This Row],[StartPosition]]-Table1[[#This Row],[FinishPosition]]</f>
        <v>0</v>
      </c>
    </row>
    <row r="2640" spans="1:21" x14ac:dyDescent="0.3">
      <c r="A2640">
        <v>2024</v>
      </c>
      <c r="B2640">
        <v>8</v>
      </c>
      <c r="C2640" t="s">
        <v>136</v>
      </c>
      <c r="D2640" t="s">
        <v>71</v>
      </c>
      <c r="E2640" t="s">
        <v>72</v>
      </c>
      <c r="F2640" t="s">
        <v>69</v>
      </c>
      <c r="G2640">
        <v>20</v>
      </c>
      <c r="H2640">
        <v>20</v>
      </c>
      <c r="I2640">
        <v>0</v>
      </c>
      <c r="J2640" t="s">
        <v>34</v>
      </c>
      <c r="K2640" t="s">
        <v>179</v>
      </c>
      <c r="L2640">
        <v>1</v>
      </c>
      <c r="S2640" t="s">
        <v>83</v>
      </c>
      <c r="T2640">
        <f>IF(TRIM(Table1[[#This Row],[PitStopLaps]])="",0,
LEN(Table1[[#This Row],[PitStopLaps]])-LEN(SUBSTITUTE(Table1[[#This Row],[PitStopLaps]],",",""))+1)</f>
        <v>0</v>
      </c>
      <c r="U2640">
        <f>Table1[[#This Row],[StartPosition]]-Table1[[#This Row],[FinishPosition]]</f>
        <v>0</v>
      </c>
    </row>
    <row r="2641" spans="1:21" x14ac:dyDescent="0.3">
      <c r="A2641">
        <v>2024</v>
      </c>
      <c r="B2641">
        <v>9</v>
      </c>
      <c r="C2641" t="s">
        <v>142</v>
      </c>
      <c r="D2641" t="s">
        <v>38</v>
      </c>
      <c r="E2641" t="s">
        <v>39</v>
      </c>
      <c r="F2641" t="s">
        <v>33</v>
      </c>
      <c r="G2641">
        <v>2</v>
      </c>
      <c r="H2641">
        <v>1</v>
      </c>
      <c r="I2641">
        <v>25</v>
      </c>
      <c r="J2641" t="s">
        <v>23</v>
      </c>
      <c r="K2641" t="s">
        <v>24</v>
      </c>
      <c r="L2641">
        <v>70</v>
      </c>
      <c r="M2641">
        <v>75.569000000000003</v>
      </c>
      <c r="N2641">
        <v>84.710402999999999</v>
      </c>
      <c r="O2641">
        <v>21.16</v>
      </c>
      <c r="P2641">
        <v>23.864000000000001</v>
      </c>
      <c r="Q2641">
        <v>30.456</v>
      </c>
      <c r="R2641" t="s">
        <v>310</v>
      </c>
      <c r="S2641" t="s">
        <v>25</v>
      </c>
      <c r="T2641">
        <f>IF(TRIM(Table1[[#This Row],[PitStopLaps]])="",0,
LEN(Table1[[#This Row],[PitStopLaps]])-LEN(SUBSTITUTE(Table1[[#This Row],[PitStopLaps]],",",""))+1)</f>
        <v>2</v>
      </c>
      <c r="U2641">
        <f>Table1[[#This Row],[StartPosition]]-Table1[[#This Row],[FinishPosition]]</f>
        <v>1</v>
      </c>
    </row>
    <row r="2642" spans="1:21" x14ac:dyDescent="0.3">
      <c r="A2642">
        <v>2024</v>
      </c>
      <c r="B2642">
        <v>9</v>
      </c>
      <c r="C2642" t="s">
        <v>142</v>
      </c>
      <c r="D2642" t="s">
        <v>246</v>
      </c>
      <c r="E2642" t="s">
        <v>247</v>
      </c>
      <c r="F2642" t="s">
        <v>37</v>
      </c>
      <c r="G2642">
        <v>3</v>
      </c>
      <c r="H2642">
        <v>2</v>
      </c>
      <c r="I2642">
        <v>18</v>
      </c>
      <c r="J2642" t="s">
        <v>23</v>
      </c>
      <c r="K2642" t="s">
        <v>24</v>
      </c>
      <c r="L2642">
        <v>70</v>
      </c>
      <c r="M2642">
        <v>75.558000000000007</v>
      </c>
      <c r="N2642">
        <v>84.738403000000005</v>
      </c>
      <c r="O2642">
        <v>21.061</v>
      </c>
      <c r="P2642">
        <v>23.963000000000001</v>
      </c>
      <c r="Q2642">
        <v>30.521999999999998</v>
      </c>
      <c r="R2642" t="s">
        <v>1227</v>
      </c>
      <c r="S2642" t="s">
        <v>25</v>
      </c>
      <c r="T2642">
        <f>IF(TRIM(Table1[[#This Row],[PitStopLaps]])="",0,
LEN(Table1[[#This Row],[PitStopLaps]])-LEN(SUBSTITUTE(Table1[[#This Row],[PitStopLaps]],",",""))+1)</f>
        <v>2</v>
      </c>
      <c r="U2642">
        <f>Table1[[#This Row],[StartPosition]]-Table1[[#This Row],[FinishPosition]]</f>
        <v>1</v>
      </c>
    </row>
    <row r="2643" spans="1:21" x14ac:dyDescent="0.3">
      <c r="A2643">
        <v>2024</v>
      </c>
      <c r="B2643">
        <v>9</v>
      </c>
      <c r="C2643" t="s">
        <v>142</v>
      </c>
      <c r="D2643" t="s">
        <v>252</v>
      </c>
      <c r="E2643" t="s">
        <v>253</v>
      </c>
      <c r="F2643" t="s">
        <v>28</v>
      </c>
      <c r="G2643">
        <v>1</v>
      </c>
      <c r="H2643">
        <v>3</v>
      </c>
      <c r="I2643">
        <v>15</v>
      </c>
      <c r="J2643" t="s">
        <v>23</v>
      </c>
      <c r="K2643" t="s">
        <v>24</v>
      </c>
      <c r="L2643">
        <v>70</v>
      </c>
      <c r="M2643">
        <v>74.894999999999996</v>
      </c>
      <c r="N2643">
        <v>84.921666000000002</v>
      </c>
      <c r="O2643">
        <v>21.202999999999999</v>
      </c>
      <c r="P2643">
        <v>23.670999999999999</v>
      </c>
      <c r="Q2643">
        <v>30.021000000000001</v>
      </c>
      <c r="R2643" t="s">
        <v>1228</v>
      </c>
      <c r="S2643" t="s">
        <v>25</v>
      </c>
      <c r="T2643">
        <f>IF(TRIM(Table1[[#This Row],[PitStopLaps]])="",0,
LEN(Table1[[#This Row],[PitStopLaps]])-LEN(SUBSTITUTE(Table1[[#This Row],[PitStopLaps]],",",""))+1)</f>
        <v>3</v>
      </c>
      <c r="U2643">
        <f>Table1[[#This Row],[StartPosition]]-Table1[[#This Row],[FinishPosition]]</f>
        <v>-2</v>
      </c>
    </row>
    <row r="2644" spans="1:21" x14ac:dyDescent="0.3">
      <c r="A2644">
        <v>2024</v>
      </c>
      <c r="B2644">
        <v>9</v>
      </c>
      <c r="C2644" t="s">
        <v>142</v>
      </c>
      <c r="D2644" t="s">
        <v>26</v>
      </c>
      <c r="E2644" t="s">
        <v>27</v>
      </c>
      <c r="F2644" t="s">
        <v>28</v>
      </c>
      <c r="G2644">
        <v>7</v>
      </c>
      <c r="H2644">
        <v>4</v>
      </c>
      <c r="I2644">
        <v>13</v>
      </c>
      <c r="J2644" t="s">
        <v>34</v>
      </c>
      <c r="K2644" t="s">
        <v>24</v>
      </c>
      <c r="L2644">
        <v>70</v>
      </c>
      <c r="M2644">
        <v>74.855999999999995</v>
      </c>
      <c r="N2644">
        <v>85.107122000000004</v>
      </c>
      <c r="O2644">
        <v>21.126000000000001</v>
      </c>
      <c r="P2644">
        <v>23.678999999999998</v>
      </c>
      <c r="Q2644">
        <v>29.89</v>
      </c>
      <c r="R2644" t="s">
        <v>1229</v>
      </c>
      <c r="S2644" t="s">
        <v>25</v>
      </c>
      <c r="T2644">
        <f>IF(TRIM(Table1[[#This Row],[PitStopLaps]])="",0,
LEN(Table1[[#This Row],[PitStopLaps]])-LEN(SUBSTITUTE(Table1[[#This Row],[PitStopLaps]],",",""))+1)</f>
        <v>3</v>
      </c>
      <c r="U2644">
        <f>Table1[[#This Row],[StartPosition]]-Table1[[#This Row],[FinishPosition]]</f>
        <v>3</v>
      </c>
    </row>
    <row r="2645" spans="1:21" x14ac:dyDescent="0.3">
      <c r="A2645">
        <v>2024</v>
      </c>
      <c r="B2645">
        <v>9</v>
      </c>
      <c r="C2645" t="s">
        <v>142</v>
      </c>
      <c r="D2645" t="s">
        <v>1000</v>
      </c>
      <c r="E2645" t="s">
        <v>1001</v>
      </c>
      <c r="F2645" t="s">
        <v>37</v>
      </c>
      <c r="G2645">
        <v>4</v>
      </c>
      <c r="H2645">
        <v>5</v>
      </c>
      <c r="I2645">
        <v>10</v>
      </c>
      <c r="J2645" t="s">
        <v>34</v>
      </c>
      <c r="K2645" t="s">
        <v>24</v>
      </c>
      <c r="L2645">
        <v>70</v>
      </c>
      <c r="M2645">
        <v>76.247</v>
      </c>
      <c r="N2645">
        <v>84.941017000000002</v>
      </c>
      <c r="O2645">
        <v>21.138999999999999</v>
      </c>
      <c r="P2645">
        <v>24.073</v>
      </c>
      <c r="Q2645">
        <v>30.443999999999999</v>
      </c>
      <c r="R2645" t="s">
        <v>1230</v>
      </c>
      <c r="S2645" t="s">
        <v>25</v>
      </c>
      <c r="T2645">
        <f>IF(TRIM(Table1[[#This Row],[PitStopLaps]])="",0,
LEN(Table1[[#This Row],[PitStopLaps]])-LEN(SUBSTITUTE(Table1[[#This Row],[PitStopLaps]],",",""))+1)</f>
        <v>2</v>
      </c>
      <c r="U2645">
        <f>Table1[[#This Row],[StartPosition]]-Table1[[#This Row],[FinishPosition]]</f>
        <v>-1</v>
      </c>
    </row>
    <row r="2646" spans="1:21" x14ac:dyDescent="0.3">
      <c r="A2646">
        <v>2024</v>
      </c>
      <c r="B2646">
        <v>9</v>
      </c>
      <c r="C2646" t="s">
        <v>142</v>
      </c>
      <c r="D2646" t="s">
        <v>35</v>
      </c>
      <c r="E2646" t="s">
        <v>36</v>
      </c>
      <c r="F2646" t="s">
        <v>603</v>
      </c>
      <c r="G2646">
        <v>6</v>
      </c>
      <c r="H2646">
        <v>6</v>
      </c>
      <c r="I2646">
        <v>8</v>
      </c>
      <c r="J2646" t="s">
        <v>34</v>
      </c>
      <c r="K2646" t="s">
        <v>24</v>
      </c>
      <c r="L2646">
        <v>70</v>
      </c>
      <c r="M2646">
        <v>76.302999999999997</v>
      </c>
      <c r="N2646">
        <v>85.858999999999995</v>
      </c>
      <c r="O2646">
        <v>21.619</v>
      </c>
      <c r="P2646">
        <v>24.096</v>
      </c>
      <c r="Q2646">
        <v>30.523</v>
      </c>
      <c r="R2646" t="s">
        <v>1230</v>
      </c>
      <c r="S2646" t="s">
        <v>25</v>
      </c>
      <c r="T2646">
        <f>IF(TRIM(Table1[[#This Row],[PitStopLaps]])="",0,
LEN(Table1[[#This Row],[PitStopLaps]])-LEN(SUBSTITUTE(Table1[[#This Row],[PitStopLaps]],",",""))+1)</f>
        <v>2</v>
      </c>
      <c r="U2646">
        <f>Table1[[#This Row],[StartPosition]]-Table1[[#This Row],[FinishPosition]]</f>
        <v>0</v>
      </c>
    </row>
    <row r="2647" spans="1:21" x14ac:dyDescent="0.3">
      <c r="A2647">
        <v>2024</v>
      </c>
      <c r="B2647">
        <v>9</v>
      </c>
      <c r="C2647" t="s">
        <v>142</v>
      </c>
      <c r="D2647" t="s">
        <v>58</v>
      </c>
      <c r="E2647" t="s">
        <v>59</v>
      </c>
      <c r="F2647" t="s">
        <v>603</v>
      </c>
      <c r="G2647">
        <v>9</v>
      </c>
      <c r="H2647">
        <v>7</v>
      </c>
      <c r="I2647">
        <v>6</v>
      </c>
      <c r="J2647" t="s">
        <v>34</v>
      </c>
      <c r="K2647" t="s">
        <v>24</v>
      </c>
      <c r="L2647">
        <v>70</v>
      </c>
      <c r="M2647">
        <v>76.762</v>
      </c>
      <c r="N2647">
        <v>86.418857000000003</v>
      </c>
      <c r="O2647">
        <v>21.606000000000002</v>
      </c>
      <c r="P2647">
        <v>24.268000000000001</v>
      </c>
      <c r="Q2647">
        <v>30.821999999999999</v>
      </c>
      <c r="R2647" t="s">
        <v>1230</v>
      </c>
      <c r="S2647" t="s">
        <v>25</v>
      </c>
      <c r="T2647">
        <f>IF(TRIM(Table1[[#This Row],[PitStopLaps]])="",0,
LEN(Table1[[#This Row],[PitStopLaps]])-LEN(SUBSTITUTE(Table1[[#This Row],[PitStopLaps]],",",""))+1)</f>
        <v>2</v>
      </c>
      <c r="U2647">
        <f>Table1[[#This Row],[StartPosition]]-Table1[[#This Row],[FinishPosition]]</f>
        <v>2</v>
      </c>
    </row>
    <row r="2648" spans="1:21" x14ac:dyDescent="0.3">
      <c r="A2648">
        <v>2024</v>
      </c>
      <c r="B2648">
        <v>9</v>
      </c>
      <c r="C2648" t="s">
        <v>142</v>
      </c>
      <c r="D2648" t="s">
        <v>31</v>
      </c>
      <c r="E2648" t="s">
        <v>32</v>
      </c>
      <c r="F2648" t="s">
        <v>1176</v>
      </c>
      <c r="G2648">
        <v>5</v>
      </c>
      <c r="H2648">
        <v>8</v>
      </c>
      <c r="I2648">
        <v>4</v>
      </c>
      <c r="J2648" t="s">
        <v>34</v>
      </c>
      <c r="K2648" t="s">
        <v>24</v>
      </c>
      <c r="L2648">
        <v>70</v>
      </c>
      <c r="M2648">
        <v>77.075999999999993</v>
      </c>
      <c r="N2648">
        <v>86.451106999999993</v>
      </c>
      <c r="O2648">
        <v>21.655000000000001</v>
      </c>
      <c r="P2648">
        <v>24.283999999999999</v>
      </c>
      <c r="Q2648">
        <v>30.3</v>
      </c>
      <c r="R2648" t="s">
        <v>1231</v>
      </c>
      <c r="S2648" t="s">
        <v>25</v>
      </c>
      <c r="T2648">
        <f>IF(TRIM(Table1[[#This Row],[PitStopLaps]])="",0,
LEN(Table1[[#This Row],[PitStopLaps]])-LEN(SUBSTITUTE(Table1[[#This Row],[PitStopLaps]],",",""))+1)</f>
        <v>2</v>
      </c>
      <c r="U2648">
        <f>Table1[[#This Row],[StartPosition]]-Table1[[#This Row],[FinishPosition]]</f>
        <v>-3</v>
      </c>
    </row>
    <row r="2649" spans="1:21" x14ac:dyDescent="0.3">
      <c r="A2649">
        <v>2024</v>
      </c>
      <c r="B2649">
        <v>9</v>
      </c>
      <c r="C2649" t="s">
        <v>142</v>
      </c>
      <c r="D2649" t="s">
        <v>73</v>
      </c>
      <c r="E2649" t="s">
        <v>74</v>
      </c>
      <c r="F2649" t="s">
        <v>607</v>
      </c>
      <c r="G2649">
        <v>15</v>
      </c>
      <c r="H2649">
        <v>9</v>
      </c>
      <c r="I2649">
        <v>2</v>
      </c>
      <c r="J2649" t="s">
        <v>34</v>
      </c>
      <c r="K2649" t="s">
        <v>24</v>
      </c>
      <c r="L2649">
        <v>70</v>
      </c>
      <c r="M2649">
        <v>77.013000000000005</v>
      </c>
      <c r="N2649">
        <v>86.491463999999993</v>
      </c>
      <c r="O2649">
        <v>21.853999999999999</v>
      </c>
      <c r="P2649">
        <v>24.347999999999999</v>
      </c>
      <c r="Q2649">
        <v>30.623000000000001</v>
      </c>
      <c r="R2649" t="s">
        <v>1232</v>
      </c>
      <c r="S2649" t="s">
        <v>25</v>
      </c>
      <c r="T2649">
        <f>IF(TRIM(Table1[[#This Row],[PitStopLaps]])="",0,
LEN(Table1[[#This Row],[PitStopLaps]])-LEN(SUBSTITUTE(Table1[[#This Row],[PitStopLaps]],",",""))+1)</f>
        <v>2</v>
      </c>
      <c r="U2649">
        <f>Table1[[#This Row],[StartPosition]]-Table1[[#This Row],[FinishPosition]]</f>
        <v>6</v>
      </c>
    </row>
    <row r="2650" spans="1:21" x14ac:dyDescent="0.3">
      <c r="A2650">
        <v>2024</v>
      </c>
      <c r="B2650">
        <v>9</v>
      </c>
      <c r="C2650" t="s">
        <v>142</v>
      </c>
      <c r="D2650" t="s">
        <v>52</v>
      </c>
      <c r="E2650" t="s">
        <v>53</v>
      </c>
      <c r="F2650" t="s">
        <v>607</v>
      </c>
      <c r="G2650">
        <v>18</v>
      </c>
      <c r="H2650">
        <v>10</v>
      </c>
      <c r="I2650">
        <v>1</v>
      </c>
      <c r="J2650" t="s">
        <v>34</v>
      </c>
      <c r="K2650" t="s">
        <v>24</v>
      </c>
      <c r="L2650">
        <v>70</v>
      </c>
      <c r="M2650">
        <v>77.012</v>
      </c>
      <c r="N2650">
        <v>86.661356999999995</v>
      </c>
      <c r="O2650">
        <v>22.041</v>
      </c>
      <c r="P2650">
        <v>24.498000000000001</v>
      </c>
      <c r="Q2650">
        <v>30.373000000000001</v>
      </c>
      <c r="R2650">
        <v>44</v>
      </c>
      <c r="S2650" t="s">
        <v>25</v>
      </c>
      <c r="T2650">
        <f>IF(TRIM(Table1[[#This Row],[PitStopLaps]])="",0,
LEN(Table1[[#This Row],[PitStopLaps]])-LEN(SUBSTITUTE(Table1[[#This Row],[PitStopLaps]],",",""))+1)</f>
        <v>1</v>
      </c>
      <c r="U2650">
        <f>Table1[[#This Row],[StartPosition]]-Table1[[#This Row],[FinishPosition]]</f>
        <v>8</v>
      </c>
    </row>
    <row r="2651" spans="1:21" x14ac:dyDescent="0.3">
      <c r="A2651">
        <v>2024</v>
      </c>
      <c r="B2651">
        <v>9</v>
      </c>
      <c r="C2651" t="s">
        <v>142</v>
      </c>
      <c r="D2651" t="s">
        <v>40</v>
      </c>
      <c r="E2651" t="s">
        <v>41</v>
      </c>
      <c r="F2651" t="s">
        <v>69</v>
      </c>
      <c r="G2651">
        <v>17</v>
      </c>
      <c r="H2651">
        <v>11</v>
      </c>
      <c r="I2651">
        <v>0</v>
      </c>
      <c r="J2651" t="s">
        <v>34</v>
      </c>
      <c r="K2651" t="s">
        <v>24</v>
      </c>
      <c r="L2651">
        <v>70</v>
      </c>
      <c r="M2651">
        <v>76.683000000000007</v>
      </c>
      <c r="N2651">
        <v>86.396300999999994</v>
      </c>
      <c r="O2651">
        <v>21.533000000000001</v>
      </c>
      <c r="P2651">
        <v>24.370999999999999</v>
      </c>
      <c r="Q2651">
        <v>30.425999999999998</v>
      </c>
      <c r="R2651" t="s">
        <v>1233</v>
      </c>
      <c r="S2651" t="s">
        <v>25</v>
      </c>
      <c r="T2651">
        <f>IF(TRIM(Table1[[#This Row],[PitStopLaps]])="",0,
LEN(Table1[[#This Row],[PitStopLaps]])-LEN(SUBSTITUTE(Table1[[#This Row],[PitStopLaps]],",",""))+1)</f>
        <v>3</v>
      </c>
      <c r="U2651">
        <f>Table1[[#This Row],[StartPosition]]-Table1[[#This Row],[FinishPosition]]</f>
        <v>6</v>
      </c>
    </row>
    <row r="2652" spans="1:21" x14ac:dyDescent="0.3">
      <c r="A2652">
        <v>2024</v>
      </c>
      <c r="B2652">
        <v>9</v>
      </c>
      <c r="C2652" t="s">
        <v>142</v>
      </c>
      <c r="D2652" t="s">
        <v>71</v>
      </c>
      <c r="E2652" t="s">
        <v>72</v>
      </c>
      <c r="F2652" t="s">
        <v>69</v>
      </c>
      <c r="G2652">
        <v>14</v>
      </c>
      <c r="H2652">
        <v>12</v>
      </c>
      <c r="I2652">
        <v>0</v>
      </c>
      <c r="J2652" t="s">
        <v>34</v>
      </c>
      <c r="K2652" t="s">
        <v>24</v>
      </c>
      <c r="L2652">
        <v>70</v>
      </c>
      <c r="M2652">
        <v>76.498999999999995</v>
      </c>
      <c r="N2652">
        <v>86.167444000000003</v>
      </c>
      <c r="O2652">
        <v>21.687999999999999</v>
      </c>
      <c r="P2652">
        <v>24.187000000000001</v>
      </c>
      <c r="Q2652">
        <v>30.439</v>
      </c>
      <c r="R2652" t="s">
        <v>1234</v>
      </c>
      <c r="S2652" t="s">
        <v>25</v>
      </c>
      <c r="T2652">
        <f>IF(TRIM(Table1[[#This Row],[PitStopLaps]])="",0,
LEN(Table1[[#This Row],[PitStopLaps]])-LEN(SUBSTITUTE(Table1[[#This Row],[PitStopLaps]],",",""))+1)</f>
        <v>4</v>
      </c>
      <c r="U2652">
        <f>Table1[[#This Row],[StartPosition]]-Table1[[#This Row],[FinishPosition]]</f>
        <v>2</v>
      </c>
    </row>
    <row r="2653" spans="1:21" x14ac:dyDescent="0.3">
      <c r="A2653">
        <v>2024</v>
      </c>
      <c r="B2653">
        <v>9</v>
      </c>
      <c r="C2653" t="s">
        <v>142</v>
      </c>
      <c r="D2653" t="s">
        <v>43</v>
      </c>
      <c r="E2653" t="s">
        <v>44</v>
      </c>
      <c r="F2653" t="s">
        <v>1175</v>
      </c>
      <c r="G2653">
        <v>19</v>
      </c>
      <c r="H2653">
        <v>13</v>
      </c>
      <c r="I2653">
        <v>0</v>
      </c>
      <c r="J2653" t="s">
        <v>34</v>
      </c>
      <c r="K2653" t="s">
        <v>24</v>
      </c>
      <c r="L2653">
        <v>70</v>
      </c>
      <c r="M2653">
        <v>77.25</v>
      </c>
      <c r="N2653">
        <v>87.005726999999993</v>
      </c>
      <c r="O2653">
        <v>21.841999999999999</v>
      </c>
      <c r="P2653">
        <v>24.582999999999998</v>
      </c>
      <c r="Q2653">
        <v>30.757999999999999</v>
      </c>
      <c r="R2653">
        <v>42</v>
      </c>
      <c r="S2653" t="s">
        <v>25</v>
      </c>
      <c r="T2653">
        <f>IF(TRIM(Table1[[#This Row],[PitStopLaps]])="",0,
LEN(Table1[[#This Row],[PitStopLaps]])-LEN(SUBSTITUTE(Table1[[#This Row],[PitStopLaps]],",",""))+1)</f>
        <v>1</v>
      </c>
      <c r="U2653">
        <f>Table1[[#This Row],[StartPosition]]-Table1[[#This Row],[FinishPosition]]</f>
        <v>6</v>
      </c>
    </row>
    <row r="2654" spans="1:21" x14ac:dyDescent="0.3">
      <c r="A2654">
        <v>2024</v>
      </c>
      <c r="B2654">
        <v>9</v>
      </c>
      <c r="C2654" t="s">
        <v>142</v>
      </c>
      <c r="D2654" t="s">
        <v>601</v>
      </c>
      <c r="E2654" t="s">
        <v>602</v>
      </c>
      <c r="F2654" t="s">
        <v>1176</v>
      </c>
      <c r="G2654">
        <v>8</v>
      </c>
      <c r="H2654">
        <v>14</v>
      </c>
      <c r="I2654">
        <v>0</v>
      </c>
      <c r="J2654" t="s">
        <v>34</v>
      </c>
      <c r="K2654" t="s">
        <v>24</v>
      </c>
      <c r="L2654">
        <v>70</v>
      </c>
      <c r="M2654">
        <v>77.308999999999997</v>
      </c>
      <c r="N2654">
        <v>87.048589000000007</v>
      </c>
      <c r="O2654">
        <v>21.817</v>
      </c>
      <c r="P2654">
        <v>24.315999999999999</v>
      </c>
      <c r="Q2654">
        <v>30.957999999999998</v>
      </c>
      <c r="R2654">
        <v>44</v>
      </c>
      <c r="S2654" t="s">
        <v>25</v>
      </c>
      <c r="T2654">
        <f>IF(TRIM(Table1[[#This Row],[PitStopLaps]])="",0,
LEN(Table1[[#This Row],[PitStopLaps]])-LEN(SUBSTITUTE(Table1[[#This Row],[PitStopLaps]],",",""))+1)</f>
        <v>1</v>
      </c>
      <c r="U2654">
        <f>Table1[[#This Row],[StartPosition]]-Table1[[#This Row],[FinishPosition]]</f>
        <v>-6</v>
      </c>
    </row>
    <row r="2655" spans="1:21" x14ac:dyDescent="0.3">
      <c r="A2655">
        <v>2024</v>
      </c>
      <c r="B2655">
        <v>9</v>
      </c>
      <c r="C2655" t="s">
        <v>142</v>
      </c>
      <c r="D2655" t="s">
        <v>794</v>
      </c>
      <c r="E2655" t="s">
        <v>795</v>
      </c>
      <c r="F2655" t="s">
        <v>1175</v>
      </c>
      <c r="G2655">
        <v>20</v>
      </c>
      <c r="H2655">
        <v>15</v>
      </c>
      <c r="I2655">
        <v>0</v>
      </c>
      <c r="J2655" t="s">
        <v>34</v>
      </c>
      <c r="K2655" t="s">
        <v>994</v>
      </c>
      <c r="L2655">
        <v>69</v>
      </c>
      <c r="M2655">
        <v>77.325000000000003</v>
      </c>
      <c r="N2655">
        <v>88.160702999999998</v>
      </c>
      <c r="O2655">
        <v>22.045999999999999</v>
      </c>
      <c r="P2655">
        <v>24.3</v>
      </c>
      <c r="Q2655">
        <v>30.834</v>
      </c>
      <c r="R2655" t="s">
        <v>1235</v>
      </c>
      <c r="S2655" t="s">
        <v>25</v>
      </c>
      <c r="T2655">
        <f>IF(TRIM(Table1[[#This Row],[PitStopLaps]])="",0,
LEN(Table1[[#This Row],[PitStopLaps]])-LEN(SUBSTITUTE(Table1[[#This Row],[PitStopLaps]],",",""))+1)</f>
        <v>3</v>
      </c>
      <c r="U2655">
        <f>Table1[[#This Row],[StartPosition]]-Table1[[#This Row],[FinishPosition]]</f>
        <v>5</v>
      </c>
    </row>
    <row r="2656" spans="1:21" x14ac:dyDescent="0.3">
      <c r="A2656">
        <v>2024</v>
      </c>
      <c r="B2656">
        <v>9</v>
      </c>
      <c r="C2656" t="s">
        <v>142</v>
      </c>
      <c r="D2656" t="s">
        <v>47</v>
      </c>
      <c r="E2656" t="s">
        <v>48</v>
      </c>
      <c r="F2656" t="s">
        <v>22</v>
      </c>
      <c r="G2656">
        <v>12</v>
      </c>
      <c r="H2656">
        <v>16</v>
      </c>
      <c r="I2656">
        <v>0</v>
      </c>
      <c r="J2656" t="s">
        <v>34</v>
      </c>
      <c r="K2656" t="s">
        <v>179</v>
      </c>
      <c r="L2656">
        <v>53</v>
      </c>
      <c r="M2656">
        <v>78.956999999999994</v>
      </c>
      <c r="N2656">
        <v>88.825408999999993</v>
      </c>
      <c r="O2656">
        <v>23.001999999999999</v>
      </c>
      <c r="P2656">
        <v>24.896000000000001</v>
      </c>
      <c r="Q2656">
        <v>31.047999999999998</v>
      </c>
      <c r="R2656" t="s">
        <v>1236</v>
      </c>
      <c r="S2656" t="s">
        <v>25</v>
      </c>
      <c r="T2656">
        <f>IF(TRIM(Table1[[#This Row],[PitStopLaps]])="",0,
LEN(Table1[[#This Row],[PitStopLaps]])-LEN(SUBSTITUTE(Table1[[#This Row],[PitStopLaps]],",",""))+1)</f>
        <v>3</v>
      </c>
      <c r="U2656">
        <f>Table1[[#This Row],[StartPosition]]-Table1[[#This Row],[FinishPosition]]</f>
        <v>-4</v>
      </c>
    </row>
    <row r="2657" spans="1:21" x14ac:dyDescent="0.3">
      <c r="A2657">
        <v>2024</v>
      </c>
      <c r="B2657">
        <v>9</v>
      </c>
      <c r="C2657" t="s">
        <v>142</v>
      </c>
      <c r="D2657" t="s">
        <v>248</v>
      </c>
      <c r="E2657" t="s">
        <v>249</v>
      </c>
      <c r="F2657" t="s">
        <v>60</v>
      </c>
      <c r="G2657">
        <v>10</v>
      </c>
      <c r="H2657">
        <v>17</v>
      </c>
      <c r="I2657">
        <v>0</v>
      </c>
      <c r="J2657" t="s">
        <v>34</v>
      </c>
      <c r="K2657" t="s">
        <v>179</v>
      </c>
      <c r="L2657">
        <v>53</v>
      </c>
      <c r="M2657">
        <v>79.358999999999995</v>
      </c>
      <c r="N2657">
        <v>88.808909</v>
      </c>
      <c r="O2657">
        <v>22.826000000000001</v>
      </c>
      <c r="P2657">
        <v>24.977</v>
      </c>
      <c r="Q2657">
        <v>31.155000000000001</v>
      </c>
      <c r="R2657" t="s">
        <v>1230</v>
      </c>
      <c r="S2657" t="s">
        <v>25</v>
      </c>
      <c r="T2657">
        <f>IF(TRIM(Table1[[#This Row],[PitStopLaps]])="",0,
LEN(Table1[[#This Row],[PitStopLaps]])-LEN(SUBSTITUTE(Table1[[#This Row],[PitStopLaps]],",",""))+1)</f>
        <v>2</v>
      </c>
      <c r="U2657">
        <f>Table1[[#This Row],[StartPosition]]-Table1[[#This Row],[FinishPosition]]</f>
        <v>-7</v>
      </c>
    </row>
    <row r="2658" spans="1:21" x14ac:dyDescent="0.3">
      <c r="A2658">
        <v>2024</v>
      </c>
      <c r="B2658">
        <v>9</v>
      </c>
      <c r="C2658" t="s">
        <v>142</v>
      </c>
      <c r="D2658" t="s">
        <v>49</v>
      </c>
      <c r="E2658" t="s">
        <v>50</v>
      </c>
      <c r="F2658" t="s">
        <v>33</v>
      </c>
      <c r="G2658">
        <v>16</v>
      </c>
      <c r="H2658">
        <v>18</v>
      </c>
      <c r="I2658">
        <v>0</v>
      </c>
      <c r="J2658" t="s">
        <v>34</v>
      </c>
      <c r="K2658" t="s">
        <v>179</v>
      </c>
      <c r="L2658">
        <v>52</v>
      </c>
      <c r="M2658">
        <v>78.819000000000003</v>
      </c>
      <c r="N2658">
        <v>89.168953000000002</v>
      </c>
      <c r="O2658">
        <v>23.045000000000002</v>
      </c>
      <c r="P2658">
        <v>24.86</v>
      </c>
      <c r="Q2658">
        <v>30.914000000000001</v>
      </c>
      <c r="R2658" t="s">
        <v>1237</v>
      </c>
      <c r="S2658" t="s">
        <v>25</v>
      </c>
      <c r="T2658">
        <f>IF(TRIM(Table1[[#This Row],[PitStopLaps]])="",0,
LEN(Table1[[#This Row],[PitStopLaps]])-LEN(SUBSTITUTE(Table1[[#This Row],[PitStopLaps]],",",""))+1)</f>
        <v>3</v>
      </c>
      <c r="U2658">
        <f>Table1[[#This Row],[StartPosition]]-Table1[[#This Row],[FinishPosition]]</f>
        <v>-2</v>
      </c>
    </row>
    <row r="2659" spans="1:21" x14ac:dyDescent="0.3">
      <c r="A2659">
        <v>2024</v>
      </c>
      <c r="B2659">
        <v>9</v>
      </c>
      <c r="C2659" t="s">
        <v>142</v>
      </c>
      <c r="D2659" t="s">
        <v>54</v>
      </c>
      <c r="E2659" t="s">
        <v>55</v>
      </c>
      <c r="F2659" t="s">
        <v>22</v>
      </c>
      <c r="G2659">
        <v>11</v>
      </c>
      <c r="H2659">
        <v>19</v>
      </c>
      <c r="I2659">
        <v>0</v>
      </c>
      <c r="J2659" t="s">
        <v>34</v>
      </c>
      <c r="K2659" t="s">
        <v>179</v>
      </c>
      <c r="L2659">
        <v>41</v>
      </c>
      <c r="M2659">
        <v>86.012</v>
      </c>
      <c r="N2659">
        <v>91.262311999999994</v>
      </c>
      <c r="O2659">
        <v>25.161999999999999</v>
      </c>
      <c r="P2659">
        <v>27.34</v>
      </c>
      <c r="Q2659">
        <v>33.034999999999997</v>
      </c>
      <c r="R2659" t="s">
        <v>1238</v>
      </c>
      <c r="S2659" t="s">
        <v>25</v>
      </c>
      <c r="T2659">
        <f>IF(TRIM(Table1[[#This Row],[PitStopLaps]])="",0,
LEN(Table1[[#This Row],[PitStopLaps]])-LEN(SUBSTITUTE(Table1[[#This Row],[PitStopLaps]],",",""))+1)</f>
        <v>4</v>
      </c>
      <c r="U2659">
        <f>Table1[[#This Row],[StartPosition]]-Table1[[#This Row],[FinishPosition]]</f>
        <v>-8</v>
      </c>
    </row>
    <row r="2660" spans="1:21" x14ac:dyDescent="0.3">
      <c r="A2660">
        <v>2024</v>
      </c>
      <c r="B2660">
        <v>9</v>
      </c>
      <c r="C2660" t="s">
        <v>142</v>
      </c>
      <c r="D2660" t="s">
        <v>992</v>
      </c>
      <c r="E2660" t="s">
        <v>993</v>
      </c>
      <c r="F2660" t="s">
        <v>60</v>
      </c>
      <c r="G2660">
        <v>13</v>
      </c>
      <c r="H2660">
        <v>20</v>
      </c>
      <c r="I2660">
        <v>0</v>
      </c>
      <c r="J2660" t="s">
        <v>34</v>
      </c>
      <c r="K2660" t="s">
        <v>179</v>
      </c>
      <c r="L2660">
        <v>24</v>
      </c>
      <c r="M2660">
        <v>86.483999999999995</v>
      </c>
      <c r="N2660">
        <v>93.037908999999999</v>
      </c>
      <c r="O2660">
        <v>25.568999999999999</v>
      </c>
      <c r="P2660">
        <v>27.437999999999999</v>
      </c>
      <c r="Q2660">
        <v>33.42</v>
      </c>
      <c r="S2660" t="s">
        <v>25</v>
      </c>
      <c r="T2660">
        <f>IF(TRIM(Table1[[#This Row],[PitStopLaps]])="",0,
LEN(Table1[[#This Row],[PitStopLaps]])-LEN(SUBSTITUTE(Table1[[#This Row],[PitStopLaps]],",",""))+1)</f>
        <v>0</v>
      </c>
      <c r="U2660">
        <f>Table1[[#This Row],[StartPosition]]-Table1[[#This Row],[FinishPosition]]</f>
        <v>-7</v>
      </c>
    </row>
    <row r="2661" spans="1:21" x14ac:dyDescent="0.3">
      <c r="A2661">
        <v>2024</v>
      </c>
      <c r="B2661">
        <v>10</v>
      </c>
      <c r="C2661" t="s">
        <v>125</v>
      </c>
      <c r="D2661" t="s">
        <v>38</v>
      </c>
      <c r="E2661" t="s">
        <v>39</v>
      </c>
      <c r="F2661" t="s">
        <v>33</v>
      </c>
      <c r="G2661">
        <v>2</v>
      </c>
      <c r="H2661">
        <v>1</v>
      </c>
      <c r="I2661">
        <v>25</v>
      </c>
      <c r="J2661" t="s">
        <v>23</v>
      </c>
      <c r="K2661" t="s">
        <v>24</v>
      </c>
      <c r="L2661">
        <v>66</v>
      </c>
      <c r="M2661">
        <v>77.775999999999996</v>
      </c>
      <c r="N2661">
        <v>79.574229000000003</v>
      </c>
      <c r="O2661">
        <v>23.032</v>
      </c>
      <c r="P2661">
        <v>31.242000000000001</v>
      </c>
      <c r="Q2661">
        <v>23.363</v>
      </c>
      <c r="R2661" t="s">
        <v>527</v>
      </c>
      <c r="S2661" t="s">
        <v>25</v>
      </c>
      <c r="T2661">
        <f>IF(TRIM(Table1[[#This Row],[PitStopLaps]])="",0,
LEN(Table1[[#This Row],[PitStopLaps]])-LEN(SUBSTITUTE(Table1[[#This Row],[PitStopLaps]],",",""))+1)</f>
        <v>2</v>
      </c>
      <c r="U2661">
        <f>Table1[[#This Row],[StartPosition]]-Table1[[#This Row],[FinishPosition]]</f>
        <v>1</v>
      </c>
    </row>
    <row r="2662" spans="1:21" x14ac:dyDescent="0.3">
      <c r="A2662">
        <v>2024</v>
      </c>
      <c r="B2662">
        <v>10</v>
      </c>
      <c r="C2662" t="s">
        <v>125</v>
      </c>
      <c r="D2662" t="s">
        <v>246</v>
      </c>
      <c r="E2662" t="s">
        <v>247</v>
      </c>
      <c r="F2662" t="s">
        <v>37</v>
      </c>
      <c r="G2662">
        <v>1</v>
      </c>
      <c r="H2662">
        <v>2</v>
      </c>
      <c r="I2662">
        <v>19</v>
      </c>
      <c r="J2662" t="s">
        <v>23</v>
      </c>
      <c r="K2662" t="s">
        <v>24</v>
      </c>
      <c r="L2662">
        <v>66</v>
      </c>
      <c r="M2662">
        <v>77.114999999999995</v>
      </c>
      <c r="N2662">
        <v>79.598737</v>
      </c>
      <c r="O2662">
        <v>22.594999999999999</v>
      </c>
      <c r="P2662">
        <v>31.242999999999999</v>
      </c>
      <c r="Q2662">
        <v>23.245999999999999</v>
      </c>
      <c r="R2662" t="s">
        <v>947</v>
      </c>
      <c r="S2662" t="s">
        <v>25</v>
      </c>
      <c r="T2662">
        <f>IF(TRIM(Table1[[#This Row],[PitStopLaps]])="",0,
LEN(Table1[[#This Row],[PitStopLaps]])-LEN(SUBSTITUTE(Table1[[#This Row],[PitStopLaps]],",",""))+1)</f>
        <v>2</v>
      </c>
      <c r="U2662">
        <f>Table1[[#This Row],[StartPosition]]-Table1[[#This Row],[FinishPosition]]</f>
        <v>-1</v>
      </c>
    </row>
    <row r="2663" spans="1:21" x14ac:dyDescent="0.3">
      <c r="A2663">
        <v>2024</v>
      </c>
      <c r="B2663">
        <v>10</v>
      </c>
      <c r="C2663" t="s">
        <v>125</v>
      </c>
      <c r="D2663" t="s">
        <v>26</v>
      </c>
      <c r="E2663" t="s">
        <v>27</v>
      </c>
      <c r="F2663" t="s">
        <v>28</v>
      </c>
      <c r="G2663">
        <v>3</v>
      </c>
      <c r="H2663">
        <v>3</v>
      </c>
      <c r="I2663">
        <v>15</v>
      </c>
      <c r="J2663" t="s">
        <v>23</v>
      </c>
      <c r="K2663" t="s">
        <v>24</v>
      </c>
      <c r="L2663">
        <v>66</v>
      </c>
      <c r="M2663">
        <v>77.808999999999997</v>
      </c>
      <c r="N2663">
        <v>79.834999999999994</v>
      </c>
      <c r="O2663">
        <v>22.564</v>
      </c>
      <c r="P2663">
        <v>31.355</v>
      </c>
      <c r="Q2663">
        <v>23.623000000000001</v>
      </c>
      <c r="R2663" t="s">
        <v>889</v>
      </c>
      <c r="S2663" t="s">
        <v>25</v>
      </c>
      <c r="T2663">
        <f>IF(TRIM(Table1[[#This Row],[PitStopLaps]])="",0,
LEN(Table1[[#This Row],[PitStopLaps]])-LEN(SUBSTITUTE(Table1[[#This Row],[PitStopLaps]],",",""))+1)</f>
        <v>2</v>
      </c>
      <c r="U2663">
        <f>Table1[[#This Row],[StartPosition]]-Table1[[#This Row],[FinishPosition]]</f>
        <v>0</v>
      </c>
    </row>
    <row r="2664" spans="1:21" x14ac:dyDescent="0.3">
      <c r="A2664">
        <v>2024</v>
      </c>
      <c r="B2664">
        <v>10</v>
      </c>
      <c r="C2664" t="s">
        <v>125</v>
      </c>
      <c r="D2664" t="s">
        <v>252</v>
      </c>
      <c r="E2664" t="s">
        <v>253</v>
      </c>
      <c r="F2664" t="s">
        <v>28</v>
      </c>
      <c r="G2664">
        <v>4</v>
      </c>
      <c r="H2664">
        <v>4</v>
      </c>
      <c r="I2664">
        <v>12</v>
      </c>
      <c r="J2664" t="s">
        <v>34</v>
      </c>
      <c r="K2664" t="s">
        <v>24</v>
      </c>
      <c r="L2664">
        <v>66</v>
      </c>
      <c r="M2664">
        <v>78.290000000000006</v>
      </c>
      <c r="N2664">
        <v>79.846754000000004</v>
      </c>
      <c r="O2664">
        <v>22.797000000000001</v>
      </c>
      <c r="P2664">
        <v>31.512</v>
      </c>
      <c r="Q2664">
        <v>23.553000000000001</v>
      </c>
      <c r="R2664" t="s">
        <v>393</v>
      </c>
      <c r="S2664" t="s">
        <v>25</v>
      </c>
      <c r="T2664">
        <f>IF(TRIM(Table1[[#This Row],[PitStopLaps]])="",0,
LEN(Table1[[#This Row],[PitStopLaps]])-LEN(SUBSTITUTE(Table1[[#This Row],[PitStopLaps]],",",""))+1)</f>
        <v>2</v>
      </c>
      <c r="U2664">
        <f>Table1[[#This Row],[StartPosition]]-Table1[[#This Row],[FinishPosition]]</f>
        <v>0</v>
      </c>
    </row>
    <row r="2665" spans="1:21" x14ac:dyDescent="0.3">
      <c r="A2665">
        <v>2024</v>
      </c>
      <c r="B2665">
        <v>10</v>
      </c>
      <c r="C2665" t="s">
        <v>125</v>
      </c>
      <c r="D2665" t="s">
        <v>54</v>
      </c>
      <c r="E2665" t="s">
        <v>55</v>
      </c>
      <c r="F2665" t="s">
        <v>22</v>
      </c>
      <c r="G2665">
        <v>5</v>
      </c>
      <c r="H2665">
        <v>5</v>
      </c>
      <c r="I2665">
        <v>10</v>
      </c>
      <c r="J2665" t="s">
        <v>34</v>
      </c>
      <c r="K2665" t="s">
        <v>24</v>
      </c>
      <c r="L2665">
        <v>66</v>
      </c>
      <c r="M2665">
        <v>77.897000000000006</v>
      </c>
      <c r="N2665">
        <v>79.876016000000007</v>
      </c>
      <c r="O2665">
        <v>22.827999999999999</v>
      </c>
      <c r="P2665">
        <v>31.195</v>
      </c>
      <c r="Q2665">
        <v>23.488</v>
      </c>
      <c r="R2665" t="s">
        <v>978</v>
      </c>
      <c r="S2665" t="s">
        <v>25</v>
      </c>
      <c r="T2665">
        <f>IF(TRIM(Table1[[#This Row],[PitStopLaps]])="",0,
LEN(Table1[[#This Row],[PitStopLaps]])-LEN(SUBSTITUTE(Table1[[#This Row],[PitStopLaps]],",",""))+1)</f>
        <v>2</v>
      </c>
      <c r="U2665">
        <f>Table1[[#This Row],[StartPosition]]-Table1[[#This Row],[FinishPosition]]</f>
        <v>0</v>
      </c>
    </row>
    <row r="2666" spans="1:21" x14ac:dyDescent="0.3">
      <c r="A2666">
        <v>2024</v>
      </c>
      <c r="B2666">
        <v>10</v>
      </c>
      <c r="C2666" t="s">
        <v>125</v>
      </c>
      <c r="D2666" t="s">
        <v>47</v>
      </c>
      <c r="E2666" t="s">
        <v>48</v>
      </c>
      <c r="F2666" t="s">
        <v>22</v>
      </c>
      <c r="G2666">
        <v>6</v>
      </c>
      <c r="H2666">
        <v>6</v>
      </c>
      <c r="I2666">
        <v>8</v>
      </c>
      <c r="J2666" t="s">
        <v>34</v>
      </c>
      <c r="K2666" t="s">
        <v>24</v>
      </c>
      <c r="L2666">
        <v>66</v>
      </c>
      <c r="M2666">
        <v>78.539000000000001</v>
      </c>
      <c r="N2666">
        <v>79.989408999999995</v>
      </c>
      <c r="O2666">
        <v>22.978000000000002</v>
      </c>
      <c r="P2666">
        <v>31.611000000000001</v>
      </c>
      <c r="Q2666">
        <v>23.678999999999998</v>
      </c>
      <c r="R2666" t="s">
        <v>393</v>
      </c>
      <c r="S2666" t="s">
        <v>25</v>
      </c>
      <c r="T2666">
        <f>IF(TRIM(Table1[[#This Row],[PitStopLaps]])="",0,
LEN(Table1[[#This Row],[PitStopLaps]])-LEN(SUBSTITUTE(Table1[[#This Row],[PitStopLaps]],",",""))+1)</f>
        <v>2</v>
      </c>
      <c r="U2666">
        <f>Table1[[#This Row],[StartPosition]]-Table1[[#This Row],[FinishPosition]]</f>
        <v>0</v>
      </c>
    </row>
    <row r="2667" spans="1:21" x14ac:dyDescent="0.3">
      <c r="A2667">
        <v>2024</v>
      </c>
      <c r="B2667">
        <v>10</v>
      </c>
      <c r="C2667" t="s">
        <v>125</v>
      </c>
      <c r="D2667" t="s">
        <v>1000</v>
      </c>
      <c r="E2667" t="s">
        <v>1001</v>
      </c>
      <c r="F2667" t="s">
        <v>37</v>
      </c>
      <c r="G2667">
        <v>9</v>
      </c>
      <c r="H2667">
        <v>7</v>
      </c>
      <c r="I2667">
        <v>6</v>
      </c>
      <c r="J2667" t="s">
        <v>34</v>
      </c>
      <c r="K2667" t="s">
        <v>24</v>
      </c>
      <c r="L2667">
        <v>66</v>
      </c>
      <c r="M2667">
        <v>77.873999999999995</v>
      </c>
      <c r="N2667">
        <v>79.981162999999995</v>
      </c>
      <c r="O2667">
        <v>22.981999999999999</v>
      </c>
      <c r="P2667">
        <v>31.241</v>
      </c>
      <c r="Q2667">
        <v>23.283999999999999</v>
      </c>
      <c r="R2667" t="s">
        <v>1239</v>
      </c>
      <c r="S2667" t="s">
        <v>25</v>
      </c>
      <c r="T2667">
        <f>IF(TRIM(Table1[[#This Row],[PitStopLaps]])="",0,
LEN(Table1[[#This Row],[PitStopLaps]])-LEN(SUBSTITUTE(Table1[[#This Row],[PitStopLaps]],",",""))+1)</f>
        <v>2</v>
      </c>
      <c r="U2667">
        <f>Table1[[#This Row],[StartPosition]]-Table1[[#This Row],[FinishPosition]]</f>
        <v>2</v>
      </c>
    </row>
    <row r="2668" spans="1:21" x14ac:dyDescent="0.3">
      <c r="A2668">
        <v>2024</v>
      </c>
      <c r="B2668">
        <v>10</v>
      </c>
      <c r="C2668" t="s">
        <v>125</v>
      </c>
      <c r="D2668" t="s">
        <v>49</v>
      </c>
      <c r="E2668" t="s">
        <v>50</v>
      </c>
      <c r="F2668" t="s">
        <v>33</v>
      </c>
      <c r="G2668">
        <v>11</v>
      </c>
      <c r="H2668">
        <v>8</v>
      </c>
      <c r="I2668">
        <v>4</v>
      </c>
      <c r="J2668" t="s">
        <v>34</v>
      </c>
      <c r="K2668" t="s">
        <v>24</v>
      </c>
      <c r="L2668">
        <v>66</v>
      </c>
      <c r="M2668">
        <v>77.784999999999997</v>
      </c>
      <c r="N2668">
        <v>80.072507999999999</v>
      </c>
      <c r="O2668">
        <v>22.841999999999999</v>
      </c>
      <c r="P2668">
        <v>31.257000000000001</v>
      </c>
      <c r="Q2668">
        <v>23.414000000000001</v>
      </c>
      <c r="R2668" t="s">
        <v>1240</v>
      </c>
      <c r="S2668" t="s">
        <v>25</v>
      </c>
      <c r="T2668">
        <f>IF(TRIM(Table1[[#This Row],[PitStopLaps]])="",0,
LEN(Table1[[#This Row],[PitStopLaps]])-LEN(SUBSTITUTE(Table1[[#This Row],[PitStopLaps]],",",""))+1)</f>
        <v>3</v>
      </c>
      <c r="U2668">
        <f>Table1[[#This Row],[StartPosition]]-Table1[[#This Row],[FinishPosition]]</f>
        <v>3</v>
      </c>
    </row>
    <row r="2669" spans="1:21" x14ac:dyDescent="0.3">
      <c r="A2669">
        <v>2024</v>
      </c>
      <c r="B2669">
        <v>10</v>
      </c>
      <c r="C2669" t="s">
        <v>125</v>
      </c>
      <c r="D2669" t="s">
        <v>73</v>
      </c>
      <c r="E2669" t="s">
        <v>74</v>
      </c>
      <c r="F2669" t="s">
        <v>607</v>
      </c>
      <c r="G2669">
        <v>7</v>
      </c>
      <c r="H2669">
        <v>9</v>
      </c>
      <c r="I2669">
        <v>2</v>
      </c>
      <c r="J2669" t="s">
        <v>34</v>
      </c>
      <c r="K2669" t="s">
        <v>24</v>
      </c>
      <c r="L2669">
        <v>66</v>
      </c>
      <c r="M2669">
        <v>79.045000000000002</v>
      </c>
      <c r="N2669">
        <v>80.399327</v>
      </c>
      <c r="O2669">
        <v>23.077999999999999</v>
      </c>
      <c r="P2669">
        <v>31.681000000000001</v>
      </c>
      <c r="Q2669">
        <v>23.844999999999999</v>
      </c>
      <c r="R2669" t="s">
        <v>184</v>
      </c>
      <c r="S2669" t="s">
        <v>25</v>
      </c>
      <c r="T2669">
        <f>IF(TRIM(Table1[[#This Row],[PitStopLaps]])="",0,
LEN(Table1[[#This Row],[PitStopLaps]])-LEN(SUBSTITUTE(Table1[[#This Row],[PitStopLaps]],",",""))+1)</f>
        <v>2</v>
      </c>
      <c r="U2669">
        <f>Table1[[#This Row],[StartPosition]]-Table1[[#This Row],[FinishPosition]]</f>
        <v>-2</v>
      </c>
    </row>
    <row r="2670" spans="1:21" x14ac:dyDescent="0.3">
      <c r="A2670">
        <v>2024</v>
      </c>
      <c r="B2670">
        <v>10</v>
      </c>
      <c r="C2670" t="s">
        <v>125</v>
      </c>
      <c r="D2670" t="s">
        <v>52</v>
      </c>
      <c r="E2670" t="s">
        <v>53</v>
      </c>
      <c r="F2670" t="s">
        <v>607</v>
      </c>
      <c r="G2670">
        <v>8</v>
      </c>
      <c r="H2670">
        <v>10</v>
      </c>
      <c r="I2670">
        <v>1</v>
      </c>
      <c r="J2670" t="s">
        <v>34</v>
      </c>
      <c r="K2670" t="s">
        <v>24</v>
      </c>
      <c r="L2670">
        <v>66</v>
      </c>
      <c r="M2670">
        <v>78.981999999999999</v>
      </c>
      <c r="N2670">
        <v>80.596605999999994</v>
      </c>
      <c r="O2670">
        <v>23.190999999999999</v>
      </c>
      <c r="P2670">
        <v>31.76</v>
      </c>
      <c r="Q2670">
        <v>23.83</v>
      </c>
      <c r="R2670" t="s">
        <v>725</v>
      </c>
      <c r="S2670" t="s">
        <v>25</v>
      </c>
      <c r="T2670">
        <f>IF(TRIM(Table1[[#This Row],[PitStopLaps]])="",0,
LEN(Table1[[#This Row],[PitStopLaps]])-LEN(SUBSTITUTE(Table1[[#This Row],[PitStopLaps]],",",""))+1)</f>
        <v>2</v>
      </c>
      <c r="U2670">
        <f>Table1[[#This Row],[StartPosition]]-Table1[[#This Row],[FinishPosition]]</f>
        <v>-2</v>
      </c>
    </row>
    <row r="2671" spans="1:21" x14ac:dyDescent="0.3">
      <c r="A2671">
        <v>2024</v>
      </c>
      <c r="B2671">
        <v>10</v>
      </c>
      <c r="C2671" t="s">
        <v>125</v>
      </c>
      <c r="D2671" t="s">
        <v>40</v>
      </c>
      <c r="E2671" t="s">
        <v>41</v>
      </c>
      <c r="F2671" t="s">
        <v>69</v>
      </c>
      <c r="G2671">
        <v>13</v>
      </c>
      <c r="H2671">
        <v>11</v>
      </c>
      <c r="I2671">
        <v>0</v>
      </c>
      <c r="J2671" t="s">
        <v>34</v>
      </c>
      <c r="K2671" t="s">
        <v>24</v>
      </c>
      <c r="L2671">
        <v>66</v>
      </c>
      <c r="M2671">
        <v>78.608999999999995</v>
      </c>
      <c r="N2671">
        <v>80.567278000000002</v>
      </c>
      <c r="O2671">
        <v>23.178000000000001</v>
      </c>
      <c r="P2671">
        <v>31.678000000000001</v>
      </c>
      <c r="Q2671">
        <v>23.515000000000001</v>
      </c>
      <c r="R2671" t="s">
        <v>270</v>
      </c>
      <c r="S2671" t="s">
        <v>25</v>
      </c>
      <c r="T2671">
        <f>IF(TRIM(Table1[[#This Row],[PitStopLaps]])="",0,
LEN(Table1[[#This Row],[PitStopLaps]])-LEN(SUBSTITUTE(Table1[[#This Row],[PitStopLaps]],",",""))+1)</f>
        <v>2</v>
      </c>
      <c r="U2671">
        <f>Table1[[#This Row],[StartPosition]]-Table1[[#This Row],[FinishPosition]]</f>
        <v>2</v>
      </c>
    </row>
    <row r="2672" spans="1:21" x14ac:dyDescent="0.3">
      <c r="A2672">
        <v>2024</v>
      </c>
      <c r="B2672">
        <v>10</v>
      </c>
      <c r="C2672" t="s">
        <v>125</v>
      </c>
      <c r="D2672" t="s">
        <v>35</v>
      </c>
      <c r="E2672" t="s">
        <v>36</v>
      </c>
      <c r="F2672" t="s">
        <v>603</v>
      </c>
      <c r="G2672">
        <v>10</v>
      </c>
      <c r="H2672">
        <v>12</v>
      </c>
      <c r="I2672">
        <v>0</v>
      </c>
      <c r="J2672" t="s">
        <v>34</v>
      </c>
      <c r="K2672" t="s">
        <v>994</v>
      </c>
      <c r="L2672">
        <v>65</v>
      </c>
      <c r="M2672">
        <v>78.334000000000003</v>
      </c>
      <c r="N2672">
        <v>80.902782999999999</v>
      </c>
      <c r="O2672">
        <v>22.748999999999999</v>
      </c>
      <c r="P2672">
        <v>31.55</v>
      </c>
      <c r="Q2672">
        <v>23.635999999999999</v>
      </c>
      <c r="R2672" t="s">
        <v>869</v>
      </c>
      <c r="S2672" t="s">
        <v>25</v>
      </c>
      <c r="T2672">
        <f>IF(TRIM(Table1[[#This Row],[PitStopLaps]])="",0,
LEN(Table1[[#This Row],[PitStopLaps]])-LEN(SUBSTITUTE(Table1[[#This Row],[PitStopLaps]],",",""))+1)</f>
        <v>2</v>
      </c>
      <c r="U2672">
        <f>Table1[[#This Row],[StartPosition]]-Table1[[#This Row],[FinishPosition]]</f>
        <v>-2</v>
      </c>
    </row>
    <row r="2673" spans="1:21" x14ac:dyDescent="0.3">
      <c r="A2673">
        <v>2024</v>
      </c>
      <c r="B2673">
        <v>10</v>
      </c>
      <c r="C2673" t="s">
        <v>125</v>
      </c>
      <c r="D2673" t="s">
        <v>794</v>
      </c>
      <c r="E2673" t="s">
        <v>795</v>
      </c>
      <c r="F2673" t="s">
        <v>1175</v>
      </c>
      <c r="G2673">
        <v>15</v>
      </c>
      <c r="H2673">
        <v>13</v>
      </c>
      <c r="I2673">
        <v>0</v>
      </c>
      <c r="J2673" t="s">
        <v>34</v>
      </c>
      <c r="K2673" t="s">
        <v>994</v>
      </c>
      <c r="L2673">
        <v>65</v>
      </c>
      <c r="M2673">
        <v>78.771000000000001</v>
      </c>
      <c r="N2673">
        <v>80.881732999999997</v>
      </c>
      <c r="O2673">
        <v>23.152999999999999</v>
      </c>
      <c r="P2673">
        <v>31.774999999999999</v>
      </c>
      <c r="Q2673">
        <v>23.591000000000001</v>
      </c>
      <c r="R2673" t="s">
        <v>1241</v>
      </c>
      <c r="S2673" t="s">
        <v>25</v>
      </c>
      <c r="T2673">
        <f>IF(TRIM(Table1[[#This Row],[PitStopLaps]])="",0,
LEN(Table1[[#This Row],[PitStopLaps]])-LEN(SUBSTITUTE(Table1[[#This Row],[PitStopLaps]],",",""))+1)</f>
        <v>2</v>
      </c>
      <c r="U2673">
        <f>Table1[[#This Row],[StartPosition]]-Table1[[#This Row],[FinishPosition]]</f>
        <v>2</v>
      </c>
    </row>
    <row r="2674" spans="1:21" x14ac:dyDescent="0.3">
      <c r="A2674">
        <v>2024</v>
      </c>
      <c r="B2674">
        <v>10</v>
      </c>
      <c r="C2674" t="s">
        <v>125</v>
      </c>
      <c r="D2674" t="s">
        <v>58</v>
      </c>
      <c r="E2674" t="s">
        <v>59</v>
      </c>
      <c r="F2674" t="s">
        <v>603</v>
      </c>
      <c r="G2674">
        <v>14</v>
      </c>
      <c r="H2674">
        <v>14</v>
      </c>
      <c r="I2674">
        <v>0</v>
      </c>
      <c r="J2674" t="s">
        <v>34</v>
      </c>
      <c r="K2674" t="s">
        <v>994</v>
      </c>
      <c r="L2674">
        <v>65</v>
      </c>
      <c r="M2674">
        <v>79.317999999999998</v>
      </c>
      <c r="N2674">
        <v>81.061599999999999</v>
      </c>
      <c r="O2674">
        <v>23.385000000000002</v>
      </c>
      <c r="P2674">
        <v>31.925999999999998</v>
      </c>
      <c r="Q2674">
        <v>23.808</v>
      </c>
      <c r="R2674" t="s">
        <v>1131</v>
      </c>
      <c r="S2674" t="s">
        <v>25</v>
      </c>
      <c r="T2674">
        <f>IF(TRIM(Table1[[#This Row],[PitStopLaps]])="",0,
LEN(Table1[[#This Row],[PitStopLaps]])-LEN(SUBSTITUTE(Table1[[#This Row],[PitStopLaps]],",",""))+1)</f>
        <v>2</v>
      </c>
      <c r="U2674">
        <f>Table1[[#This Row],[StartPosition]]-Table1[[#This Row],[FinishPosition]]</f>
        <v>0</v>
      </c>
    </row>
    <row r="2675" spans="1:21" x14ac:dyDescent="0.3">
      <c r="A2675">
        <v>2024</v>
      </c>
      <c r="B2675">
        <v>10</v>
      </c>
      <c r="C2675" t="s">
        <v>125</v>
      </c>
      <c r="D2675" t="s">
        <v>31</v>
      </c>
      <c r="E2675" t="s">
        <v>32</v>
      </c>
      <c r="F2675" t="s">
        <v>1176</v>
      </c>
      <c r="G2675">
        <v>18</v>
      </c>
      <c r="H2675">
        <v>15</v>
      </c>
      <c r="I2675">
        <v>0</v>
      </c>
      <c r="J2675" t="s">
        <v>34</v>
      </c>
      <c r="K2675" t="s">
        <v>994</v>
      </c>
      <c r="L2675">
        <v>65</v>
      </c>
      <c r="M2675">
        <v>79.45</v>
      </c>
      <c r="N2675">
        <v>81.333282999999994</v>
      </c>
      <c r="O2675">
        <v>23.195</v>
      </c>
      <c r="P2675">
        <v>31.994</v>
      </c>
      <c r="Q2675">
        <v>23.855</v>
      </c>
      <c r="R2675" t="s">
        <v>1242</v>
      </c>
      <c r="S2675" t="s">
        <v>25</v>
      </c>
      <c r="T2675">
        <f>IF(TRIM(Table1[[#This Row],[PitStopLaps]])="",0,
LEN(Table1[[#This Row],[PitStopLaps]])-LEN(SUBSTITUTE(Table1[[#This Row],[PitStopLaps]],",",""))+1)</f>
        <v>2</v>
      </c>
      <c r="U2675">
        <f>Table1[[#This Row],[StartPosition]]-Table1[[#This Row],[FinishPosition]]</f>
        <v>3</v>
      </c>
    </row>
    <row r="2676" spans="1:21" x14ac:dyDescent="0.3">
      <c r="A2676">
        <v>2024</v>
      </c>
      <c r="B2676">
        <v>10</v>
      </c>
      <c r="C2676" t="s">
        <v>125</v>
      </c>
      <c r="D2676" t="s">
        <v>43</v>
      </c>
      <c r="E2676" t="s">
        <v>44</v>
      </c>
      <c r="F2676" t="s">
        <v>1175</v>
      </c>
      <c r="G2676">
        <v>12</v>
      </c>
      <c r="H2676">
        <v>16</v>
      </c>
      <c r="I2676">
        <v>0</v>
      </c>
      <c r="J2676" t="s">
        <v>34</v>
      </c>
      <c r="K2676" t="s">
        <v>994</v>
      </c>
      <c r="L2676">
        <v>65</v>
      </c>
      <c r="M2676">
        <v>79.608000000000004</v>
      </c>
      <c r="N2676">
        <v>81.563115999999994</v>
      </c>
      <c r="O2676">
        <v>23.335999999999999</v>
      </c>
      <c r="P2676">
        <v>31.988</v>
      </c>
      <c r="Q2676">
        <v>23.952999999999999</v>
      </c>
      <c r="R2676" t="s">
        <v>1216</v>
      </c>
      <c r="S2676" t="s">
        <v>25</v>
      </c>
      <c r="T2676">
        <f>IF(TRIM(Table1[[#This Row],[PitStopLaps]])="",0,
LEN(Table1[[#This Row],[PitStopLaps]])-LEN(SUBSTITUTE(Table1[[#This Row],[PitStopLaps]],",",""))+1)</f>
        <v>2</v>
      </c>
      <c r="U2676">
        <f>Table1[[#This Row],[StartPosition]]-Table1[[#This Row],[FinishPosition]]</f>
        <v>-4</v>
      </c>
    </row>
    <row r="2677" spans="1:21" x14ac:dyDescent="0.3">
      <c r="A2677">
        <v>2024</v>
      </c>
      <c r="B2677">
        <v>10</v>
      </c>
      <c r="C2677" t="s">
        <v>125</v>
      </c>
      <c r="D2677" t="s">
        <v>71</v>
      </c>
      <c r="E2677" t="s">
        <v>72</v>
      </c>
      <c r="F2677" t="s">
        <v>69</v>
      </c>
      <c r="G2677">
        <v>16</v>
      </c>
      <c r="H2677">
        <v>17</v>
      </c>
      <c r="I2677">
        <v>0</v>
      </c>
      <c r="J2677" t="s">
        <v>34</v>
      </c>
      <c r="K2677" t="s">
        <v>994</v>
      </c>
      <c r="L2677">
        <v>65</v>
      </c>
      <c r="M2677">
        <v>79.805000000000007</v>
      </c>
      <c r="N2677">
        <v>81.414983000000007</v>
      </c>
      <c r="O2677">
        <v>23.515000000000001</v>
      </c>
      <c r="P2677">
        <v>32.03</v>
      </c>
      <c r="Q2677">
        <v>24.047000000000001</v>
      </c>
      <c r="R2677" t="s">
        <v>93</v>
      </c>
      <c r="S2677" t="s">
        <v>25</v>
      </c>
      <c r="T2677">
        <f>IF(TRIM(Table1[[#This Row],[PitStopLaps]])="",0,
LEN(Table1[[#This Row],[PitStopLaps]])-LEN(SUBSTITUTE(Table1[[#This Row],[PitStopLaps]],",",""))+1)</f>
        <v>2</v>
      </c>
      <c r="U2677">
        <f>Table1[[#This Row],[StartPosition]]-Table1[[#This Row],[FinishPosition]]</f>
        <v>-1</v>
      </c>
    </row>
    <row r="2678" spans="1:21" x14ac:dyDescent="0.3">
      <c r="A2678">
        <v>2024</v>
      </c>
      <c r="B2678">
        <v>10</v>
      </c>
      <c r="C2678" t="s">
        <v>125</v>
      </c>
      <c r="D2678" t="s">
        <v>248</v>
      </c>
      <c r="E2678" t="s">
        <v>249</v>
      </c>
      <c r="F2678" t="s">
        <v>60</v>
      </c>
      <c r="G2678">
        <v>20</v>
      </c>
      <c r="H2678">
        <v>18</v>
      </c>
      <c r="I2678">
        <v>0</v>
      </c>
      <c r="J2678" t="s">
        <v>34</v>
      </c>
      <c r="K2678" t="s">
        <v>994</v>
      </c>
      <c r="L2678">
        <v>65</v>
      </c>
      <c r="M2678">
        <v>79.132000000000005</v>
      </c>
      <c r="N2678">
        <v>81.567549999999997</v>
      </c>
      <c r="O2678">
        <v>23.468</v>
      </c>
      <c r="P2678">
        <v>31.706</v>
      </c>
      <c r="Q2678">
        <v>23.677</v>
      </c>
      <c r="R2678" t="s">
        <v>532</v>
      </c>
      <c r="S2678" t="s">
        <v>25</v>
      </c>
      <c r="T2678">
        <f>IF(TRIM(Table1[[#This Row],[PitStopLaps]])="",0,
LEN(Table1[[#This Row],[PitStopLaps]])-LEN(SUBSTITUTE(Table1[[#This Row],[PitStopLaps]],",",""))+1)</f>
        <v>2</v>
      </c>
      <c r="U2678">
        <f>Table1[[#This Row],[StartPosition]]-Table1[[#This Row],[FinishPosition]]</f>
        <v>2</v>
      </c>
    </row>
    <row r="2679" spans="1:21" x14ac:dyDescent="0.3">
      <c r="A2679">
        <v>2024</v>
      </c>
      <c r="B2679">
        <v>10</v>
      </c>
      <c r="C2679" t="s">
        <v>125</v>
      </c>
      <c r="D2679" t="s">
        <v>601</v>
      </c>
      <c r="E2679" t="s">
        <v>602</v>
      </c>
      <c r="F2679" t="s">
        <v>1176</v>
      </c>
      <c r="G2679">
        <v>17</v>
      </c>
      <c r="H2679">
        <v>19</v>
      </c>
      <c r="I2679">
        <v>0</v>
      </c>
      <c r="J2679" t="s">
        <v>34</v>
      </c>
      <c r="K2679" t="s">
        <v>994</v>
      </c>
      <c r="L2679">
        <v>65</v>
      </c>
      <c r="M2679">
        <v>79.447000000000003</v>
      </c>
      <c r="N2679">
        <v>81.312861999999996</v>
      </c>
      <c r="O2679">
        <v>23.27</v>
      </c>
      <c r="P2679">
        <v>31.911000000000001</v>
      </c>
      <c r="Q2679">
        <v>24.010999999999999</v>
      </c>
      <c r="R2679" t="s">
        <v>1243</v>
      </c>
      <c r="S2679" t="s">
        <v>25</v>
      </c>
      <c r="T2679">
        <f>IF(TRIM(Table1[[#This Row],[PitStopLaps]])="",0,
LEN(Table1[[#This Row],[PitStopLaps]])-LEN(SUBSTITUTE(Table1[[#This Row],[PitStopLaps]],",",""))+1)</f>
        <v>3</v>
      </c>
      <c r="U2679">
        <f>Table1[[#This Row],[StartPosition]]-Table1[[#This Row],[FinishPosition]]</f>
        <v>-2</v>
      </c>
    </row>
    <row r="2680" spans="1:21" x14ac:dyDescent="0.3">
      <c r="A2680">
        <v>2024</v>
      </c>
      <c r="B2680">
        <v>10</v>
      </c>
      <c r="C2680" t="s">
        <v>125</v>
      </c>
      <c r="D2680" t="s">
        <v>992</v>
      </c>
      <c r="E2680" t="s">
        <v>993</v>
      </c>
      <c r="F2680" t="s">
        <v>60</v>
      </c>
      <c r="G2680">
        <v>19</v>
      </c>
      <c r="H2680">
        <v>20</v>
      </c>
      <c r="I2680">
        <v>0</v>
      </c>
      <c r="J2680" t="s">
        <v>34</v>
      </c>
      <c r="K2680" t="s">
        <v>994</v>
      </c>
      <c r="L2680">
        <v>64</v>
      </c>
      <c r="M2680">
        <v>80.171999999999997</v>
      </c>
      <c r="N2680">
        <v>82.053693999999993</v>
      </c>
      <c r="O2680">
        <v>23.72</v>
      </c>
      <c r="P2680">
        <v>32.191000000000003</v>
      </c>
      <c r="Q2680">
        <v>24.207000000000001</v>
      </c>
      <c r="R2680" t="s">
        <v>525</v>
      </c>
      <c r="S2680" t="s">
        <v>25</v>
      </c>
      <c r="T2680">
        <f>IF(TRIM(Table1[[#This Row],[PitStopLaps]])="",0,
LEN(Table1[[#This Row],[PitStopLaps]])-LEN(SUBSTITUTE(Table1[[#This Row],[PitStopLaps]],",",""))+1)</f>
        <v>2</v>
      </c>
      <c r="U2680">
        <f>Table1[[#This Row],[StartPosition]]-Table1[[#This Row],[FinishPosition]]</f>
        <v>-1</v>
      </c>
    </row>
    <row r="2681" spans="1:21" x14ac:dyDescent="0.3">
      <c r="A2681">
        <v>2024</v>
      </c>
      <c r="B2681">
        <v>11</v>
      </c>
      <c r="C2681" t="s">
        <v>149</v>
      </c>
      <c r="D2681" t="s">
        <v>252</v>
      </c>
      <c r="E2681" t="s">
        <v>253</v>
      </c>
      <c r="F2681" t="s">
        <v>28</v>
      </c>
      <c r="G2681">
        <v>3</v>
      </c>
      <c r="H2681">
        <v>1</v>
      </c>
      <c r="I2681">
        <v>25</v>
      </c>
      <c r="J2681" t="s">
        <v>23</v>
      </c>
      <c r="K2681" t="s">
        <v>24</v>
      </c>
      <c r="L2681">
        <v>71</v>
      </c>
      <c r="M2681">
        <v>69.164000000000001</v>
      </c>
      <c r="N2681">
        <v>70.427507000000006</v>
      </c>
      <c r="O2681">
        <v>17.227</v>
      </c>
      <c r="P2681">
        <v>30.89</v>
      </c>
      <c r="Q2681">
        <v>20.738</v>
      </c>
      <c r="R2681" t="s">
        <v>305</v>
      </c>
      <c r="S2681" t="s">
        <v>25</v>
      </c>
      <c r="T2681">
        <f>IF(TRIM(Table1[[#This Row],[PitStopLaps]])="",0,
LEN(Table1[[#This Row],[PitStopLaps]])-LEN(SUBSTITUTE(Table1[[#This Row],[PitStopLaps]],",",""))+1)</f>
        <v>2</v>
      </c>
      <c r="U2681">
        <f>Table1[[#This Row],[StartPosition]]-Table1[[#This Row],[FinishPosition]]</f>
        <v>2</v>
      </c>
    </row>
    <row r="2682" spans="1:21" x14ac:dyDescent="0.3">
      <c r="A2682">
        <v>2024</v>
      </c>
      <c r="B2682">
        <v>11</v>
      </c>
      <c r="C2682" t="s">
        <v>149</v>
      </c>
      <c r="D2682" t="s">
        <v>1000</v>
      </c>
      <c r="E2682" t="s">
        <v>1001</v>
      </c>
      <c r="F2682" t="s">
        <v>37</v>
      </c>
      <c r="G2682">
        <v>7</v>
      </c>
      <c r="H2682">
        <v>2</v>
      </c>
      <c r="I2682">
        <v>18</v>
      </c>
      <c r="J2682" t="s">
        <v>23</v>
      </c>
      <c r="K2682" t="s">
        <v>24</v>
      </c>
      <c r="L2682">
        <v>71</v>
      </c>
      <c r="M2682">
        <v>68.697000000000003</v>
      </c>
      <c r="N2682">
        <v>70.462215</v>
      </c>
      <c r="O2682">
        <v>17.141999999999999</v>
      </c>
      <c r="P2682">
        <v>30.748999999999999</v>
      </c>
      <c r="Q2682">
        <v>20.55</v>
      </c>
      <c r="R2682" t="s">
        <v>323</v>
      </c>
      <c r="S2682" t="s">
        <v>25</v>
      </c>
      <c r="T2682">
        <f>IF(TRIM(Table1[[#This Row],[PitStopLaps]])="",0,
LEN(Table1[[#This Row],[PitStopLaps]])-LEN(SUBSTITUTE(Table1[[#This Row],[PitStopLaps]],",",""))+1)</f>
        <v>2</v>
      </c>
      <c r="U2682">
        <f>Table1[[#This Row],[StartPosition]]-Table1[[#This Row],[FinishPosition]]</f>
        <v>5</v>
      </c>
    </row>
    <row r="2683" spans="1:21" x14ac:dyDescent="0.3">
      <c r="A2683">
        <v>2024</v>
      </c>
      <c r="B2683">
        <v>11</v>
      </c>
      <c r="C2683" t="s">
        <v>149</v>
      </c>
      <c r="D2683" t="s">
        <v>47</v>
      </c>
      <c r="E2683" t="s">
        <v>48</v>
      </c>
      <c r="F2683" t="s">
        <v>22</v>
      </c>
      <c r="G2683">
        <v>4</v>
      </c>
      <c r="H2683">
        <v>3</v>
      </c>
      <c r="I2683">
        <v>15</v>
      </c>
      <c r="J2683" t="s">
        <v>23</v>
      </c>
      <c r="K2683" t="s">
        <v>24</v>
      </c>
      <c r="L2683">
        <v>71</v>
      </c>
      <c r="M2683">
        <v>69.281999999999996</v>
      </c>
      <c r="N2683">
        <v>70.487384000000006</v>
      </c>
      <c r="O2683">
        <v>17.242999999999999</v>
      </c>
      <c r="P2683">
        <v>30.818000000000001</v>
      </c>
      <c r="Q2683">
        <v>20.859000000000002</v>
      </c>
      <c r="R2683" t="s">
        <v>415</v>
      </c>
      <c r="S2683" t="s">
        <v>25</v>
      </c>
      <c r="T2683">
        <f>IF(TRIM(Table1[[#This Row],[PitStopLaps]])="",0,
LEN(Table1[[#This Row],[PitStopLaps]])-LEN(SUBSTITUTE(Table1[[#This Row],[PitStopLaps]],",",""))+1)</f>
        <v>2</v>
      </c>
      <c r="U2683">
        <f>Table1[[#This Row],[StartPosition]]-Table1[[#This Row],[FinishPosition]]</f>
        <v>1</v>
      </c>
    </row>
    <row r="2684" spans="1:21" x14ac:dyDescent="0.3">
      <c r="A2684">
        <v>2024</v>
      </c>
      <c r="B2684">
        <v>11</v>
      </c>
      <c r="C2684" t="s">
        <v>149</v>
      </c>
      <c r="D2684" t="s">
        <v>26</v>
      </c>
      <c r="E2684" t="s">
        <v>27</v>
      </c>
      <c r="F2684" t="s">
        <v>28</v>
      </c>
      <c r="G2684">
        <v>5</v>
      </c>
      <c r="H2684">
        <v>4</v>
      </c>
      <c r="I2684">
        <v>12</v>
      </c>
      <c r="J2684" t="s">
        <v>34</v>
      </c>
      <c r="K2684" t="s">
        <v>24</v>
      </c>
      <c r="L2684">
        <v>71</v>
      </c>
      <c r="M2684">
        <v>69.561999999999998</v>
      </c>
      <c r="N2684">
        <v>70.697625000000002</v>
      </c>
      <c r="O2684">
        <v>17.32</v>
      </c>
      <c r="P2684">
        <v>31.111000000000001</v>
      </c>
      <c r="Q2684">
        <v>20.878</v>
      </c>
      <c r="R2684" t="s">
        <v>1244</v>
      </c>
      <c r="S2684" t="s">
        <v>25</v>
      </c>
      <c r="T2684">
        <f>IF(TRIM(Table1[[#This Row],[PitStopLaps]])="",0,
LEN(Table1[[#This Row],[PitStopLaps]])-LEN(SUBSTITUTE(Table1[[#This Row],[PitStopLaps]],",",""))+1)</f>
        <v>2</v>
      </c>
      <c r="U2684">
        <f>Table1[[#This Row],[StartPosition]]-Table1[[#This Row],[FinishPosition]]</f>
        <v>1</v>
      </c>
    </row>
    <row r="2685" spans="1:21" x14ac:dyDescent="0.3">
      <c r="A2685">
        <v>2024</v>
      </c>
      <c r="B2685">
        <v>11</v>
      </c>
      <c r="C2685" t="s">
        <v>149</v>
      </c>
      <c r="D2685" t="s">
        <v>38</v>
      </c>
      <c r="E2685" t="s">
        <v>39</v>
      </c>
      <c r="F2685" t="s">
        <v>33</v>
      </c>
      <c r="G2685">
        <v>1</v>
      </c>
      <c r="H2685">
        <v>5</v>
      </c>
      <c r="I2685">
        <v>10</v>
      </c>
      <c r="J2685" t="s">
        <v>34</v>
      </c>
      <c r="K2685" t="s">
        <v>24</v>
      </c>
      <c r="L2685">
        <v>71</v>
      </c>
      <c r="M2685">
        <v>67.718999999999994</v>
      </c>
      <c r="N2685">
        <v>70.080380000000005</v>
      </c>
      <c r="O2685">
        <v>16.933</v>
      </c>
      <c r="P2685">
        <v>30.279</v>
      </c>
      <c r="Q2685">
        <v>20.297999999999998</v>
      </c>
      <c r="R2685" t="s">
        <v>1245</v>
      </c>
      <c r="S2685" t="s">
        <v>25</v>
      </c>
      <c r="T2685">
        <f>IF(TRIM(Table1[[#This Row],[PitStopLaps]])="",0,
LEN(Table1[[#This Row],[PitStopLaps]])-LEN(SUBSTITUTE(Table1[[#This Row],[PitStopLaps]],",",""))+1)</f>
        <v>3</v>
      </c>
      <c r="U2685">
        <f>Table1[[#This Row],[StartPosition]]-Table1[[#This Row],[FinishPosition]]</f>
        <v>-4</v>
      </c>
    </row>
    <row r="2686" spans="1:21" x14ac:dyDescent="0.3">
      <c r="A2686">
        <v>2024</v>
      </c>
      <c r="B2686">
        <v>11</v>
      </c>
      <c r="C2686" t="s">
        <v>149</v>
      </c>
      <c r="D2686" t="s">
        <v>40</v>
      </c>
      <c r="E2686" t="s">
        <v>41</v>
      </c>
      <c r="F2686" t="s">
        <v>69</v>
      </c>
      <c r="G2686">
        <v>9</v>
      </c>
      <c r="H2686">
        <v>6</v>
      </c>
      <c r="I2686">
        <v>8</v>
      </c>
      <c r="J2686" t="s">
        <v>34</v>
      </c>
      <c r="K2686" t="s">
        <v>24</v>
      </c>
      <c r="L2686">
        <v>71</v>
      </c>
      <c r="M2686">
        <v>70.215000000000003</v>
      </c>
      <c r="N2686">
        <v>71.124578</v>
      </c>
      <c r="O2686">
        <v>17.257999999999999</v>
      </c>
      <c r="P2686">
        <v>31.155000000000001</v>
      </c>
      <c r="Q2686">
        <v>21.177</v>
      </c>
      <c r="R2686" t="s">
        <v>1246</v>
      </c>
      <c r="S2686" t="s">
        <v>25</v>
      </c>
      <c r="T2686">
        <f>IF(TRIM(Table1[[#This Row],[PitStopLaps]])="",0,
LEN(Table1[[#This Row],[PitStopLaps]])-LEN(SUBSTITUTE(Table1[[#This Row],[PitStopLaps]],",",""))+1)</f>
        <v>2</v>
      </c>
      <c r="U2686">
        <f>Table1[[#This Row],[StartPosition]]-Table1[[#This Row],[FinishPosition]]</f>
        <v>3</v>
      </c>
    </row>
    <row r="2687" spans="1:21" x14ac:dyDescent="0.3">
      <c r="A2687">
        <v>2024</v>
      </c>
      <c r="B2687">
        <v>11</v>
      </c>
      <c r="C2687" t="s">
        <v>149</v>
      </c>
      <c r="D2687" t="s">
        <v>49</v>
      </c>
      <c r="E2687" t="s">
        <v>50</v>
      </c>
      <c r="F2687" t="s">
        <v>33</v>
      </c>
      <c r="G2687">
        <v>8</v>
      </c>
      <c r="H2687">
        <v>7</v>
      </c>
      <c r="I2687">
        <v>6</v>
      </c>
      <c r="J2687" t="s">
        <v>34</v>
      </c>
      <c r="K2687" t="s">
        <v>24</v>
      </c>
      <c r="L2687">
        <v>71</v>
      </c>
      <c r="M2687">
        <v>69.694000000000003</v>
      </c>
      <c r="N2687">
        <v>71.056781000000001</v>
      </c>
      <c r="O2687">
        <v>17.079999999999998</v>
      </c>
      <c r="P2687">
        <v>31.326000000000001</v>
      </c>
      <c r="Q2687">
        <v>21.016999999999999</v>
      </c>
      <c r="R2687" t="s">
        <v>436</v>
      </c>
      <c r="S2687" t="s">
        <v>25</v>
      </c>
      <c r="T2687">
        <f>IF(TRIM(Table1[[#This Row],[PitStopLaps]])="",0,
LEN(Table1[[#This Row],[PitStopLaps]])-LEN(SUBSTITUTE(Table1[[#This Row],[PitStopLaps]],",",""))+1)</f>
        <v>2</v>
      </c>
      <c r="U2687">
        <f>Table1[[#This Row],[StartPosition]]-Table1[[#This Row],[FinishPosition]]</f>
        <v>1</v>
      </c>
    </row>
    <row r="2688" spans="1:21" x14ac:dyDescent="0.3">
      <c r="A2688">
        <v>2024</v>
      </c>
      <c r="B2688">
        <v>11</v>
      </c>
      <c r="C2688" t="s">
        <v>149</v>
      </c>
      <c r="D2688" t="s">
        <v>71</v>
      </c>
      <c r="E2688" t="s">
        <v>72</v>
      </c>
      <c r="F2688" t="s">
        <v>69</v>
      </c>
      <c r="G2688">
        <v>12</v>
      </c>
      <c r="H2688">
        <v>8</v>
      </c>
      <c r="I2688">
        <v>4</v>
      </c>
      <c r="J2688" t="s">
        <v>34</v>
      </c>
      <c r="K2688" t="s">
        <v>24</v>
      </c>
      <c r="L2688">
        <v>71</v>
      </c>
      <c r="M2688">
        <v>70.125</v>
      </c>
      <c r="N2688">
        <v>71.252734000000004</v>
      </c>
      <c r="O2688">
        <v>17.173999999999999</v>
      </c>
      <c r="P2688">
        <v>31.492000000000001</v>
      </c>
      <c r="Q2688">
        <v>21.280999999999999</v>
      </c>
      <c r="R2688" t="s">
        <v>271</v>
      </c>
      <c r="S2688" t="s">
        <v>25</v>
      </c>
      <c r="T2688">
        <f>IF(TRIM(Table1[[#This Row],[PitStopLaps]])="",0,
LEN(Table1[[#This Row],[PitStopLaps]])-LEN(SUBSTITUTE(Table1[[#This Row],[PitStopLaps]],",",""))+1)</f>
        <v>2</v>
      </c>
      <c r="U2688">
        <f>Table1[[#This Row],[StartPosition]]-Table1[[#This Row],[FinishPosition]]</f>
        <v>4</v>
      </c>
    </row>
    <row r="2689" spans="1:21" x14ac:dyDescent="0.3">
      <c r="A2689">
        <v>2024</v>
      </c>
      <c r="B2689">
        <v>11</v>
      </c>
      <c r="C2689" t="s">
        <v>149</v>
      </c>
      <c r="D2689" t="s">
        <v>31</v>
      </c>
      <c r="E2689" t="s">
        <v>32</v>
      </c>
      <c r="F2689" t="s">
        <v>1176</v>
      </c>
      <c r="G2689">
        <v>11</v>
      </c>
      <c r="H2689">
        <v>9</v>
      </c>
      <c r="I2689">
        <v>2</v>
      </c>
      <c r="J2689" t="s">
        <v>34</v>
      </c>
      <c r="K2689" t="s">
        <v>24</v>
      </c>
      <c r="L2689">
        <v>71</v>
      </c>
      <c r="M2689">
        <v>70.426000000000002</v>
      </c>
      <c r="N2689">
        <v>71.258750000000006</v>
      </c>
      <c r="O2689">
        <v>17.175000000000001</v>
      </c>
      <c r="P2689">
        <v>31.465</v>
      </c>
      <c r="Q2689">
        <v>21.312000000000001</v>
      </c>
      <c r="R2689" t="s">
        <v>1247</v>
      </c>
      <c r="S2689" t="s">
        <v>25</v>
      </c>
      <c r="T2689">
        <f>IF(TRIM(Table1[[#This Row],[PitStopLaps]])="",0,
LEN(Table1[[#This Row],[PitStopLaps]])-LEN(SUBSTITUTE(Table1[[#This Row],[PitStopLaps]],",",""))+1)</f>
        <v>2</v>
      </c>
      <c r="U2689">
        <f>Table1[[#This Row],[StartPosition]]-Table1[[#This Row],[FinishPosition]]</f>
        <v>2</v>
      </c>
    </row>
    <row r="2690" spans="1:21" x14ac:dyDescent="0.3">
      <c r="A2690">
        <v>2024</v>
      </c>
      <c r="B2690">
        <v>11</v>
      </c>
      <c r="C2690" t="s">
        <v>149</v>
      </c>
      <c r="D2690" t="s">
        <v>73</v>
      </c>
      <c r="E2690" t="s">
        <v>74</v>
      </c>
      <c r="F2690" t="s">
        <v>607</v>
      </c>
      <c r="G2690">
        <v>13</v>
      </c>
      <c r="H2690">
        <v>10</v>
      </c>
      <c r="I2690">
        <v>1</v>
      </c>
      <c r="J2690" t="s">
        <v>34</v>
      </c>
      <c r="K2690" t="s">
        <v>24</v>
      </c>
      <c r="L2690">
        <v>71</v>
      </c>
      <c r="M2690">
        <v>69.608999999999995</v>
      </c>
      <c r="N2690">
        <v>71.262389999999996</v>
      </c>
      <c r="O2690">
        <v>17.189</v>
      </c>
      <c r="P2690">
        <v>30.92</v>
      </c>
      <c r="Q2690">
        <v>20.989000000000001</v>
      </c>
      <c r="R2690" t="s">
        <v>96</v>
      </c>
      <c r="S2690" t="s">
        <v>25</v>
      </c>
      <c r="T2690">
        <f>IF(TRIM(Table1[[#This Row],[PitStopLaps]])="",0,
LEN(Table1[[#This Row],[PitStopLaps]])-LEN(SUBSTITUTE(Table1[[#This Row],[PitStopLaps]],",",""))+1)</f>
        <v>2</v>
      </c>
      <c r="U2690">
        <f>Table1[[#This Row],[StartPosition]]-Table1[[#This Row],[FinishPosition]]</f>
        <v>3</v>
      </c>
    </row>
    <row r="2691" spans="1:21" x14ac:dyDescent="0.3">
      <c r="A2691">
        <v>2024</v>
      </c>
      <c r="B2691">
        <v>11</v>
      </c>
      <c r="C2691" t="s">
        <v>149</v>
      </c>
      <c r="D2691" t="s">
        <v>54</v>
      </c>
      <c r="E2691" t="s">
        <v>55</v>
      </c>
      <c r="F2691" t="s">
        <v>22</v>
      </c>
      <c r="G2691">
        <v>6</v>
      </c>
      <c r="H2691">
        <v>11</v>
      </c>
      <c r="I2691">
        <v>0</v>
      </c>
      <c r="J2691" t="s">
        <v>34</v>
      </c>
      <c r="K2691" t="s">
        <v>24</v>
      </c>
      <c r="L2691">
        <v>71</v>
      </c>
      <c r="M2691">
        <v>69.584000000000003</v>
      </c>
      <c r="N2691">
        <v>70.566967000000005</v>
      </c>
      <c r="O2691">
        <v>17.158000000000001</v>
      </c>
      <c r="P2691">
        <v>30.99</v>
      </c>
      <c r="Q2691">
        <v>20.873000000000001</v>
      </c>
      <c r="R2691" t="s">
        <v>1248</v>
      </c>
      <c r="S2691" t="s">
        <v>25</v>
      </c>
      <c r="T2691">
        <f>IF(TRIM(Table1[[#This Row],[PitStopLaps]])="",0,
LEN(Table1[[#This Row],[PitStopLaps]])-LEN(SUBSTITUTE(Table1[[#This Row],[PitStopLaps]],",",""))+1)</f>
        <v>4</v>
      </c>
      <c r="U2691">
        <f>Table1[[#This Row],[StartPosition]]-Table1[[#This Row],[FinishPosition]]</f>
        <v>-5</v>
      </c>
    </row>
    <row r="2692" spans="1:21" x14ac:dyDescent="0.3">
      <c r="A2692">
        <v>2024</v>
      </c>
      <c r="B2692">
        <v>11</v>
      </c>
      <c r="C2692" t="s">
        <v>149</v>
      </c>
      <c r="D2692" t="s">
        <v>52</v>
      </c>
      <c r="E2692" t="s">
        <v>53</v>
      </c>
      <c r="F2692" t="s">
        <v>607</v>
      </c>
      <c r="G2692">
        <v>10</v>
      </c>
      <c r="H2692">
        <v>12</v>
      </c>
      <c r="I2692">
        <v>0</v>
      </c>
      <c r="J2692" t="s">
        <v>34</v>
      </c>
      <c r="K2692" t="s">
        <v>24</v>
      </c>
      <c r="L2692">
        <v>71</v>
      </c>
      <c r="M2692">
        <v>69.649000000000001</v>
      </c>
      <c r="N2692">
        <v>71.364645999999993</v>
      </c>
      <c r="O2692">
        <v>17.285</v>
      </c>
      <c r="P2692">
        <v>31.062000000000001</v>
      </c>
      <c r="Q2692">
        <v>20.922999999999998</v>
      </c>
      <c r="R2692" t="s">
        <v>1105</v>
      </c>
      <c r="S2692" t="s">
        <v>25</v>
      </c>
      <c r="T2692">
        <f>IF(TRIM(Table1[[#This Row],[PitStopLaps]])="",0,
LEN(Table1[[#This Row],[PitStopLaps]])-LEN(SUBSTITUTE(Table1[[#This Row],[PitStopLaps]],",",""))+1)</f>
        <v>2</v>
      </c>
      <c r="U2692">
        <f>Table1[[#This Row],[StartPosition]]-Table1[[#This Row],[FinishPosition]]</f>
        <v>-2</v>
      </c>
    </row>
    <row r="2693" spans="1:21" x14ac:dyDescent="0.3">
      <c r="A2693">
        <v>2024</v>
      </c>
      <c r="B2693">
        <v>11</v>
      </c>
      <c r="C2693" t="s">
        <v>149</v>
      </c>
      <c r="D2693" t="s">
        <v>58</v>
      </c>
      <c r="E2693" t="s">
        <v>59</v>
      </c>
      <c r="F2693" t="s">
        <v>603</v>
      </c>
      <c r="G2693">
        <v>17</v>
      </c>
      <c r="H2693">
        <v>13</v>
      </c>
      <c r="I2693">
        <v>0</v>
      </c>
      <c r="J2693" t="s">
        <v>34</v>
      </c>
      <c r="K2693" t="s">
        <v>994</v>
      </c>
      <c r="L2693">
        <v>70</v>
      </c>
      <c r="M2693">
        <v>70.143000000000001</v>
      </c>
      <c r="N2693">
        <v>71.526124999999993</v>
      </c>
      <c r="O2693">
        <v>17.248999999999999</v>
      </c>
      <c r="P2693">
        <v>31.373000000000001</v>
      </c>
      <c r="Q2693">
        <v>21.105</v>
      </c>
      <c r="R2693" t="s">
        <v>302</v>
      </c>
      <c r="S2693" t="s">
        <v>25</v>
      </c>
      <c r="T2693">
        <f>IF(TRIM(Table1[[#This Row],[PitStopLaps]])="",0,
LEN(Table1[[#This Row],[PitStopLaps]])-LEN(SUBSTITUTE(Table1[[#This Row],[PitStopLaps]],",",""))+1)</f>
        <v>2</v>
      </c>
      <c r="U2693">
        <f>Table1[[#This Row],[StartPosition]]-Table1[[#This Row],[FinishPosition]]</f>
        <v>4</v>
      </c>
    </row>
    <row r="2694" spans="1:21" x14ac:dyDescent="0.3">
      <c r="A2694">
        <v>2024</v>
      </c>
      <c r="B2694">
        <v>11</v>
      </c>
      <c r="C2694" t="s">
        <v>149</v>
      </c>
      <c r="D2694" t="s">
        <v>601</v>
      </c>
      <c r="E2694" t="s">
        <v>602</v>
      </c>
      <c r="F2694" t="s">
        <v>1176</v>
      </c>
      <c r="G2694">
        <v>14</v>
      </c>
      <c r="H2694">
        <v>14</v>
      </c>
      <c r="I2694">
        <v>0</v>
      </c>
      <c r="J2694" t="s">
        <v>34</v>
      </c>
      <c r="K2694" t="s">
        <v>994</v>
      </c>
      <c r="L2694">
        <v>70</v>
      </c>
      <c r="M2694">
        <v>70.317999999999998</v>
      </c>
      <c r="N2694">
        <v>71.519546000000005</v>
      </c>
      <c r="O2694">
        <v>17.43</v>
      </c>
      <c r="P2694">
        <v>31.427</v>
      </c>
      <c r="Q2694">
        <v>21.274000000000001</v>
      </c>
      <c r="R2694" t="s">
        <v>380</v>
      </c>
      <c r="S2694" t="s">
        <v>25</v>
      </c>
      <c r="T2694">
        <f>IF(TRIM(Table1[[#This Row],[PitStopLaps]])="",0,
LEN(Table1[[#This Row],[PitStopLaps]])-LEN(SUBSTITUTE(Table1[[#This Row],[PitStopLaps]],",",""))+1)</f>
        <v>2</v>
      </c>
      <c r="U2694">
        <f>Table1[[#This Row],[StartPosition]]-Table1[[#This Row],[FinishPosition]]</f>
        <v>0</v>
      </c>
    </row>
    <row r="2695" spans="1:21" x14ac:dyDescent="0.3">
      <c r="A2695">
        <v>2024</v>
      </c>
      <c r="B2695">
        <v>11</v>
      </c>
      <c r="C2695" t="s">
        <v>149</v>
      </c>
      <c r="D2695" t="s">
        <v>248</v>
      </c>
      <c r="E2695" t="s">
        <v>249</v>
      </c>
      <c r="F2695" t="s">
        <v>60</v>
      </c>
      <c r="G2695">
        <v>16</v>
      </c>
      <c r="H2695">
        <v>15</v>
      </c>
      <c r="I2695">
        <v>0</v>
      </c>
      <c r="J2695" t="s">
        <v>34</v>
      </c>
      <c r="K2695" t="s">
        <v>994</v>
      </c>
      <c r="L2695">
        <v>70</v>
      </c>
      <c r="M2695">
        <v>70.364000000000004</v>
      </c>
      <c r="N2695">
        <v>71.508077999999998</v>
      </c>
      <c r="O2695">
        <v>17.216000000000001</v>
      </c>
      <c r="P2695">
        <v>31.388999999999999</v>
      </c>
      <c r="Q2695">
        <v>21.257999999999999</v>
      </c>
      <c r="R2695" t="s">
        <v>121</v>
      </c>
      <c r="S2695" t="s">
        <v>25</v>
      </c>
      <c r="T2695">
        <f>IF(TRIM(Table1[[#This Row],[PitStopLaps]])="",0,
LEN(Table1[[#This Row],[PitStopLaps]])-LEN(SUBSTITUTE(Table1[[#This Row],[PitStopLaps]],",",""))+1)</f>
        <v>2</v>
      </c>
      <c r="U2695">
        <f>Table1[[#This Row],[StartPosition]]-Table1[[#This Row],[FinishPosition]]</f>
        <v>1</v>
      </c>
    </row>
    <row r="2696" spans="1:21" x14ac:dyDescent="0.3">
      <c r="A2696">
        <v>2024</v>
      </c>
      <c r="B2696">
        <v>11</v>
      </c>
      <c r="C2696" t="s">
        <v>149</v>
      </c>
      <c r="D2696" t="s">
        <v>43</v>
      </c>
      <c r="E2696" t="s">
        <v>44</v>
      </c>
      <c r="F2696" t="s">
        <v>1175</v>
      </c>
      <c r="G2696">
        <v>18</v>
      </c>
      <c r="H2696">
        <v>16</v>
      </c>
      <c r="I2696">
        <v>0</v>
      </c>
      <c r="J2696" t="s">
        <v>34</v>
      </c>
      <c r="K2696" t="s">
        <v>994</v>
      </c>
      <c r="L2696">
        <v>70</v>
      </c>
      <c r="M2696">
        <v>70.448999999999998</v>
      </c>
      <c r="N2696">
        <v>71.628827999999999</v>
      </c>
      <c r="O2696">
        <v>17.297999999999998</v>
      </c>
      <c r="P2696">
        <v>31.353999999999999</v>
      </c>
      <c r="Q2696">
        <v>21.254999999999999</v>
      </c>
      <c r="R2696" t="s">
        <v>406</v>
      </c>
      <c r="S2696" t="s">
        <v>25</v>
      </c>
      <c r="T2696">
        <f>IF(TRIM(Table1[[#This Row],[PitStopLaps]])="",0,
LEN(Table1[[#This Row],[PitStopLaps]])-LEN(SUBSTITUTE(Table1[[#This Row],[PitStopLaps]],",",""))+1)</f>
        <v>2</v>
      </c>
      <c r="U2696">
        <f>Table1[[#This Row],[StartPosition]]-Table1[[#This Row],[FinishPosition]]</f>
        <v>2</v>
      </c>
    </row>
    <row r="2697" spans="1:21" x14ac:dyDescent="0.3">
      <c r="A2697">
        <v>2024</v>
      </c>
      <c r="B2697">
        <v>11</v>
      </c>
      <c r="C2697" t="s">
        <v>149</v>
      </c>
      <c r="D2697" t="s">
        <v>794</v>
      </c>
      <c r="E2697" t="s">
        <v>795</v>
      </c>
      <c r="F2697" t="s">
        <v>1175</v>
      </c>
      <c r="G2697">
        <v>20</v>
      </c>
      <c r="H2697">
        <v>17</v>
      </c>
      <c r="I2697">
        <v>0</v>
      </c>
      <c r="J2697" t="s">
        <v>34</v>
      </c>
      <c r="K2697" t="s">
        <v>994</v>
      </c>
      <c r="L2697">
        <v>70</v>
      </c>
      <c r="M2697">
        <v>70.47</v>
      </c>
      <c r="N2697">
        <v>71.947174000000004</v>
      </c>
      <c r="O2697">
        <v>17.477</v>
      </c>
      <c r="P2697">
        <v>31.497</v>
      </c>
      <c r="Q2697">
        <v>21.138999999999999</v>
      </c>
      <c r="R2697" t="s">
        <v>182</v>
      </c>
      <c r="S2697" t="s">
        <v>25</v>
      </c>
      <c r="T2697">
        <f>IF(TRIM(Table1[[#This Row],[PitStopLaps]])="",0,
LEN(Table1[[#This Row],[PitStopLaps]])-LEN(SUBSTITUTE(Table1[[#This Row],[PitStopLaps]],",",""))+1)</f>
        <v>2</v>
      </c>
      <c r="U2697">
        <f>Table1[[#This Row],[StartPosition]]-Table1[[#This Row],[FinishPosition]]</f>
        <v>3</v>
      </c>
    </row>
    <row r="2698" spans="1:21" x14ac:dyDescent="0.3">
      <c r="A2698">
        <v>2024</v>
      </c>
      <c r="B2698">
        <v>11</v>
      </c>
      <c r="C2698" t="s">
        <v>149</v>
      </c>
      <c r="D2698" t="s">
        <v>35</v>
      </c>
      <c r="E2698" t="s">
        <v>36</v>
      </c>
      <c r="F2698" t="s">
        <v>603</v>
      </c>
      <c r="G2698">
        <v>15</v>
      </c>
      <c r="H2698">
        <v>18</v>
      </c>
      <c r="I2698">
        <v>0</v>
      </c>
      <c r="J2698" t="s">
        <v>34</v>
      </c>
      <c r="K2698" t="s">
        <v>994</v>
      </c>
      <c r="L2698">
        <v>70</v>
      </c>
      <c r="M2698">
        <v>67.694000000000003</v>
      </c>
      <c r="N2698">
        <v>71.488</v>
      </c>
      <c r="O2698">
        <v>17.196000000000002</v>
      </c>
      <c r="P2698">
        <v>30.126999999999999</v>
      </c>
      <c r="Q2698">
        <v>20.370999999999999</v>
      </c>
      <c r="R2698" t="s">
        <v>1249</v>
      </c>
      <c r="S2698" t="s">
        <v>25</v>
      </c>
      <c r="T2698">
        <f>IF(TRIM(Table1[[#This Row],[PitStopLaps]])="",0,
LEN(Table1[[#This Row],[PitStopLaps]])-LEN(SUBSTITUTE(Table1[[#This Row],[PitStopLaps]],",",""))+1)</f>
        <v>3</v>
      </c>
      <c r="U2698">
        <f>Table1[[#This Row],[StartPosition]]-Table1[[#This Row],[FinishPosition]]</f>
        <v>-3</v>
      </c>
    </row>
    <row r="2699" spans="1:21" x14ac:dyDescent="0.3">
      <c r="A2699">
        <v>2024</v>
      </c>
      <c r="B2699">
        <v>11</v>
      </c>
      <c r="C2699" t="s">
        <v>149</v>
      </c>
      <c r="D2699" t="s">
        <v>992</v>
      </c>
      <c r="E2699" t="s">
        <v>993</v>
      </c>
      <c r="F2699" t="s">
        <v>60</v>
      </c>
      <c r="G2699">
        <v>19</v>
      </c>
      <c r="H2699">
        <v>19</v>
      </c>
      <c r="I2699">
        <v>0</v>
      </c>
      <c r="J2699" t="s">
        <v>34</v>
      </c>
      <c r="K2699" t="s">
        <v>994</v>
      </c>
      <c r="L2699">
        <v>69</v>
      </c>
      <c r="M2699">
        <v>70.406000000000006</v>
      </c>
      <c r="N2699">
        <v>72.037628999999995</v>
      </c>
      <c r="O2699">
        <v>17.295000000000002</v>
      </c>
      <c r="P2699">
        <v>31.486999999999998</v>
      </c>
      <c r="Q2699">
        <v>21.266999999999999</v>
      </c>
      <c r="R2699" t="s">
        <v>1250</v>
      </c>
      <c r="S2699" t="s">
        <v>25</v>
      </c>
      <c r="T2699">
        <f>IF(TRIM(Table1[[#This Row],[PitStopLaps]])="",0,
LEN(Table1[[#This Row],[PitStopLaps]])-LEN(SUBSTITUTE(Table1[[#This Row],[PitStopLaps]],",",""))+1)</f>
        <v>3</v>
      </c>
      <c r="U2699">
        <f>Table1[[#This Row],[StartPosition]]-Table1[[#This Row],[FinishPosition]]</f>
        <v>0</v>
      </c>
    </row>
    <row r="2700" spans="1:21" x14ac:dyDescent="0.3">
      <c r="A2700">
        <v>2024</v>
      </c>
      <c r="B2700">
        <v>11</v>
      </c>
      <c r="C2700" t="s">
        <v>149</v>
      </c>
      <c r="D2700" t="s">
        <v>246</v>
      </c>
      <c r="E2700" t="s">
        <v>247</v>
      </c>
      <c r="F2700" t="s">
        <v>37</v>
      </c>
      <c r="G2700">
        <v>2</v>
      </c>
      <c r="H2700">
        <v>20</v>
      </c>
      <c r="I2700">
        <v>0</v>
      </c>
      <c r="J2700" t="s">
        <v>34</v>
      </c>
      <c r="K2700" t="s">
        <v>994</v>
      </c>
      <c r="L2700">
        <v>64</v>
      </c>
      <c r="M2700">
        <v>68.016000000000005</v>
      </c>
      <c r="N2700">
        <v>70.237826999999996</v>
      </c>
      <c r="O2700">
        <v>16.896999999999998</v>
      </c>
      <c r="P2700">
        <v>30.558</v>
      </c>
      <c r="Q2700">
        <v>20.510999999999999</v>
      </c>
      <c r="R2700" t="s">
        <v>1245</v>
      </c>
      <c r="S2700" t="s">
        <v>25</v>
      </c>
      <c r="T2700">
        <f>IF(TRIM(Table1[[#This Row],[PitStopLaps]])="",0,
LEN(Table1[[#This Row],[PitStopLaps]])-LEN(SUBSTITUTE(Table1[[#This Row],[PitStopLaps]],",",""))+1)</f>
        <v>3</v>
      </c>
      <c r="U2700">
        <f>Table1[[#This Row],[StartPosition]]-Table1[[#This Row],[FinishPosition]]</f>
        <v>-18</v>
      </c>
    </row>
    <row r="2701" spans="1:21" x14ac:dyDescent="0.3">
      <c r="A2701">
        <v>2024</v>
      </c>
      <c r="B2701">
        <v>12</v>
      </c>
      <c r="C2701" t="s">
        <v>157</v>
      </c>
      <c r="D2701" t="s">
        <v>26</v>
      </c>
      <c r="E2701" t="s">
        <v>27</v>
      </c>
      <c r="F2701" t="s">
        <v>28</v>
      </c>
      <c r="G2701">
        <v>2</v>
      </c>
      <c r="H2701">
        <v>1</v>
      </c>
      <c r="I2701">
        <v>25</v>
      </c>
      <c r="J2701" t="s">
        <v>23</v>
      </c>
      <c r="K2701" t="s">
        <v>24</v>
      </c>
      <c r="L2701">
        <v>52</v>
      </c>
      <c r="M2701">
        <v>89.438000000000002</v>
      </c>
      <c r="N2701">
        <v>93.837594999999993</v>
      </c>
      <c r="O2701">
        <v>28.689</v>
      </c>
      <c r="P2701">
        <v>35.945999999999998</v>
      </c>
      <c r="Q2701">
        <v>24.331</v>
      </c>
      <c r="R2701" t="s">
        <v>1251</v>
      </c>
      <c r="S2701" t="s">
        <v>25</v>
      </c>
      <c r="T2701">
        <f>IF(TRIM(Table1[[#This Row],[PitStopLaps]])="",0,
LEN(Table1[[#This Row],[PitStopLaps]])-LEN(SUBSTITUTE(Table1[[#This Row],[PitStopLaps]],",",""))+1)</f>
        <v>2</v>
      </c>
      <c r="U2701">
        <f>Table1[[#This Row],[StartPosition]]-Table1[[#This Row],[FinishPosition]]</f>
        <v>1</v>
      </c>
    </row>
    <row r="2702" spans="1:21" x14ac:dyDescent="0.3">
      <c r="A2702">
        <v>2024</v>
      </c>
      <c r="B2702">
        <v>12</v>
      </c>
      <c r="C2702" t="s">
        <v>157</v>
      </c>
      <c r="D2702" t="s">
        <v>38</v>
      </c>
      <c r="E2702" t="s">
        <v>39</v>
      </c>
      <c r="F2702" t="s">
        <v>33</v>
      </c>
      <c r="G2702">
        <v>4</v>
      </c>
      <c r="H2702">
        <v>2</v>
      </c>
      <c r="I2702">
        <v>18</v>
      </c>
      <c r="J2702" t="s">
        <v>23</v>
      </c>
      <c r="K2702" t="s">
        <v>24</v>
      </c>
      <c r="L2702">
        <v>52</v>
      </c>
      <c r="M2702">
        <v>88.951999999999998</v>
      </c>
      <c r="N2702">
        <v>93.976147999999995</v>
      </c>
      <c r="O2702">
        <v>28.789000000000001</v>
      </c>
      <c r="P2702">
        <v>35.591000000000001</v>
      </c>
      <c r="Q2702">
        <v>23.978999999999999</v>
      </c>
      <c r="R2702" t="s">
        <v>1252</v>
      </c>
      <c r="S2702" t="s">
        <v>25</v>
      </c>
      <c r="T2702">
        <f>IF(TRIM(Table1[[#This Row],[PitStopLaps]])="",0,
LEN(Table1[[#This Row],[PitStopLaps]])-LEN(SUBSTITUTE(Table1[[#This Row],[PitStopLaps]],",",""))+1)</f>
        <v>2</v>
      </c>
      <c r="U2702">
        <f>Table1[[#This Row],[StartPosition]]-Table1[[#This Row],[FinishPosition]]</f>
        <v>2</v>
      </c>
    </row>
    <row r="2703" spans="1:21" x14ac:dyDescent="0.3">
      <c r="A2703">
        <v>2024</v>
      </c>
      <c r="B2703">
        <v>12</v>
      </c>
      <c r="C2703" t="s">
        <v>157</v>
      </c>
      <c r="D2703" t="s">
        <v>246</v>
      </c>
      <c r="E2703" t="s">
        <v>247</v>
      </c>
      <c r="F2703" t="s">
        <v>37</v>
      </c>
      <c r="G2703">
        <v>3</v>
      </c>
      <c r="H2703">
        <v>3</v>
      </c>
      <c r="I2703">
        <v>15</v>
      </c>
      <c r="J2703" t="s">
        <v>23</v>
      </c>
      <c r="K2703" t="s">
        <v>24</v>
      </c>
      <c r="L2703">
        <v>52</v>
      </c>
      <c r="M2703">
        <v>89.262</v>
      </c>
      <c r="N2703">
        <v>94.041531000000006</v>
      </c>
      <c r="O2703">
        <v>28.786000000000001</v>
      </c>
      <c r="P2703">
        <v>35.883000000000003</v>
      </c>
      <c r="Q2703">
        <v>24.439</v>
      </c>
      <c r="R2703" t="s">
        <v>407</v>
      </c>
      <c r="S2703" t="s">
        <v>25</v>
      </c>
      <c r="T2703">
        <f>IF(TRIM(Table1[[#This Row],[PitStopLaps]])="",0,
LEN(Table1[[#This Row],[PitStopLaps]])-LEN(SUBSTITUTE(Table1[[#This Row],[PitStopLaps]],",",""))+1)</f>
        <v>2</v>
      </c>
      <c r="U2703">
        <f>Table1[[#This Row],[StartPosition]]-Table1[[#This Row],[FinishPosition]]</f>
        <v>0</v>
      </c>
    </row>
    <row r="2704" spans="1:21" x14ac:dyDescent="0.3">
      <c r="A2704">
        <v>2024</v>
      </c>
      <c r="B2704">
        <v>12</v>
      </c>
      <c r="C2704" t="s">
        <v>157</v>
      </c>
      <c r="D2704" t="s">
        <v>1000</v>
      </c>
      <c r="E2704" t="s">
        <v>1001</v>
      </c>
      <c r="F2704" t="s">
        <v>37</v>
      </c>
      <c r="G2704">
        <v>5</v>
      </c>
      <c r="H2704">
        <v>4</v>
      </c>
      <c r="I2704">
        <v>12</v>
      </c>
      <c r="J2704" t="s">
        <v>34</v>
      </c>
      <c r="K2704" t="s">
        <v>24</v>
      </c>
      <c r="L2704">
        <v>52</v>
      </c>
      <c r="M2704">
        <v>88.748000000000005</v>
      </c>
      <c r="N2704">
        <v>93.947999999999993</v>
      </c>
      <c r="O2704">
        <v>28.853000000000002</v>
      </c>
      <c r="P2704">
        <v>35.704000000000001</v>
      </c>
      <c r="Q2704">
        <v>24.172999999999998</v>
      </c>
      <c r="R2704" t="s">
        <v>1253</v>
      </c>
      <c r="S2704" t="s">
        <v>25</v>
      </c>
      <c r="T2704">
        <f>IF(TRIM(Table1[[#This Row],[PitStopLaps]])="",0,
LEN(Table1[[#This Row],[PitStopLaps]])-LEN(SUBSTITUTE(Table1[[#This Row],[PitStopLaps]],",",""))+1)</f>
        <v>2</v>
      </c>
      <c r="U2704">
        <f>Table1[[#This Row],[StartPosition]]-Table1[[#This Row],[FinishPosition]]</f>
        <v>1</v>
      </c>
    </row>
    <row r="2705" spans="1:21" x14ac:dyDescent="0.3">
      <c r="A2705">
        <v>2024</v>
      </c>
      <c r="B2705">
        <v>12</v>
      </c>
      <c r="C2705" t="s">
        <v>157</v>
      </c>
      <c r="D2705" t="s">
        <v>47</v>
      </c>
      <c r="E2705" t="s">
        <v>48</v>
      </c>
      <c r="F2705" t="s">
        <v>22</v>
      </c>
      <c r="G2705">
        <v>7</v>
      </c>
      <c r="H2705">
        <v>5</v>
      </c>
      <c r="I2705">
        <v>11</v>
      </c>
      <c r="J2705" t="s">
        <v>34</v>
      </c>
      <c r="K2705" t="s">
        <v>24</v>
      </c>
      <c r="L2705">
        <v>52</v>
      </c>
      <c r="M2705">
        <v>88.293000000000006</v>
      </c>
      <c r="N2705">
        <v>94.577732999999995</v>
      </c>
      <c r="O2705">
        <v>28.55</v>
      </c>
      <c r="P2705">
        <v>35.619</v>
      </c>
      <c r="Q2705">
        <v>24.123999999999999</v>
      </c>
      <c r="R2705" t="s">
        <v>1254</v>
      </c>
      <c r="S2705" t="s">
        <v>25</v>
      </c>
      <c r="T2705">
        <f>IF(TRIM(Table1[[#This Row],[PitStopLaps]])="",0,
LEN(Table1[[#This Row],[PitStopLaps]])-LEN(SUBSTITUTE(Table1[[#This Row],[PitStopLaps]],",",""))+1)</f>
        <v>3</v>
      </c>
      <c r="U2705">
        <f>Table1[[#This Row],[StartPosition]]-Table1[[#This Row],[FinishPosition]]</f>
        <v>2</v>
      </c>
    </row>
    <row r="2706" spans="1:21" x14ac:dyDescent="0.3">
      <c r="A2706">
        <v>2024</v>
      </c>
      <c r="B2706">
        <v>12</v>
      </c>
      <c r="C2706" t="s">
        <v>157</v>
      </c>
      <c r="D2706" t="s">
        <v>40</v>
      </c>
      <c r="E2706" t="s">
        <v>41</v>
      </c>
      <c r="F2706" t="s">
        <v>69</v>
      </c>
      <c r="G2706">
        <v>6</v>
      </c>
      <c r="H2706">
        <v>6</v>
      </c>
      <c r="I2706">
        <v>8</v>
      </c>
      <c r="J2706" t="s">
        <v>34</v>
      </c>
      <c r="K2706" t="s">
        <v>24</v>
      </c>
      <c r="L2706">
        <v>52</v>
      </c>
      <c r="M2706">
        <v>89.835999999999999</v>
      </c>
      <c r="N2706">
        <v>95.002786999999998</v>
      </c>
      <c r="O2706">
        <v>28.896000000000001</v>
      </c>
      <c r="P2706">
        <v>36.156999999999996</v>
      </c>
      <c r="Q2706">
        <v>24.628</v>
      </c>
      <c r="R2706" t="s">
        <v>1255</v>
      </c>
      <c r="S2706" t="s">
        <v>25</v>
      </c>
      <c r="T2706">
        <f>IF(TRIM(Table1[[#This Row],[PitStopLaps]])="",0,
LEN(Table1[[#This Row],[PitStopLaps]])-LEN(SUBSTITUTE(Table1[[#This Row],[PitStopLaps]],",",""))+1)</f>
        <v>2</v>
      </c>
      <c r="U2706">
        <f>Table1[[#This Row],[StartPosition]]-Table1[[#This Row],[FinishPosition]]</f>
        <v>0</v>
      </c>
    </row>
    <row r="2707" spans="1:21" x14ac:dyDescent="0.3">
      <c r="A2707">
        <v>2024</v>
      </c>
      <c r="B2707">
        <v>12</v>
      </c>
      <c r="C2707" t="s">
        <v>157</v>
      </c>
      <c r="D2707" t="s">
        <v>58</v>
      </c>
      <c r="E2707" t="s">
        <v>59</v>
      </c>
      <c r="F2707" t="s">
        <v>603</v>
      </c>
      <c r="G2707">
        <v>8</v>
      </c>
      <c r="H2707">
        <v>7</v>
      </c>
      <c r="I2707">
        <v>6</v>
      </c>
      <c r="J2707" t="s">
        <v>34</v>
      </c>
      <c r="K2707" t="s">
        <v>24</v>
      </c>
      <c r="L2707">
        <v>52</v>
      </c>
      <c r="M2707">
        <v>89.897000000000006</v>
      </c>
      <c r="N2707">
        <v>95.070936000000003</v>
      </c>
      <c r="O2707">
        <v>28.734000000000002</v>
      </c>
      <c r="P2707">
        <v>36.220999999999997</v>
      </c>
      <c r="Q2707">
        <v>24.57</v>
      </c>
      <c r="R2707" t="s">
        <v>1255</v>
      </c>
      <c r="S2707" t="s">
        <v>25</v>
      </c>
      <c r="T2707">
        <f>IF(TRIM(Table1[[#This Row],[PitStopLaps]])="",0,
LEN(Table1[[#This Row],[PitStopLaps]])-LEN(SUBSTITUTE(Table1[[#This Row],[PitStopLaps]],",",""))+1)</f>
        <v>2</v>
      </c>
      <c r="U2707">
        <f>Table1[[#This Row],[StartPosition]]-Table1[[#This Row],[FinishPosition]]</f>
        <v>1</v>
      </c>
    </row>
    <row r="2708" spans="1:21" x14ac:dyDescent="0.3">
      <c r="A2708">
        <v>2024</v>
      </c>
      <c r="B2708">
        <v>12</v>
      </c>
      <c r="C2708" t="s">
        <v>157</v>
      </c>
      <c r="D2708" t="s">
        <v>35</v>
      </c>
      <c r="E2708" t="s">
        <v>36</v>
      </c>
      <c r="F2708" t="s">
        <v>603</v>
      </c>
      <c r="G2708">
        <v>10</v>
      </c>
      <c r="H2708">
        <v>8</v>
      </c>
      <c r="I2708">
        <v>4</v>
      </c>
      <c r="J2708" t="s">
        <v>34</v>
      </c>
      <c r="K2708" t="s">
        <v>24</v>
      </c>
      <c r="L2708">
        <v>52</v>
      </c>
      <c r="M2708">
        <v>89.71</v>
      </c>
      <c r="N2708">
        <v>94.878808000000006</v>
      </c>
      <c r="O2708">
        <v>28.693999999999999</v>
      </c>
      <c r="P2708">
        <v>36.094000000000001</v>
      </c>
      <c r="Q2708">
        <v>24.585000000000001</v>
      </c>
      <c r="R2708" t="s">
        <v>1251</v>
      </c>
      <c r="S2708" t="s">
        <v>25</v>
      </c>
      <c r="T2708">
        <f>IF(TRIM(Table1[[#This Row],[PitStopLaps]])="",0,
LEN(Table1[[#This Row],[PitStopLaps]])-LEN(SUBSTITUTE(Table1[[#This Row],[PitStopLaps]],",",""))+1)</f>
        <v>2</v>
      </c>
      <c r="U2708">
        <f>Table1[[#This Row],[StartPosition]]-Table1[[#This Row],[FinishPosition]]</f>
        <v>2</v>
      </c>
    </row>
    <row r="2709" spans="1:21" x14ac:dyDescent="0.3">
      <c r="A2709">
        <v>2024</v>
      </c>
      <c r="B2709">
        <v>12</v>
      </c>
      <c r="C2709" t="s">
        <v>157</v>
      </c>
      <c r="D2709" t="s">
        <v>248</v>
      </c>
      <c r="E2709" t="s">
        <v>249</v>
      </c>
      <c r="F2709" t="s">
        <v>60</v>
      </c>
      <c r="G2709">
        <v>9</v>
      </c>
      <c r="H2709">
        <v>9</v>
      </c>
      <c r="I2709">
        <v>2</v>
      </c>
      <c r="J2709" t="s">
        <v>34</v>
      </c>
      <c r="K2709" t="s">
        <v>24</v>
      </c>
      <c r="L2709">
        <v>52</v>
      </c>
      <c r="M2709">
        <v>89.718000000000004</v>
      </c>
      <c r="N2709">
        <v>94.938807999999995</v>
      </c>
      <c r="O2709">
        <v>28.643999999999998</v>
      </c>
      <c r="P2709">
        <v>36.186</v>
      </c>
      <c r="Q2709">
        <v>24.411000000000001</v>
      </c>
      <c r="R2709" t="s">
        <v>1251</v>
      </c>
      <c r="S2709" t="s">
        <v>25</v>
      </c>
      <c r="T2709">
        <f>IF(TRIM(Table1[[#This Row],[PitStopLaps]])="",0,
LEN(Table1[[#This Row],[PitStopLaps]])-LEN(SUBSTITUTE(Table1[[#This Row],[PitStopLaps]],",",""))+1)</f>
        <v>2</v>
      </c>
      <c r="U2709">
        <f>Table1[[#This Row],[StartPosition]]-Table1[[#This Row],[FinishPosition]]</f>
        <v>0</v>
      </c>
    </row>
    <row r="2710" spans="1:21" x14ac:dyDescent="0.3">
      <c r="A2710">
        <v>2024</v>
      </c>
      <c r="B2710">
        <v>12</v>
      </c>
      <c r="C2710" t="s">
        <v>157</v>
      </c>
      <c r="D2710" t="s">
        <v>601</v>
      </c>
      <c r="E2710" t="s">
        <v>602</v>
      </c>
      <c r="F2710" t="s">
        <v>1176</v>
      </c>
      <c r="G2710">
        <v>13</v>
      </c>
      <c r="H2710">
        <v>10</v>
      </c>
      <c r="I2710">
        <v>1</v>
      </c>
      <c r="J2710" t="s">
        <v>34</v>
      </c>
      <c r="K2710" t="s">
        <v>24</v>
      </c>
      <c r="L2710">
        <v>52</v>
      </c>
      <c r="M2710">
        <v>90.228999999999999</v>
      </c>
      <c r="N2710">
        <v>95.241956999999999</v>
      </c>
      <c r="O2710">
        <v>28.893000000000001</v>
      </c>
      <c r="P2710">
        <v>36.404000000000003</v>
      </c>
      <c r="Q2710">
        <v>24.853999999999999</v>
      </c>
      <c r="R2710" t="s">
        <v>1251</v>
      </c>
      <c r="S2710" t="s">
        <v>25</v>
      </c>
      <c r="T2710">
        <f>IF(TRIM(Table1[[#This Row],[PitStopLaps]])="",0,
LEN(Table1[[#This Row],[PitStopLaps]])-LEN(SUBSTITUTE(Table1[[#This Row],[PitStopLaps]],",",""))+1)</f>
        <v>2</v>
      </c>
      <c r="U2710">
        <f>Table1[[#This Row],[StartPosition]]-Table1[[#This Row],[FinishPosition]]</f>
        <v>3</v>
      </c>
    </row>
    <row r="2711" spans="1:21" x14ac:dyDescent="0.3">
      <c r="A2711">
        <v>2024</v>
      </c>
      <c r="B2711">
        <v>12</v>
      </c>
      <c r="C2711" t="s">
        <v>157</v>
      </c>
      <c r="D2711" t="s">
        <v>992</v>
      </c>
      <c r="E2711" t="s">
        <v>993</v>
      </c>
      <c r="F2711" t="s">
        <v>60</v>
      </c>
      <c r="G2711">
        <v>12</v>
      </c>
      <c r="H2711">
        <v>11</v>
      </c>
      <c r="I2711">
        <v>0</v>
      </c>
      <c r="J2711" t="s">
        <v>34</v>
      </c>
      <c r="K2711" t="s">
        <v>24</v>
      </c>
      <c r="L2711">
        <v>52</v>
      </c>
      <c r="M2711">
        <v>89.971999999999994</v>
      </c>
      <c r="N2711">
        <v>95.339425000000006</v>
      </c>
      <c r="O2711">
        <v>28.81</v>
      </c>
      <c r="P2711">
        <v>36.445</v>
      </c>
      <c r="Q2711">
        <v>24.138999999999999</v>
      </c>
      <c r="R2711" t="s">
        <v>1251</v>
      </c>
      <c r="S2711" t="s">
        <v>25</v>
      </c>
      <c r="T2711">
        <f>IF(TRIM(Table1[[#This Row],[PitStopLaps]])="",0,
LEN(Table1[[#This Row],[PitStopLaps]])-LEN(SUBSTITUTE(Table1[[#This Row],[PitStopLaps]],",",""))+1)</f>
        <v>2</v>
      </c>
      <c r="U2711">
        <f>Table1[[#This Row],[StartPosition]]-Table1[[#This Row],[FinishPosition]]</f>
        <v>1</v>
      </c>
    </row>
    <row r="2712" spans="1:21" x14ac:dyDescent="0.3">
      <c r="A2712">
        <v>2024</v>
      </c>
      <c r="B2712">
        <v>12</v>
      </c>
      <c r="C2712" t="s">
        <v>157</v>
      </c>
      <c r="D2712" t="s">
        <v>71</v>
      </c>
      <c r="E2712" t="s">
        <v>72</v>
      </c>
      <c r="F2712" t="s">
        <v>69</v>
      </c>
      <c r="G2712">
        <v>17</v>
      </c>
      <c r="H2712">
        <v>12</v>
      </c>
      <c r="I2712">
        <v>0</v>
      </c>
      <c r="J2712" t="s">
        <v>34</v>
      </c>
      <c r="K2712" t="s">
        <v>24</v>
      </c>
      <c r="L2712">
        <v>52</v>
      </c>
      <c r="M2712">
        <v>90.093000000000004</v>
      </c>
      <c r="N2712">
        <v>95.126339999999999</v>
      </c>
      <c r="O2712">
        <v>28.933</v>
      </c>
      <c r="P2712">
        <v>36.531999999999996</v>
      </c>
      <c r="Q2712">
        <v>24.622</v>
      </c>
      <c r="R2712" t="s">
        <v>1256</v>
      </c>
      <c r="S2712" t="s">
        <v>25</v>
      </c>
      <c r="T2712">
        <f>IF(TRIM(Table1[[#This Row],[PitStopLaps]])="",0,
LEN(Table1[[#This Row],[PitStopLaps]])-LEN(SUBSTITUTE(Table1[[#This Row],[PitStopLaps]],",",""))+1)</f>
        <v>2</v>
      </c>
      <c r="U2712">
        <f>Table1[[#This Row],[StartPosition]]-Table1[[#This Row],[FinishPosition]]</f>
        <v>5</v>
      </c>
    </row>
    <row r="2713" spans="1:21" x14ac:dyDescent="0.3">
      <c r="A2713">
        <v>2024</v>
      </c>
      <c r="B2713">
        <v>12</v>
      </c>
      <c r="C2713" t="s">
        <v>157</v>
      </c>
      <c r="D2713" t="s">
        <v>31</v>
      </c>
      <c r="E2713" t="s">
        <v>32</v>
      </c>
      <c r="F2713" t="s">
        <v>1176</v>
      </c>
      <c r="G2713">
        <v>15</v>
      </c>
      <c r="H2713">
        <v>13</v>
      </c>
      <c r="I2713">
        <v>0</v>
      </c>
      <c r="J2713" t="s">
        <v>34</v>
      </c>
      <c r="K2713" t="s">
        <v>994</v>
      </c>
      <c r="L2713">
        <v>51</v>
      </c>
      <c r="M2713">
        <v>90.734999999999999</v>
      </c>
      <c r="N2713">
        <v>95.714543000000006</v>
      </c>
      <c r="O2713">
        <v>29.14</v>
      </c>
      <c r="P2713">
        <v>36.631999999999998</v>
      </c>
      <c r="Q2713">
        <v>24.925000000000001</v>
      </c>
      <c r="R2713" t="s">
        <v>1257</v>
      </c>
      <c r="S2713" t="s">
        <v>25</v>
      </c>
      <c r="T2713">
        <f>IF(TRIM(Table1[[#This Row],[PitStopLaps]])="",0,
LEN(Table1[[#This Row],[PitStopLaps]])-LEN(SUBSTITUTE(Table1[[#This Row],[PitStopLaps]],",",""))+1)</f>
        <v>2</v>
      </c>
      <c r="U2713">
        <f>Table1[[#This Row],[StartPosition]]-Table1[[#This Row],[FinishPosition]]</f>
        <v>2</v>
      </c>
    </row>
    <row r="2714" spans="1:21" x14ac:dyDescent="0.3">
      <c r="A2714">
        <v>2024</v>
      </c>
      <c r="B2714">
        <v>12</v>
      </c>
      <c r="C2714" t="s">
        <v>157</v>
      </c>
      <c r="D2714" t="s">
        <v>54</v>
      </c>
      <c r="E2714" t="s">
        <v>55</v>
      </c>
      <c r="F2714" t="s">
        <v>22</v>
      </c>
      <c r="G2714">
        <v>11</v>
      </c>
      <c r="H2714">
        <v>14</v>
      </c>
      <c r="I2714">
        <v>0</v>
      </c>
      <c r="J2714" t="s">
        <v>34</v>
      </c>
      <c r="K2714" t="s">
        <v>994</v>
      </c>
      <c r="L2714">
        <v>51</v>
      </c>
      <c r="M2714">
        <v>89.748000000000005</v>
      </c>
      <c r="N2714">
        <v>95.829863000000003</v>
      </c>
      <c r="O2714">
        <v>28.93</v>
      </c>
      <c r="P2714">
        <v>36.106000000000002</v>
      </c>
      <c r="Q2714">
        <v>24.527999999999999</v>
      </c>
      <c r="R2714" t="s">
        <v>1258</v>
      </c>
      <c r="S2714" t="s">
        <v>25</v>
      </c>
      <c r="T2714">
        <f>IF(TRIM(Table1[[#This Row],[PitStopLaps]])="",0,
LEN(Table1[[#This Row],[PitStopLaps]])-LEN(SUBSTITUTE(Table1[[#This Row],[PitStopLaps]],",",""))+1)</f>
        <v>3</v>
      </c>
      <c r="U2714">
        <f>Table1[[#This Row],[StartPosition]]-Table1[[#This Row],[FinishPosition]]</f>
        <v>-3</v>
      </c>
    </row>
    <row r="2715" spans="1:21" x14ac:dyDescent="0.3">
      <c r="A2715">
        <v>2024</v>
      </c>
      <c r="B2715">
        <v>12</v>
      </c>
      <c r="C2715" t="s">
        <v>157</v>
      </c>
      <c r="D2715" t="s">
        <v>43</v>
      </c>
      <c r="E2715" t="s">
        <v>44</v>
      </c>
      <c r="F2715" t="s">
        <v>1175</v>
      </c>
      <c r="G2715">
        <v>16</v>
      </c>
      <c r="H2715">
        <v>15</v>
      </c>
      <c r="I2715">
        <v>0</v>
      </c>
      <c r="J2715" t="s">
        <v>34</v>
      </c>
      <c r="K2715" t="s">
        <v>994</v>
      </c>
      <c r="L2715">
        <v>51</v>
      </c>
      <c r="M2715">
        <v>91.277000000000001</v>
      </c>
      <c r="N2715">
        <v>96.153803999999994</v>
      </c>
      <c r="O2715">
        <v>29.24</v>
      </c>
      <c r="P2715">
        <v>36.921999999999997</v>
      </c>
      <c r="Q2715">
        <v>24.916</v>
      </c>
      <c r="R2715" t="s">
        <v>1257</v>
      </c>
      <c r="S2715" t="s">
        <v>25</v>
      </c>
      <c r="T2715">
        <f>IF(TRIM(Table1[[#This Row],[PitStopLaps]])="",0,
LEN(Table1[[#This Row],[PitStopLaps]])-LEN(SUBSTITUTE(Table1[[#This Row],[PitStopLaps]],",",""))+1)</f>
        <v>2</v>
      </c>
      <c r="U2715">
        <f>Table1[[#This Row],[StartPosition]]-Table1[[#This Row],[FinishPosition]]</f>
        <v>1</v>
      </c>
    </row>
    <row r="2716" spans="1:21" x14ac:dyDescent="0.3">
      <c r="A2716">
        <v>2024</v>
      </c>
      <c r="B2716">
        <v>12</v>
      </c>
      <c r="C2716" t="s">
        <v>157</v>
      </c>
      <c r="D2716" t="s">
        <v>52</v>
      </c>
      <c r="E2716" t="s">
        <v>53</v>
      </c>
      <c r="F2716" t="s">
        <v>607</v>
      </c>
      <c r="G2716">
        <v>18</v>
      </c>
      <c r="H2716">
        <v>16</v>
      </c>
      <c r="I2716">
        <v>0</v>
      </c>
      <c r="J2716" t="s">
        <v>34</v>
      </c>
      <c r="K2716" t="s">
        <v>994</v>
      </c>
      <c r="L2716">
        <v>50</v>
      </c>
      <c r="M2716">
        <v>90.875</v>
      </c>
      <c r="N2716">
        <v>96.487145999999996</v>
      </c>
      <c r="O2716">
        <v>29.138999999999999</v>
      </c>
      <c r="P2716">
        <v>36.39</v>
      </c>
      <c r="Q2716">
        <v>24.927</v>
      </c>
      <c r="R2716" t="s">
        <v>1259</v>
      </c>
      <c r="S2716" t="s">
        <v>25</v>
      </c>
      <c r="T2716">
        <f>IF(TRIM(Table1[[#This Row],[PitStopLaps]])="",0,
LEN(Table1[[#This Row],[PitStopLaps]])-LEN(SUBSTITUTE(Table1[[#This Row],[PitStopLaps]],",",""))+1)</f>
        <v>4</v>
      </c>
      <c r="U2716">
        <f>Table1[[#This Row],[StartPosition]]-Table1[[#This Row],[FinishPosition]]</f>
        <v>2</v>
      </c>
    </row>
    <row r="2717" spans="1:21" x14ac:dyDescent="0.3">
      <c r="A2717">
        <v>2024</v>
      </c>
      <c r="B2717">
        <v>12</v>
      </c>
      <c r="C2717" t="s">
        <v>157</v>
      </c>
      <c r="D2717" t="s">
        <v>49</v>
      </c>
      <c r="E2717" t="s">
        <v>50</v>
      </c>
      <c r="F2717" t="s">
        <v>33</v>
      </c>
      <c r="G2717">
        <v>20</v>
      </c>
      <c r="H2717">
        <v>17</v>
      </c>
      <c r="I2717">
        <v>0</v>
      </c>
      <c r="J2717" t="s">
        <v>34</v>
      </c>
      <c r="K2717" t="s">
        <v>994</v>
      </c>
      <c r="L2717">
        <v>50</v>
      </c>
      <c r="M2717">
        <v>89.706999999999994</v>
      </c>
      <c r="N2717">
        <v>96.800218999999998</v>
      </c>
      <c r="O2717">
        <v>28.949000000000002</v>
      </c>
      <c r="P2717">
        <v>35.978000000000002</v>
      </c>
      <c r="Q2717">
        <v>24.524999999999999</v>
      </c>
      <c r="R2717" t="s">
        <v>1260</v>
      </c>
      <c r="S2717" t="s">
        <v>25</v>
      </c>
      <c r="T2717">
        <f>IF(TRIM(Table1[[#This Row],[PitStopLaps]])="",0,
LEN(Table1[[#This Row],[PitStopLaps]])-LEN(SUBSTITUTE(Table1[[#This Row],[PitStopLaps]],",",""))+1)</f>
        <v>4</v>
      </c>
      <c r="U2717">
        <f>Table1[[#This Row],[StartPosition]]-Table1[[#This Row],[FinishPosition]]</f>
        <v>3</v>
      </c>
    </row>
    <row r="2718" spans="1:21" x14ac:dyDescent="0.3">
      <c r="A2718">
        <v>2024</v>
      </c>
      <c r="B2718">
        <v>12</v>
      </c>
      <c r="C2718" t="s">
        <v>157</v>
      </c>
      <c r="D2718" t="s">
        <v>794</v>
      </c>
      <c r="E2718" t="s">
        <v>795</v>
      </c>
      <c r="F2718" t="s">
        <v>1175</v>
      </c>
      <c r="G2718">
        <v>14</v>
      </c>
      <c r="H2718">
        <v>18</v>
      </c>
      <c r="I2718">
        <v>0</v>
      </c>
      <c r="J2718" t="s">
        <v>34</v>
      </c>
      <c r="K2718" t="s">
        <v>994</v>
      </c>
      <c r="L2718">
        <v>50</v>
      </c>
      <c r="M2718">
        <v>91.013999999999996</v>
      </c>
      <c r="N2718">
        <v>97.555779999999999</v>
      </c>
      <c r="O2718">
        <v>29.163</v>
      </c>
      <c r="P2718">
        <v>36.625</v>
      </c>
      <c r="Q2718">
        <v>24.957999999999998</v>
      </c>
      <c r="R2718" t="s">
        <v>1261</v>
      </c>
      <c r="S2718" t="s">
        <v>25</v>
      </c>
      <c r="T2718">
        <f>IF(TRIM(Table1[[#This Row],[PitStopLaps]])="",0,
LEN(Table1[[#This Row],[PitStopLaps]])-LEN(SUBSTITUTE(Table1[[#This Row],[PitStopLaps]],",",""))+1)</f>
        <v>4</v>
      </c>
      <c r="U2718">
        <f>Table1[[#This Row],[StartPosition]]-Table1[[#This Row],[FinishPosition]]</f>
        <v>-4</v>
      </c>
    </row>
    <row r="2719" spans="1:21" x14ac:dyDescent="0.3">
      <c r="A2719">
        <v>2024</v>
      </c>
      <c r="B2719">
        <v>12</v>
      </c>
      <c r="C2719" t="s">
        <v>157</v>
      </c>
      <c r="D2719" t="s">
        <v>252</v>
      </c>
      <c r="E2719" t="s">
        <v>253</v>
      </c>
      <c r="F2719" t="s">
        <v>28</v>
      </c>
      <c r="G2719">
        <v>1</v>
      </c>
      <c r="H2719">
        <v>19</v>
      </c>
      <c r="I2719">
        <v>0</v>
      </c>
      <c r="J2719" t="s">
        <v>34</v>
      </c>
      <c r="K2719" t="s">
        <v>179</v>
      </c>
      <c r="L2719">
        <v>33</v>
      </c>
      <c r="M2719">
        <v>91.298000000000002</v>
      </c>
      <c r="N2719">
        <v>94.420862</v>
      </c>
      <c r="O2719">
        <v>29.298999999999999</v>
      </c>
      <c r="P2719">
        <v>36.793999999999997</v>
      </c>
      <c r="Q2719">
        <v>24.917000000000002</v>
      </c>
      <c r="R2719" t="s">
        <v>615</v>
      </c>
      <c r="S2719" t="s">
        <v>25</v>
      </c>
      <c r="T2719">
        <f>IF(TRIM(Table1[[#This Row],[PitStopLaps]])="",0,
LEN(Table1[[#This Row],[PitStopLaps]])-LEN(SUBSTITUTE(Table1[[#This Row],[PitStopLaps]],",",""))+1)</f>
        <v>2</v>
      </c>
      <c r="U2719">
        <f>Table1[[#This Row],[StartPosition]]-Table1[[#This Row],[FinishPosition]]</f>
        <v>-18</v>
      </c>
    </row>
    <row r="2720" spans="1:21" x14ac:dyDescent="0.3">
      <c r="A2720">
        <v>2024</v>
      </c>
      <c r="B2720">
        <v>12</v>
      </c>
      <c r="C2720" t="s">
        <v>157</v>
      </c>
      <c r="D2720" t="s">
        <v>73</v>
      </c>
      <c r="E2720" t="s">
        <v>74</v>
      </c>
      <c r="F2720" t="s">
        <v>607</v>
      </c>
      <c r="G2720">
        <v>19</v>
      </c>
      <c r="H2720">
        <v>20</v>
      </c>
      <c r="I2720">
        <v>0</v>
      </c>
      <c r="J2720" t="s">
        <v>34</v>
      </c>
      <c r="K2720" t="s">
        <v>1104</v>
      </c>
      <c r="S2720" t="s">
        <v>25</v>
      </c>
      <c r="T2720">
        <f>IF(TRIM(Table1[[#This Row],[PitStopLaps]])="",0,
LEN(Table1[[#This Row],[PitStopLaps]])-LEN(SUBSTITUTE(Table1[[#This Row],[PitStopLaps]],",",""))+1)</f>
        <v>0</v>
      </c>
      <c r="U2720">
        <f>Table1[[#This Row],[StartPosition]]-Table1[[#This Row],[FinishPosition]]</f>
        <v>-1</v>
      </c>
    </row>
    <row r="2721" spans="1:21" x14ac:dyDescent="0.3">
      <c r="A2721">
        <v>2024</v>
      </c>
      <c r="B2721">
        <v>13</v>
      </c>
      <c r="C2721" t="s">
        <v>183</v>
      </c>
      <c r="D2721" t="s">
        <v>1000</v>
      </c>
      <c r="E2721" t="s">
        <v>1001</v>
      </c>
      <c r="F2721" t="s">
        <v>37</v>
      </c>
      <c r="G2721">
        <v>2</v>
      </c>
      <c r="H2721">
        <v>1</v>
      </c>
      <c r="I2721">
        <v>25</v>
      </c>
      <c r="J2721" t="s">
        <v>23</v>
      </c>
      <c r="K2721" t="s">
        <v>24</v>
      </c>
      <c r="L2721">
        <v>70</v>
      </c>
      <c r="M2721">
        <v>81.715999999999994</v>
      </c>
      <c r="N2721">
        <v>83.363568999999998</v>
      </c>
      <c r="O2721">
        <v>29.516999999999999</v>
      </c>
      <c r="P2721">
        <v>28.881</v>
      </c>
      <c r="Q2721">
        <v>23.094000000000001</v>
      </c>
      <c r="R2721" t="s">
        <v>646</v>
      </c>
      <c r="S2721" t="s">
        <v>83</v>
      </c>
      <c r="T2721">
        <f>IF(TRIM(Table1[[#This Row],[PitStopLaps]])="",0,
LEN(Table1[[#This Row],[PitStopLaps]])-LEN(SUBSTITUTE(Table1[[#This Row],[PitStopLaps]],",",""))+1)</f>
        <v>2</v>
      </c>
      <c r="U2721">
        <f>Table1[[#This Row],[StartPosition]]-Table1[[#This Row],[FinishPosition]]</f>
        <v>1</v>
      </c>
    </row>
    <row r="2722" spans="1:21" x14ac:dyDescent="0.3">
      <c r="A2722">
        <v>2024</v>
      </c>
      <c r="B2722">
        <v>13</v>
      </c>
      <c r="C2722" t="s">
        <v>183</v>
      </c>
      <c r="D2722" t="s">
        <v>246</v>
      </c>
      <c r="E2722" t="s">
        <v>247</v>
      </c>
      <c r="F2722" t="s">
        <v>37</v>
      </c>
      <c r="G2722">
        <v>1</v>
      </c>
      <c r="H2722">
        <v>2</v>
      </c>
      <c r="I2722">
        <v>18</v>
      </c>
      <c r="J2722" t="s">
        <v>23</v>
      </c>
      <c r="K2722" t="s">
        <v>24</v>
      </c>
      <c r="L2722">
        <v>70</v>
      </c>
      <c r="M2722">
        <v>81.712000000000003</v>
      </c>
      <c r="N2722">
        <v>83.402614999999997</v>
      </c>
      <c r="O2722">
        <v>29.437999999999999</v>
      </c>
      <c r="P2722">
        <v>28.951000000000001</v>
      </c>
      <c r="Q2722">
        <v>23.06</v>
      </c>
      <c r="R2722" t="s">
        <v>420</v>
      </c>
      <c r="S2722" t="s">
        <v>83</v>
      </c>
      <c r="T2722">
        <f>IF(TRIM(Table1[[#This Row],[PitStopLaps]])="",0,
LEN(Table1[[#This Row],[PitStopLaps]])-LEN(SUBSTITUTE(Table1[[#This Row],[PitStopLaps]],",",""))+1)</f>
        <v>2</v>
      </c>
      <c r="U2722">
        <f>Table1[[#This Row],[StartPosition]]-Table1[[#This Row],[FinishPosition]]</f>
        <v>-1</v>
      </c>
    </row>
    <row r="2723" spans="1:21" x14ac:dyDescent="0.3">
      <c r="A2723">
        <v>2024</v>
      </c>
      <c r="B2723">
        <v>13</v>
      </c>
      <c r="C2723" t="s">
        <v>183</v>
      </c>
      <c r="D2723" t="s">
        <v>26</v>
      </c>
      <c r="E2723" t="s">
        <v>27</v>
      </c>
      <c r="F2723" t="s">
        <v>28</v>
      </c>
      <c r="G2723">
        <v>5</v>
      </c>
      <c r="H2723">
        <v>3</v>
      </c>
      <c r="I2723">
        <v>15</v>
      </c>
      <c r="J2723" t="s">
        <v>23</v>
      </c>
      <c r="K2723" t="s">
        <v>24</v>
      </c>
      <c r="L2723">
        <v>70</v>
      </c>
      <c r="M2723">
        <v>82.153000000000006</v>
      </c>
      <c r="N2723">
        <v>83.543306999999999</v>
      </c>
      <c r="O2723">
        <v>29.585999999999999</v>
      </c>
      <c r="P2723">
        <v>29.15</v>
      </c>
      <c r="Q2723">
        <v>23.074000000000002</v>
      </c>
      <c r="R2723" t="s">
        <v>241</v>
      </c>
      <c r="S2723" t="s">
        <v>83</v>
      </c>
      <c r="T2723">
        <f>IF(TRIM(Table1[[#This Row],[PitStopLaps]])="",0,
LEN(Table1[[#This Row],[PitStopLaps]])-LEN(SUBSTITUTE(Table1[[#This Row],[PitStopLaps]],",",""))+1)</f>
        <v>2</v>
      </c>
      <c r="U2723">
        <f>Table1[[#This Row],[StartPosition]]-Table1[[#This Row],[FinishPosition]]</f>
        <v>2</v>
      </c>
    </row>
    <row r="2724" spans="1:21" x14ac:dyDescent="0.3">
      <c r="A2724">
        <v>2024</v>
      </c>
      <c r="B2724">
        <v>13</v>
      </c>
      <c r="C2724" t="s">
        <v>183</v>
      </c>
      <c r="D2724" t="s">
        <v>54</v>
      </c>
      <c r="E2724" t="s">
        <v>55</v>
      </c>
      <c r="F2724" t="s">
        <v>22</v>
      </c>
      <c r="G2724">
        <v>6</v>
      </c>
      <c r="H2724">
        <v>4</v>
      </c>
      <c r="I2724">
        <v>12</v>
      </c>
      <c r="J2724" t="s">
        <v>34</v>
      </c>
      <c r="K2724" t="s">
        <v>24</v>
      </c>
      <c r="L2724">
        <v>70</v>
      </c>
      <c r="M2724">
        <v>82.182000000000002</v>
      </c>
      <c r="N2724">
        <v>83.591092000000003</v>
      </c>
      <c r="O2724">
        <v>29.645</v>
      </c>
      <c r="P2724">
        <v>29.024999999999999</v>
      </c>
      <c r="Q2724">
        <v>23.332000000000001</v>
      </c>
      <c r="R2724" t="s">
        <v>117</v>
      </c>
      <c r="S2724" t="s">
        <v>83</v>
      </c>
      <c r="T2724">
        <f>IF(TRIM(Table1[[#This Row],[PitStopLaps]])="",0,
LEN(Table1[[#This Row],[PitStopLaps]])-LEN(SUBSTITUTE(Table1[[#This Row],[PitStopLaps]],",",""))+1)</f>
        <v>2</v>
      </c>
      <c r="U2724">
        <f>Table1[[#This Row],[StartPosition]]-Table1[[#This Row],[FinishPosition]]</f>
        <v>2</v>
      </c>
    </row>
    <row r="2725" spans="1:21" x14ac:dyDescent="0.3">
      <c r="A2725">
        <v>2024</v>
      </c>
      <c r="B2725">
        <v>13</v>
      </c>
      <c r="C2725" t="s">
        <v>183</v>
      </c>
      <c r="D2725" t="s">
        <v>38</v>
      </c>
      <c r="E2725" t="s">
        <v>39</v>
      </c>
      <c r="F2725" t="s">
        <v>33</v>
      </c>
      <c r="G2725">
        <v>3</v>
      </c>
      <c r="H2725">
        <v>5</v>
      </c>
      <c r="I2725">
        <v>10</v>
      </c>
      <c r="J2725" t="s">
        <v>34</v>
      </c>
      <c r="K2725" t="s">
        <v>24</v>
      </c>
      <c r="L2725">
        <v>70</v>
      </c>
      <c r="M2725">
        <v>80.908000000000001</v>
      </c>
      <c r="N2725">
        <v>83.698907000000005</v>
      </c>
      <c r="O2725">
        <v>29.033999999999999</v>
      </c>
      <c r="P2725">
        <v>28.844000000000001</v>
      </c>
      <c r="Q2725">
        <v>22.873999999999999</v>
      </c>
      <c r="R2725" t="s">
        <v>1262</v>
      </c>
      <c r="S2725" t="s">
        <v>83</v>
      </c>
      <c r="T2725">
        <f>IF(TRIM(Table1[[#This Row],[PitStopLaps]])="",0,
LEN(Table1[[#This Row],[PitStopLaps]])-LEN(SUBSTITUTE(Table1[[#This Row],[PitStopLaps]],",",""))+1)</f>
        <v>2</v>
      </c>
      <c r="U2725">
        <f>Table1[[#This Row],[StartPosition]]-Table1[[#This Row],[FinishPosition]]</f>
        <v>-2</v>
      </c>
    </row>
    <row r="2726" spans="1:21" x14ac:dyDescent="0.3">
      <c r="A2726">
        <v>2024</v>
      </c>
      <c r="B2726">
        <v>13</v>
      </c>
      <c r="C2726" t="s">
        <v>183</v>
      </c>
      <c r="D2726" t="s">
        <v>47</v>
      </c>
      <c r="E2726" t="s">
        <v>48</v>
      </c>
      <c r="F2726" t="s">
        <v>22</v>
      </c>
      <c r="G2726">
        <v>4</v>
      </c>
      <c r="H2726">
        <v>6</v>
      </c>
      <c r="I2726">
        <v>8</v>
      </c>
      <c r="J2726" t="s">
        <v>34</v>
      </c>
      <c r="K2726" t="s">
        <v>24</v>
      </c>
      <c r="L2726">
        <v>70</v>
      </c>
      <c r="M2726">
        <v>81.441000000000003</v>
      </c>
      <c r="N2726">
        <v>83.625045999999998</v>
      </c>
      <c r="O2726">
        <v>29.439</v>
      </c>
      <c r="P2726">
        <v>28.843</v>
      </c>
      <c r="Q2726">
        <v>22.984000000000002</v>
      </c>
      <c r="R2726" t="s">
        <v>416</v>
      </c>
      <c r="S2726" t="s">
        <v>83</v>
      </c>
      <c r="T2726">
        <f>IF(TRIM(Table1[[#This Row],[PitStopLaps]])="",0,
LEN(Table1[[#This Row],[PitStopLaps]])-LEN(SUBSTITUTE(Table1[[#This Row],[PitStopLaps]],",",""))+1)</f>
        <v>2</v>
      </c>
      <c r="U2726">
        <f>Table1[[#This Row],[StartPosition]]-Table1[[#This Row],[FinishPosition]]</f>
        <v>-2</v>
      </c>
    </row>
    <row r="2727" spans="1:21" x14ac:dyDescent="0.3">
      <c r="A2727">
        <v>2024</v>
      </c>
      <c r="B2727">
        <v>13</v>
      </c>
      <c r="C2727" t="s">
        <v>183</v>
      </c>
      <c r="D2727" t="s">
        <v>49</v>
      </c>
      <c r="E2727" t="s">
        <v>50</v>
      </c>
      <c r="F2727" t="s">
        <v>33</v>
      </c>
      <c r="G2727">
        <v>16</v>
      </c>
      <c r="H2727">
        <v>7</v>
      </c>
      <c r="I2727">
        <v>6</v>
      </c>
      <c r="J2727" t="s">
        <v>34</v>
      </c>
      <c r="K2727" t="s">
        <v>24</v>
      </c>
      <c r="L2727">
        <v>70</v>
      </c>
      <c r="M2727">
        <v>81.096000000000004</v>
      </c>
      <c r="N2727">
        <v>83.817537999999999</v>
      </c>
      <c r="O2727">
        <v>29.228000000000002</v>
      </c>
      <c r="P2727">
        <v>28.936</v>
      </c>
      <c r="Q2727">
        <v>22.829000000000001</v>
      </c>
      <c r="R2727" t="s">
        <v>715</v>
      </c>
      <c r="S2727" t="s">
        <v>83</v>
      </c>
      <c r="T2727">
        <f>IF(TRIM(Table1[[#This Row],[PitStopLaps]])="",0,
LEN(Table1[[#This Row],[PitStopLaps]])-LEN(SUBSTITUTE(Table1[[#This Row],[PitStopLaps]],",",""))+1)</f>
        <v>2</v>
      </c>
      <c r="U2727">
        <f>Table1[[#This Row],[StartPosition]]-Table1[[#This Row],[FinishPosition]]</f>
        <v>9</v>
      </c>
    </row>
    <row r="2728" spans="1:21" x14ac:dyDescent="0.3">
      <c r="A2728">
        <v>2024</v>
      </c>
      <c r="B2728">
        <v>13</v>
      </c>
      <c r="C2728" t="s">
        <v>183</v>
      </c>
      <c r="D2728" t="s">
        <v>252</v>
      </c>
      <c r="E2728" t="s">
        <v>253</v>
      </c>
      <c r="F2728" t="s">
        <v>28</v>
      </c>
      <c r="G2728">
        <v>17</v>
      </c>
      <c r="H2728">
        <v>8</v>
      </c>
      <c r="I2728">
        <v>5</v>
      </c>
      <c r="J2728" t="s">
        <v>34</v>
      </c>
      <c r="K2728" t="s">
        <v>24</v>
      </c>
      <c r="L2728">
        <v>70</v>
      </c>
      <c r="M2728">
        <v>80.305000000000007</v>
      </c>
      <c r="N2728">
        <v>83.925275999999997</v>
      </c>
      <c r="O2728">
        <v>29.202000000000002</v>
      </c>
      <c r="P2728">
        <v>28.36</v>
      </c>
      <c r="Q2728">
        <v>22.742999999999999</v>
      </c>
      <c r="R2728" t="s">
        <v>1263</v>
      </c>
      <c r="S2728" t="s">
        <v>83</v>
      </c>
      <c r="T2728">
        <f>IF(TRIM(Table1[[#This Row],[PitStopLaps]])="",0,
LEN(Table1[[#This Row],[PitStopLaps]])-LEN(SUBSTITUTE(Table1[[#This Row],[PitStopLaps]],",",""))+1)</f>
        <v>2</v>
      </c>
      <c r="U2728">
        <f>Table1[[#This Row],[StartPosition]]-Table1[[#This Row],[FinishPosition]]</f>
        <v>9</v>
      </c>
    </row>
    <row r="2729" spans="1:21" x14ac:dyDescent="0.3">
      <c r="A2729">
        <v>2024</v>
      </c>
      <c r="B2729">
        <v>13</v>
      </c>
      <c r="C2729" t="s">
        <v>183</v>
      </c>
      <c r="D2729" t="s">
        <v>601</v>
      </c>
      <c r="E2729" t="s">
        <v>602</v>
      </c>
      <c r="F2729" t="s">
        <v>1176</v>
      </c>
      <c r="G2729">
        <v>10</v>
      </c>
      <c r="H2729">
        <v>9</v>
      </c>
      <c r="I2729">
        <v>2</v>
      </c>
      <c r="J2729" t="s">
        <v>34</v>
      </c>
      <c r="K2729" t="s">
        <v>24</v>
      </c>
      <c r="L2729">
        <v>70</v>
      </c>
      <c r="M2729">
        <v>83.533000000000001</v>
      </c>
      <c r="N2729">
        <v>84.691954999999993</v>
      </c>
      <c r="O2729">
        <v>29.91</v>
      </c>
      <c r="P2729">
        <v>29.75</v>
      </c>
      <c r="Q2729">
        <v>23.449000000000002</v>
      </c>
      <c r="R2729">
        <v>29</v>
      </c>
      <c r="S2729" t="s">
        <v>83</v>
      </c>
      <c r="T2729">
        <f>IF(TRIM(Table1[[#This Row],[PitStopLaps]])="",0,
LEN(Table1[[#This Row],[PitStopLaps]])-LEN(SUBSTITUTE(Table1[[#This Row],[PitStopLaps]],",",""))+1)</f>
        <v>1</v>
      </c>
      <c r="U2729">
        <f>Table1[[#This Row],[StartPosition]]-Table1[[#This Row],[FinishPosition]]</f>
        <v>1</v>
      </c>
    </row>
    <row r="2730" spans="1:21" x14ac:dyDescent="0.3">
      <c r="A2730">
        <v>2024</v>
      </c>
      <c r="B2730">
        <v>13</v>
      </c>
      <c r="C2730" t="s">
        <v>183</v>
      </c>
      <c r="D2730" t="s">
        <v>58</v>
      </c>
      <c r="E2730" t="s">
        <v>59</v>
      </c>
      <c r="F2730" t="s">
        <v>603</v>
      </c>
      <c r="G2730">
        <v>8</v>
      </c>
      <c r="H2730">
        <v>10</v>
      </c>
      <c r="I2730">
        <v>1</v>
      </c>
      <c r="J2730" t="s">
        <v>34</v>
      </c>
      <c r="K2730" t="s">
        <v>24</v>
      </c>
      <c r="L2730">
        <v>70</v>
      </c>
      <c r="M2730">
        <v>82.337999999999994</v>
      </c>
      <c r="N2730">
        <v>84.385046000000003</v>
      </c>
      <c r="O2730">
        <v>29.481999999999999</v>
      </c>
      <c r="P2730">
        <v>29.462</v>
      </c>
      <c r="Q2730">
        <v>23.393999999999998</v>
      </c>
      <c r="R2730" t="s">
        <v>1264</v>
      </c>
      <c r="S2730" t="s">
        <v>83</v>
      </c>
      <c r="T2730">
        <f>IF(TRIM(Table1[[#This Row],[PitStopLaps]])="",0,
LEN(Table1[[#This Row],[PitStopLaps]])-LEN(SUBSTITUTE(Table1[[#This Row],[PitStopLaps]],",",""))+1)</f>
        <v>2</v>
      </c>
      <c r="U2730">
        <f>Table1[[#This Row],[StartPosition]]-Table1[[#This Row],[FinishPosition]]</f>
        <v>-2</v>
      </c>
    </row>
    <row r="2731" spans="1:21" x14ac:dyDescent="0.3">
      <c r="A2731">
        <v>2024</v>
      </c>
      <c r="B2731">
        <v>13</v>
      </c>
      <c r="C2731" t="s">
        <v>183</v>
      </c>
      <c r="D2731" t="s">
        <v>35</v>
      </c>
      <c r="E2731" t="s">
        <v>36</v>
      </c>
      <c r="F2731" t="s">
        <v>603</v>
      </c>
      <c r="G2731">
        <v>7</v>
      </c>
      <c r="H2731">
        <v>11</v>
      </c>
      <c r="I2731">
        <v>0</v>
      </c>
      <c r="J2731" t="s">
        <v>34</v>
      </c>
      <c r="K2731" t="s">
        <v>24</v>
      </c>
      <c r="L2731">
        <v>70</v>
      </c>
      <c r="M2731">
        <v>83.063000000000002</v>
      </c>
      <c r="N2731">
        <v>84.537953000000002</v>
      </c>
      <c r="O2731">
        <v>29.408999999999999</v>
      </c>
      <c r="P2731">
        <v>29.641999999999999</v>
      </c>
      <c r="Q2731">
        <v>23.494</v>
      </c>
      <c r="R2731" t="s">
        <v>1265</v>
      </c>
      <c r="S2731" t="s">
        <v>83</v>
      </c>
      <c r="T2731">
        <f>IF(TRIM(Table1[[#This Row],[PitStopLaps]])="",0,
LEN(Table1[[#This Row],[PitStopLaps]])-LEN(SUBSTITUTE(Table1[[#This Row],[PitStopLaps]],",",""))+1)</f>
        <v>2</v>
      </c>
      <c r="U2731">
        <f>Table1[[#This Row],[StartPosition]]-Table1[[#This Row],[FinishPosition]]</f>
        <v>-4</v>
      </c>
    </row>
    <row r="2732" spans="1:21" x14ac:dyDescent="0.3">
      <c r="A2732">
        <v>2024</v>
      </c>
      <c r="B2732">
        <v>13</v>
      </c>
      <c r="C2732" t="s">
        <v>183</v>
      </c>
      <c r="D2732" t="s">
        <v>31</v>
      </c>
      <c r="E2732" t="s">
        <v>32</v>
      </c>
      <c r="F2732" t="s">
        <v>1176</v>
      </c>
      <c r="G2732">
        <v>9</v>
      </c>
      <c r="H2732">
        <v>12</v>
      </c>
      <c r="I2732">
        <v>0</v>
      </c>
      <c r="J2732" t="s">
        <v>34</v>
      </c>
      <c r="K2732" t="s">
        <v>994</v>
      </c>
      <c r="L2732">
        <v>69</v>
      </c>
      <c r="M2732">
        <v>82.64</v>
      </c>
      <c r="N2732">
        <v>84.814702999999994</v>
      </c>
      <c r="O2732">
        <v>29.736000000000001</v>
      </c>
      <c r="P2732">
        <v>29.535</v>
      </c>
      <c r="Q2732">
        <v>23.369</v>
      </c>
      <c r="R2732" t="s">
        <v>1266</v>
      </c>
      <c r="S2732" t="s">
        <v>83</v>
      </c>
      <c r="T2732">
        <f>IF(TRIM(Table1[[#This Row],[PitStopLaps]])="",0,
LEN(Table1[[#This Row],[PitStopLaps]])-LEN(SUBSTITUTE(Table1[[#This Row],[PitStopLaps]],",",""))+1)</f>
        <v>2</v>
      </c>
      <c r="U2732">
        <f>Table1[[#This Row],[StartPosition]]-Table1[[#This Row],[FinishPosition]]</f>
        <v>-3</v>
      </c>
    </row>
    <row r="2733" spans="1:21" x14ac:dyDescent="0.3">
      <c r="A2733">
        <v>2024</v>
      </c>
      <c r="B2733">
        <v>13</v>
      </c>
      <c r="C2733" t="s">
        <v>183</v>
      </c>
      <c r="D2733" t="s">
        <v>40</v>
      </c>
      <c r="E2733" t="s">
        <v>41</v>
      </c>
      <c r="F2733" t="s">
        <v>69</v>
      </c>
      <c r="G2733">
        <v>11</v>
      </c>
      <c r="H2733">
        <v>13</v>
      </c>
      <c r="I2733">
        <v>0</v>
      </c>
      <c r="J2733" t="s">
        <v>34</v>
      </c>
      <c r="K2733" t="s">
        <v>994</v>
      </c>
      <c r="L2733">
        <v>69</v>
      </c>
      <c r="M2733">
        <v>83.460999999999999</v>
      </c>
      <c r="N2733">
        <v>84.976703000000001</v>
      </c>
      <c r="O2733">
        <v>29.695</v>
      </c>
      <c r="P2733">
        <v>29.872</v>
      </c>
      <c r="Q2733">
        <v>23.497</v>
      </c>
      <c r="R2733" t="s">
        <v>679</v>
      </c>
      <c r="S2733" t="s">
        <v>83</v>
      </c>
      <c r="T2733">
        <f>IF(TRIM(Table1[[#This Row],[PitStopLaps]])="",0,
LEN(Table1[[#This Row],[PitStopLaps]])-LEN(SUBSTITUTE(Table1[[#This Row],[PitStopLaps]],",",""))+1)</f>
        <v>2</v>
      </c>
      <c r="U2733">
        <f>Table1[[#This Row],[StartPosition]]-Table1[[#This Row],[FinishPosition]]</f>
        <v>-2</v>
      </c>
    </row>
    <row r="2734" spans="1:21" x14ac:dyDescent="0.3">
      <c r="A2734">
        <v>2024</v>
      </c>
      <c r="B2734">
        <v>13</v>
      </c>
      <c r="C2734" t="s">
        <v>183</v>
      </c>
      <c r="D2734" t="s">
        <v>248</v>
      </c>
      <c r="E2734" t="s">
        <v>249</v>
      </c>
      <c r="F2734" t="s">
        <v>60</v>
      </c>
      <c r="G2734">
        <v>13</v>
      </c>
      <c r="H2734">
        <v>14</v>
      </c>
      <c r="I2734">
        <v>0</v>
      </c>
      <c r="J2734" t="s">
        <v>34</v>
      </c>
      <c r="K2734" t="s">
        <v>994</v>
      </c>
      <c r="L2734">
        <v>69</v>
      </c>
      <c r="M2734">
        <v>83.93</v>
      </c>
      <c r="N2734">
        <v>85.055593000000002</v>
      </c>
      <c r="O2734">
        <v>29.951999999999899</v>
      </c>
      <c r="P2734">
        <v>29.905000000000001</v>
      </c>
      <c r="Q2734">
        <v>23.582000000000001</v>
      </c>
      <c r="R2734" t="s">
        <v>1267</v>
      </c>
      <c r="S2734" t="s">
        <v>83</v>
      </c>
      <c r="T2734">
        <f>IF(TRIM(Table1[[#This Row],[PitStopLaps]])="",0,
LEN(Table1[[#This Row],[PitStopLaps]])-LEN(SUBSTITUTE(Table1[[#This Row],[PitStopLaps]],",",""))+1)</f>
        <v>2</v>
      </c>
      <c r="U2734">
        <f>Table1[[#This Row],[StartPosition]]-Table1[[#This Row],[FinishPosition]]</f>
        <v>-1</v>
      </c>
    </row>
    <row r="2735" spans="1:21" x14ac:dyDescent="0.3">
      <c r="A2735">
        <v>2024</v>
      </c>
      <c r="B2735">
        <v>13</v>
      </c>
      <c r="C2735" t="s">
        <v>183</v>
      </c>
      <c r="D2735" t="s">
        <v>71</v>
      </c>
      <c r="E2735" t="s">
        <v>72</v>
      </c>
      <c r="F2735" t="s">
        <v>69</v>
      </c>
      <c r="G2735">
        <v>15</v>
      </c>
      <c r="H2735">
        <v>15</v>
      </c>
      <c r="I2735">
        <v>0</v>
      </c>
      <c r="J2735" t="s">
        <v>34</v>
      </c>
      <c r="K2735" t="s">
        <v>994</v>
      </c>
      <c r="L2735">
        <v>69</v>
      </c>
      <c r="M2735">
        <v>83.552999999999997</v>
      </c>
      <c r="N2735">
        <v>85.178889999999996</v>
      </c>
      <c r="O2735">
        <v>29.687000000000001</v>
      </c>
      <c r="P2735">
        <v>29.64</v>
      </c>
      <c r="Q2735">
        <v>23.803000000000001</v>
      </c>
      <c r="R2735" t="s">
        <v>1268</v>
      </c>
      <c r="S2735" t="s">
        <v>83</v>
      </c>
      <c r="T2735">
        <f>IF(TRIM(Table1[[#This Row],[PitStopLaps]])="",0,
LEN(Table1[[#This Row],[PitStopLaps]])-LEN(SUBSTITUTE(Table1[[#This Row],[PitStopLaps]],",",""))+1)</f>
        <v>2</v>
      </c>
      <c r="U2735">
        <f>Table1[[#This Row],[StartPosition]]-Table1[[#This Row],[FinishPosition]]</f>
        <v>0</v>
      </c>
    </row>
    <row r="2736" spans="1:21" x14ac:dyDescent="0.3">
      <c r="A2736">
        <v>2024</v>
      </c>
      <c r="B2736">
        <v>13</v>
      </c>
      <c r="C2736" t="s">
        <v>183</v>
      </c>
      <c r="D2736" t="s">
        <v>43</v>
      </c>
      <c r="E2736" t="s">
        <v>44</v>
      </c>
      <c r="F2736" t="s">
        <v>1175</v>
      </c>
      <c r="G2736">
        <v>12</v>
      </c>
      <c r="H2736">
        <v>16</v>
      </c>
      <c r="I2736">
        <v>0</v>
      </c>
      <c r="J2736" t="s">
        <v>34</v>
      </c>
      <c r="K2736" t="s">
        <v>994</v>
      </c>
      <c r="L2736">
        <v>69</v>
      </c>
      <c r="M2736">
        <v>82.792000000000002</v>
      </c>
      <c r="N2736">
        <v>85.157328000000007</v>
      </c>
      <c r="O2736">
        <v>29.753</v>
      </c>
      <c r="P2736">
        <v>29.498999999999999</v>
      </c>
      <c r="Q2736">
        <v>23.454000000000001</v>
      </c>
      <c r="R2736" t="s">
        <v>329</v>
      </c>
      <c r="S2736" t="s">
        <v>83</v>
      </c>
      <c r="T2736">
        <f>IF(TRIM(Table1[[#This Row],[PitStopLaps]])="",0,
LEN(Table1[[#This Row],[PitStopLaps]])-LEN(SUBSTITUTE(Table1[[#This Row],[PitStopLaps]],",",""))+1)</f>
        <v>2</v>
      </c>
      <c r="U2736">
        <f>Table1[[#This Row],[StartPosition]]-Table1[[#This Row],[FinishPosition]]</f>
        <v>-4</v>
      </c>
    </row>
    <row r="2737" spans="1:21" x14ac:dyDescent="0.3">
      <c r="A2737">
        <v>2024</v>
      </c>
      <c r="B2737">
        <v>13</v>
      </c>
      <c r="C2737" t="s">
        <v>183</v>
      </c>
      <c r="D2737" t="s">
        <v>992</v>
      </c>
      <c r="E2737" t="s">
        <v>993</v>
      </c>
      <c r="F2737" t="s">
        <v>60</v>
      </c>
      <c r="G2737">
        <v>14</v>
      </c>
      <c r="H2737">
        <v>17</v>
      </c>
      <c r="I2737">
        <v>0</v>
      </c>
      <c r="J2737" t="s">
        <v>34</v>
      </c>
      <c r="K2737" t="s">
        <v>994</v>
      </c>
      <c r="L2737">
        <v>69</v>
      </c>
      <c r="M2737">
        <v>80.561000000000007</v>
      </c>
      <c r="N2737">
        <v>84.952516000000003</v>
      </c>
      <c r="O2737">
        <v>29.196999999999999</v>
      </c>
      <c r="P2737">
        <v>28.649000000000001</v>
      </c>
      <c r="Q2737">
        <v>22.715</v>
      </c>
      <c r="R2737" t="s">
        <v>1269</v>
      </c>
      <c r="S2737" t="s">
        <v>83</v>
      </c>
      <c r="T2737">
        <f>IF(TRIM(Table1[[#This Row],[PitStopLaps]])="",0,
LEN(Table1[[#This Row],[PitStopLaps]])-LEN(SUBSTITUTE(Table1[[#This Row],[PitStopLaps]],",",""))+1)</f>
        <v>3</v>
      </c>
      <c r="U2737">
        <f>Table1[[#This Row],[StartPosition]]-Table1[[#This Row],[FinishPosition]]</f>
        <v>-3</v>
      </c>
    </row>
    <row r="2738" spans="1:21" x14ac:dyDescent="0.3">
      <c r="A2738">
        <v>2024</v>
      </c>
      <c r="B2738">
        <v>13</v>
      </c>
      <c r="C2738" t="s">
        <v>183</v>
      </c>
      <c r="D2738" t="s">
        <v>52</v>
      </c>
      <c r="E2738" t="s">
        <v>53</v>
      </c>
      <c r="F2738" t="s">
        <v>607</v>
      </c>
      <c r="G2738">
        <v>19</v>
      </c>
      <c r="H2738">
        <v>18</v>
      </c>
      <c r="I2738">
        <v>0</v>
      </c>
      <c r="J2738" t="s">
        <v>34</v>
      </c>
      <c r="K2738" t="s">
        <v>994</v>
      </c>
      <c r="L2738">
        <v>69</v>
      </c>
      <c r="M2738">
        <v>81.61</v>
      </c>
      <c r="N2738">
        <v>85.043080000000003</v>
      </c>
      <c r="O2738">
        <v>29.26</v>
      </c>
      <c r="P2738">
        <v>29.082000000000001</v>
      </c>
      <c r="Q2738">
        <v>23.268000000000001</v>
      </c>
      <c r="R2738" t="s">
        <v>1270</v>
      </c>
      <c r="S2738" t="s">
        <v>83</v>
      </c>
      <c r="T2738">
        <f>IF(TRIM(Table1[[#This Row],[PitStopLaps]])="",0,
LEN(Table1[[#This Row],[PitStopLaps]])-LEN(SUBSTITUTE(Table1[[#This Row],[PitStopLaps]],",",""))+1)</f>
        <v>3</v>
      </c>
      <c r="U2738">
        <f>Table1[[#This Row],[StartPosition]]-Table1[[#This Row],[FinishPosition]]</f>
        <v>1</v>
      </c>
    </row>
    <row r="2739" spans="1:21" x14ac:dyDescent="0.3">
      <c r="A2739">
        <v>2024</v>
      </c>
      <c r="B2739">
        <v>13</v>
      </c>
      <c r="C2739" t="s">
        <v>183</v>
      </c>
      <c r="D2739" t="s">
        <v>794</v>
      </c>
      <c r="E2739" t="s">
        <v>795</v>
      </c>
      <c r="F2739" t="s">
        <v>1175</v>
      </c>
      <c r="G2739">
        <v>18</v>
      </c>
      <c r="H2739">
        <v>19</v>
      </c>
      <c r="I2739">
        <v>0</v>
      </c>
      <c r="J2739" t="s">
        <v>34</v>
      </c>
      <c r="K2739" t="s">
        <v>994</v>
      </c>
      <c r="L2739">
        <v>69</v>
      </c>
      <c r="M2739">
        <v>83.486999999999995</v>
      </c>
      <c r="N2739">
        <v>85.374812000000006</v>
      </c>
      <c r="O2739">
        <v>30.032</v>
      </c>
      <c r="P2739">
        <v>29.826000000000001</v>
      </c>
      <c r="Q2739">
        <v>23.442</v>
      </c>
      <c r="R2739" t="s">
        <v>1271</v>
      </c>
      <c r="S2739" t="s">
        <v>83</v>
      </c>
      <c r="T2739">
        <f>IF(TRIM(Table1[[#This Row],[PitStopLaps]])="",0,
LEN(Table1[[#This Row],[PitStopLaps]])-LEN(SUBSTITUTE(Table1[[#This Row],[PitStopLaps]],",",""))+1)</f>
        <v>2</v>
      </c>
      <c r="U2739">
        <f>Table1[[#This Row],[StartPosition]]-Table1[[#This Row],[FinishPosition]]</f>
        <v>-1</v>
      </c>
    </row>
    <row r="2740" spans="1:21" x14ac:dyDescent="0.3">
      <c r="A2740">
        <v>2024</v>
      </c>
      <c r="B2740">
        <v>13</v>
      </c>
      <c r="C2740" t="s">
        <v>183</v>
      </c>
      <c r="D2740" t="s">
        <v>73</v>
      </c>
      <c r="E2740" t="s">
        <v>74</v>
      </c>
      <c r="F2740" t="s">
        <v>607</v>
      </c>
      <c r="G2740">
        <v>20</v>
      </c>
      <c r="H2740">
        <v>20</v>
      </c>
      <c r="I2740">
        <v>0</v>
      </c>
      <c r="J2740" t="s">
        <v>34</v>
      </c>
      <c r="K2740" t="s">
        <v>179</v>
      </c>
      <c r="L2740">
        <v>33</v>
      </c>
      <c r="M2740">
        <v>83.34</v>
      </c>
      <c r="N2740">
        <v>85.615965000000003</v>
      </c>
      <c r="O2740">
        <v>29.652000000000001</v>
      </c>
      <c r="P2740">
        <v>30.045999999999999</v>
      </c>
      <c r="Q2740">
        <v>23.54</v>
      </c>
      <c r="R2740" t="s">
        <v>106</v>
      </c>
      <c r="S2740" t="s">
        <v>83</v>
      </c>
      <c r="T2740">
        <f>IF(TRIM(Table1[[#This Row],[PitStopLaps]])="",0,
LEN(Table1[[#This Row],[PitStopLaps]])-LEN(SUBSTITUTE(Table1[[#This Row],[PitStopLaps]],",",""))+1)</f>
        <v>2</v>
      </c>
      <c r="U2740">
        <f>Table1[[#This Row],[StartPosition]]-Table1[[#This Row],[FinishPosition]]</f>
        <v>0</v>
      </c>
    </row>
    <row r="2741" spans="1:21" x14ac:dyDescent="0.3">
      <c r="A2741">
        <v>2024</v>
      </c>
      <c r="B2741">
        <v>14</v>
      </c>
      <c r="C2741" t="s">
        <v>188</v>
      </c>
      <c r="D2741" t="s">
        <v>26</v>
      </c>
      <c r="E2741" t="s">
        <v>27</v>
      </c>
      <c r="F2741" t="s">
        <v>28</v>
      </c>
      <c r="G2741">
        <v>3</v>
      </c>
      <c r="H2741">
        <v>1</v>
      </c>
      <c r="I2741">
        <v>25</v>
      </c>
      <c r="J2741" t="s">
        <v>23</v>
      </c>
      <c r="K2741" t="s">
        <v>24</v>
      </c>
      <c r="L2741">
        <v>44</v>
      </c>
      <c r="M2741">
        <v>106.65300000000001</v>
      </c>
      <c r="N2741">
        <v>108.01023000000001</v>
      </c>
      <c r="O2741">
        <v>30.637</v>
      </c>
      <c r="P2741">
        <v>46.606999999999999</v>
      </c>
      <c r="Q2741">
        <v>28.798999999999999</v>
      </c>
      <c r="R2741" t="s">
        <v>1272</v>
      </c>
      <c r="S2741" t="s">
        <v>83</v>
      </c>
      <c r="T2741">
        <f>IF(TRIM(Table1[[#This Row],[PitStopLaps]])="",0,
LEN(Table1[[#This Row],[PitStopLaps]])-LEN(SUBSTITUTE(Table1[[#This Row],[PitStopLaps]],",",""))+1)</f>
        <v>2</v>
      </c>
      <c r="U2741">
        <f>Table1[[#This Row],[StartPosition]]-Table1[[#This Row],[FinishPosition]]</f>
        <v>2</v>
      </c>
    </row>
    <row r="2742" spans="1:21" x14ac:dyDescent="0.3">
      <c r="A2742">
        <v>2024</v>
      </c>
      <c r="B2742">
        <v>14</v>
      </c>
      <c r="C2742" t="s">
        <v>188</v>
      </c>
      <c r="D2742" t="s">
        <v>1000</v>
      </c>
      <c r="E2742" t="s">
        <v>1001</v>
      </c>
      <c r="F2742" t="s">
        <v>37</v>
      </c>
      <c r="G2742">
        <v>5</v>
      </c>
      <c r="H2742">
        <v>2</v>
      </c>
      <c r="I2742">
        <v>18</v>
      </c>
      <c r="J2742" t="s">
        <v>23</v>
      </c>
      <c r="K2742" t="s">
        <v>24</v>
      </c>
      <c r="L2742">
        <v>44</v>
      </c>
      <c r="M2742">
        <v>105.84</v>
      </c>
      <c r="N2742">
        <v>108.036641</v>
      </c>
      <c r="O2742">
        <v>30.405999999999999</v>
      </c>
      <c r="P2742">
        <v>46.432000000000002</v>
      </c>
      <c r="Q2742">
        <v>28.617999999999999</v>
      </c>
      <c r="R2742" t="s">
        <v>726</v>
      </c>
      <c r="S2742" t="s">
        <v>83</v>
      </c>
      <c r="T2742">
        <f>IF(TRIM(Table1[[#This Row],[PitStopLaps]])="",0,
LEN(Table1[[#This Row],[PitStopLaps]])-LEN(SUBSTITUTE(Table1[[#This Row],[PitStopLaps]],",",""))+1)</f>
        <v>2</v>
      </c>
      <c r="U2742">
        <f>Table1[[#This Row],[StartPosition]]-Table1[[#This Row],[FinishPosition]]</f>
        <v>3</v>
      </c>
    </row>
    <row r="2743" spans="1:21" x14ac:dyDescent="0.3">
      <c r="A2743">
        <v>2024</v>
      </c>
      <c r="B2743">
        <v>14</v>
      </c>
      <c r="C2743" t="s">
        <v>188</v>
      </c>
      <c r="D2743" t="s">
        <v>54</v>
      </c>
      <c r="E2743" t="s">
        <v>55</v>
      </c>
      <c r="F2743" t="s">
        <v>22</v>
      </c>
      <c r="G2743">
        <v>1</v>
      </c>
      <c r="H2743">
        <v>3</v>
      </c>
      <c r="I2743">
        <v>15</v>
      </c>
      <c r="J2743" t="s">
        <v>23</v>
      </c>
      <c r="K2743" t="s">
        <v>24</v>
      </c>
      <c r="L2743">
        <v>44</v>
      </c>
      <c r="M2743">
        <v>107.01300000000001</v>
      </c>
      <c r="N2743">
        <v>108.271512</v>
      </c>
      <c r="O2743">
        <v>30.922999999999998</v>
      </c>
      <c r="P2743">
        <v>46.85</v>
      </c>
      <c r="Q2743">
        <v>28.823</v>
      </c>
      <c r="R2743" t="s">
        <v>1273</v>
      </c>
      <c r="S2743" t="s">
        <v>83</v>
      </c>
      <c r="T2743">
        <f>IF(TRIM(Table1[[#This Row],[PitStopLaps]])="",0,
LEN(Table1[[#This Row],[PitStopLaps]])-LEN(SUBSTITUTE(Table1[[#This Row],[PitStopLaps]],",",""))+1)</f>
        <v>2</v>
      </c>
      <c r="U2743">
        <f>Table1[[#This Row],[StartPosition]]-Table1[[#This Row],[FinishPosition]]</f>
        <v>-2</v>
      </c>
    </row>
    <row r="2744" spans="1:21" x14ac:dyDescent="0.3">
      <c r="A2744">
        <v>2024</v>
      </c>
      <c r="B2744">
        <v>14</v>
      </c>
      <c r="C2744" t="s">
        <v>188</v>
      </c>
      <c r="D2744" t="s">
        <v>38</v>
      </c>
      <c r="E2744" t="s">
        <v>39</v>
      </c>
      <c r="F2744" t="s">
        <v>33</v>
      </c>
      <c r="G2744">
        <v>11</v>
      </c>
      <c r="H2744">
        <v>4</v>
      </c>
      <c r="I2744">
        <v>12</v>
      </c>
      <c r="J2744" t="s">
        <v>34</v>
      </c>
      <c r="K2744" t="s">
        <v>24</v>
      </c>
      <c r="L2744">
        <v>44</v>
      </c>
      <c r="M2744">
        <v>106.128</v>
      </c>
      <c r="N2744">
        <v>108.182666</v>
      </c>
      <c r="O2744">
        <v>30.579000000000001</v>
      </c>
      <c r="P2744">
        <v>46.512</v>
      </c>
      <c r="Q2744">
        <v>28.692</v>
      </c>
      <c r="R2744" t="s">
        <v>88</v>
      </c>
      <c r="S2744" t="s">
        <v>83</v>
      </c>
      <c r="T2744">
        <f>IF(TRIM(Table1[[#This Row],[PitStopLaps]])="",0,
LEN(Table1[[#This Row],[PitStopLaps]])-LEN(SUBSTITUTE(Table1[[#This Row],[PitStopLaps]],",",""))+1)</f>
        <v>2</v>
      </c>
      <c r="U2744">
        <f>Table1[[#This Row],[StartPosition]]-Table1[[#This Row],[FinishPosition]]</f>
        <v>7</v>
      </c>
    </row>
    <row r="2745" spans="1:21" x14ac:dyDescent="0.3">
      <c r="A2745">
        <v>2024</v>
      </c>
      <c r="B2745">
        <v>14</v>
      </c>
      <c r="C2745" t="s">
        <v>188</v>
      </c>
      <c r="D2745" t="s">
        <v>246</v>
      </c>
      <c r="E2745" t="s">
        <v>247</v>
      </c>
      <c r="F2745" t="s">
        <v>37</v>
      </c>
      <c r="G2745">
        <v>4</v>
      </c>
      <c r="H2745">
        <v>5</v>
      </c>
      <c r="I2745">
        <v>10</v>
      </c>
      <c r="J2745" t="s">
        <v>34</v>
      </c>
      <c r="K2745" t="s">
        <v>24</v>
      </c>
      <c r="L2745">
        <v>44</v>
      </c>
      <c r="M2745">
        <v>105.563</v>
      </c>
      <c r="N2745">
        <v>108.293102</v>
      </c>
      <c r="O2745">
        <v>30.359000000000002</v>
      </c>
      <c r="P2745">
        <v>46.633000000000003</v>
      </c>
      <c r="Q2745">
        <v>28.571000000000002</v>
      </c>
      <c r="R2745" t="s">
        <v>1274</v>
      </c>
      <c r="S2745" t="s">
        <v>83</v>
      </c>
      <c r="T2745">
        <f>IF(TRIM(Table1[[#This Row],[PitStopLaps]])="",0,
LEN(Table1[[#This Row],[PitStopLaps]])-LEN(SUBSTITUTE(Table1[[#This Row],[PitStopLaps]],",",""))+1)</f>
        <v>2</v>
      </c>
      <c r="U2745">
        <f>Table1[[#This Row],[StartPosition]]-Table1[[#This Row],[FinishPosition]]</f>
        <v>-1</v>
      </c>
    </row>
    <row r="2746" spans="1:21" x14ac:dyDescent="0.3">
      <c r="A2746">
        <v>2024</v>
      </c>
      <c r="B2746">
        <v>14</v>
      </c>
      <c r="C2746" t="s">
        <v>188</v>
      </c>
      <c r="D2746" t="s">
        <v>47</v>
      </c>
      <c r="E2746" t="s">
        <v>48</v>
      </c>
      <c r="F2746" t="s">
        <v>22</v>
      </c>
      <c r="G2746">
        <v>7</v>
      </c>
      <c r="H2746">
        <v>6</v>
      </c>
      <c r="I2746">
        <v>8</v>
      </c>
      <c r="J2746" t="s">
        <v>34</v>
      </c>
      <c r="K2746" t="s">
        <v>24</v>
      </c>
      <c r="L2746">
        <v>44</v>
      </c>
      <c r="M2746">
        <v>106.364</v>
      </c>
      <c r="N2746">
        <v>108.488282</v>
      </c>
      <c r="O2746">
        <v>30.574999999999999</v>
      </c>
      <c r="P2746">
        <v>46.625999999999998</v>
      </c>
      <c r="Q2746">
        <v>28.794</v>
      </c>
      <c r="R2746" t="s">
        <v>1275</v>
      </c>
      <c r="S2746" t="s">
        <v>83</v>
      </c>
      <c r="T2746">
        <f>IF(TRIM(Table1[[#This Row],[PitStopLaps]])="",0,
LEN(Table1[[#This Row],[PitStopLaps]])-LEN(SUBSTITUTE(Table1[[#This Row],[PitStopLaps]],",",""))+1)</f>
        <v>2</v>
      </c>
      <c r="U2746">
        <f>Table1[[#This Row],[StartPosition]]-Table1[[#This Row],[FinishPosition]]</f>
        <v>1</v>
      </c>
    </row>
    <row r="2747" spans="1:21" x14ac:dyDescent="0.3">
      <c r="A2747">
        <v>2024</v>
      </c>
      <c r="B2747">
        <v>14</v>
      </c>
      <c r="C2747" t="s">
        <v>188</v>
      </c>
      <c r="D2747" t="s">
        <v>49</v>
      </c>
      <c r="E2747" t="s">
        <v>50</v>
      </c>
      <c r="F2747" t="s">
        <v>33</v>
      </c>
      <c r="G2747">
        <v>2</v>
      </c>
      <c r="H2747">
        <v>7</v>
      </c>
      <c r="I2747">
        <v>7</v>
      </c>
      <c r="J2747" t="s">
        <v>34</v>
      </c>
      <c r="K2747" t="s">
        <v>24</v>
      </c>
      <c r="L2747">
        <v>44</v>
      </c>
      <c r="M2747">
        <v>104.70099999999999</v>
      </c>
      <c r="N2747">
        <v>108.522864</v>
      </c>
      <c r="O2747">
        <v>30.765000000000001</v>
      </c>
      <c r="P2747">
        <v>45.308999999999997</v>
      </c>
      <c r="Q2747">
        <v>28.584</v>
      </c>
      <c r="R2747" t="s">
        <v>1276</v>
      </c>
      <c r="S2747" t="s">
        <v>83</v>
      </c>
      <c r="T2747">
        <f>IF(TRIM(Table1[[#This Row],[PitStopLaps]])="",0,
LEN(Table1[[#This Row],[PitStopLaps]])-LEN(SUBSTITUTE(Table1[[#This Row],[PitStopLaps]],",",""))+1)</f>
        <v>3</v>
      </c>
      <c r="U2747">
        <f>Table1[[#This Row],[StartPosition]]-Table1[[#This Row],[FinishPosition]]</f>
        <v>-5</v>
      </c>
    </row>
    <row r="2748" spans="1:21" x14ac:dyDescent="0.3">
      <c r="A2748">
        <v>2024</v>
      </c>
      <c r="B2748">
        <v>14</v>
      </c>
      <c r="C2748" t="s">
        <v>188</v>
      </c>
      <c r="D2748" t="s">
        <v>35</v>
      </c>
      <c r="E2748" t="s">
        <v>36</v>
      </c>
      <c r="F2748" t="s">
        <v>603</v>
      </c>
      <c r="G2748">
        <v>8</v>
      </c>
      <c r="H2748">
        <v>8</v>
      </c>
      <c r="I2748">
        <v>4</v>
      </c>
      <c r="J2748" t="s">
        <v>34</v>
      </c>
      <c r="K2748" t="s">
        <v>24</v>
      </c>
      <c r="L2748">
        <v>44</v>
      </c>
      <c r="M2748">
        <v>108.051</v>
      </c>
      <c r="N2748">
        <v>109.55558499999999</v>
      </c>
      <c r="O2748">
        <v>30.791</v>
      </c>
      <c r="P2748">
        <v>47.814</v>
      </c>
      <c r="Q2748">
        <v>29.032</v>
      </c>
      <c r="R2748">
        <v>13</v>
      </c>
      <c r="S2748" t="s">
        <v>83</v>
      </c>
      <c r="T2748">
        <f>IF(TRIM(Table1[[#This Row],[PitStopLaps]])="",0,
LEN(Table1[[#This Row],[PitStopLaps]])-LEN(SUBSTITUTE(Table1[[#This Row],[PitStopLaps]],",",""))+1)</f>
        <v>1</v>
      </c>
      <c r="U2748">
        <f>Table1[[#This Row],[StartPosition]]-Table1[[#This Row],[FinishPosition]]</f>
        <v>0</v>
      </c>
    </row>
    <row r="2749" spans="1:21" x14ac:dyDescent="0.3">
      <c r="A2749">
        <v>2024</v>
      </c>
      <c r="B2749">
        <v>14</v>
      </c>
      <c r="C2749" t="s">
        <v>188</v>
      </c>
      <c r="D2749" t="s">
        <v>52</v>
      </c>
      <c r="E2749" t="s">
        <v>53</v>
      </c>
      <c r="F2749" t="s">
        <v>607</v>
      </c>
      <c r="G2749">
        <v>9</v>
      </c>
      <c r="H2749">
        <v>9</v>
      </c>
      <c r="I2749">
        <v>2</v>
      </c>
      <c r="J2749" t="s">
        <v>34</v>
      </c>
      <c r="K2749" t="s">
        <v>24</v>
      </c>
      <c r="L2749">
        <v>44</v>
      </c>
      <c r="M2749">
        <v>106.95699999999999</v>
      </c>
      <c r="N2749">
        <v>109.16564099999999</v>
      </c>
      <c r="O2749">
        <v>30.417999999999999</v>
      </c>
      <c r="P2749">
        <v>47.49</v>
      </c>
      <c r="Q2749">
        <v>28.576999999999899</v>
      </c>
      <c r="R2749" t="s">
        <v>606</v>
      </c>
      <c r="S2749" t="s">
        <v>83</v>
      </c>
      <c r="T2749">
        <f>IF(TRIM(Table1[[#This Row],[PitStopLaps]])="",0,
LEN(Table1[[#This Row],[PitStopLaps]])-LEN(SUBSTITUTE(Table1[[#This Row],[PitStopLaps]],",",""))+1)</f>
        <v>2</v>
      </c>
      <c r="U2749">
        <f>Table1[[#This Row],[StartPosition]]-Table1[[#This Row],[FinishPosition]]</f>
        <v>0</v>
      </c>
    </row>
    <row r="2750" spans="1:21" x14ac:dyDescent="0.3">
      <c r="A2750">
        <v>2024</v>
      </c>
      <c r="B2750">
        <v>14</v>
      </c>
      <c r="C2750" t="s">
        <v>188</v>
      </c>
      <c r="D2750" t="s">
        <v>31</v>
      </c>
      <c r="E2750" t="s">
        <v>32</v>
      </c>
      <c r="F2750" t="s">
        <v>1176</v>
      </c>
      <c r="G2750">
        <v>13</v>
      </c>
      <c r="H2750">
        <v>10</v>
      </c>
      <c r="I2750">
        <v>1</v>
      </c>
      <c r="J2750" t="s">
        <v>34</v>
      </c>
      <c r="K2750" t="s">
        <v>24</v>
      </c>
      <c r="L2750">
        <v>44</v>
      </c>
      <c r="M2750">
        <v>107.435</v>
      </c>
      <c r="N2750">
        <v>109.10881999999999</v>
      </c>
      <c r="O2750">
        <v>30.584</v>
      </c>
      <c r="P2750">
        <v>47.542999999999999</v>
      </c>
      <c r="Q2750">
        <v>28.844000000000001</v>
      </c>
      <c r="R2750" t="s">
        <v>1277</v>
      </c>
      <c r="S2750" t="s">
        <v>83</v>
      </c>
      <c r="T2750">
        <f>IF(TRIM(Table1[[#This Row],[PitStopLaps]])="",0,
LEN(Table1[[#This Row],[PitStopLaps]])-LEN(SUBSTITUTE(Table1[[#This Row],[PitStopLaps]],",",""))+1)</f>
        <v>2</v>
      </c>
      <c r="U2750">
        <f>Table1[[#This Row],[StartPosition]]-Table1[[#This Row],[FinishPosition]]</f>
        <v>3</v>
      </c>
    </row>
    <row r="2751" spans="1:21" x14ac:dyDescent="0.3">
      <c r="A2751">
        <v>2024</v>
      </c>
      <c r="B2751">
        <v>14</v>
      </c>
      <c r="C2751" t="s">
        <v>188</v>
      </c>
      <c r="D2751" t="s">
        <v>58</v>
      </c>
      <c r="E2751" t="s">
        <v>59</v>
      </c>
      <c r="F2751" t="s">
        <v>603</v>
      </c>
      <c r="G2751">
        <v>15</v>
      </c>
      <c r="H2751">
        <v>11</v>
      </c>
      <c r="I2751">
        <v>0</v>
      </c>
      <c r="J2751" t="s">
        <v>34</v>
      </c>
      <c r="K2751" t="s">
        <v>24</v>
      </c>
      <c r="L2751">
        <v>44</v>
      </c>
      <c r="M2751">
        <v>108.105</v>
      </c>
      <c r="N2751">
        <v>109.771585</v>
      </c>
      <c r="O2751">
        <v>30.994</v>
      </c>
      <c r="P2751">
        <v>48.085999999999999</v>
      </c>
      <c r="Q2751">
        <v>28.925999999999998</v>
      </c>
      <c r="R2751">
        <v>12</v>
      </c>
      <c r="S2751" t="s">
        <v>83</v>
      </c>
      <c r="T2751">
        <f>IF(TRIM(Table1[[#This Row],[PitStopLaps]])="",0,
LEN(Table1[[#This Row],[PitStopLaps]])-LEN(SUBSTITUTE(Table1[[#This Row],[PitStopLaps]],",",""))+1)</f>
        <v>1</v>
      </c>
      <c r="U2751">
        <f>Table1[[#This Row],[StartPosition]]-Table1[[#This Row],[FinishPosition]]</f>
        <v>4</v>
      </c>
    </row>
    <row r="2752" spans="1:21" x14ac:dyDescent="0.3">
      <c r="A2752">
        <v>2024</v>
      </c>
      <c r="B2752">
        <v>14</v>
      </c>
      <c r="C2752" t="s">
        <v>188</v>
      </c>
      <c r="D2752" t="s">
        <v>248</v>
      </c>
      <c r="E2752" t="s">
        <v>249</v>
      </c>
      <c r="F2752" t="s">
        <v>60</v>
      </c>
      <c r="G2752">
        <v>10</v>
      </c>
      <c r="H2752">
        <v>12</v>
      </c>
      <c r="I2752">
        <v>0</v>
      </c>
      <c r="J2752" t="s">
        <v>34</v>
      </c>
      <c r="K2752" t="s">
        <v>24</v>
      </c>
      <c r="L2752">
        <v>44</v>
      </c>
      <c r="M2752">
        <v>107.996</v>
      </c>
      <c r="N2752">
        <v>109.41938399999999</v>
      </c>
      <c r="O2752">
        <v>30.527000000000001</v>
      </c>
      <c r="P2752">
        <v>48.195</v>
      </c>
      <c r="Q2752">
        <v>28.722000000000001</v>
      </c>
      <c r="R2752" t="s">
        <v>1210</v>
      </c>
      <c r="S2752" t="s">
        <v>83</v>
      </c>
      <c r="T2752">
        <f>IF(TRIM(Table1[[#This Row],[PitStopLaps]])="",0,
LEN(Table1[[#This Row],[PitStopLaps]])-LEN(SUBSTITUTE(Table1[[#This Row],[PitStopLaps]],",",""))+1)</f>
        <v>2</v>
      </c>
      <c r="U2752">
        <f>Table1[[#This Row],[StartPosition]]-Table1[[#This Row],[FinishPosition]]</f>
        <v>-2</v>
      </c>
    </row>
    <row r="2753" spans="1:21" x14ac:dyDescent="0.3">
      <c r="A2753">
        <v>2024</v>
      </c>
      <c r="B2753">
        <v>14</v>
      </c>
      <c r="C2753" t="s">
        <v>188</v>
      </c>
      <c r="D2753" t="s">
        <v>73</v>
      </c>
      <c r="E2753" t="s">
        <v>74</v>
      </c>
      <c r="F2753" t="s">
        <v>607</v>
      </c>
      <c r="G2753">
        <v>12</v>
      </c>
      <c r="H2753">
        <v>13</v>
      </c>
      <c r="I2753">
        <v>0</v>
      </c>
      <c r="J2753" t="s">
        <v>34</v>
      </c>
      <c r="K2753" t="s">
        <v>24</v>
      </c>
      <c r="L2753">
        <v>44</v>
      </c>
      <c r="M2753">
        <v>107.41800000000001</v>
      </c>
      <c r="N2753">
        <v>109.378461</v>
      </c>
      <c r="O2753">
        <v>30.515000000000001</v>
      </c>
      <c r="P2753">
        <v>47.646999999999998</v>
      </c>
      <c r="Q2753">
        <v>28.864999999999998</v>
      </c>
      <c r="R2753" t="s">
        <v>649</v>
      </c>
      <c r="S2753" t="s">
        <v>83</v>
      </c>
      <c r="T2753">
        <f>IF(TRIM(Table1[[#This Row],[PitStopLaps]])="",0,
LEN(Table1[[#This Row],[PitStopLaps]])-LEN(SUBSTITUTE(Table1[[#This Row],[PitStopLaps]],",",""))+1)</f>
        <v>2</v>
      </c>
      <c r="U2753">
        <f>Table1[[#This Row],[StartPosition]]-Table1[[#This Row],[FinishPosition]]</f>
        <v>-1</v>
      </c>
    </row>
    <row r="2754" spans="1:21" x14ac:dyDescent="0.3">
      <c r="A2754">
        <v>2024</v>
      </c>
      <c r="B2754">
        <v>14</v>
      </c>
      <c r="C2754" t="s">
        <v>188</v>
      </c>
      <c r="D2754" t="s">
        <v>71</v>
      </c>
      <c r="E2754" t="s">
        <v>72</v>
      </c>
      <c r="F2754" t="s">
        <v>69</v>
      </c>
      <c r="G2754">
        <v>17</v>
      </c>
      <c r="H2754">
        <v>14</v>
      </c>
      <c r="I2754">
        <v>0</v>
      </c>
      <c r="J2754" t="s">
        <v>34</v>
      </c>
      <c r="K2754" t="s">
        <v>24</v>
      </c>
      <c r="L2754">
        <v>44</v>
      </c>
      <c r="M2754">
        <v>107.848</v>
      </c>
      <c r="N2754">
        <v>109.853292</v>
      </c>
      <c r="O2754">
        <v>30.907</v>
      </c>
      <c r="P2754">
        <v>48.027999999999999</v>
      </c>
      <c r="Q2754">
        <v>28.811</v>
      </c>
      <c r="R2754">
        <v>17</v>
      </c>
      <c r="S2754" t="s">
        <v>83</v>
      </c>
      <c r="T2754">
        <f>IF(TRIM(Table1[[#This Row],[PitStopLaps]])="",0,
LEN(Table1[[#This Row],[PitStopLaps]])-LEN(SUBSTITUTE(Table1[[#This Row],[PitStopLaps]],",",""))+1)</f>
        <v>1</v>
      </c>
      <c r="U2754">
        <f>Table1[[#This Row],[StartPosition]]-Table1[[#This Row],[FinishPosition]]</f>
        <v>3</v>
      </c>
    </row>
    <row r="2755" spans="1:21" x14ac:dyDescent="0.3">
      <c r="A2755">
        <v>2024</v>
      </c>
      <c r="B2755">
        <v>14</v>
      </c>
      <c r="C2755" t="s">
        <v>188</v>
      </c>
      <c r="D2755" t="s">
        <v>43</v>
      </c>
      <c r="E2755" t="s">
        <v>44</v>
      </c>
      <c r="F2755" t="s">
        <v>1175</v>
      </c>
      <c r="G2755">
        <v>14</v>
      </c>
      <c r="H2755">
        <v>15</v>
      </c>
      <c r="I2755">
        <v>0</v>
      </c>
      <c r="J2755" t="s">
        <v>34</v>
      </c>
      <c r="K2755" t="s">
        <v>24</v>
      </c>
      <c r="L2755">
        <v>44</v>
      </c>
      <c r="M2755">
        <v>107.01900000000001</v>
      </c>
      <c r="N2755">
        <v>109.621641</v>
      </c>
      <c r="O2755">
        <v>30.544</v>
      </c>
      <c r="P2755">
        <v>47.37</v>
      </c>
      <c r="Q2755">
        <v>28.795000000000002</v>
      </c>
      <c r="R2755" t="s">
        <v>593</v>
      </c>
      <c r="S2755" t="s">
        <v>83</v>
      </c>
      <c r="T2755">
        <f>IF(TRIM(Table1[[#This Row],[PitStopLaps]])="",0,
LEN(Table1[[#This Row],[PitStopLaps]])-LEN(SUBSTITUTE(Table1[[#This Row],[PitStopLaps]],",",""))+1)</f>
        <v>2</v>
      </c>
      <c r="U2755">
        <f>Table1[[#This Row],[StartPosition]]-Table1[[#This Row],[FinishPosition]]</f>
        <v>-1</v>
      </c>
    </row>
    <row r="2756" spans="1:21" x14ac:dyDescent="0.3">
      <c r="A2756">
        <v>2024</v>
      </c>
      <c r="B2756">
        <v>14</v>
      </c>
      <c r="C2756" t="s">
        <v>188</v>
      </c>
      <c r="D2756" t="s">
        <v>601</v>
      </c>
      <c r="E2756" t="s">
        <v>602</v>
      </c>
      <c r="F2756" t="s">
        <v>1176</v>
      </c>
      <c r="G2756">
        <v>20</v>
      </c>
      <c r="H2756">
        <v>16</v>
      </c>
      <c r="I2756">
        <v>0</v>
      </c>
      <c r="J2756" t="s">
        <v>34</v>
      </c>
      <c r="K2756" t="s">
        <v>24</v>
      </c>
      <c r="L2756">
        <v>44</v>
      </c>
      <c r="M2756">
        <v>107.96899999999999</v>
      </c>
      <c r="N2756">
        <v>110.021658</v>
      </c>
      <c r="O2756">
        <v>30.914000000000001</v>
      </c>
      <c r="P2756">
        <v>48.057000000000002</v>
      </c>
      <c r="Q2756">
        <v>28.93</v>
      </c>
      <c r="R2756">
        <v>15</v>
      </c>
      <c r="S2756" t="s">
        <v>83</v>
      </c>
      <c r="T2756">
        <f>IF(TRIM(Table1[[#This Row],[PitStopLaps]])="",0,
LEN(Table1[[#This Row],[PitStopLaps]])-LEN(SUBSTITUTE(Table1[[#This Row],[PitStopLaps]],",",""))+1)</f>
        <v>1</v>
      </c>
      <c r="U2756">
        <f>Table1[[#This Row],[StartPosition]]-Table1[[#This Row],[FinishPosition]]</f>
        <v>4</v>
      </c>
    </row>
    <row r="2757" spans="1:21" x14ac:dyDescent="0.3">
      <c r="A2757">
        <v>2024</v>
      </c>
      <c r="B2757">
        <v>14</v>
      </c>
      <c r="C2757" t="s">
        <v>188</v>
      </c>
      <c r="D2757" t="s">
        <v>992</v>
      </c>
      <c r="E2757" t="s">
        <v>993</v>
      </c>
      <c r="F2757" t="s">
        <v>60</v>
      </c>
      <c r="G2757">
        <v>18</v>
      </c>
      <c r="H2757">
        <v>17</v>
      </c>
      <c r="I2757">
        <v>0</v>
      </c>
      <c r="J2757" t="s">
        <v>34</v>
      </c>
      <c r="K2757" t="s">
        <v>24</v>
      </c>
      <c r="L2757">
        <v>44</v>
      </c>
      <c r="M2757">
        <v>107.49</v>
      </c>
      <c r="N2757">
        <v>109.790538</v>
      </c>
      <c r="O2757">
        <v>30.52</v>
      </c>
      <c r="P2757">
        <v>47.936</v>
      </c>
      <c r="Q2757">
        <v>28.895</v>
      </c>
      <c r="R2757" t="s">
        <v>1278</v>
      </c>
      <c r="S2757" t="s">
        <v>83</v>
      </c>
      <c r="T2757">
        <f>IF(TRIM(Table1[[#This Row],[PitStopLaps]])="",0,
LEN(Table1[[#This Row],[PitStopLaps]])-LEN(SUBSTITUTE(Table1[[#This Row],[PitStopLaps]],",",""))+1)</f>
        <v>2</v>
      </c>
      <c r="U2757">
        <f>Table1[[#This Row],[StartPosition]]-Table1[[#This Row],[FinishPosition]]</f>
        <v>1</v>
      </c>
    </row>
    <row r="2758" spans="1:21" x14ac:dyDescent="0.3">
      <c r="A2758">
        <v>2024</v>
      </c>
      <c r="B2758">
        <v>14</v>
      </c>
      <c r="C2758" t="s">
        <v>188</v>
      </c>
      <c r="D2758" t="s">
        <v>40</v>
      </c>
      <c r="E2758" t="s">
        <v>41</v>
      </c>
      <c r="F2758" t="s">
        <v>69</v>
      </c>
      <c r="G2758">
        <v>16</v>
      </c>
      <c r="H2758">
        <v>18</v>
      </c>
      <c r="I2758">
        <v>0</v>
      </c>
      <c r="J2758" t="s">
        <v>34</v>
      </c>
      <c r="K2758" t="s">
        <v>24</v>
      </c>
      <c r="L2758">
        <v>44</v>
      </c>
      <c r="M2758">
        <v>108.95399999999999</v>
      </c>
      <c r="N2758">
        <v>109.916051</v>
      </c>
      <c r="O2758">
        <v>30.541</v>
      </c>
      <c r="P2758">
        <v>48.594999999999999</v>
      </c>
      <c r="Q2758">
        <v>29.048999999999999</v>
      </c>
      <c r="R2758" t="s">
        <v>1279</v>
      </c>
      <c r="S2758" t="s">
        <v>83</v>
      </c>
      <c r="T2758">
        <f>IF(TRIM(Table1[[#This Row],[PitStopLaps]])="",0,
LEN(Table1[[#This Row],[PitStopLaps]])-LEN(SUBSTITUTE(Table1[[#This Row],[PitStopLaps]],",",""))+1)</f>
        <v>2</v>
      </c>
      <c r="U2758">
        <f>Table1[[#This Row],[StartPosition]]-Table1[[#This Row],[FinishPosition]]</f>
        <v>-2</v>
      </c>
    </row>
    <row r="2759" spans="1:21" x14ac:dyDescent="0.3">
      <c r="A2759">
        <v>2024</v>
      </c>
      <c r="B2759">
        <v>14</v>
      </c>
      <c r="C2759" t="s">
        <v>188</v>
      </c>
      <c r="D2759" t="s">
        <v>794</v>
      </c>
      <c r="E2759" t="s">
        <v>795</v>
      </c>
      <c r="F2759" t="s">
        <v>1175</v>
      </c>
      <c r="G2759">
        <v>19</v>
      </c>
      <c r="H2759">
        <v>19</v>
      </c>
      <c r="I2759">
        <v>0</v>
      </c>
      <c r="J2759" t="s">
        <v>34</v>
      </c>
      <c r="K2759" t="s">
        <v>179</v>
      </c>
      <c r="L2759">
        <v>5</v>
      </c>
      <c r="M2759">
        <v>112.099</v>
      </c>
      <c r="N2759">
        <v>112.2375</v>
      </c>
      <c r="O2759">
        <v>31.082999999999998</v>
      </c>
      <c r="P2759">
        <v>50.332000000000001</v>
      </c>
      <c r="Q2759">
        <v>29.702999999999999</v>
      </c>
      <c r="R2759">
        <v>5</v>
      </c>
      <c r="S2759" t="s">
        <v>83</v>
      </c>
      <c r="T2759">
        <f>IF(TRIM(Table1[[#This Row],[PitStopLaps]])="",0,
LEN(Table1[[#This Row],[PitStopLaps]])-LEN(SUBSTITUTE(Table1[[#This Row],[PitStopLaps]],",",""))+1)</f>
        <v>1</v>
      </c>
      <c r="U2759">
        <f>Table1[[#This Row],[StartPosition]]-Table1[[#This Row],[FinishPosition]]</f>
        <v>0</v>
      </c>
    </row>
    <row r="2760" spans="1:21" x14ac:dyDescent="0.3">
      <c r="A2760">
        <v>2024</v>
      </c>
      <c r="B2760">
        <v>14</v>
      </c>
      <c r="C2760" t="s">
        <v>188</v>
      </c>
      <c r="D2760" t="s">
        <v>252</v>
      </c>
      <c r="E2760" t="s">
        <v>253</v>
      </c>
      <c r="F2760" t="s">
        <v>28</v>
      </c>
      <c r="G2760">
        <v>6</v>
      </c>
      <c r="H2760">
        <v>20</v>
      </c>
      <c r="I2760">
        <v>0</v>
      </c>
      <c r="J2760" t="s">
        <v>34</v>
      </c>
      <c r="K2760" t="s">
        <v>220</v>
      </c>
      <c r="L2760">
        <v>44</v>
      </c>
      <c r="M2760">
        <v>107.113</v>
      </c>
      <c r="N2760">
        <v>108.418756</v>
      </c>
      <c r="O2760">
        <v>30.73</v>
      </c>
      <c r="P2760">
        <v>47.171999999999997</v>
      </c>
      <c r="Q2760">
        <v>28.832000000000001</v>
      </c>
      <c r="R2760">
        <v>10</v>
      </c>
      <c r="S2760" t="s">
        <v>83</v>
      </c>
      <c r="T2760">
        <f>IF(TRIM(Table1[[#This Row],[PitStopLaps]])="",0,
LEN(Table1[[#This Row],[PitStopLaps]])-LEN(SUBSTITUTE(Table1[[#This Row],[PitStopLaps]],",",""))+1)</f>
        <v>1</v>
      </c>
      <c r="U2760">
        <f>Table1[[#This Row],[StartPosition]]-Table1[[#This Row],[FinishPosition]]</f>
        <v>-14</v>
      </c>
    </row>
    <row r="2761" spans="1:21" x14ac:dyDescent="0.3">
      <c r="A2761">
        <v>2024</v>
      </c>
      <c r="B2761">
        <v>15</v>
      </c>
      <c r="C2761" t="s">
        <v>702</v>
      </c>
      <c r="D2761" t="s">
        <v>246</v>
      </c>
      <c r="E2761" t="s">
        <v>247</v>
      </c>
      <c r="F2761" t="s">
        <v>37</v>
      </c>
      <c r="G2761">
        <v>1</v>
      </c>
      <c r="H2761">
        <v>1</v>
      </c>
      <c r="I2761">
        <v>26</v>
      </c>
      <c r="J2761" t="s">
        <v>23</v>
      </c>
      <c r="K2761" t="s">
        <v>24</v>
      </c>
      <c r="L2761">
        <v>72</v>
      </c>
      <c r="M2761">
        <v>73.816999999999993</v>
      </c>
      <c r="N2761">
        <v>75.221013999999997</v>
      </c>
      <c r="O2761">
        <v>24.876000000000001</v>
      </c>
      <c r="P2761">
        <v>26.837</v>
      </c>
      <c r="Q2761">
        <v>22.103999999999999</v>
      </c>
      <c r="R2761">
        <v>28</v>
      </c>
      <c r="S2761" t="s">
        <v>83</v>
      </c>
      <c r="T2761">
        <f>IF(TRIM(Table1[[#This Row],[PitStopLaps]])="",0,
LEN(Table1[[#This Row],[PitStopLaps]])-LEN(SUBSTITUTE(Table1[[#This Row],[PitStopLaps]],",",""))+1)</f>
        <v>1</v>
      </c>
      <c r="U2761">
        <f>Table1[[#This Row],[StartPosition]]-Table1[[#This Row],[FinishPosition]]</f>
        <v>0</v>
      </c>
    </row>
    <row r="2762" spans="1:21" x14ac:dyDescent="0.3">
      <c r="A2762">
        <v>2024</v>
      </c>
      <c r="B2762">
        <v>15</v>
      </c>
      <c r="C2762" t="s">
        <v>702</v>
      </c>
      <c r="D2762" t="s">
        <v>38</v>
      </c>
      <c r="E2762" t="s">
        <v>39</v>
      </c>
      <c r="F2762" t="s">
        <v>33</v>
      </c>
      <c r="G2762">
        <v>2</v>
      </c>
      <c r="H2762">
        <v>2</v>
      </c>
      <c r="I2762">
        <v>18</v>
      </c>
      <c r="J2762" t="s">
        <v>23</v>
      </c>
      <c r="K2762" t="s">
        <v>24</v>
      </c>
      <c r="L2762">
        <v>72</v>
      </c>
      <c r="M2762">
        <v>74.751999999999995</v>
      </c>
      <c r="N2762">
        <v>75.565738999999994</v>
      </c>
      <c r="O2762">
        <v>25.262</v>
      </c>
      <c r="P2762">
        <v>26.791</v>
      </c>
      <c r="Q2762">
        <v>22.393000000000001</v>
      </c>
      <c r="R2762">
        <v>27</v>
      </c>
      <c r="S2762" t="s">
        <v>83</v>
      </c>
      <c r="T2762">
        <f>IF(TRIM(Table1[[#This Row],[PitStopLaps]])="",0,
LEN(Table1[[#This Row],[PitStopLaps]])-LEN(SUBSTITUTE(Table1[[#This Row],[PitStopLaps]],",",""))+1)</f>
        <v>1</v>
      </c>
      <c r="U2762">
        <f>Table1[[#This Row],[StartPosition]]-Table1[[#This Row],[FinishPosition]]</f>
        <v>0</v>
      </c>
    </row>
    <row r="2763" spans="1:21" x14ac:dyDescent="0.3">
      <c r="A2763">
        <v>2024</v>
      </c>
      <c r="B2763">
        <v>15</v>
      </c>
      <c r="C2763" t="s">
        <v>702</v>
      </c>
      <c r="D2763" t="s">
        <v>54</v>
      </c>
      <c r="E2763" t="s">
        <v>55</v>
      </c>
      <c r="F2763" t="s">
        <v>22</v>
      </c>
      <c r="G2763">
        <v>6</v>
      </c>
      <c r="H2763">
        <v>3</v>
      </c>
      <c r="I2763">
        <v>15</v>
      </c>
      <c r="J2763" t="s">
        <v>23</v>
      </c>
      <c r="K2763" t="s">
        <v>24</v>
      </c>
      <c r="L2763">
        <v>72</v>
      </c>
      <c r="M2763">
        <v>74.584999999999994</v>
      </c>
      <c r="N2763">
        <v>75.571738999999994</v>
      </c>
      <c r="O2763">
        <v>25.169</v>
      </c>
      <c r="P2763">
        <v>26.960999999999999</v>
      </c>
      <c r="Q2763">
        <v>22.25</v>
      </c>
      <c r="R2763">
        <v>24</v>
      </c>
      <c r="S2763" t="s">
        <v>83</v>
      </c>
      <c r="T2763">
        <f>IF(TRIM(Table1[[#This Row],[PitStopLaps]])="",0,
LEN(Table1[[#This Row],[PitStopLaps]])-LEN(SUBSTITUTE(Table1[[#This Row],[PitStopLaps]],",",""))+1)</f>
        <v>1</v>
      </c>
      <c r="U2763">
        <f>Table1[[#This Row],[StartPosition]]-Table1[[#This Row],[FinishPosition]]</f>
        <v>3</v>
      </c>
    </row>
    <row r="2764" spans="1:21" x14ac:dyDescent="0.3">
      <c r="A2764">
        <v>2024</v>
      </c>
      <c r="B2764">
        <v>15</v>
      </c>
      <c r="C2764" t="s">
        <v>702</v>
      </c>
      <c r="D2764" t="s">
        <v>1000</v>
      </c>
      <c r="E2764" t="s">
        <v>1001</v>
      </c>
      <c r="F2764" t="s">
        <v>37</v>
      </c>
      <c r="G2764">
        <v>3</v>
      </c>
      <c r="H2764">
        <v>4</v>
      </c>
      <c r="I2764">
        <v>12</v>
      </c>
      <c r="J2764" t="s">
        <v>34</v>
      </c>
      <c r="K2764" t="s">
        <v>24</v>
      </c>
      <c r="L2764">
        <v>72</v>
      </c>
      <c r="M2764">
        <v>74.236999999999995</v>
      </c>
      <c r="N2764">
        <v>75.596419999999995</v>
      </c>
      <c r="O2764">
        <v>24.992999999999999</v>
      </c>
      <c r="P2764">
        <v>26.855</v>
      </c>
      <c r="Q2764">
        <v>22.187999999999999</v>
      </c>
      <c r="R2764">
        <v>33</v>
      </c>
      <c r="S2764" t="s">
        <v>83</v>
      </c>
      <c r="T2764">
        <f>IF(TRIM(Table1[[#This Row],[PitStopLaps]])="",0,
LEN(Table1[[#This Row],[PitStopLaps]])-LEN(SUBSTITUTE(Table1[[#This Row],[PitStopLaps]],",",""))+1)</f>
        <v>1</v>
      </c>
      <c r="U2764">
        <f>Table1[[#This Row],[StartPosition]]-Table1[[#This Row],[FinishPosition]]</f>
        <v>-1</v>
      </c>
    </row>
    <row r="2765" spans="1:21" x14ac:dyDescent="0.3">
      <c r="A2765">
        <v>2024</v>
      </c>
      <c r="B2765">
        <v>15</v>
      </c>
      <c r="C2765" t="s">
        <v>702</v>
      </c>
      <c r="D2765" t="s">
        <v>47</v>
      </c>
      <c r="E2765" t="s">
        <v>48</v>
      </c>
      <c r="F2765" t="s">
        <v>22</v>
      </c>
      <c r="G2765">
        <v>10</v>
      </c>
      <c r="H2765">
        <v>5</v>
      </c>
      <c r="I2765">
        <v>10</v>
      </c>
      <c r="J2765" t="s">
        <v>34</v>
      </c>
      <c r="K2765" t="s">
        <v>24</v>
      </c>
      <c r="L2765">
        <v>72</v>
      </c>
      <c r="M2765">
        <v>74.117000000000004</v>
      </c>
      <c r="N2765">
        <v>75.617260000000002</v>
      </c>
      <c r="O2765">
        <v>25.082000000000001</v>
      </c>
      <c r="P2765">
        <v>26.873999999999999</v>
      </c>
      <c r="Q2765">
        <v>22.023</v>
      </c>
      <c r="R2765">
        <v>30</v>
      </c>
      <c r="S2765" t="s">
        <v>83</v>
      </c>
      <c r="T2765">
        <f>IF(TRIM(Table1[[#This Row],[PitStopLaps]])="",0,
LEN(Table1[[#This Row],[PitStopLaps]])-LEN(SUBSTITUTE(Table1[[#This Row],[PitStopLaps]],",",""))+1)</f>
        <v>1</v>
      </c>
      <c r="U2765">
        <f>Table1[[#This Row],[StartPosition]]-Table1[[#This Row],[FinishPosition]]</f>
        <v>5</v>
      </c>
    </row>
    <row r="2766" spans="1:21" x14ac:dyDescent="0.3">
      <c r="A2766">
        <v>2024</v>
      </c>
      <c r="B2766">
        <v>15</v>
      </c>
      <c r="C2766" t="s">
        <v>702</v>
      </c>
      <c r="D2766" t="s">
        <v>49</v>
      </c>
      <c r="E2766" t="s">
        <v>50</v>
      </c>
      <c r="F2766" t="s">
        <v>33</v>
      </c>
      <c r="G2766">
        <v>5</v>
      </c>
      <c r="H2766">
        <v>6</v>
      </c>
      <c r="I2766">
        <v>8</v>
      </c>
      <c r="J2766" t="s">
        <v>34</v>
      </c>
      <c r="K2766" t="s">
        <v>24</v>
      </c>
      <c r="L2766">
        <v>72</v>
      </c>
      <c r="M2766">
        <v>74.587000000000003</v>
      </c>
      <c r="N2766">
        <v>75.716086000000004</v>
      </c>
      <c r="O2766">
        <v>25.152999999999999</v>
      </c>
      <c r="P2766">
        <v>26.81</v>
      </c>
      <c r="Q2766">
        <v>22.26</v>
      </c>
      <c r="R2766">
        <v>29</v>
      </c>
      <c r="S2766" t="s">
        <v>83</v>
      </c>
      <c r="T2766">
        <f>IF(TRIM(Table1[[#This Row],[PitStopLaps]])="",0,
LEN(Table1[[#This Row],[PitStopLaps]])-LEN(SUBSTITUTE(Table1[[#This Row],[PitStopLaps]],",",""))+1)</f>
        <v>1</v>
      </c>
      <c r="U2766">
        <f>Table1[[#This Row],[StartPosition]]-Table1[[#This Row],[FinishPosition]]</f>
        <v>-1</v>
      </c>
    </row>
    <row r="2767" spans="1:21" x14ac:dyDescent="0.3">
      <c r="A2767">
        <v>2024</v>
      </c>
      <c r="B2767">
        <v>15</v>
      </c>
      <c r="C2767" t="s">
        <v>702</v>
      </c>
      <c r="D2767" t="s">
        <v>252</v>
      </c>
      <c r="E2767" t="s">
        <v>253</v>
      </c>
      <c r="F2767" t="s">
        <v>28</v>
      </c>
      <c r="G2767">
        <v>4</v>
      </c>
      <c r="H2767">
        <v>7</v>
      </c>
      <c r="I2767">
        <v>6</v>
      </c>
      <c r="J2767" t="s">
        <v>34</v>
      </c>
      <c r="K2767" t="s">
        <v>24</v>
      </c>
      <c r="L2767">
        <v>72</v>
      </c>
      <c r="M2767">
        <v>73.927000000000007</v>
      </c>
      <c r="N2767">
        <v>75.538925000000006</v>
      </c>
      <c r="O2767">
        <v>25.032</v>
      </c>
      <c r="P2767">
        <v>26.436</v>
      </c>
      <c r="Q2767">
        <v>22.062999999999999</v>
      </c>
      <c r="R2767" t="s">
        <v>1280</v>
      </c>
      <c r="S2767" t="s">
        <v>83</v>
      </c>
      <c r="T2767">
        <f>IF(TRIM(Table1[[#This Row],[PitStopLaps]])="",0,
LEN(Table1[[#This Row],[PitStopLaps]])-LEN(SUBSTITUTE(Table1[[#This Row],[PitStopLaps]],",",""))+1)</f>
        <v>2</v>
      </c>
      <c r="U2767">
        <f>Table1[[#This Row],[StartPosition]]-Table1[[#This Row],[FinishPosition]]</f>
        <v>-3</v>
      </c>
    </row>
    <row r="2768" spans="1:21" x14ac:dyDescent="0.3">
      <c r="A2768">
        <v>2024</v>
      </c>
      <c r="B2768">
        <v>15</v>
      </c>
      <c r="C2768" t="s">
        <v>702</v>
      </c>
      <c r="D2768" t="s">
        <v>26</v>
      </c>
      <c r="E2768" t="s">
        <v>27</v>
      </c>
      <c r="F2768" t="s">
        <v>28</v>
      </c>
      <c r="G2768">
        <v>14</v>
      </c>
      <c r="H2768">
        <v>8</v>
      </c>
      <c r="I2768">
        <v>4</v>
      </c>
      <c r="J2768" t="s">
        <v>34</v>
      </c>
      <c r="K2768" t="s">
        <v>24</v>
      </c>
      <c r="L2768">
        <v>72</v>
      </c>
      <c r="M2768">
        <v>73.878</v>
      </c>
      <c r="N2768">
        <v>75.537761000000003</v>
      </c>
      <c r="O2768">
        <v>24.870999999999999</v>
      </c>
      <c r="P2768">
        <v>26.398</v>
      </c>
      <c r="Q2768">
        <v>22.09</v>
      </c>
      <c r="R2768" t="s">
        <v>1281</v>
      </c>
      <c r="S2768" t="s">
        <v>83</v>
      </c>
      <c r="T2768">
        <f>IF(TRIM(Table1[[#This Row],[PitStopLaps]])="",0,
LEN(Table1[[#This Row],[PitStopLaps]])-LEN(SUBSTITUTE(Table1[[#This Row],[PitStopLaps]],",",""))+1)</f>
        <v>2</v>
      </c>
      <c r="U2768">
        <f>Table1[[#This Row],[StartPosition]]-Table1[[#This Row],[FinishPosition]]</f>
        <v>6</v>
      </c>
    </row>
    <row r="2769" spans="1:21" x14ac:dyDescent="0.3">
      <c r="A2769">
        <v>2024</v>
      </c>
      <c r="B2769">
        <v>15</v>
      </c>
      <c r="C2769" t="s">
        <v>702</v>
      </c>
      <c r="D2769" t="s">
        <v>73</v>
      </c>
      <c r="E2769" t="s">
        <v>74</v>
      </c>
      <c r="F2769" t="s">
        <v>607</v>
      </c>
      <c r="G2769">
        <v>9</v>
      </c>
      <c r="H2769">
        <v>9</v>
      </c>
      <c r="I2769">
        <v>2</v>
      </c>
      <c r="J2769" t="s">
        <v>34</v>
      </c>
      <c r="K2769" t="s">
        <v>994</v>
      </c>
      <c r="L2769">
        <v>71</v>
      </c>
      <c r="M2769">
        <v>74.855000000000004</v>
      </c>
      <c r="N2769">
        <v>76.345602</v>
      </c>
      <c r="O2769">
        <v>25.286000000000001</v>
      </c>
      <c r="P2769">
        <v>27.119</v>
      </c>
      <c r="Q2769">
        <v>22.294</v>
      </c>
      <c r="R2769">
        <v>32</v>
      </c>
      <c r="S2769" t="s">
        <v>83</v>
      </c>
      <c r="T2769">
        <f>IF(TRIM(Table1[[#This Row],[PitStopLaps]])="",0,
LEN(Table1[[#This Row],[PitStopLaps]])-LEN(SUBSTITUTE(Table1[[#This Row],[PitStopLaps]],",",""))+1)</f>
        <v>1</v>
      </c>
      <c r="U2769">
        <f>Table1[[#This Row],[StartPosition]]-Table1[[#This Row],[FinishPosition]]</f>
        <v>0</v>
      </c>
    </row>
    <row r="2770" spans="1:21" x14ac:dyDescent="0.3">
      <c r="A2770">
        <v>2024</v>
      </c>
      <c r="B2770">
        <v>15</v>
      </c>
      <c r="C2770" t="s">
        <v>702</v>
      </c>
      <c r="D2770" t="s">
        <v>35</v>
      </c>
      <c r="E2770" t="s">
        <v>36</v>
      </c>
      <c r="F2770" t="s">
        <v>603</v>
      </c>
      <c r="G2770">
        <v>7</v>
      </c>
      <c r="H2770">
        <v>10</v>
      </c>
      <c r="I2770">
        <v>1</v>
      </c>
      <c r="J2770" t="s">
        <v>34</v>
      </c>
      <c r="K2770" t="s">
        <v>994</v>
      </c>
      <c r="L2770">
        <v>71</v>
      </c>
      <c r="M2770">
        <v>74.757999999999996</v>
      </c>
      <c r="N2770">
        <v>76.419749999999993</v>
      </c>
      <c r="O2770">
        <v>25.193000000000001</v>
      </c>
      <c r="P2770">
        <v>26.815999999999999</v>
      </c>
      <c r="Q2770">
        <v>22.449000000000002</v>
      </c>
      <c r="R2770">
        <v>31</v>
      </c>
      <c r="S2770" t="s">
        <v>83</v>
      </c>
      <c r="T2770">
        <f>IF(TRIM(Table1[[#This Row],[PitStopLaps]])="",0,
LEN(Table1[[#This Row],[PitStopLaps]])-LEN(SUBSTITUTE(Table1[[#This Row],[PitStopLaps]],",",""))+1)</f>
        <v>1</v>
      </c>
      <c r="U2770">
        <f>Table1[[#This Row],[StartPosition]]-Table1[[#This Row],[FinishPosition]]</f>
        <v>-3</v>
      </c>
    </row>
    <row r="2771" spans="1:21" x14ac:dyDescent="0.3">
      <c r="A2771">
        <v>2024</v>
      </c>
      <c r="B2771">
        <v>15</v>
      </c>
      <c r="C2771" t="s">
        <v>702</v>
      </c>
      <c r="D2771" t="s">
        <v>40</v>
      </c>
      <c r="E2771" t="s">
        <v>41</v>
      </c>
      <c r="F2771" t="s">
        <v>69</v>
      </c>
      <c r="G2771">
        <v>12</v>
      </c>
      <c r="H2771">
        <v>11</v>
      </c>
      <c r="I2771">
        <v>0</v>
      </c>
      <c r="J2771" t="s">
        <v>34</v>
      </c>
      <c r="K2771" t="s">
        <v>994</v>
      </c>
      <c r="L2771">
        <v>71</v>
      </c>
      <c r="M2771">
        <v>75.656999999999996</v>
      </c>
      <c r="N2771">
        <v>76.496426</v>
      </c>
      <c r="O2771">
        <v>25.443000000000001</v>
      </c>
      <c r="P2771">
        <v>27.244</v>
      </c>
      <c r="Q2771">
        <v>22.536999999999999</v>
      </c>
      <c r="R2771">
        <v>14</v>
      </c>
      <c r="S2771" t="s">
        <v>83</v>
      </c>
      <c r="T2771">
        <f>IF(TRIM(Table1[[#This Row],[PitStopLaps]])="",0,
LEN(Table1[[#This Row],[PitStopLaps]])-LEN(SUBSTITUTE(Table1[[#This Row],[PitStopLaps]],",",""))+1)</f>
        <v>1</v>
      </c>
      <c r="U2771">
        <f>Table1[[#This Row],[StartPosition]]-Table1[[#This Row],[FinishPosition]]</f>
        <v>1</v>
      </c>
    </row>
    <row r="2772" spans="1:21" x14ac:dyDescent="0.3">
      <c r="A2772">
        <v>2024</v>
      </c>
      <c r="B2772">
        <v>15</v>
      </c>
      <c r="C2772" t="s">
        <v>702</v>
      </c>
      <c r="D2772" t="s">
        <v>31</v>
      </c>
      <c r="E2772" t="s">
        <v>32</v>
      </c>
      <c r="F2772" t="s">
        <v>1176</v>
      </c>
      <c r="G2772">
        <v>13</v>
      </c>
      <c r="H2772">
        <v>12</v>
      </c>
      <c r="I2772">
        <v>0</v>
      </c>
      <c r="J2772" t="s">
        <v>34</v>
      </c>
      <c r="K2772" t="s">
        <v>994</v>
      </c>
      <c r="L2772">
        <v>71</v>
      </c>
      <c r="M2772">
        <v>75.221999999999994</v>
      </c>
      <c r="N2772">
        <v>76.486632</v>
      </c>
      <c r="O2772">
        <v>25.495999999999999</v>
      </c>
      <c r="P2772">
        <v>27.068999999999999</v>
      </c>
      <c r="Q2772">
        <v>22.4</v>
      </c>
      <c r="R2772">
        <v>29</v>
      </c>
      <c r="S2772" t="s">
        <v>83</v>
      </c>
      <c r="T2772">
        <f>IF(TRIM(Table1[[#This Row],[PitStopLaps]])="",0,
LEN(Table1[[#This Row],[PitStopLaps]])-LEN(SUBSTITUTE(Table1[[#This Row],[PitStopLaps]],",",""))+1)</f>
        <v>1</v>
      </c>
      <c r="U2772">
        <f>Table1[[#This Row],[StartPosition]]-Table1[[#This Row],[FinishPosition]]</f>
        <v>1</v>
      </c>
    </row>
    <row r="2773" spans="1:21" x14ac:dyDescent="0.3">
      <c r="A2773">
        <v>2024</v>
      </c>
      <c r="B2773">
        <v>15</v>
      </c>
      <c r="C2773" t="s">
        <v>702</v>
      </c>
      <c r="D2773" t="s">
        <v>58</v>
      </c>
      <c r="E2773" t="s">
        <v>59</v>
      </c>
      <c r="F2773" t="s">
        <v>603</v>
      </c>
      <c r="G2773">
        <v>8</v>
      </c>
      <c r="H2773">
        <v>13</v>
      </c>
      <c r="I2773">
        <v>0</v>
      </c>
      <c r="J2773" t="s">
        <v>34</v>
      </c>
      <c r="K2773" t="s">
        <v>994</v>
      </c>
      <c r="L2773">
        <v>71</v>
      </c>
      <c r="M2773">
        <v>75.254999999999995</v>
      </c>
      <c r="N2773">
        <v>76.541573</v>
      </c>
      <c r="O2773">
        <v>25.370999999999999</v>
      </c>
      <c r="P2773">
        <v>26.891999999999999</v>
      </c>
      <c r="Q2773">
        <v>22.341000000000001</v>
      </c>
      <c r="R2773">
        <v>30</v>
      </c>
      <c r="S2773" t="s">
        <v>83</v>
      </c>
      <c r="T2773">
        <f>IF(TRIM(Table1[[#This Row],[PitStopLaps]])="",0,
LEN(Table1[[#This Row],[PitStopLaps]])-LEN(SUBSTITUTE(Table1[[#This Row],[PitStopLaps]],",",""))+1)</f>
        <v>1</v>
      </c>
      <c r="U2773">
        <f>Table1[[#This Row],[StartPosition]]-Table1[[#This Row],[FinishPosition]]</f>
        <v>-5</v>
      </c>
    </row>
    <row r="2774" spans="1:21" x14ac:dyDescent="0.3">
      <c r="A2774">
        <v>2024</v>
      </c>
      <c r="B2774">
        <v>15</v>
      </c>
      <c r="C2774" t="s">
        <v>702</v>
      </c>
      <c r="D2774" t="s">
        <v>248</v>
      </c>
      <c r="E2774" t="s">
        <v>249</v>
      </c>
      <c r="F2774" t="s">
        <v>60</v>
      </c>
      <c r="G2774">
        <v>19</v>
      </c>
      <c r="H2774">
        <v>14</v>
      </c>
      <c r="I2774">
        <v>0</v>
      </c>
      <c r="J2774" t="s">
        <v>34</v>
      </c>
      <c r="K2774" t="s">
        <v>994</v>
      </c>
      <c r="L2774">
        <v>71</v>
      </c>
      <c r="M2774">
        <v>74.433999999999997</v>
      </c>
      <c r="N2774">
        <v>76.478211999999999</v>
      </c>
      <c r="O2774">
        <v>25.177</v>
      </c>
      <c r="P2774">
        <v>26.914999999999999</v>
      </c>
      <c r="Q2774">
        <v>22.140999999999998</v>
      </c>
      <c r="R2774" t="s">
        <v>1042</v>
      </c>
      <c r="S2774" t="s">
        <v>83</v>
      </c>
      <c r="T2774">
        <f>IF(TRIM(Table1[[#This Row],[PitStopLaps]])="",0,
LEN(Table1[[#This Row],[PitStopLaps]])-LEN(SUBSTITUTE(Table1[[#This Row],[PitStopLaps]],",",""))+1)</f>
        <v>2</v>
      </c>
      <c r="U2774">
        <f>Table1[[#This Row],[StartPosition]]-Table1[[#This Row],[FinishPosition]]</f>
        <v>5</v>
      </c>
    </row>
    <row r="2775" spans="1:21" x14ac:dyDescent="0.3">
      <c r="A2775">
        <v>2024</v>
      </c>
      <c r="B2775">
        <v>15</v>
      </c>
      <c r="C2775" t="s">
        <v>702</v>
      </c>
      <c r="D2775" t="s">
        <v>52</v>
      </c>
      <c r="E2775" t="s">
        <v>53</v>
      </c>
      <c r="F2775" t="s">
        <v>607</v>
      </c>
      <c r="G2775">
        <v>15</v>
      </c>
      <c r="H2775">
        <v>15</v>
      </c>
      <c r="I2775">
        <v>0</v>
      </c>
      <c r="J2775" t="s">
        <v>34</v>
      </c>
      <c r="K2775" t="s">
        <v>994</v>
      </c>
      <c r="L2775">
        <v>71</v>
      </c>
      <c r="M2775">
        <v>75.39</v>
      </c>
      <c r="N2775">
        <v>76.874572999999998</v>
      </c>
      <c r="O2775">
        <v>25.45</v>
      </c>
      <c r="P2775">
        <v>27.033999999999999</v>
      </c>
      <c r="Q2775">
        <v>22.623000000000001</v>
      </c>
      <c r="R2775">
        <v>30</v>
      </c>
      <c r="S2775" t="s">
        <v>83</v>
      </c>
      <c r="T2775">
        <f>IF(TRIM(Table1[[#This Row],[PitStopLaps]])="",0,
LEN(Table1[[#This Row],[PitStopLaps]])-LEN(SUBSTITUTE(Table1[[#This Row],[PitStopLaps]],",",""))+1)</f>
        <v>1</v>
      </c>
      <c r="U2775">
        <f>Table1[[#This Row],[StartPosition]]-Table1[[#This Row],[FinishPosition]]</f>
        <v>0</v>
      </c>
    </row>
    <row r="2776" spans="1:21" x14ac:dyDescent="0.3">
      <c r="A2776">
        <v>2024</v>
      </c>
      <c r="B2776">
        <v>15</v>
      </c>
      <c r="C2776" t="s">
        <v>702</v>
      </c>
      <c r="D2776" t="s">
        <v>992</v>
      </c>
      <c r="E2776" t="s">
        <v>993</v>
      </c>
      <c r="F2776" t="s">
        <v>60</v>
      </c>
      <c r="G2776">
        <v>18</v>
      </c>
      <c r="H2776">
        <v>16</v>
      </c>
      <c r="I2776">
        <v>0</v>
      </c>
      <c r="J2776" t="s">
        <v>34</v>
      </c>
      <c r="K2776" t="s">
        <v>994</v>
      </c>
      <c r="L2776">
        <v>71</v>
      </c>
      <c r="M2776">
        <v>75.539000000000001</v>
      </c>
      <c r="N2776">
        <v>77.079352</v>
      </c>
      <c r="O2776">
        <v>25.536999999999999</v>
      </c>
      <c r="P2776">
        <v>27.052</v>
      </c>
      <c r="Q2776">
        <v>22.571999999999999</v>
      </c>
      <c r="R2776">
        <v>22</v>
      </c>
      <c r="S2776" t="s">
        <v>83</v>
      </c>
      <c r="T2776">
        <f>IF(TRIM(Table1[[#This Row],[PitStopLaps]])="",0,
LEN(Table1[[#This Row],[PitStopLaps]])-LEN(SUBSTITUTE(Table1[[#This Row],[PitStopLaps]],",",""))+1)</f>
        <v>1</v>
      </c>
      <c r="U2776">
        <f>Table1[[#This Row],[StartPosition]]-Table1[[#This Row],[FinishPosition]]</f>
        <v>2</v>
      </c>
    </row>
    <row r="2777" spans="1:21" x14ac:dyDescent="0.3">
      <c r="A2777">
        <v>2024</v>
      </c>
      <c r="B2777">
        <v>15</v>
      </c>
      <c r="C2777" t="s">
        <v>702</v>
      </c>
      <c r="D2777" t="s">
        <v>601</v>
      </c>
      <c r="E2777" t="s">
        <v>602</v>
      </c>
      <c r="F2777" t="s">
        <v>1176</v>
      </c>
      <c r="G2777">
        <v>11</v>
      </c>
      <c r="H2777">
        <v>17</v>
      </c>
      <c r="I2777">
        <v>0</v>
      </c>
      <c r="J2777" t="s">
        <v>34</v>
      </c>
      <c r="K2777" t="s">
        <v>994</v>
      </c>
      <c r="L2777">
        <v>71</v>
      </c>
      <c r="M2777">
        <v>75.552000000000007</v>
      </c>
      <c r="N2777">
        <v>76.833226999999994</v>
      </c>
      <c r="O2777">
        <v>25.741</v>
      </c>
      <c r="P2777">
        <v>26.992000000000001</v>
      </c>
      <c r="Q2777">
        <v>22.54</v>
      </c>
      <c r="R2777" t="s">
        <v>806</v>
      </c>
      <c r="S2777" t="s">
        <v>83</v>
      </c>
      <c r="T2777">
        <f>IF(TRIM(Table1[[#This Row],[PitStopLaps]])="",0,
LEN(Table1[[#This Row],[PitStopLaps]])-LEN(SUBSTITUTE(Table1[[#This Row],[PitStopLaps]],",",""))+1)</f>
        <v>2</v>
      </c>
      <c r="U2777">
        <f>Table1[[#This Row],[StartPosition]]-Table1[[#This Row],[FinishPosition]]</f>
        <v>-6</v>
      </c>
    </row>
    <row r="2778" spans="1:21" x14ac:dyDescent="0.3">
      <c r="A2778">
        <v>2024</v>
      </c>
      <c r="B2778">
        <v>15</v>
      </c>
      <c r="C2778" t="s">
        <v>702</v>
      </c>
      <c r="D2778" t="s">
        <v>71</v>
      </c>
      <c r="E2778" t="s">
        <v>72</v>
      </c>
      <c r="F2778" t="s">
        <v>69</v>
      </c>
      <c r="G2778">
        <v>20</v>
      </c>
      <c r="H2778">
        <v>18</v>
      </c>
      <c r="I2778">
        <v>0</v>
      </c>
      <c r="J2778" t="s">
        <v>34</v>
      </c>
      <c r="K2778" t="s">
        <v>994</v>
      </c>
      <c r="L2778">
        <v>71</v>
      </c>
      <c r="M2778">
        <v>74.953999999999994</v>
      </c>
      <c r="N2778">
        <v>77.078351999999995</v>
      </c>
      <c r="O2778">
        <v>25.53</v>
      </c>
      <c r="P2778">
        <v>26.876999999999999</v>
      </c>
      <c r="Q2778">
        <v>22.253</v>
      </c>
      <c r="R2778">
        <v>40</v>
      </c>
      <c r="S2778" t="s">
        <v>83</v>
      </c>
      <c r="T2778">
        <f>IF(TRIM(Table1[[#This Row],[PitStopLaps]])="",0,
LEN(Table1[[#This Row],[PitStopLaps]])-LEN(SUBSTITUTE(Table1[[#This Row],[PitStopLaps]],",",""))+1)</f>
        <v>1</v>
      </c>
      <c r="U2778">
        <f>Table1[[#This Row],[StartPosition]]-Table1[[#This Row],[FinishPosition]]</f>
        <v>2</v>
      </c>
    </row>
    <row r="2779" spans="1:21" x14ac:dyDescent="0.3">
      <c r="A2779">
        <v>2024</v>
      </c>
      <c r="B2779">
        <v>15</v>
      </c>
      <c r="C2779" t="s">
        <v>702</v>
      </c>
      <c r="D2779" t="s">
        <v>43</v>
      </c>
      <c r="E2779" t="s">
        <v>44</v>
      </c>
      <c r="F2779" t="s">
        <v>1175</v>
      </c>
      <c r="G2779">
        <v>16</v>
      </c>
      <c r="H2779">
        <v>19</v>
      </c>
      <c r="I2779">
        <v>0</v>
      </c>
      <c r="J2779" t="s">
        <v>34</v>
      </c>
      <c r="K2779" t="s">
        <v>994</v>
      </c>
      <c r="L2779">
        <v>70</v>
      </c>
      <c r="M2779">
        <v>75.822000000000003</v>
      </c>
      <c r="N2779">
        <v>77.013630000000006</v>
      </c>
      <c r="O2779">
        <v>25.748999999999999</v>
      </c>
      <c r="P2779">
        <v>27.207999999999998</v>
      </c>
      <c r="Q2779">
        <v>22.712</v>
      </c>
      <c r="R2779" t="s">
        <v>396</v>
      </c>
      <c r="S2779" t="s">
        <v>83</v>
      </c>
      <c r="T2779">
        <f>IF(TRIM(Table1[[#This Row],[PitStopLaps]])="",0,
LEN(Table1[[#This Row],[PitStopLaps]])-LEN(SUBSTITUTE(Table1[[#This Row],[PitStopLaps]],",",""))+1)</f>
        <v>2</v>
      </c>
      <c r="U2779">
        <f>Table1[[#This Row],[StartPosition]]-Table1[[#This Row],[FinishPosition]]</f>
        <v>-3</v>
      </c>
    </row>
    <row r="2780" spans="1:21" x14ac:dyDescent="0.3">
      <c r="A2780">
        <v>2024</v>
      </c>
      <c r="B2780">
        <v>15</v>
      </c>
      <c r="C2780" t="s">
        <v>702</v>
      </c>
      <c r="D2780" t="s">
        <v>794</v>
      </c>
      <c r="E2780" t="s">
        <v>795</v>
      </c>
      <c r="F2780" t="s">
        <v>1175</v>
      </c>
      <c r="G2780">
        <v>17</v>
      </c>
      <c r="H2780">
        <v>20</v>
      </c>
      <c r="I2780">
        <v>0</v>
      </c>
      <c r="J2780" t="s">
        <v>34</v>
      </c>
      <c r="K2780" t="s">
        <v>994</v>
      </c>
      <c r="L2780">
        <v>70</v>
      </c>
      <c r="M2780">
        <v>75.724000000000004</v>
      </c>
      <c r="N2780">
        <v>77.420738</v>
      </c>
      <c r="O2780">
        <v>25.745999999999999</v>
      </c>
      <c r="P2780">
        <v>27.106000000000002</v>
      </c>
      <c r="Q2780">
        <v>22.602</v>
      </c>
      <c r="R2780" t="s">
        <v>1282</v>
      </c>
      <c r="S2780" t="s">
        <v>83</v>
      </c>
      <c r="T2780">
        <f>IF(TRIM(Table1[[#This Row],[PitStopLaps]])="",0,
LEN(Table1[[#This Row],[PitStopLaps]])-LEN(SUBSTITUTE(Table1[[#This Row],[PitStopLaps]],",",""))+1)</f>
        <v>2</v>
      </c>
      <c r="U2780">
        <f>Table1[[#This Row],[StartPosition]]-Table1[[#This Row],[FinishPosition]]</f>
        <v>-3</v>
      </c>
    </row>
    <row r="2781" spans="1:21" x14ac:dyDescent="0.3">
      <c r="A2781">
        <v>2024</v>
      </c>
      <c r="B2781">
        <v>16</v>
      </c>
      <c r="C2781" t="s">
        <v>367</v>
      </c>
      <c r="D2781" t="s">
        <v>54</v>
      </c>
      <c r="E2781" t="s">
        <v>55</v>
      </c>
      <c r="F2781" t="s">
        <v>22</v>
      </c>
      <c r="G2781">
        <v>4</v>
      </c>
      <c r="H2781">
        <v>1</v>
      </c>
      <c r="I2781">
        <v>25</v>
      </c>
      <c r="J2781" t="s">
        <v>23</v>
      </c>
      <c r="K2781" t="s">
        <v>24</v>
      </c>
      <c r="L2781">
        <v>53</v>
      </c>
      <c r="M2781">
        <v>83.225999999999999</v>
      </c>
      <c r="N2781">
        <v>83.949359999999999</v>
      </c>
      <c r="O2781">
        <v>27.189</v>
      </c>
      <c r="P2781">
        <v>28.259</v>
      </c>
      <c r="Q2781">
        <v>27.591999999999999</v>
      </c>
      <c r="R2781">
        <v>15</v>
      </c>
      <c r="S2781" t="s">
        <v>83</v>
      </c>
      <c r="T2781">
        <f>IF(TRIM(Table1[[#This Row],[PitStopLaps]])="",0,
LEN(Table1[[#This Row],[PitStopLaps]])-LEN(SUBSTITUTE(Table1[[#This Row],[PitStopLaps]],",",""))+1)</f>
        <v>1</v>
      </c>
      <c r="U2781">
        <f>Table1[[#This Row],[StartPosition]]-Table1[[#This Row],[FinishPosition]]</f>
        <v>3</v>
      </c>
    </row>
    <row r="2782" spans="1:21" x14ac:dyDescent="0.3">
      <c r="A2782">
        <v>2024</v>
      </c>
      <c r="B2782">
        <v>16</v>
      </c>
      <c r="C2782" t="s">
        <v>367</v>
      </c>
      <c r="D2782" t="s">
        <v>1000</v>
      </c>
      <c r="E2782" t="s">
        <v>1001</v>
      </c>
      <c r="F2782" t="s">
        <v>37</v>
      </c>
      <c r="G2782">
        <v>2</v>
      </c>
      <c r="H2782">
        <v>2</v>
      </c>
      <c r="I2782">
        <v>18</v>
      </c>
      <c r="J2782" t="s">
        <v>23</v>
      </c>
      <c r="K2782" t="s">
        <v>24</v>
      </c>
      <c r="L2782">
        <v>53</v>
      </c>
      <c r="M2782">
        <v>81.942999999999998</v>
      </c>
      <c r="N2782">
        <v>83.542000000000002</v>
      </c>
      <c r="O2782">
        <v>27.087</v>
      </c>
      <c r="P2782">
        <v>27.725000000000001</v>
      </c>
      <c r="Q2782">
        <v>27.032</v>
      </c>
      <c r="R2782" t="s">
        <v>907</v>
      </c>
      <c r="S2782" t="s">
        <v>83</v>
      </c>
      <c r="T2782">
        <f>IF(TRIM(Table1[[#This Row],[PitStopLaps]])="",0,
LEN(Table1[[#This Row],[PitStopLaps]])-LEN(SUBSTITUTE(Table1[[#This Row],[PitStopLaps]],",",""))+1)</f>
        <v>2</v>
      </c>
      <c r="U2782">
        <f>Table1[[#This Row],[StartPosition]]-Table1[[#This Row],[FinishPosition]]</f>
        <v>0</v>
      </c>
    </row>
    <row r="2783" spans="1:21" x14ac:dyDescent="0.3">
      <c r="A2783">
        <v>2024</v>
      </c>
      <c r="B2783">
        <v>16</v>
      </c>
      <c r="C2783" t="s">
        <v>367</v>
      </c>
      <c r="D2783" t="s">
        <v>246</v>
      </c>
      <c r="E2783" t="s">
        <v>247</v>
      </c>
      <c r="F2783" t="s">
        <v>37</v>
      </c>
      <c r="G2783">
        <v>1</v>
      </c>
      <c r="H2783">
        <v>3</v>
      </c>
      <c r="I2783">
        <v>16</v>
      </c>
      <c r="J2783" t="s">
        <v>23</v>
      </c>
      <c r="K2783" t="s">
        <v>24</v>
      </c>
      <c r="L2783">
        <v>53</v>
      </c>
      <c r="M2783">
        <v>81.432000000000002</v>
      </c>
      <c r="N2783">
        <v>83.607603999999995</v>
      </c>
      <c r="O2783">
        <v>26.936</v>
      </c>
      <c r="P2783">
        <v>27.492000000000001</v>
      </c>
      <c r="Q2783">
        <v>26.803999999999998</v>
      </c>
      <c r="R2783" t="s">
        <v>806</v>
      </c>
      <c r="S2783" t="s">
        <v>83</v>
      </c>
      <c r="T2783">
        <f>IF(TRIM(Table1[[#This Row],[PitStopLaps]])="",0,
LEN(Table1[[#This Row],[PitStopLaps]])-LEN(SUBSTITUTE(Table1[[#This Row],[PitStopLaps]],",",""))+1)</f>
        <v>2</v>
      </c>
      <c r="U2783">
        <f>Table1[[#This Row],[StartPosition]]-Table1[[#This Row],[FinishPosition]]</f>
        <v>-2</v>
      </c>
    </row>
    <row r="2784" spans="1:21" x14ac:dyDescent="0.3">
      <c r="A2784">
        <v>2024</v>
      </c>
      <c r="B2784">
        <v>16</v>
      </c>
      <c r="C2784" t="s">
        <v>367</v>
      </c>
      <c r="D2784" t="s">
        <v>47</v>
      </c>
      <c r="E2784" t="s">
        <v>48</v>
      </c>
      <c r="F2784" t="s">
        <v>22</v>
      </c>
      <c r="G2784">
        <v>5</v>
      </c>
      <c r="H2784">
        <v>4</v>
      </c>
      <c r="I2784">
        <v>12</v>
      </c>
      <c r="J2784" t="s">
        <v>34</v>
      </c>
      <c r="K2784" t="s">
        <v>24</v>
      </c>
      <c r="L2784">
        <v>53</v>
      </c>
      <c r="M2784">
        <v>83.218999999999994</v>
      </c>
      <c r="N2784">
        <v>84.236080000000001</v>
      </c>
      <c r="O2784">
        <v>27.295999999999999</v>
      </c>
      <c r="P2784">
        <v>28.236999999999998</v>
      </c>
      <c r="Q2784">
        <v>27.503</v>
      </c>
      <c r="R2784">
        <v>19</v>
      </c>
      <c r="S2784" t="s">
        <v>83</v>
      </c>
      <c r="T2784">
        <f>IF(TRIM(Table1[[#This Row],[PitStopLaps]])="",0,
LEN(Table1[[#This Row],[PitStopLaps]])-LEN(SUBSTITUTE(Table1[[#This Row],[PitStopLaps]],",",""))+1)</f>
        <v>1</v>
      </c>
      <c r="U2784">
        <f>Table1[[#This Row],[StartPosition]]-Table1[[#This Row],[FinishPosition]]</f>
        <v>1</v>
      </c>
    </row>
    <row r="2785" spans="1:21" x14ac:dyDescent="0.3">
      <c r="A2785">
        <v>2024</v>
      </c>
      <c r="B2785">
        <v>16</v>
      </c>
      <c r="C2785" t="s">
        <v>367</v>
      </c>
      <c r="D2785" t="s">
        <v>26</v>
      </c>
      <c r="E2785" t="s">
        <v>27</v>
      </c>
      <c r="F2785" t="s">
        <v>28</v>
      </c>
      <c r="G2785">
        <v>6</v>
      </c>
      <c r="H2785">
        <v>5</v>
      </c>
      <c r="I2785">
        <v>10</v>
      </c>
      <c r="J2785" t="s">
        <v>34</v>
      </c>
      <c r="K2785" t="s">
        <v>24</v>
      </c>
      <c r="L2785">
        <v>53</v>
      </c>
      <c r="M2785">
        <v>81.512</v>
      </c>
      <c r="N2785">
        <v>83.897270000000006</v>
      </c>
      <c r="O2785">
        <v>27.053999999999998</v>
      </c>
      <c r="P2785">
        <v>27.439</v>
      </c>
      <c r="Q2785">
        <v>27.004000000000001</v>
      </c>
      <c r="R2785" t="s">
        <v>600</v>
      </c>
      <c r="S2785" t="s">
        <v>83</v>
      </c>
      <c r="T2785">
        <f>IF(TRIM(Table1[[#This Row],[PitStopLaps]])="",0,
LEN(Table1[[#This Row],[PitStopLaps]])-LEN(SUBSTITUTE(Table1[[#This Row],[PitStopLaps]],",",""))+1)</f>
        <v>2</v>
      </c>
      <c r="U2785">
        <f>Table1[[#This Row],[StartPosition]]-Table1[[#This Row],[FinishPosition]]</f>
        <v>1</v>
      </c>
    </row>
    <row r="2786" spans="1:21" x14ac:dyDescent="0.3">
      <c r="A2786">
        <v>2024</v>
      </c>
      <c r="B2786">
        <v>16</v>
      </c>
      <c r="C2786" t="s">
        <v>367</v>
      </c>
      <c r="D2786" t="s">
        <v>38</v>
      </c>
      <c r="E2786" t="s">
        <v>39</v>
      </c>
      <c r="F2786" t="s">
        <v>33</v>
      </c>
      <c r="G2786">
        <v>7</v>
      </c>
      <c r="H2786">
        <v>6</v>
      </c>
      <c r="I2786">
        <v>8</v>
      </c>
      <c r="J2786" t="s">
        <v>34</v>
      </c>
      <c r="K2786" t="s">
        <v>24</v>
      </c>
      <c r="L2786">
        <v>53</v>
      </c>
      <c r="M2786">
        <v>81.745000000000005</v>
      </c>
      <c r="N2786">
        <v>84.124375000000001</v>
      </c>
      <c r="O2786">
        <v>26.876999999999999</v>
      </c>
      <c r="P2786">
        <v>27.614000000000001</v>
      </c>
      <c r="Q2786">
        <v>27.177</v>
      </c>
      <c r="R2786" t="s">
        <v>489</v>
      </c>
      <c r="S2786" t="s">
        <v>83</v>
      </c>
      <c r="T2786">
        <f>IF(TRIM(Table1[[#This Row],[PitStopLaps]])="",0,
LEN(Table1[[#This Row],[PitStopLaps]])-LEN(SUBSTITUTE(Table1[[#This Row],[PitStopLaps]],",",""))+1)</f>
        <v>2</v>
      </c>
      <c r="U2786">
        <f>Table1[[#This Row],[StartPosition]]-Table1[[#This Row],[FinishPosition]]</f>
        <v>1</v>
      </c>
    </row>
    <row r="2787" spans="1:21" x14ac:dyDescent="0.3">
      <c r="A2787">
        <v>2024</v>
      </c>
      <c r="B2787">
        <v>16</v>
      </c>
      <c r="C2787" t="s">
        <v>367</v>
      </c>
      <c r="D2787" t="s">
        <v>252</v>
      </c>
      <c r="E2787" t="s">
        <v>253</v>
      </c>
      <c r="F2787" t="s">
        <v>28</v>
      </c>
      <c r="G2787">
        <v>3</v>
      </c>
      <c r="H2787">
        <v>7</v>
      </c>
      <c r="I2787">
        <v>6</v>
      </c>
      <c r="J2787" t="s">
        <v>34</v>
      </c>
      <c r="K2787" t="s">
        <v>24</v>
      </c>
      <c r="L2787">
        <v>53</v>
      </c>
      <c r="M2787">
        <v>82.036000000000001</v>
      </c>
      <c r="N2787">
        <v>83.983665999999999</v>
      </c>
      <c r="O2787">
        <v>27.068000000000001</v>
      </c>
      <c r="P2787">
        <v>27.824999999999999</v>
      </c>
      <c r="Q2787">
        <v>27.013000000000002</v>
      </c>
      <c r="R2787" t="s">
        <v>1102</v>
      </c>
      <c r="S2787" t="s">
        <v>83</v>
      </c>
      <c r="T2787">
        <f>IF(TRIM(Table1[[#This Row],[PitStopLaps]])="",0,
LEN(Table1[[#This Row],[PitStopLaps]])-LEN(SUBSTITUTE(Table1[[#This Row],[PitStopLaps]],",",""))+1)</f>
        <v>2</v>
      </c>
      <c r="U2787">
        <f>Table1[[#This Row],[StartPosition]]-Table1[[#This Row],[FinishPosition]]</f>
        <v>-4</v>
      </c>
    </row>
    <row r="2788" spans="1:21" x14ac:dyDescent="0.3">
      <c r="A2788">
        <v>2024</v>
      </c>
      <c r="B2788">
        <v>16</v>
      </c>
      <c r="C2788" t="s">
        <v>367</v>
      </c>
      <c r="D2788" t="s">
        <v>49</v>
      </c>
      <c r="E2788" t="s">
        <v>50</v>
      </c>
      <c r="F2788" t="s">
        <v>33</v>
      </c>
      <c r="G2788">
        <v>8</v>
      </c>
      <c r="H2788">
        <v>8</v>
      </c>
      <c r="I2788">
        <v>4</v>
      </c>
      <c r="J2788" t="s">
        <v>34</v>
      </c>
      <c r="K2788" t="s">
        <v>24</v>
      </c>
      <c r="L2788">
        <v>53</v>
      </c>
      <c r="M2788">
        <v>82.971000000000004</v>
      </c>
      <c r="N2788">
        <v>84.499207999999996</v>
      </c>
      <c r="O2788">
        <v>27.254000000000001</v>
      </c>
      <c r="P2788">
        <v>28.12</v>
      </c>
      <c r="Q2788">
        <v>27.347000000000001</v>
      </c>
      <c r="R2788" t="s">
        <v>376</v>
      </c>
      <c r="S2788" t="s">
        <v>83</v>
      </c>
      <c r="T2788">
        <f>IF(TRIM(Table1[[#This Row],[PitStopLaps]])="",0,
LEN(Table1[[#This Row],[PitStopLaps]])-LEN(SUBSTITUTE(Table1[[#This Row],[PitStopLaps]],",",""))+1)</f>
        <v>2</v>
      </c>
      <c r="U2788">
        <f>Table1[[#This Row],[StartPosition]]-Table1[[#This Row],[FinishPosition]]</f>
        <v>0</v>
      </c>
    </row>
    <row r="2789" spans="1:21" x14ac:dyDescent="0.3">
      <c r="A2789">
        <v>2024</v>
      </c>
      <c r="B2789">
        <v>16</v>
      </c>
      <c r="C2789" t="s">
        <v>367</v>
      </c>
      <c r="D2789" t="s">
        <v>248</v>
      </c>
      <c r="E2789" t="s">
        <v>249</v>
      </c>
      <c r="F2789" t="s">
        <v>60</v>
      </c>
      <c r="G2789">
        <v>9</v>
      </c>
      <c r="H2789">
        <v>9</v>
      </c>
      <c r="I2789">
        <v>2</v>
      </c>
      <c r="J2789" t="s">
        <v>34</v>
      </c>
      <c r="K2789" t="s">
        <v>24</v>
      </c>
      <c r="L2789">
        <v>53</v>
      </c>
      <c r="M2789">
        <v>83.918000000000006</v>
      </c>
      <c r="N2789">
        <v>85.174980000000005</v>
      </c>
      <c r="O2789">
        <v>27.263999999999999</v>
      </c>
      <c r="P2789">
        <v>28.576999999999899</v>
      </c>
      <c r="Q2789">
        <v>27.742000000000001</v>
      </c>
      <c r="R2789">
        <v>17</v>
      </c>
      <c r="S2789" t="s">
        <v>83</v>
      </c>
      <c r="T2789">
        <f>IF(TRIM(Table1[[#This Row],[PitStopLaps]])="",0,
LEN(Table1[[#This Row],[PitStopLaps]])-LEN(SUBSTITUTE(Table1[[#This Row],[PitStopLaps]],",",""))+1)</f>
        <v>1</v>
      </c>
      <c r="U2789">
        <f>Table1[[#This Row],[StartPosition]]-Table1[[#This Row],[FinishPosition]]</f>
        <v>0</v>
      </c>
    </row>
    <row r="2790" spans="1:21" x14ac:dyDescent="0.3">
      <c r="A2790">
        <v>2024</v>
      </c>
      <c r="B2790">
        <v>16</v>
      </c>
      <c r="C2790" t="s">
        <v>367</v>
      </c>
      <c r="D2790" t="s">
        <v>71</v>
      </c>
      <c r="E2790" t="s">
        <v>72</v>
      </c>
      <c r="F2790" t="s">
        <v>69</v>
      </c>
      <c r="G2790">
        <v>13</v>
      </c>
      <c r="H2790">
        <v>10</v>
      </c>
      <c r="I2790">
        <v>1</v>
      </c>
      <c r="J2790" t="s">
        <v>34</v>
      </c>
      <c r="K2790" t="s">
        <v>24</v>
      </c>
      <c r="L2790">
        <v>53</v>
      </c>
      <c r="M2790">
        <v>83.436999999999998</v>
      </c>
      <c r="N2790">
        <v>84.962639999999993</v>
      </c>
      <c r="O2790">
        <v>27.395</v>
      </c>
      <c r="P2790">
        <v>28.449000000000002</v>
      </c>
      <c r="Q2790">
        <v>27.478000000000002</v>
      </c>
      <c r="R2790">
        <v>14</v>
      </c>
      <c r="S2790" t="s">
        <v>83</v>
      </c>
      <c r="T2790">
        <f>IF(TRIM(Table1[[#This Row],[PitStopLaps]])="",0,
LEN(Table1[[#This Row],[PitStopLaps]])-LEN(SUBSTITUTE(Table1[[#This Row],[PitStopLaps]],",",""))+1)</f>
        <v>1</v>
      </c>
      <c r="U2790">
        <f>Table1[[#This Row],[StartPosition]]-Table1[[#This Row],[FinishPosition]]</f>
        <v>3</v>
      </c>
    </row>
    <row r="2791" spans="1:21" x14ac:dyDescent="0.3">
      <c r="A2791">
        <v>2024</v>
      </c>
      <c r="B2791">
        <v>16</v>
      </c>
      <c r="C2791" t="s">
        <v>367</v>
      </c>
      <c r="D2791" t="s">
        <v>35</v>
      </c>
      <c r="E2791" t="s">
        <v>36</v>
      </c>
      <c r="F2791" t="s">
        <v>603</v>
      </c>
      <c r="G2791">
        <v>11</v>
      </c>
      <c r="H2791">
        <v>11</v>
      </c>
      <c r="I2791">
        <v>0</v>
      </c>
      <c r="J2791" t="s">
        <v>34</v>
      </c>
      <c r="K2791" t="s">
        <v>24</v>
      </c>
      <c r="L2791">
        <v>53</v>
      </c>
      <c r="M2791">
        <v>82.944000000000003</v>
      </c>
      <c r="N2791">
        <v>84.740125000000006</v>
      </c>
      <c r="O2791">
        <v>27.073</v>
      </c>
      <c r="P2791">
        <v>28.327000000000002</v>
      </c>
      <c r="Q2791">
        <v>27.501000000000001</v>
      </c>
      <c r="R2791" t="s">
        <v>797</v>
      </c>
      <c r="S2791" t="s">
        <v>83</v>
      </c>
      <c r="T2791">
        <f>IF(TRIM(Table1[[#This Row],[PitStopLaps]])="",0,
LEN(Table1[[#This Row],[PitStopLaps]])-LEN(SUBSTITUTE(Table1[[#This Row],[PitStopLaps]],",",""))+1)</f>
        <v>2</v>
      </c>
      <c r="U2791">
        <f>Table1[[#This Row],[StartPosition]]-Table1[[#This Row],[FinishPosition]]</f>
        <v>0</v>
      </c>
    </row>
    <row r="2792" spans="1:21" x14ac:dyDescent="0.3">
      <c r="A2792">
        <v>2024</v>
      </c>
      <c r="B2792">
        <v>16</v>
      </c>
      <c r="C2792" t="s">
        <v>367</v>
      </c>
      <c r="D2792" t="s">
        <v>1283</v>
      </c>
      <c r="E2792" t="s">
        <v>1284</v>
      </c>
      <c r="F2792" t="s">
        <v>60</v>
      </c>
      <c r="G2792">
        <v>18</v>
      </c>
      <c r="H2792">
        <v>12</v>
      </c>
      <c r="I2792">
        <v>0</v>
      </c>
      <c r="J2792" t="s">
        <v>34</v>
      </c>
      <c r="K2792" t="s">
        <v>24</v>
      </c>
      <c r="L2792">
        <v>53</v>
      </c>
      <c r="M2792">
        <v>83.727999999999994</v>
      </c>
      <c r="N2792">
        <v>85.372159999999994</v>
      </c>
      <c r="O2792">
        <v>27.47</v>
      </c>
      <c r="P2792">
        <v>28.56</v>
      </c>
      <c r="Q2792">
        <v>27.698</v>
      </c>
      <c r="R2792">
        <v>16</v>
      </c>
      <c r="S2792" t="s">
        <v>83</v>
      </c>
      <c r="T2792">
        <f>IF(TRIM(Table1[[#This Row],[PitStopLaps]])="",0,
LEN(Table1[[#This Row],[PitStopLaps]])-LEN(SUBSTITUTE(Table1[[#This Row],[PitStopLaps]],",",""))+1)</f>
        <v>1</v>
      </c>
      <c r="U2792">
        <f>Table1[[#This Row],[StartPosition]]-Table1[[#This Row],[FinishPosition]]</f>
        <v>6</v>
      </c>
    </row>
    <row r="2793" spans="1:21" x14ac:dyDescent="0.3">
      <c r="A2793">
        <v>2024</v>
      </c>
      <c r="B2793">
        <v>16</v>
      </c>
      <c r="C2793" t="s">
        <v>367</v>
      </c>
      <c r="D2793" t="s">
        <v>31</v>
      </c>
      <c r="E2793" t="s">
        <v>32</v>
      </c>
      <c r="F2793" t="s">
        <v>1176</v>
      </c>
      <c r="G2793">
        <v>12</v>
      </c>
      <c r="H2793">
        <v>13</v>
      </c>
      <c r="I2793">
        <v>0</v>
      </c>
      <c r="J2793" t="s">
        <v>34</v>
      </c>
      <c r="K2793" t="s">
        <v>24</v>
      </c>
      <c r="L2793">
        <v>53</v>
      </c>
      <c r="M2793">
        <v>84.218999999999994</v>
      </c>
      <c r="N2793">
        <v>85.238500000000002</v>
      </c>
      <c r="O2793">
        <v>27.375</v>
      </c>
      <c r="P2793">
        <v>28.661000000000001</v>
      </c>
      <c r="Q2793">
        <v>28.068999999999999</v>
      </c>
      <c r="R2793">
        <v>11</v>
      </c>
      <c r="S2793" t="s">
        <v>83</v>
      </c>
      <c r="T2793">
        <f>IF(TRIM(Table1[[#This Row],[PitStopLaps]])="",0,
LEN(Table1[[#This Row],[PitStopLaps]])-LEN(SUBSTITUTE(Table1[[#This Row],[PitStopLaps]],",",""))+1)</f>
        <v>1</v>
      </c>
      <c r="U2793">
        <f>Table1[[#This Row],[StartPosition]]-Table1[[#This Row],[FinishPosition]]</f>
        <v>-1</v>
      </c>
    </row>
    <row r="2794" spans="1:21" x14ac:dyDescent="0.3">
      <c r="A2794">
        <v>2024</v>
      </c>
      <c r="B2794">
        <v>16</v>
      </c>
      <c r="C2794" t="s">
        <v>367</v>
      </c>
      <c r="D2794" t="s">
        <v>52</v>
      </c>
      <c r="E2794" t="s">
        <v>53</v>
      </c>
      <c r="F2794" t="s">
        <v>607</v>
      </c>
      <c r="G2794">
        <v>15</v>
      </c>
      <c r="H2794">
        <v>14</v>
      </c>
      <c r="I2794">
        <v>0</v>
      </c>
      <c r="J2794" t="s">
        <v>34</v>
      </c>
      <c r="K2794" t="s">
        <v>994</v>
      </c>
      <c r="L2794">
        <v>52</v>
      </c>
      <c r="M2794">
        <v>84.343000000000004</v>
      </c>
      <c r="N2794">
        <v>85.765039999999999</v>
      </c>
      <c r="O2794">
        <v>27.49</v>
      </c>
      <c r="P2794">
        <v>28.733000000000001</v>
      </c>
      <c r="Q2794">
        <v>27.962</v>
      </c>
      <c r="R2794">
        <v>31</v>
      </c>
      <c r="S2794" t="s">
        <v>83</v>
      </c>
      <c r="T2794">
        <f>IF(TRIM(Table1[[#This Row],[PitStopLaps]])="",0,
LEN(Table1[[#This Row],[PitStopLaps]])-LEN(SUBSTITUTE(Table1[[#This Row],[PitStopLaps]],",",""))+1)</f>
        <v>1</v>
      </c>
      <c r="U2794">
        <f>Table1[[#This Row],[StartPosition]]-Table1[[#This Row],[FinishPosition]]</f>
        <v>1</v>
      </c>
    </row>
    <row r="2795" spans="1:21" x14ac:dyDescent="0.3">
      <c r="A2795">
        <v>2024</v>
      </c>
      <c r="B2795">
        <v>16</v>
      </c>
      <c r="C2795" t="s">
        <v>367</v>
      </c>
      <c r="D2795" t="s">
        <v>73</v>
      </c>
      <c r="E2795" t="s">
        <v>74</v>
      </c>
      <c r="F2795" t="s">
        <v>607</v>
      </c>
      <c r="G2795">
        <v>14</v>
      </c>
      <c r="H2795">
        <v>15</v>
      </c>
      <c r="I2795">
        <v>0</v>
      </c>
      <c r="J2795" t="s">
        <v>34</v>
      </c>
      <c r="K2795" t="s">
        <v>994</v>
      </c>
      <c r="L2795">
        <v>52</v>
      </c>
      <c r="M2795">
        <v>83.754999999999995</v>
      </c>
      <c r="N2795">
        <v>85.323936000000003</v>
      </c>
      <c r="O2795">
        <v>27.38</v>
      </c>
      <c r="P2795">
        <v>28.564</v>
      </c>
      <c r="Q2795">
        <v>27.745000000000001</v>
      </c>
      <c r="R2795" t="s">
        <v>494</v>
      </c>
      <c r="S2795" t="s">
        <v>83</v>
      </c>
      <c r="T2795">
        <f>IF(TRIM(Table1[[#This Row],[PitStopLaps]])="",0,
LEN(Table1[[#This Row],[PitStopLaps]])-LEN(SUBSTITUTE(Table1[[#This Row],[PitStopLaps]],",",""))+1)</f>
        <v>2</v>
      </c>
      <c r="U2795">
        <f>Table1[[#This Row],[StartPosition]]-Table1[[#This Row],[FinishPosition]]</f>
        <v>-1</v>
      </c>
    </row>
    <row r="2796" spans="1:21" x14ac:dyDescent="0.3">
      <c r="A2796">
        <v>2024</v>
      </c>
      <c r="B2796">
        <v>16</v>
      </c>
      <c r="C2796" t="s">
        <v>367</v>
      </c>
      <c r="D2796" t="s">
        <v>43</v>
      </c>
      <c r="E2796" t="s">
        <v>44</v>
      </c>
      <c r="F2796" t="s">
        <v>1175</v>
      </c>
      <c r="G2796">
        <v>19</v>
      </c>
      <c r="H2796">
        <v>16</v>
      </c>
      <c r="I2796">
        <v>0</v>
      </c>
      <c r="J2796" t="s">
        <v>34</v>
      </c>
      <c r="K2796" t="s">
        <v>994</v>
      </c>
      <c r="L2796">
        <v>52</v>
      </c>
      <c r="M2796">
        <v>83.608999999999995</v>
      </c>
      <c r="N2796">
        <v>86.024019999999993</v>
      </c>
      <c r="O2796">
        <v>27.332000000000001</v>
      </c>
      <c r="P2796">
        <v>28.419</v>
      </c>
      <c r="Q2796">
        <v>27.64</v>
      </c>
      <c r="R2796">
        <v>33</v>
      </c>
      <c r="S2796" t="s">
        <v>83</v>
      </c>
      <c r="T2796">
        <f>IF(TRIM(Table1[[#This Row],[PitStopLaps]])="",0,
LEN(Table1[[#This Row],[PitStopLaps]])-LEN(SUBSTITUTE(Table1[[#This Row],[PitStopLaps]],",",""))+1)</f>
        <v>1</v>
      </c>
      <c r="U2796">
        <f>Table1[[#This Row],[StartPosition]]-Table1[[#This Row],[FinishPosition]]</f>
        <v>3</v>
      </c>
    </row>
    <row r="2797" spans="1:21" x14ac:dyDescent="0.3">
      <c r="A2797">
        <v>2024</v>
      </c>
      <c r="B2797">
        <v>16</v>
      </c>
      <c r="C2797" t="s">
        <v>367</v>
      </c>
      <c r="D2797" t="s">
        <v>40</v>
      </c>
      <c r="E2797" t="s">
        <v>41</v>
      </c>
      <c r="F2797" t="s">
        <v>69</v>
      </c>
      <c r="G2797">
        <v>10</v>
      </c>
      <c r="H2797">
        <v>17</v>
      </c>
      <c r="I2797">
        <v>0</v>
      </c>
      <c r="J2797" t="s">
        <v>34</v>
      </c>
      <c r="K2797" t="s">
        <v>994</v>
      </c>
      <c r="L2797">
        <v>52</v>
      </c>
      <c r="M2797">
        <v>83.275000000000006</v>
      </c>
      <c r="N2797">
        <v>85.057744</v>
      </c>
      <c r="O2797">
        <v>27.026</v>
      </c>
      <c r="P2797">
        <v>28.475999999999999</v>
      </c>
      <c r="Q2797">
        <v>27.547999999999998</v>
      </c>
      <c r="R2797" t="s">
        <v>1285</v>
      </c>
      <c r="S2797" t="s">
        <v>83</v>
      </c>
      <c r="T2797">
        <f>IF(TRIM(Table1[[#This Row],[PitStopLaps]])="",0,
LEN(Table1[[#This Row],[PitStopLaps]])-LEN(SUBSTITUTE(Table1[[#This Row],[PitStopLaps]],",",""))+1)</f>
        <v>2</v>
      </c>
      <c r="U2797">
        <f>Table1[[#This Row],[StartPosition]]-Table1[[#This Row],[FinishPosition]]</f>
        <v>-7</v>
      </c>
    </row>
    <row r="2798" spans="1:21" x14ac:dyDescent="0.3">
      <c r="A2798">
        <v>2024</v>
      </c>
      <c r="B2798">
        <v>16</v>
      </c>
      <c r="C2798" t="s">
        <v>367</v>
      </c>
      <c r="D2798" t="s">
        <v>794</v>
      </c>
      <c r="E2798" t="s">
        <v>795</v>
      </c>
      <c r="F2798" t="s">
        <v>1175</v>
      </c>
      <c r="G2798">
        <v>20</v>
      </c>
      <c r="H2798">
        <v>18</v>
      </c>
      <c r="I2798">
        <v>0</v>
      </c>
      <c r="J2798" t="s">
        <v>34</v>
      </c>
      <c r="K2798" t="s">
        <v>994</v>
      </c>
      <c r="L2798">
        <v>52</v>
      </c>
      <c r="M2798">
        <v>85.091999999999999</v>
      </c>
      <c r="N2798">
        <v>86.181101999999996</v>
      </c>
      <c r="O2798">
        <v>27.567</v>
      </c>
      <c r="P2798">
        <v>29.103999999999999</v>
      </c>
      <c r="Q2798">
        <v>28.292000000000002</v>
      </c>
      <c r="R2798">
        <v>15</v>
      </c>
      <c r="S2798" t="s">
        <v>83</v>
      </c>
      <c r="T2798">
        <f>IF(TRIM(Table1[[#This Row],[PitStopLaps]])="",0,
LEN(Table1[[#This Row],[PitStopLaps]])-LEN(SUBSTITUTE(Table1[[#This Row],[PitStopLaps]],",",""))+1)</f>
        <v>1</v>
      </c>
      <c r="U2798">
        <f>Table1[[#This Row],[StartPosition]]-Table1[[#This Row],[FinishPosition]]</f>
        <v>2</v>
      </c>
    </row>
    <row r="2799" spans="1:21" x14ac:dyDescent="0.3">
      <c r="A2799">
        <v>2024</v>
      </c>
      <c r="B2799">
        <v>16</v>
      </c>
      <c r="C2799" t="s">
        <v>367</v>
      </c>
      <c r="D2799" t="s">
        <v>58</v>
      </c>
      <c r="E2799" t="s">
        <v>59</v>
      </c>
      <c r="F2799" t="s">
        <v>603</v>
      </c>
      <c r="G2799">
        <v>17</v>
      </c>
      <c r="H2799">
        <v>19</v>
      </c>
      <c r="I2799">
        <v>0</v>
      </c>
      <c r="J2799" t="s">
        <v>34</v>
      </c>
      <c r="K2799" t="s">
        <v>994</v>
      </c>
      <c r="L2799">
        <v>52</v>
      </c>
      <c r="M2799">
        <v>82.231999999999999</v>
      </c>
      <c r="N2799">
        <v>85.270311000000007</v>
      </c>
      <c r="O2799">
        <v>26.931999999999999</v>
      </c>
      <c r="P2799">
        <v>27.914000000000001</v>
      </c>
      <c r="Q2799">
        <v>27.385999999999999</v>
      </c>
      <c r="R2799" t="s">
        <v>1286</v>
      </c>
      <c r="S2799" t="s">
        <v>83</v>
      </c>
      <c r="T2799">
        <f>IF(TRIM(Table1[[#This Row],[PitStopLaps]])="",0,
LEN(Table1[[#This Row],[PitStopLaps]])-LEN(SUBSTITUTE(Table1[[#This Row],[PitStopLaps]],",",""))+1)</f>
        <v>3</v>
      </c>
      <c r="U2799">
        <f>Table1[[#This Row],[StartPosition]]-Table1[[#This Row],[FinishPosition]]</f>
        <v>-2</v>
      </c>
    </row>
    <row r="2800" spans="1:21" x14ac:dyDescent="0.3">
      <c r="A2800">
        <v>2024</v>
      </c>
      <c r="B2800">
        <v>16</v>
      </c>
      <c r="C2800" t="s">
        <v>367</v>
      </c>
      <c r="D2800" t="s">
        <v>601</v>
      </c>
      <c r="E2800" t="s">
        <v>602</v>
      </c>
      <c r="F2800" t="s">
        <v>1176</v>
      </c>
      <c r="G2800">
        <v>16</v>
      </c>
      <c r="H2800">
        <v>20</v>
      </c>
      <c r="I2800">
        <v>0</v>
      </c>
      <c r="J2800" t="s">
        <v>34</v>
      </c>
      <c r="K2800" t="s">
        <v>179</v>
      </c>
      <c r="L2800">
        <v>7</v>
      </c>
      <c r="M2800">
        <v>86.197999999999993</v>
      </c>
      <c r="N2800">
        <v>88.222999999999999</v>
      </c>
      <c r="O2800">
        <v>27.631</v>
      </c>
      <c r="P2800">
        <v>29.689</v>
      </c>
      <c r="Q2800">
        <v>28.878</v>
      </c>
      <c r="R2800">
        <v>7</v>
      </c>
      <c r="S2800" t="s">
        <v>83</v>
      </c>
      <c r="T2800">
        <f>IF(TRIM(Table1[[#This Row],[PitStopLaps]])="",0,
LEN(Table1[[#This Row],[PitStopLaps]])-LEN(SUBSTITUTE(Table1[[#This Row],[PitStopLaps]],",",""))+1)</f>
        <v>1</v>
      </c>
      <c r="U2800">
        <f>Table1[[#This Row],[StartPosition]]-Table1[[#This Row],[FinishPosition]]</f>
        <v>-4</v>
      </c>
    </row>
    <row r="2801" spans="1:21" x14ac:dyDescent="0.3">
      <c r="A2801">
        <v>2024</v>
      </c>
      <c r="B2801">
        <v>17</v>
      </c>
      <c r="C2801" t="s">
        <v>111</v>
      </c>
      <c r="D2801" t="s">
        <v>1000</v>
      </c>
      <c r="E2801" t="s">
        <v>1001</v>
      </c>
      <c r="F2801" t="s">
        <v>37</v>
      </c>
      <c r="G2801">
        <v>2</v>
      </c>
      <c r="H2801">
        <v>1</v>
      </c>
      <c r="I2801">
        <v>25</v>
      </c>
      <c r="J2801" t="s">
        <v>23</v>
      </c>
      <c r="K2801" t="s">
        <v>24</v>
      </c>
      <c r="L2801">
        <v>51</v>
      </c>
      <c r="M2801">
        <v>107.06</v>
      </c>
      <c r="N2801">
        <v>107.97885100000001</v>
      </c>
      <c r="O2801">
        <v>38.234000000000002</v>
      </c>
      <c r="P2801">
        <v>43.283000000000001</v>
      </c>
      <c r="Q2801">
        <v>25.047000000000001</v>
      </c>
      <c r="R2801">
        <v>15</v>
      </c>
      <c r="S2801" t="s">
        <v>83</v>
      </c>
      <c r="T2801">
        <f>IF(TRIM(Table1[[#This Row],[PitStopLaps]])="",0,
LEN(Table1[[#This Row],[PitStopLaps]])-LEN(SUBSTITUTE(Table1[[#This Row],[PitStopLaps]],",",""))+1)</f>
        <v>1</v>
      </c>
      <c r="U2801">
        <f>Table1[[#This Row],[StartPosition]]-Table1[[#This Row],[FinishPosition]]</f>
        <v>1</v>
      </c>
    </row>
    <row r="2802" spans="1:21" x14ac:dyDescent="0.3">
      <c r="A2802">
        <v>2024</v>
      </c>
      <c r="B2802">
        <v>17</v>
      </c>
      <c r="C2802" t="s">
        <v>111</v>
      </c>
      <c r="D2802" t="s">
        <v>54</v>
      </c>
      <c r="E2802" t="s">
        <v>55</v>
      </c>
      <c r="F2802" t="s">
        <v>22</v>
      </c>
      <c r="G2802">
        <v>1</v>
      </c>
      <c r="H2802">
        <v>2</v>
      </c>
      <c r="I2802">
        <v>18</v>
      </c>
      <c r="J2802" t="s">
        <v>23</v>
      </c>
      <c r="K2802" t="s">
        <v>24</v>
      </c>
      <c r="L2802">
        <v>51</v>
      </c>
      <c r="M2802">
        <v>107.06699999999999</v>
      </c>
      <c r="N2802">
        <v>108.023869</v>
      </c>
      <c r="O2802">
        <v>38.246000000000002</v>
      </c>
      <c r="P2802">
        <v>43.427999999999997</v>
      </c>
      <c r="Q2802">
        <v>25.085999999999999</v>
      </c>
      <c r="R2802">
        <v>16</v>
      </c>
      <c r="S2802" t="s">
        <v>83</v>
      </c>
      <c r="T2802">
        <f>IF(TRIM(Table1[[#This Row],[PitStopLaps]])="",0,
LEN(Table1[[#This Row],[PitStopLaps]])-LEN(SUBSTITUTE(Table1[[#This Row],[PitStopLaps]],",",""))+1)</f>
        <v>1</v>
      </c>
      <c r="U2802">
        <f>Table1[[#This Row],[StartPosition]]-Table1[[#This Row],[FinishPosition]]</f>
        <v>-1</v>
      </c>
    </row>
    <row r="2803" spans="1:21" x14ac:dyDescent="0.3">
      <c r="A2803">
        <v>2024</v>
      </c>
      <c r="B2803">
        <v>17</v>
      </c>
      <c r="C2803" t="s">
        <v>111</v>
      </c>
      <c r="D2803" t="s">
        <v>252</v>
      </c>
      <c r="E2803" t="s">
        <v>253</v>
      </c>
      <c r="F2803" t="s">
        <v>28</v>
      </c>
      <c r="G2803">
        <v>5</v>
      </c>
      <c r="H2803">
        <v>3</v>
      </c>
      <c r="I2803">
        <v>15</v>
      </c>
      <c r="J2803" t="s">
        <v>23</v>
      </c>
      <c r="K2803" t="s">
        <v>24</v>
      </c>
      <c r="L2803">
        <v>51</v>
      </c>
      <c r="M2803">
        <v>106.628</v>
      </c>
      <c r="N2803">
        <v>108.21217300000001</v>
      </c>
      <c r="O2803">
        <v>38.058999999999997</v>
      </c>
      <c r="P2803">
        <v>43.165999999999997</v>
      </c>
      <c r="Q2803">
        <v>24.693000000000001</v>
      </c>
      <c r="R2803">
        <v>12</v>
      </c>
      <c r="S2803" t="s">
        <v>83</v>
      </c>
      <c r="T2803">
        <f>IF(TRIM(Table1[[#This Row],[PitStopLaps]])="",0,
LEN(Table1[[#This Row],[PitStopLaps]])-LEN(SUBSTITUTE(Table1[[#This Row],[PitStopLaps]],",",""))+1)</f>
        <v>1</v>
      </c>
      <c r="U2803">
        <f>Table1[[#This Row],[StartPosition]]-Table1[[#This Row],[FinishPosition]]</f>
        <v>2</v>
      </c>
    </row>
    <row r="2804" spans="1:21" x14ac:dyDescent="0.3">
      <c r="A2804">
        <v>2024</v>
      </c>
      <c r="B2804">
        <v>17</v>
      </c>
      <c r="C2804" t="s">
        <v>111</v>
      </c>
      <c r="D2804" t="s">
        <v>246</v>
      </c>
      <c r="E2804" t="s">
        <v>247</v>
      </c>
      <c r="F2804" t="s">
        <v>37</v>
      </c>
      <c r="G2804">
        <v>15</v>
      </c>
      <c r="H2804">
        <v>4</v>
      </c>
      <c r="I2804">
        <v>13</v>
      </c>
      <c r="J2804" t="s">
        <v>34</v>
      </c>
      <c r="K2804" t="s">
        <v>24</v>
      </c>
      <c r="L2804">
        <v>51</v>
      </c>
      <c r="M2804">
        <v>105.255</v>
      </c>
      <c r="N2804">
        <v>108.270391</v>
      </c>
      <c r="O2804">
        <v>37.53</v>
      </c>
      <c r="P2804">
        <v>42.536999999999999</v>
      </c>
      <c r="Q2804">
        <v>24.940999999999999</v>
      </c>
      <c r="R2804">
        <v>37</v>
      </c>
      <c r="S2804" t="s">
        <v>83</v>
      </c>
      <c r="T2804">
        <f>IF(TRIM(Table1[[#This Row],[PitStopLaps]])="",0,
LEN(Table1[[#This Row],[PitStopLaps]])-LEN(SUBSTITUTE(Table1[[#This Row],[PitStopLaps]],",",""))+1)</f>
        <v>1</v>
      </c>
      <c r="U2804">
        <f>Table1[[#This Row],[StartPosition]]-Table1[[#This Row],[FinishPosition]]</f>
        <v>11</v>
      </c>
    </row>
    <row r="2805" spans="1:21" x14ac:dyDescent="0.3">
      <c r="A2805">
        <v>2024</v>
      </c>
      <c r="B2805">
        <v>17</v>
      </c>
      <c r="C2805" t="s">
        <v>111</v>
      </c>
      <c r="D2805" t="s">
        <v>38</v>
      </c>
      <c r="E2805" t="s">
        <v>39</v>
      </c>
      <c r="F2805" t="s">
        <v>33</v>
      </c>
      <c r="G2805">
        <v>6</v>
      </c>
      <c r="H2805">
        <v>5</v>
      </c>
      <c r="I2805">
        <v>10</v>
      </c>
      <c r="J2805" t="s">
        <v>34</v>
      </c>
      <c r="K2805" t="s">
        <v>24</v>
      </c>
      <c r="L2805">
        <v>51</v>
      </c>
      <c r="M2805">
        <v>106.798</v>
      </c>
      <c r="N2805">
        <v>108.346288</v>
      </c>
      <c r="O2805">
        <v>38.040999999999997</v>
      </c>
      <c r="P2805">
        <v>43.271000000000001</v>
      </c>
      <c r="Q2805">
        <v>25.106000000000002</v>
      </c>
      <c r="R2805" t="s">
        <v>1287</v>
      </c>
      <c r="S2805" t="s">
        <v>83</v>
      </c>
      <c r="T2805">
        <f>IF(TRIM(Table1[[#This Row],[PitStopLaps]])="",0,
LEN(Table1[[#This Row],[PitStopLaps]])-LEN(SUBSTITUTE(Table1[[#This Row],[PitStopLaps]],",",""))+1)</f>
        <v>2</v>
      </c>
      <c r="U2805">
        <f>Table1[[#This Row],[StartPosition]]-Table1[[#This Row],[FinishPosition]]</f>
        <v>1</v>
      </c>
    </row>
    <row r="2806" spans="1:21" x14ac:dyDescent="0.3">
      <c r="A2806">
        <v>2024</v>
      </c>
      <c r="B2806">
        <v>17</v>
      </c>
      <c r="C2806" t="s">
        <v>111</v>
      </c>
      <c r="D2806" t="s">
        <v>35</v>
      </c>
      <c r="E2806" t="s">
        <v>36</v>
      </c>
      <c r="F2806" t="s">
        <v>603</v>
      </c>
      <c r="G2806">
        <v>7</v>
      </c>
      <c r="H2806">
        <v>6</v>
      </c>
      <c r="I2806">
        <v>8</v>
      </c>
      <c r="J2806" t="s">
        <v>34</v>
      </c>
      <c r="K2806" t="s">
        <v>24</v>
      </c>
      <c r="L2806">
        <v>51</v>
      </c>
      <c r="M2806">
        <v>107.057</v>
      </c>
      <c r="N2806">
        <v>108.81730399999999</v>
      </c>
      <c r="O2806">
        <v>38.067</v>
      </c>
      <c r="P2806">
        <v>43.567</v>
      </c>
      <c r="Q2806">
        <v>25.141999999999999</v>
      </c>
      <c r="R2806">
        <v>11</v>
      </c>
      <c r="S2806" t="s">
        <v>83</v>
      </c>
      <c r="T2806">
        <f>IF(TRIM(Table1[[#This Row],[PitStopLaps]])="",0,
LEN(Table1[[#This Row],[PitStopLaps]])-LEN(SUBSTITUTE(Table1[[#This Row],[PitStopLaps]],",",""))+1)</f>
        <v>1</v>
      </c>
      <c r="U2806">
        <f>Table1[[#This Row],[StartPosition]]-Table1[[#This Row],[FinishPosition]]</f>
        <v>1</v>
      </c>
    </row>
    <row r="2807" spans="1:21" x14ac:dyDescent="0.3">
      <c r="A2807">
        <v>2024</v>
      </c>
      <c r="B2807">
        <v>17</v>
      </c>
      <c r="C2807" t="s">
        <v>111</v>
      </c>
      <c r="D2807" t="s">
        <v>248</v>
      </c>
      <c r="E2807" t="s">
        <v>249</v>
      </c>
      <c r="F2807" t="s">
        <v>60</v>
      </c>
      <c r="G2807">
        <v>9</v>
      </c>
      <c r="H2807">
        <v>7</v>
      </c>
      <c r="I2807">
        <v>6</v>
      </c>
      <c r="J2807" t="s">
        <v>34</v>
      </c>
      <c r="K2807" t="s">
        <v>24</v>
      </c>
      <c r="L2807">
        <v>51</v>
      </c>
      <c r="M2807">
        <v>106.947</v>
      </c>
      <c r="N2807">
        <v>108.830652</v>
      </c>
      <c r="O2807">
        <v>38.319000000000003</v>
      </c>
      <c r="P2807">
        <v>43.186999999999998</v>
      </c>
      <c r="Q2807">
        <v>25.007999999999999</v>
      </c>
      <c r="R2807">
        <v>31</v>
      </c>
      <c r="S2807" t="s">
        <v>83</v>
      </c>
      <c r="T2807">
        <f>IF(TRIM(Table1[[#This Row],[PitStopLaps]])="",0,
LEN(Table1[[#This Row],[PitStopLaps]])-LEN(SUBSTITUTE(Table1[[#This Row],[PitStopLaps]],",",""))+1)</f>
        <v>1</v>
      </c>
      <c r="U2807">
        <f>Table1[[#This Row],[StartPosition]]-Table1[[#This Row],[FinishPosition]]</f>
        <v>2</v>
      </c>
    </row>
    <row r="2808" spans="1:21" x14ac:dyDescent="0.3">
      <c r="A2808">
        <v>2024</v>
      </c>
      <c r="B2808">
        <v>17</v>
      </c>
      <c r="C2808" t="s">
        <v>111</v>
      </c>
      <c r="D2808" t="s">
        <v>1283</v>
      </c>
      <c r="E2808" t="s">
        <v>1284</v>
      </c>
      <c r="F2808" t="s">
        <v>60</v>
      </c>
      <c r="G2808">
        <v>8</v>
      </c>
      <c r="H2808">
        <v>8</v>
      </c>
      <c r="I2808">
        <v>4</v>
      </c>
      <c r="J2808" t="s">
        <v>34</v>
      </c>
      <c r="K2808" t="s">
        <v>24</v>
      </c>
      <c r="L2808">
        <v>51</v>
      </c>
      <c r="M2808">
        <v>107.274</v>
      </c>
      <c r="N2808">
        <v>109.041826</v>
      </c>
      <c r="O2808">
        <v>38.238999999999997</v>
      </c>
      <c r="P2808">
        <v>43.531999999999996</v>
      </c>
      <c r="Q2808">
        <v>25.056000000000001</v>
      </c>
      <c r="R2808">
        <v>10</v>
      </c>
      <c r="S2808" t="s">
        <v>83</v>
      </c>
      <c r="T2808">
        <f>IF(TRIM(Table1[[#This Row],[PitStopLaps]])="",0,
LEN(Table1[[#This Row],[PitStopLaps]])-LEN(SUBSTITUTE(Table1[[#This Row],[PitStopLaps]],",",""))+1)</f>
        <v>1</v>
      </c>
      <c r="U2808">
        <f>Table1[[#This Row],[StartPosition]]-Table1[[#This Row],[FinishPosition]]</f>
        <v>0</v>
      </c>
    </row>
    <row r="2809" spans="1:21" x14ac:dyDescent="0.3">
      <c r="A2809">
        <v>2024</v>
      </c>
      <c r="B2809">
        <v>17</v>
      </c>
      <c r="C2809" t="s">
        <v>111</v>
      </c>
      <c r="D2809" t="s">
        <v>26</v>
      </c>
      <c r="E2809" t="s">
        <v>27</v>
      </c>
      <c r="F2809" t="s">
        <v>28</v>
      </c>
      <c r="G2809">
        <v>19</v>
      </c>
      <c r="H2809">
        <v>9</v>
      </c>
      <c r="I2809">
        <v>2</v>
      </c>
      <c r="J2809" t="s">
        <v>34</v>
      </c>
      <c r="K2809" t="s">
        <v>24</v>
      </c>
      <c r="L2809">
        <v>51</v>
      </c>
      <c r="M2809">
        <v>107.236</v>
      </c>
      <c r="N2809">
        <v>108.854434</v>
      </c>
      <c r="O2809">
        <v>38.341000000000001</v>
      </c>
      <c r="P2809">
        <v>43.756</v>
      </c>
      <c r="Q2809">
        <v>24.762</v>
      </c>
      <c r="R2809">
        <v>12</v>
      </c>
      <c r="S2809" t="s">
        <v>83</v>
      </c>
      <c r="T2809">
        <f>IF(TRIM(Table1[[#This Row],[PitStopLaps]])="",0,
LEN(Table1[[#This Row],[PitStopLaps]])-LEN(SUBSTITUTE(Table1[[#This Row],[PitStopLaps]],",",""))+1)</f>
        <v>1</v>
      </c>
      <c r="U2809">
        <f>Table1[[#This Row],[StartPosition]]-Table1[[#This Row],[FinishPosition]]</f>
        <v>10</v>
      </c>
    </row>
    <row r="2810" spans="1:21" x14ac:dyDescent="0.3">
      <c r="A2810">
        <v>2024</v>
      </c>
      <c r="B2810">
        <v>17</v>
      </c>
      <c r="C2810" t="s">
        <v>111</v>
      </c>
      <c r="D2810" t="s">
        <v>1180</v>
      </c>
      <c r="E2810" t="s">
        <v>1181</v>
      </c>
      <c r="F2810" t="s">
        <v>69</v>
      </c>
      <c r="G2810">
        <v>10</v>
      </c>
      <c r="H2810">
        <v>10</v>
      </c>
      <c r="I2810">
        <v>1</v>
      </c>
      <c r="J2810" t="s">
        <v>34</v>
      </c>
      <c r="K2810" t="s">
        <v>24</v>
      </c>
      <c r="L2810">
        <v>51</v>
      </c>
      <c r="M2810">
        <v>107.048</v>
      </c>
      <c r="N2810">
        <v>109.011804</v>
      </c>
      <c r="O2810">
        <v>38.183</v>
      </c>
      <c r="P2810">
        <v>43.515000000000001</v>
      </c>
      <c r="Q2810">
        <v>25.032</v>
      </c>
      <c r="R2810">
        <v>14</v>
      </c>
      <c r="S2810" t="s">
        <v>83</v>
      </c>
      <c r="T2810">
        <f>IF(TRIM(Table1[[#This Row],[PitStopLaps]])="",0,
LEN(Table1[[#This Row],[PitStopLaps]])-LEN(SUBSTITUTE(Table1[[#This Row],[PitStopLaps]],",",""))+1)</f>
        <v>1</v>
      </c>
      <c r="U2810">
        <f>Table1[[#This Row],[StartPosition]]-Table1[[#This Row],[FinishPosition]]</f>
        <v>0</v>
      </c>
    </row>
    <row r="2811" spans="1:21" x14ac:dyDescent="0.3">
      <c r="A2811">
        <v>2024</v>
      </c>
      <c r="B2811">
        <v>17</v>
      </c>
      <c r="C2811" t="s">
        <v>111</v>
      </c>
      <c r="D2811" t="s">
        <v>40</v>
      </c>
      <c r="E2811" t="s">
        <v>41</v>
      </c>
      <c r="F2811" t="s">
        <v>69</v>
      </c>
      <c r="G2811">
        <v>12</v>
      </c>
      <c r="H2811">
        <v>11</v>
      </c>
      <c r="I2811">
        <v>0</v>
      </c>
      <c r="J2811" t="s">
        <v>34</v>
      </c>
      <c r="K2811" t="s">
        <v>24</v>
      </c>
      <c r="L2811">
        <v>51</v>
      </c>
      <c r="M2811">
        <v>107.691</v>
      </c>
      <c r="N2811">
        <v>108.89313</v>
      </c>
      <c r="O2811">
        <v>38.334000000000003</v>
      </c>
      <c r="P2811">
        <v>43.683</v>
      </c>
      <c r="Q2811">
        <v>24.942</v>
      </c>
      <c r="R2811">
        <v>15</v>
      </c>
      <c r="S2811" t="s">
        <v>83</v>
      </c>
      <c r="T2811">
        <f>IF(TRIM(Table1[[#This Row],[PitStopLaps]])="",0,
LEN(Table1[[#This Row],[PitStopLaps]])-LEN(SUBSTITUTE(Table1[[#This Row],[PitStopLaps]],",",""))+1)</f>
        <v>1</v>
      </c>
      <c r="U2811">
        <f>Table1[[#This Row],[StartPosition]]-Table1[[#This Row],[FinishPosition]]</f>
        <v>1</v>
      </c>
    </row>
    <row r="2812" spans="1:21" x14ac:dyDescent="0.3">
      <c r="A2812">
        <v>2024</v>
      </c>
      <c r="B2812">
        <v>17</v>
      </c>
      <c r="C2812" t="s">
        <v>111</v>
      </c>
      <c r="D2812" t="s">
        <v>73</v>
      </c>
      <c r="E2812" t="s">
        <v>74</v>
      </c>
      <c r="F2812" t="s">
        <v>607</v>
      </c>
      <c r="G2812">
        <v>18</v>
      </c>
      <c r="H2812">
        <v>12</v>
      </c>
      <c r="I2812">
        <v>0</v>
      </c>
      <c r="J2812" t="s">
        <v>34</v>
      </c>
      <c r="K2812" t="s">
        <v>24</v>
      </c>
      <c r="L2812">
        <v>51</v>
      </c>
      <c r="M2812">
        <v>108.018</v>
      </c>
      <c r="N2812">
        <v>109.589562</v>
      </c>
      <c r="O2812">
        <v>38.497</v>
      </c>
      <c r="P2812">
        <v>43.893999999999998</v>
      </c>
      <c r="Q2812">
        <v>25.22</v>
      </c>
      <c r="R2812">
        <v>50</v>
      </c>
      <c r="S2812" t="s">
        <v>83</v>
      </c>
      <c r="T2812">
        <f>IF(TRIM(Table1[[#This Row],[PitStopLaps]])="",0,
LEN(Table1[[#This Row],[PitStopLaps]])-LEN(SUBSTITUTE(Table1[[#This Row],[PitStopLaps]],",",""))+1)</f>
        <v>1</v>
      </c>
      <c r="U2812">
        <f>Table1[[#This Row],[StartPosition]]-Table1[[#This Row],[FinishPosition]]</f>
        <v>6</v>
      </c>
    </row>
    <row r="2813" spans="1:21" x14ac:dyDescent="0.3">
      <c r="A2813">
        <v>2024</v>
      </c>
      <c r="B2813">
        <v>17</v>
      </c>
      <c r="C2813" t="s">
        <v>111</v>
      </c>
      <c r="D2813" t="s">
        <v>31</v>
      </c>
      <c r="E2813" t="s">
        <v>32</v>
      </c>
      <c r="F2813" t="s">
        <v>1176</v>
      </c>
      <c r="G2813">
        <v>14</v>
      </c>
      <c r="H2813">
        <v>13</v>
      </c>
      <c r="I2813">
        <v>0</v>
      </c>
      <c r="J2813" t="s">
        <v>34</v>
      </c>
      <c r="K2813" t="s">
        <v>24</v>
      </c>
      <c r="L2813">
        <v>51</v>
      </c>
      <c r="M2813">
        <v>108.38</v>
      </c>
      <c r="N2813">
        <v>109.909617</v>
      </c>
      <c r="O2813">
        <v>38.558</v>
      </c>
      <c r="P2813">
        <v>43.963999999999999</v>
      </c>
      <c r="Q2813">
        <v>25.387</v>
      </c>
      <c r="R2813">
        <v>49</v>
      </c>
      <c r="S2813" t="s">
        <v>83</v>
      </c>
      <c r="T2813">
        <f>IF(TRIM(Table1[[#This Row],[PitStopLaps]])="",0,
LEN(Table1[[#This Row],[PitStopLaps]])-LEN(SUBSTITUTE(Table1[[#This Row],[PitStopLaps]],",",""))+1)</f>
        <v>1</v>
      </c>
      <c r="U2813">
        <f>Table1[[#This Row],[StartPosition]]-Table1[[#This Row],[FinishPosition]]</f>
        <v>1</v>
      </c>
    </row>
    <row r="2814" spans="1:21" x14ac:dyDescent="0.3">
      <c r="A2814">
        <v>2024</v>
      </c>
      <c r="B2814">
        <v>17</v>
      </c>
      <c r="C2814" t="s">
        <v>111</v>
      </c>
      <c r="D2814" t="s">
        <v>794</v>
      </c>
      <c r="E2814" t="s">
        <v>795</v>
      </c>
      <c r="F2814" t="s">
        <v>1175</v>
      </c>
      <c r="G2814">
        <v>17</v>
      </c>
      <c r="H2814">
        <v>14</v>
      </c>
      <c r="I2814">
        <v>0</v>
      </c>
      <c r="J2814" t="s">
        <v>34</v>
      </c>
      <c r="K2814" t="s">
        <v>24</v>
      </c>
      <c r="L2814">
        <v>51</v>
      </c>
      <c r="M2814">
        <v>107.64400000000001</v>
      </c>
      <c r="N2814">
        <v>109.935108</v>
      </c>
      <c r="O2814">
        <v>38.494</v>
      </c>
      <c r="P2814">
        <v>43.587000000000003</v>
      </c>
      <c r="Q2814">
        <v>25.201000000000001</v>
      </c>
      <c r="R2814">
        <v>34</v>
      </c>
      <c r="S2814" t="s">
        <v>83</v>
      </c>
      <c r="T2814">
        <f>IF(TRIM(Table1[[#This Row],[PitStopLaps]])="",0,
LEN(Table1[[#This Row],[PitStopLaps]])-LEN(SUBSTITUTE(Table1[[#This Row],[PitStopLaps]],",",""))+1)</f>
        <v>1</v>
      </c>
      <c r="U2814">
        <f>Table1[[#This Row],[StartPosition]]-Table1[[#This Row],[FinishPosition]]</f>
        <v>3</v>
      </c>
    </row>
    <row r="2815" spans="1:21" x14ac:dyDescent="0.3">
      <c r="A2815">
        <v>2024</v>
      </c>
      <c r="B2815">
        <v>17</v>
      </c>
      <c r="C2815" t="s">
        <v>111</v>
      </c>
      <c r="D2815" t="s">
        <v>52</v>
      </c>
      <c r="E2815" t="s">
        <v>53</v>
      </c>
      <c r="F2815" t="s">
        <v>607</v>
      </c>
      <c r="G2815">
        <v>20</v>
      </c>
      <c r="H2815">
        <v>15</v>
      </c>
      <c r="I2815">
        <v>0</v>
      </c>
      <c r="J2815" t="s">
        <v>34</v>
      </c>
      <c r="K2815" t="s">
        <v>994</v>
      </c>
      <c r="L2815">
        <v>50</v>
      </c>
      <c r="M2815">
        <v>108.831</v>
      </c>
      <c r="N2815">
        <v>110.44857399999999</v>
      </c>
      <c r="O2815">
        <v>38.831000000000003</v>
      </c>
      <c r="P2815">
        <v>44.106000000000002</v>
      </c>
      <c r="Q2815">
        <v>25.393000000000001</v>
      </c>
      <c r="R2815">
        <v>49</v>
      </c>
      <c r="S2815" t="s">
        <v>83</v>
      </c>
      <c r="T2815">
        <f>IF(TRIM(Table1[[#This Row],[PitStopLaps]])="",0,
LEN(Table1[[#This Row],[PitStopLaps]])-LEN(SUBSTITUTE(Table1[[#This Row],[PitStopLaps]],",",""))+1)</f>
        <v>1</v>
      </c>
      <c r="U2815">
        <f>Table1[[#This Row],[StartPosition]]-Table1[[#This Row],[FinishPosition]]</f>
        <v>5</v>
      </c>
    </row>
    <row r="2816" spans="1:21" x14ac:dyDescent="0.3">
      <c r="A2816">
        <v>2024</v>
      </c>
      <c r="B2816">
        <v>17</v>
      </c>
      <c r="C2816" t="s">
        <v>111</v>
      </c>
      <c r="D2816" t="s">
        <v>43</v>
      </c>
      <c r="E2816" t="s">
        <v>44</v>
      </c>
      <c r="F2816" t="s">
        <v>1175</v>
      </c>
      <c r="G2816">
        <v>16</v>
      </c>
      <c r="H2816">
        <v>16</v>
      </c>
      <c r="I2816">
        <v>0</v>
      </c>
      <c r="J2816" t="s">
        <v>34</v>
      </c>
      <c r="K2816" t="s">
        <v>994</v>
      </c>
      <c r="L2816">
        <v>50</v>
      </c>
      <c r="M2816">
        <v>108.41800000000001</v>
      </c>
      <c r="N2816">
        <v>110.09439999999999</v>
      </c>
      <c r="O2816">
        <v>38.65</v>
      </c>
      <c r="P2816">
        <v>44.033000000000001</v>
      </c>
      <c r="Q2816">
        <v>25.411999999999999</v>
      </c>
      <c r="R2816">
        <v>11</v>
      </c>
      <c r="S2816" t="s">
        <v>83</v>
      </c>
      <c r="T2816">
        <f>IF(TRIM(Table1[[#This Row],[PitStopLaps]])="",0,
LEN(Table1[[#This Row],[PitStopLaps]])-LEN(SUBSTITUTE(Table1[[#This Row],[PitStopLaps]],",",""))+1)</f>
        <v>1</v>
      </c>
      <c r="U2816">
        <f>Table1[[#This Row],[StartPosition]]-Table1[[#This Row],[FinishPosition]]</f>
        <v>0</v>
      </c>
    </row>
    <row r="2817" spans="1:21" x14ac:dyDescent="0.3">
      <c r="A2817">
        <v>2024</v>
      </c>
      <c r="B2817">
        <v>17</v>
      </c>
      <c r="C2817" t="s">
        <v>111</v>
      </c>
      <c r="D2817" t="s">
        <v>49</v>
      </c>
      <c r="E2817" t="s">
        <v>50</v>
      </c>
      <c r="F2817" t="s">
        <v>33</v>
      </c>
      <c r="G2817">
        <v>4</v>
      </c>
      <c r="H2817">
        <v>17</v>
      </c>
      <c r="I2817">
        <v>0</v>
      </c>
      <c r="J2817" t="s">
        <v>34</v>
      </c>
      <c r="K2817" t="s">
        <v>179</v>
      </c>
      <c r="L2817">
        <v>50</v>
      </c>
      <c r="M2817">
        <v>107.01300000000001</v>
      </c>
      <c r="N2817">
        <v>108.022021</v>
      </c>
      <c r="O2817">
        <v>38.146000000000001</v>
      </c>
      <c r="P2817">
        <v>43.35</v>
      </c>
      <c r="Q2817">
        <v>25.181999999999999</v>
      </c>
      <c r="R2817">
        <v>13</v>
      </c>
      <c r="S2817" t="s">
        <v>83</v>
      </c>
      <c r="T2817">
        <f>IF(TRIM(Table1[[#This Row],[PitStopLaps]])="",0,
LEN(Table1[[#This Row],[PitStopLaps]])-LEN(SUBSTITUTE(Table1[[#This Row],[PitStopLaps]],",",""))+1)</f>
        <v>1</v>
      </c>
      <c r="U2817">
        <f>Table1[[#This Row],[StartPosition]]-Table1[[#This Row],[FinishPosition]]</f>
        <v>-13</v>
      </c>
    </row>
    <row r="2818" spans="1:21" x14ac:dyDescent="0.3">
      <c r="A2818">
        <v>2024</v>
      </c>
      <c r="B2818">
        <v>17</v>
      </c>
      <c r="C2818" t="s">
        <v>111</v>
      </c>
      <c r="D2818" t="s">
        <v>47</v>
      </c>
      <c r="E2818" t="s">
        <v>48</v>
      </c>
      <c r="F2818" t="s">
        <v>22</v>
      </c>
      <c r="G2818">
        <v>3</v>
      </c>
      <c r="H2818">
        <v>18</v>
      </c>
      <c r="I2818">
        <v>0</v>
      </c>
      <c r="J2818" t="s">
        <v>34</v>
      </c>
      <c r="K2818" t="s">
        <v>179</v>
      </c>
      <c r="L2818">
        <v>50</v>
      </c>
      <c r="M2818">
        <v>106.866</v>
      </c>
      <c r="N2818">
        <v>107.992739</v>
      </c>
      <c r="O2818">
        <v>38.106999999999999</v>
      </c>
      <c r="P2818">
        <v>43.232999999999997</v>
      </c>
      <c r="Q2818">
        <v>25.015000000000001</v>
      </c>
      <c r="R2818">
        <v>17</v>
      </c>
      <c r="S2818" t="s">
        <v>83</v>
      </c>
      <c r="T2818">
        <f>IF(TRIM(Table1[[#This Row],[PitStopLaps]])="",0,
LEN(Table1[[#This Row],[PitStopLaps]])-LEN(SUBSTITUTE(Table1[[#This Row],[PitStopLaps]],",",""))+1)</f>
        <v>1</v>
      </c>
      <c r="U2818">
        <f>Table1[[#This Row],[StartPosition]]-Table1[[#This Row],[FinishPosition]]</f>
        <v>-15</v>
      </c>
    </row>
    <row r="2819" spans="1:21" x14ac:dyDescent="0.3">
      <c r="A2819">
        <v>2024</v>
      </c>
      <c r="B2819">
        <v>17</v>
      </c>
      <c r="C2819" t="s">
        <v>111</v>
      </c>
      <c r="D2819" t="s">
        <v>58</v>
      </c>
      <c r="E2819" t="s">
        <v>59</v>
      </c>
      <c r="F2819" t="s">
        <v>603</v>
      </c>
      <c r="G2819">
        <v>13</v>
      </c>
      <c r="H2819">
        <v>19</v>
      </c>
      <c r="I2819">
        <v>0</v>
      </c>
      <c r="J2819" t="s">
        <v>34</v>
      </c>
      <c r="K2819" t="s">
        <v>179</v>
      </c>
      <c r="L2819">
        <v>45</v>
      </c>
      <c r="M2819">
        <v>108.148</v>
      </c>
      <c r="N2819">
        <v>109.4663</v>
      </c>
      <c r="O2819">
        <v>38.74</v>
      </c>
      <c r="P2819">
        <v>44.027999999999999</v>
      </c>
      <c r="Q2819">
        <v>25.193000000000001</v>
      </c>
      <c r="R2819" t="s">
        <v>1288</v>
      </c>
      <c r="S2819" t="s">
        <v>83</v>
      </c>
      <c r="T2819">
        <f>IF(TRIM(Table1[[#This Row],[PitStopLaps]])="",0,
LEN(Table1[[#This Row],[PitStopLaps]])-LEN(SUBSTITUTE(Table1[[#This Row],[PitStopLaps]],",",""))+1)</f>
        <v>3</v>
      </c>
      <c r="U2819">
        <f>Table1[[#This Row],[StartPosition]]-Table1[[#This Row],[FinishPosition]]</f>
        <v>-6</v>
      </c>
    </row>
    <row r="2820" spans="1:21" x14ac:dyDescent="0.3">
      <c r="A2820">
        <v>2024</v>
      </c>
      <c r="B2820">
        <v>17</v>
      </c>
      <c r="C2820" t="s">
        <v>111</v>
      </c>
      <c r="D2820" t="s">
        <v>601</v>
      </c>
      <c r="E2820" t="s">
        <v>602</v>
      </c>
      <c r="F2820" t="s">
        <v>1176</v>
      </c>
      <c r="G2820">
        <v>11</v>
      </c>
      <c r="H2820">
        <v>20</v>
      </c>
      <c r="I2820">
        <v>0</v>
      </c>
      <c r="J2820" t="s">
        <v>34</v>
      </c>
      <c r="K2820" t="s">
        <v>179</v>
      </c>
      <c r="L2820">
        <v>14</v>
      </c>
      <c r="M2820">
        <v>110.887</v>
      </c>
      <c r="N2820">
        <v>111.9859</v>
      </c>
      <c r="O2820">
        <v>39.777999999999999</v>
      </c>
      <c r="P2820">
        <v>45.268000000000001</v>
      </c>
      <c r="Q2820">
        <v>25.725999999999999</v>
      </c>
      <c r="R2820" t="s">
        <v>1289</v>
      </c>
      <c r="S2820" t="s">
        <v>83</v>
      </c>
      <c r="T2820">
        <f>IF(TRIM(Table1[[#This Row],[PitStopLaps]])="",0,
LEN(Table1[[#This Row],[PitStopLaps]])-LEN(SUBSTITUTE(Table1[[#This Row],[PitStopLaps]],",",""))+1)</f>
        <v>2</v>
      </c>
      <c r="U2820">
        <f>Table1[[#This Row],[StartPosition]]-Table1[[#This Row],[FinishPosition]]</f>
        <v>-9</v>
      </c>
    </row>
    <row r="2821" spans="1:21" x14ac:dyDescent="0.3">
      <c r="A2821">
        <v>2024</v>
      </c>
      <c r="B2821">
        <v>18</v>
      </c>
      <c r="C2821" t="s">
        <v>200</v>
      </c>
      <c r="D2821" t="s">
        <v>246</v>
      </c>
      <c r="E2821" t="s">
        <v>247</v>
      </c>
      <c r="F2821" t="s">
        <v>37</v>
      </c>
      <c r="G2821">
        <v>1</v>
      </c>
      <c r="H2821">
        <v>1</v>
      </c>
      <c r="I2821">
        <v>25</v>
      </c>
      <c r="J2821" t="s">
        <v>23</v>
      </c>
      <c r="K2821" t="s">
        <v>24</v>
      </c>
      <c r="L2821">
        <v>62</v>
      </c>
      <c r="M2821">
        <v>94.924999999999997</v>
      </c>
      <c r="N2821">
        <v>97.062134999999998</v>
      </c>
      <c r="O2821">
        <v>28.238</v>
      </c>
      <c r="P2821">
        <v>40.206000000000003</v>
      </c>
      <c r="Q2821">
        <v>26.481000000000002</v>
      </c>
      <c r="R2821">
        <v>30</v>
      </c>
      <c r="S2821" t="s">
        <v>83</v>
      </c>
      <c r="T2821">
        <f>IF(TRIM(Table1[[#This Row],[PitStopLaps]])="",0,
LEN(Table1[[#This Row],[PitStopLaps]])-LEN(SUBSTITUTE(Table1[[#This Row],[PitStopLaps]],",",""))+1)</f>
        <v>1</v>
      </c>
      <c r="U2821">
        <f>Table1[[#This Row],[StartPosition]]-Table1[[#This Row],[FinishPosition]]</f>
        <v>0</v>
      </c>
    </row>
    <row r="2822" spans="1:21" x14ac:dyDescent="0.3">
      <c r="A2822">
        <v>2024</v>
      </c>
      <c r="B2822">
        <v>18</v>
      </c>
      <c r="C2822" t="s">
        <v>200</v>
      </c>
      <c r="D2822" t="s">
        <v>38</v>
      </c>
      <c r="E2822" t="s">
        <v>39</v>
      </c>
      <c r="F2822" t="s">
        <v>33</v>
      </c>
      <c r="G2822">
        <v>2</v>
      </c>
      <c r="H2822">
        <v>2</v>
      </c>
      <c r="I2822">
        <v>18</v>
      </c>
      <c r="J2822" t="s">
        <v>23</v>
      </c>
      <c r="K2822" t="s">
        <v>24</v>
      </c>
      <c r="L2822">
        <v>62</v>
      </c>
      <c r="M2822">
        <v>95.966999999999999</v>
      </c>
      <c r="N2822">
        <v>97.376965999999996</v>
      </c>
      <c r="O2822">
        <v>28.352</v>
      </c>
      <c r="P2822">
        <v>40.694000000000003</v>
      </c>
      <c r="Q2822">
        <v>26.829000000000001</v>
      </c>
      <c r="R2822">
        <v>29</v>
      </c>
      <c r="S2822" t="s">
        <v>83</v>
      </c>
      <c r="T2822">
        <f>IF(TRIM(Table1[[#This Row],[PitStopLaps]])="",0,
LEN(Table1[[#This Row],[PitStopLaps]])-LEN(SUBSTITUTE(Table1[[#This Row],[PitStopLaps]],",",""))+1)</f>
        <v>1</v>
      </c>
      <c r="U2822">
        <f>Table1[[#This Row],[StartPosition]]-Table1[[#This Row],[FinishPosition]]</f>
        <v>0</v>
      </c>
    </row>
    <row r="2823" spans="1:21" x14ac:dyDescent="0.3">
      <c r="A2823">
        <v>2024</v>
      </c>
      <c r="B2823">
        <v>18</v>
      </c>
      <c r="C2823" t="s">
        <v>200</v>
      </c>
      <c r="D2823" t="s">
        <v>1000</v>
      </c>
      <c r="E2823" t="s">
        <v>1001</v>
      </c>
      <c r="F2823" t="s">
        <v>37</v>
      </c>
      <c r="G2823">
        <v>5</v>
      </c>
      <c r="H2823">
        <v>3</v>
      </c>
      <c r="I2823">
        <v>15</v>
      </c>
      <c r="J2823" t="s">
        <v>23</v>
      </c>
      <c r="K2823" t="s">
        <v>24</v>
      </c>
      <c r="L2823">
        <v>62</v>
      </c>
      <c r="M2823">
        <v>95.745000000000005</v>
      </c>
      <c r="N2823">
        <v>97.714915000000005</v>
      </c>
      <c r="O2823">
        <v>28.148</v>
      </c>
      <c r="P2823">
        <v>40.478000000000002</v>
      </c>
      <c r="Q2823">
        <v>26.663</v>
      </c>
      <c r="R2823">
        <v>38</v>
      </c>
      <c r="S2823" t="s">
        <v>83</v>
      </c>
      <c r="T2823">
        <f>IF(TRIM(Table1[[#This Row],[PitStopLaps]])="",0,
LEN(Table1[[#This Row],[PitStopLaps]])-LEN(SUBSTITUTE(Table1[[#This Row],[PitStopLaps]],",",""))+1)</f>
        <v>1</v>
      </c>
      <c r="U2823">
        <f>Table1[[#This Row],[StartPosition]]-Table1[[#This Row],[FinishPosition]]</f>
        <v>2</v>
      </c>
    </row>
    <row r="2824" spans="1:21" x14ac:dyDescent="0.3">
      <c r="A2824">
        <v>2024</v>
      </c>
      <c r="B2824">
        <v>18</v>
      </c>
      <c r="C2824" t="s">
        <v>200</v>
      </c>
      <c r="D2824" t="s">
        <v>252</v>
      </c>
      <c r="E2824" t="s">
        <v>253</v>
      </c>
      <c r="F2824" t="s">
        <v>28</v>
      </c>
      <c r="G2824">
        <v>4</v>
      </c>
      <c r="H2824">
        <v>4</v>
      </c>
      <c r="I2824">
        <v>12</v>
      </c>
      <c r="J2824" t="s">
        <v>34</v>
      </c>
      <c r="K2824" t="s">
        <v>24</v>
      </c>
      <c r="L2824">
        <v>62</v>
      </c>
      <c r="M2824">
        <v>97.046999999999997</v>
      </c>
      <c r="N2824">
        <v>98.064830000000001</v>
      </c>
      <c r="O2824">
        <v>28.611000000000001</v>
      </c>
      <c r="P2824">
        <v>41.103999999999999</v>
      </c>
      <c r="Q2824">
        <v>27.114999999999998</v>
      </c>
      <c r="R2824">
        <v>27</v>
      </c>
      <c r="S2824" t="s">
        <v>83</v>
      </c>
      <c r="T2824">
        <f>IF(TRIM(Table1[[#This Row],[PitStopLaps]])="",0,
LEN(Table1[[#This Row],[PitStopLaps]])-LEN(SUBSTITUTE(Table1[[#This Row],[PitStopLaps]],",",""))+1)</f>
        <v>1</v>
      </c>
      <c r="U2824">
        <f>Table1[[#This Row],[StartPosition]]-Table1[[#This Row],[FinishPosition]]</f>
        <v>0</v>
      </c>
    </row>
    <row r="2825" spans="1:21" x14ac:dyDescent="0.3">
      <c r="A2825">
        <v>2024</v>
      </c>
      <c r="B2825">
        <v>18</v>
      </c>
      <c r="C2825" t="s">
        <v>200</v>
      </c>
      <c r="D2825" t="s">
        <v>54</v>
      </c>
      <c r="E2825" t="s">
        <v>55</v>
      </c>
      <c r="F2825" t="s">
        <v>22</v>
      </c>
      <c r="G2825">
        <v>9</v>
      </c>
      <c r="H2825">
        <v>5</v>
      </c>
      <c r="I2825">
        <v>10</v>
      </c>
      <c r="J2825" t="s">
        <v>34</v>
      </c>
      <c r="K2825" t="s">
        <v>24</v>
      </c>
      <c r="L2825">
        <v>62</v>
      </c>
      <c r="M2825">
        <v>95.370999999999995</v>
      </c>
      <c r="N2825">
        <v>98.028118000000006</v>
      </c>
      <c r="O2825">
        <v>28.213999999999999</v>
      </c>
      <c r="P2825">
        <v>40.369</v>
      </c>
      <c r="Q2825">
        <v>26.788</v>
      </c>
      <c r="R2825">
        <v>36</v>
      </c>
      <c r="S2825" t="s">
        <v>83</v>
      </c>
      <c r="T2825">
        <f>IF(TRIM(Table1[[#This Row],[PitStopLaps]])="",0,
LEN(Table1[[#This Row],[PitStopLaps]])-LEN(SUBSTITUTE(Table1[[#This Row],[PitStopLaps]],",",""))+1)</f>
        <v>1</v>
      </c>
      <c r="U2825">
        <f>Table1[[#This Row],[StartPosition]]-Table1[[#This Row],[FinishPosition]]</f>
        <v>4</v>
      </c>
    </row>
    <row r="2826" spans="1:21" x14ac:dyDescent="0.3">
      <c r="A2826">
        <v>2024</v>
      </c>
      <c r="B2826">
        <v>18</v>
      </c>
      <c r="C2826" t="s">
        <v>200</v>
      </c>
      <c r="D2826" t="s">
        <v>26</v>
      </c>
      <c r="E2826" t="s">
        <v>27</v>
      </c>
      <c r="F2826" t="s">
        <v>28</v>
      </c>
      <c r="G2826">
        <v>3</v>
      </c>
      <c r="H2826">
        <v>6</v>
      </c>
      <c r="I2826">
        <v>8</v>
      </c>
      <c r="J2826" t="s">
        <v>34</v>
      </c>
      <c r="K2826" t="s">
        <v>24</v>
      </c>
      <c r="L2826">
        <v>62</v>
      </c>
      <c r="M2826">
        <v>97.393000000000001</v>
      </c>
      <c r="N2826">
        <v>98.466898</v>
      </c>
      <c r="O2826">
        <v>28.867999999999999</v>
      </c>
      <c r="P2826">
        <v>41.256999999999998</v>
      </c>
      <c r="Q2826">
        <v>27.068999999999999</v>
      </c>
      <c r="R2826">
        <v>17</v>
      </c>
      <c r="S2826" t="s">
        <v>83</v>
      </c>
      <c r="T2826">
        <f>IF(TRIM(Table1[[#This Row],[PitStopLaps]])="",0,
LEN(Table1[[#This Row],[PitStopLaps]])-LEN(SUBSTITUTE(Table1[[#This Row],[PitStopLaps]],",",""))+1)</f>
        <v>1</v>
      </c>
      <c r="U2826">
        <f>Table1[[#This Row],[StartPosition]]-Table1[[#This Row],[FinishPosition]]</f>
        <v>-3</v>
      </c>
    </row>
    <row r="2827" spans="1:21" x14ac:dyDescent="0.3">
      <c r="A2827">
        <v>2024</v>
      </c>
      <c r="B2827">
        <v>18</v>
      </c>
      <c r="C2827" t="s">
        <v>200</v>
      </c>
      <c r="D2827" t="s">
        <v>47</v>
      </c>
      <c r="E2827" t="s">
        <v>48</v>
      </c>
      <c r="F2827" t="s">
        <v>22</v>
      </c>
      <c r="G2827">
        <v>10</v>
      </c>
      <c r="H2827">
        <v>7</v>
      </c>
      <c r="I2827">
        <v>6</v>
      </c>
      <c r="J2827" t="s">
        <v>34</v>
      </c>
      <c r="K2827" t="s">
        <v>24</v>
      </c>
      <c r="L2827">
        <v>62</v>
      </c>
      <c r="M2827">
        <v>96.561000000000007</v>
      </c>
      <c r="N2827">
        <v>98.560507999999999</v>
      </c>
      <c r="O2827">
        <v>28.706</v>
      </c>
      <c r="P2827">
        <v>40.737000000000002</v>
      </c>
      <c r="Q2827">
        <v>27.113</v>
      </c>
      <c r="R2827">
        <v>13</v>
      </c>
      <c r="S2827" t="s">
        <v>83</v>
      </c>
      <c r="T2827">
        <f>IF(TRIM(Table1[[#This Row],[PitStopLaps]])="",0,
LEN(Table1[[#This Row],[PitStopLaps]])-LEN(SUBSTITUTE(Table1[[#This Row],[PitStopLaps]],",",""))+1)</f>
        <v>1</v>
      </c>
      <c r="U2827">
        <f>Table1[[#This Row],[StartPosition]]-Table1[[#This Row],[FinishPosition]]</f>
        <v>3</v>
      </c>
    </row>
    <row r="2828" spans="1:21" x14ac:dyDescent="0.3">
      <c r="A2828">
        <v>2024</v>
      </c>
      <c r="B2828">
        <v>18</v>
      </c>
      <c r="C2828" t="s">
        <v>200</v>
      </c>
      <c r="D2828" t="s">
        <v>35</v>
      </c>
      <c r="E2828" t="s">
        <v>36</v>
      </c>
      <c r="F2828" t="s">
        <v>603</v>
      </c>
      <c r="G2828">
        <v>7</v>
      </c>
      <c r="H2828">
        <v>8</v>
      </c>
      <c r="I2828">
        <v>4</v>
      </c>
      <c r="J2828" t="s">
        <v>34</v>
      </c>
      <c r="K2828" t="s">
        <v>994</v>
      </c>
      <c r="L2828">
        <v>61</v>
      </c>
      <c r="M2828">
        <v>97.741</v>
      </c>
      <c r="N2828">
        <v>98.614913000000001</v>
      </c>
      <c r="O2828">
        <v>28.771999999999998</v>
      </c>
      <c r="P2828">
        <v>41.646000000000001</v>
      </c>
      <c r="Q2828">
        <v>27.058</v>
      </c>
      <c r="R2828">
        <v>25</v>
      </c>
      <c r="S2828" t="s">
        <v>83</v>
      </c>
      <c r="T2828">
        <f>IF(TRIM(Table1[[#This Row],[PitStopLaps]])="",0,
LEN(Table1[[#This Row],[PitStopLaps]])-LEN(SUBSTITUTE(Table1[[#This Row],[PitStopLaps]],",",""))+1)</f>
        <v>1</v>
      </c>
      <c r="U2828">
        <f>Table1[[#This Row],[StartPosition]]-Table1[[#This Row],[FinishPosition]]</f>
        <v>-1</v>
      </c>
    </row>
    <row r="2829" spans="1:21" x14ac:dyDescent="0.3">
      <c r="A2829">
        <v>2024</v>
      </c>
      <c r="B2829">
        <v>18</v>
      </c>
      <c r="C2829" t="s">
        <v>200</v>
      </c>
      <c r="D2829" t="s">
        <v>40</v>
      </c>
      <c r="E2829" t="s">
        <v>41</v>
      </c>
      <c r="F2829" t="s">
        <v>69</v>
      </c>
      <c r="G2829">
        <v>6</v>
      </c>
      <c r="H2829">
        <v>9</v>
      </c>
      <c r="I2829">
        <v>2</v>
      </c>
      <c r="J2829" t="s">
        <v>34</v>
      </c>
      <c r="K2829" t="s">
        <v>994</v>
      </c>
      <c r="L2829">
        <v>61</v>
      </c>
      <c r="M2829">
        <v>97.47</v>
      </c>
      <c r="N2829">
        <v>98.617188999999996</v>
      </c>
      <c r="O2829">
        <v>28.664000000000001</v>
      </c>
      <c r="P2829">
        <v>41.341000000000001</v>
      </c>
      <c r="Q2829">
        <v>27.146000000000001</v>
      </c>
      <c r="R2829">
        <v>29</v>
      </c>
      <c r="S2829" t="s">
        <v>83</v>
      </c>
      <c r="T2829">
        <f>IF(TRIM(Table1[[#This Row],[PitStopLaps]])="",0,
LEN(Table1[[#This Row],[PitStopLaps]])-LEN(SUBSTITUTE(Table1[[#This Row],[PitStopLaps]],",",""))+1)</f>
        <v>1</v>
      </c>
      <c r="U2829">
        <f>Table1[[#This Row],[StartPosition]]-Table1[[#This Row],[FinishPosition]]</f>
        <v>-3</v>
      </c>
    </row>
    <row r="2830" spans="1:21" x14ac:dyDescent="0.3">
      <c r="A2830">
        <v>2024</v>
      </c>
      <c r="B2830">
        <v>18</v>
      </c>
      <c r="C2830" t="s">
        <v>200</v>
      </c>
      <c r="D2830" t="s">
        <v>49</v>
      </c>
      <c r="E2830" t="s">
        <v>50</v>
      </c>
      <c r="F2830" t="s">
        <v>33</v>
      </c>
      <c r="G2830">
        <v>13</v>
      </c>
      <c r="H2830">
        <v>10</v>
      </c>
      <c r="I2830">
        <v>1</v>
      </c>
      <c r="J2830" t="s">
        <v>34</v>
      </c>
      <c r="K2830" t="s">
        <v>994</v>
      </c>
      <c r="L2830">
        <v>61</v>
      </c>
      <c r="M2830">
        <v>97.477000000000004</v>
      </c>
      <c r="N2830">
        <v>98.696395999999993</v>
      </c>
      <c r="O2830">
        <v>28.59</v>
      </c>
      <c r="P2830">
        <v>41.41</v>
      </c>
      <c r="Q2830">
        <v>27.292999999999999</v>
      </c>
      <c r="R2830">
        <v>28</v>
      </c>
      <c r="S2830" t="s">
        <v>83</v>
      </c>
      <c r="T2830">
        <f>IF(TRIM(Table1[[#This Row],[PitStopLaps]])="",0,
LEN(Table1[[#This Row],[PitStopLaps]])-LEN(SUBSTITUTE(Table1[[#This Row],[PitStopLaps]],",",""))+1)</f>
        <v>1</v>
      </c>
      <c r="U2830">
        <f>Table1[[#This Row],[StartPosition]]-Table1[[#This Row],[FinishPosition]]</f>
        <v>3</v>
      </c>
    </row>
    <row r="2831" spans="1:21" x14ac:dyDescent="0.3">
      <c r="A2831">
        <v>2024</v>
      </c>
      <c r="B2831">
        <v>18</v>
      </c>
      <c r="C2831" t="s">
        <v>200</v>
      </c>
      <c r="D2831" t="s">
        <v>1283</v>
      </c>
      <c r="E2831" t="s">
        <v>1284</v>
      </c>
      <c r="F2831" t="s">
        <v>60</v>
      </c>
      <c r="G2831">
        <v>12</v>
      </c>
      <c r="H2831">
        <v>11</v>
      </c>
      <c r="I2831">
        <v>0</v>
      </c>
      <c r="J2831" t="s">
        <v>34</v>
      </c>
      <c r="K2831" t="s">
        <v>994</v>
      </c>
      <c r="L2831">
        <v>61</v>
      </c>
      <c r="M2831">
        <v>97.262</v>
      </c>
      <c r="N2831">
        <v>98.641913000000002</v>
      </c>
      <c r="O2831">
        <v>28.707999999999998</v>
      </c>
      <c r="P2831">
        <v>41.128</v>
      </c>
      <c r="Q2831">
        <v>27.167000000000002</v>
      </c>
      <c r="R2831">
        <v>29</v>
      </c>
      <c r="S2831" t="s">
        <v>83</v>
      </c>
      <c r="T2831">
        <f>IF(TRIM(Table1[[#This Row],[PitStopLaps]])="",0,
LEN(Table1[[#This Row],[PitStopLaps]])-LEN(SUBSTITUTE(Table1[[#This Row],[PitStopLaps]],",",""))+1)</f>
        <v>1</v>
      </c>
      <c r="U2831">
        <f>Table1[[#This Row],[StartPosition]]-Table1[[#This Row],[FinishPosition]]</f>
        <v>1</v>
      </c>
    </row>
    <row r="2832" spans="1:21" x14ac:dyDescent="0.3">
      <c r="A2832">
        <v>2024</v>
      </c>
      <c r="B2832">
        <v>18</v>
      </c>
      <c r="C2832" t="s">
        <v>200</v>
      </c>
      <c r="D2832" t="s">
        <v>601</v>
      </c>
      <c r="E2832" t="s">
        <v>602</v>
      </c>
      <c r="F2832" t="s">
        <v>1176</v>
      </c>
      <c r="G2832">
        <v>8</v>
      </c>
      <c r="H2832">
        <v>12</v>
      </c>
      <c r="I2832">
        <v>0</v>
      </c>
      <c r="J2832" t="s">
        <v>34</v>
      </c>
      <c r="K2832" t="s">
        <v>994</v>
      </c>
      <c r="L2832">
        <v>61</v>
      </c>
      <c r="M2832">
        <v>96.393000000000001</v>
      </c>
      <c r="N2832">
        <v>98.679275000000004</v>
      </c>
      <c r="O2832">
        <v>28.558</v>
      </c>
      <c r="P2832">
        <v>40.85</v>
      </c>
      <c r="Q2832">
        <v>26.984999999999999</v>
      </c>
      <c r="R2832">
        <v>33</v>
      </c>
      <c r="S2832" t="s">
        <v>83</v>
      </c>
      <c r="T2832">
        <f>IF(TRIM(Table1[[#This Row],[PitStopLaps]])="",0,
LEN(Table1[[#This Row],[PitStopLaps]])-LEN(SUBSTITUTE(Table1[[#This Row],[PitStopLaps]],",",""))+1)</f>
        <v>1</v>
      </c>
      <c r="U2832">
        <f>Table1[[#This Row],[StartPosition]]-Table1[[#This Row],[FinishPosition]]</f>
        <v>-4</v>
      </c>
    </row>
    <row r="2833" spans="1:21" x14ac:dyDescent="0.3">
      <c r="A2833">
        <v>2024</v>
      </c>
      <c r="B2833">
        <v>18</v>
      </c>
      <c r="C2833" t="s">
        <v>200</v>
      </c>
      <c r="D2833" t="s">
        <v>52</v>
      </c>
      <c r="E2833" t="s">
        <v>53</v>
      </c>
      <c r="F2833" t="s">
        <v>607</v>
      </c>
      <c r="G2833">
        <v>15</v>
      </c>
      <c r="H2833">
        <v>13</v>
      </c>
      <c r="I2833">
        <v>0</v>
      </c>
      <c r="J2833" t="s">
        <v>34</v>
      </c>
      <c r="K2833" t="s">
        <v>994</v>
      </c>
      <c r="L2833">
        <v>61</v>
      </c>
      <c r="M2833">
        <v>97.963999999999999</v>
      </c>
      <c r="N2833">
        <v>99.241016999999999</v>
      </c>
      <c r="O2833">
        <v>28.757999999999999</v>
      </c>
      <c r="P2833">
        <v>41.478000000000002</v>
      </c>
      <c r="Q2833">
        <v>27.419</v>
      </c>
      <c r="R2833">
        <v>29</v>
      </c>
      <c r="S2833" t="s">
        <v>83</v>
      </c>
      <c r="T2833">
        <f>IF(TRIM(Table1[[#This Row],[PitStopLaps]])="",0,
LEN(Table1[[#This Row],[PitStopLaps]])-LEN(SUBSTITUTE(Table1[[#This Row],[PitStopLaps]],",",""))+1)</f>
        <v>1</v>
      </c>
      <c r="U2833">
        <f>Table1[[#This Row],[StartPosition]]-Table1[[#This Row],[FinishPosition]]</f>
        <v>2</v>
      </c>
    </row>
    <row r="2834" spans="1:21" x14ac:dyDescent="0.3">
      <c r="A2834">
        <v>2024</v>
      </c>
      <c r="B2834">
        <v>18</v>
      </c>
      <c r="C2834" t="s">
        <v>200</v>
      </c>
      <c r="D2834" t="s">
        <v>58</v>
      </c>
      <c r="E2834" t="s">
        <v>59</v>
      </c>
      <c r="F2834" t="s">
        <v>603</v>
      </c>
      <c r="G2834">
        <v>17</v>
      </c>
      <c r="H2834">
        <v>14</v>
      </c>
      <c r="I2834">
        <v>0</v>
      </c>
      <c r="J2834" t="s">
        <v>34</v>
      </c>
      <c r="K2834" t="s">
        <v>994</v>
      </c>
      <c r="L2834">
        <v>61</v>
      </c>
      <c r="M2834">
        <v>97.850999999999999</v>
      </c>
      <c r="N2834">
        <v>99.281086000000002</v>
      </c>
      <c r="O2834">
        <v>28.768999999999998</v>
      </c>
      <c r="P2834">
        <v>41.445999999999998</v>
      </c>
      <c r="Q2834">
        <v>27.164999999999999</v>
      </c>
      <c r="R2834">
        <v>26</v>
      </c>
      <c r="S2834" t="s">
        <v>83</v>
      </c>
      <c r="T2834">
        <f>IF(TRIM(Table1[[#This Row],[PitStopLaps]])="",0,
LEN(Table1[[#This Row],[PitStopLaps]])-LEN(SUBSTITUTE(Table1[[#This Row],[PitStopLaps]],",",""))+1)</f>
        <v>1</v>
      </c>
      <c r="U2834">
        <f>Table1[[#This Row],[StartPosition]]-Table1[[#This Row],[FinishPosition]]</f>
        <v>3</v>
      </c>
    </row>
    <row r="2835" spans="1:21" x14ac:dyDescent="0.3">
      <c r="A2835">
        <v>2024</v>
      </c>
      <c r="B2835">
        <v>18</v>
      </c>
      <c r="C2835" t="s">
        <v>200</v>
      </c>
      <c r="D2835" t="s">
        <v>794</v>
      </c>
      <c r="E2835" t="s">
        <v>795</v>
      </c>
      <c r="F2835" t="s">
        <v>1175</v>
      </c>
      <c r="G2835">
        <v>20</v>
      </c>
      <c r="H2835">
        <v>15</v>
      </c>
      <c r="I2835">
        <v>0</v>
      </c>
      <c r="J2835" t="s">
        <v>34</v>
      </c>
      <c r="K2835" t="s">
        <v>994</v>
      </c>
      <c r="L2835">
        <v>61</v>
      </c>
      <c r="M2835">
        <v>97.460999999999999</v>
      </c>
      <c r="N2835">
        <v>99.440172000000004</v>
      </c>
      <c r="O2835">
        <v>28.648</v>
      </c>
      <c r="P2835">
        <v>41.189</v>
      </c>
      <c r="Q2835">
        <v>27.324999999999999</v>
      </c>
      <c r="R2835">
        <v>34</v>
      </c>
      <c r="S2835" t="s">
        <v>83</v>
      </c>
      <c r="T2835">
        <f>IF(TRIM(Table1[[#This Row],[PitStopLaps]])="",0,
LEN(Table1[[#This Row],[PitStopLaps]])-LEN(SUBSTITUTE(Table1[[#This Row],[PitStopLaps]],",",""))+1)</f>
        <v>1</v>
      </c>
      <c r="U2835">
        <f>Table1[[#This Row],[StartPosition]]-Table1[[#This Row],[FinishPosition]]</f>
        <v>5</v>
      </c>
    </row>
    <row r="2836" spans="1:21" x14ac:dyDescent="0.3">
      <c r="A2836">
        <v>2024</v>
      </c>
      <c r="B2836">
        <v>18</v>
      </c>
      <c r="C2836" t="s">
        <v>200</v>
      </c>
      <c r="D2836" t="s">
        <v>43</v>
      </c>
      <c r="E2836" t="s">
        <v>44</v>
      </c>
      <c r="F2836" t="s">
        <v>1175</v>
      </c>
      <c r="G2836">
        <v>19</v>
      </c>
      <c r="H2836">
        <v>16</v>
      </c>
      <c r="I2836">
        <v>0</v>
      </c>
      <c r="J2836" t="s">
        <v>34</v>
      </c>
      <c r="K2836" t="s">
        <v>994</v>
      </c>
      <c r="L2836">
        <v>61</v>
      </c>
      <c r="M2836">
        <v>97.524000000000001</v>
      </c>
      <c r="N2836">
        <v>99.462500000000006</v>
      </c>
      <c r="O2836">
        <v>28.631</v>
      </c>
      <c r="P2836">
        <v>41.54</v>
      </c>
      <c r="Q2836">
        <v>27.187000000000001</v>
      </c>
      <c r="R2836">
        <v>33</v>
      </c>
      <c r="S2836" t="s">
        <v>83</v>
      </c>
      <c r="T2836">
        <f>IF(TRIM(Table1[[#This Row],[PitStopLaps]])="",0,
LEN(Table1[[#This Row],[PitStopLaps]])-LEN(SUBSTITUTE(Table1[[#This Row],[PitStopLaps]],",",""))+1)</f>
        <v>1</v>
      </c>
      <c r="U2836">
        <f>Table1[[#This Row],[StartPosition]]-Table1[[#This Row],[FinishPosition]]</f>
        <v>3</v>
      </c>
    </row>
    <row r="2837" spans="1:21" x14ac:dyDescent="0.3">
      <c r="A2837">
        <v>2024</v>
      </c>
      <c r="B2837">
        <v>18</v>
      </c>
      <c r="C2837" t="s">
        <v>200</v>
      </c>
      <c r="D2837" t="s">
        <v>73</v>
      </c>
      <c r="E2837" t="s">
        <v>74</v>
      </c>
      <c r="F2837" t="s">
        <v>607</v>
      </c>
      <c r="G2837">
        <v>18</v>
      </c>
      <c r="H2837">
        <v>17</v>
      </c>
      <c r="I2837">
        <v>0</v>
      </c>
      <c r="J2837" t="s">
        <v>34</v>
      </c>
      <c r="K2837" t="s">
        <v>994</v>
      </c>
      <c r="L2837">
        <v>61</v>
      </c>
      <c r="M2837">
        <v>96.927000000000007</v>
      </c>
      <c r="N2837">
        <v>99.409327000000005</v>
      </c>
      <c r="O2837">
        <v>28.672999999999998</v>
      </c>
      <c r="P2837">
        <v>41.171999999999997</v>
      </c>
      <c r="Q2837">
        <v>26.981000000000002</v>
      </c>
      <c r="R2837">
        <v>37</v>
      </c>
      <c r="S2837" t="s">
        <v>83</v>
      </c>
      <c r="T2837">
        <f>IF(TRIM(Table1[[#This Row],[PitStopLaps]])="",0,
LEN(Table1[[#This Row],[PitStopLaps]])-LEN(SUBSTITUTE(Table1[[#This Row],[PitStopLaps]],",",""))+1)</f>
        <v>1</v>
      </c>
      <c r="U2837">
        <f>Table1[[#This Row],[StartPosition]]-Table1[[#This Row],[FinishPosition]]</f>
        <v>1</v>
      </c>
    </row>
    <row r="2838" spans="1:21" x14ac:dyDescent="0.3">
      <c r="A2838">
        <v>2024</v>
      </c>
      <c r="B2838">
        <v>18</v>
      </c>
      <c r="C2838" t="s">
        <v>200</v>
      </c>
      <c r="D2838" t="s">
        <v>31</v>
      </c>
      <c r="E2838" t="s">
        <v>32</v>
      </c>
      <c r="F2838" t="s">
        <v>1176</v>
      </c>
      <c r="G2838">
        <v>16</v>
      </c>
      <c r="H2838">
        <v>18</v>
      </c>
      <c r="I2838">
        <v>0</v>
      </c>
      <c r="J2838" t="s">
        <v>34</v>
      </c>
      <c r="K2838" t="s">
        <v>994</v>
      </c>
      <c r="L2838">
        <v>61</v>
      </c>
      <c r="M2838">
        <v>94.486000000000004</v>
      </c>
      <c r="N2838">
        <v>99.055961999999994</v>
      </c>
      <c r="O2838">
        <v>28.091000000000001</v>
      </c>
      <c r="P2838">
        <v>39.948</v>
      </c>
      <c r="Q2838">
        <v>26.446999999999999</v>
      </c>
      <c r="R2838" t="s">
        <v>1290</v>
      </c>
      <c r="S2838" t="s">
        <v>83</v>
      </c>
      <c r="T2838">
        <f>IF(TRIM(Table1[[#This Row],[PitStopLaps]])="",0,
LEN(Table1[[#This Row],[PitStopLaps]])-LEN(SUBSTITUTE(Table1[[#This Row],[PitStopLaps]],",",""))+1)</f>
        <v>3</v>
      </c>
      <c r="U2838">
        <f>Table1[[#This Row],[StartPosition]]-Table1[[#This Row],[FinishPosition]]</f>
        <v>-2</v>
      </c>
    </row>
    <row r="2839" spans="1:21" x14ac:dyDescent="0.3">
      <c r="A2839">
        <v>2024</v>
      </c>
      <c r="B2839">
        <v>18</v>
      </c>
      <c r="C2839" t="s">
        <v>200</v>
      </c>
      <c r="D2839" t="s">
        <v>71</v>
      </c>
      <c r="E2839" t="s">
        <v>72</v>
      </c>
      <c r="F2839" t="s">
        <v>69</v>
      </c>
      <c r="G2839">
        <v>14</v>
      </c>
      <c r="H2839">
        <v>19</v>
      </c>
      <c r="I2839">
        <v>0</v>
      </c>
      <c r="J2839" t="s">
        <v>34</v>
      </c>
      <c r="K2839" t="s">
        <v>179</v>
      </c>
      <c r="L2839">
        <v>57</v>
      </c>
      <c r="M2839">
        <v>94.754000000000005</v>
      </c>
      <c r="N2839">
        <v>99.179587999999995</v>
      </c>
      <c r="O2839">
        <v>28.236999999999998</v>
      </c>
      <c r="P2839">
        <v>40.058</v>
      </c>
      <c r="Q2839">
        <v>26.459</v>
      </c>
      <c r="R2839" t="s">
        <v>1291</v>
      </c>
      <c r="S2839" t="s">
        <v>83</v>
      </c>
      <c r="T2839">
        <f>IF(TRIM(Table1[[#This Row],[PitStopLaps]])="",0,
LEN(Table1[[#This Row],[PitStopLaps]])-LEN(SUBSTITUTE(Table1[[#This Row],[PitStopLaps]],",",""))+1)</f>
        <v>3</v>
      </c>
      <c r="U2839">
        <f>Table1[[#This Row],[StartPosition]]-Table1[[#This Row],[FinishPosition]]</f>
        <v>-5</v>
      </c>
    </row>
    <row r="2840" spans="1:21" x14ac:dyDescent="0.3">
      <c r="A2840">
        <v>2024</v>
      </c>
      <c r="B2840">
        <v>18</v>
      </c>
      <c r="C2840" t="s">
        <v>200</v>
      </c>
      <c r="D2840" t="s">
        <v>248</v>
      </c>
      <c r="E2840" t="s">
        <v>249</v>
      </c>
      <c r="F2840" t="s">
        <v>60</v>
      </c>
      <c r="G2840">
        <v>11</v>
      </c>
      <c r="H2840">
        <v>20</v>
      </c>
      <c r="I2840">
        <v>0</v>
      </c>
      <c r="J2840" t="s">
        <v>34</v>
      </c>
      <c r="K2840" t="s">
        <v>179</v>
      </c>
      <c r="L2840">
        <v>15</v>
      </c>
      <c r="M2840">
        <v>96.888000000000005</v>
      </c>
      <c r="N2840">
        <v>99.269272000000001</v>
      </c>
      <c r="O2840">
        <v>28.928000000000001</v>
      </c>
      <c r="P2840">
        <v>40.665999999999997</v>
      </c>
      <c r="Q2840">
        <v>27.294</v>
      </c>
      <c r="R2840" t="s">
        <v>1292</v>
      </c>
      <c r="S2840" t="s">
        <v>83</v>
      </c>
      <c r="T2840">
        <f>IF(TRIM(Table1[[#This Row],[PitStopLaps]])="",0,
LEN(Table1[[#This Row],[PitStopLaps]])-LEN(SUBSTITUTE(Table1[[#This Row],[PitStopLaps]],",",""))+1)</f>
        <v>2</v>
      </c>
      <c r="U2840">
        <f>Table1[[#This Row],[StartPosition]]-Table1[[#This Row],[FinishPosition]]</f>
        <v>-9</v>
      </c>
    </row>
    <row r="2841" spans="1:21" x14ac:dyDescent="0.3">
      <c r="A2841">
        <v>2024</v>
      </c>
      <c r="B2841">
        <v>19</v>
      </c>
      <c r="C2841" t="s">
        <v>214</v>
      </c>
      <c r="D2841" t="s">
        <v>54</v>
      </c>
      <c r="E2841" t="s">
        <v>55</v>
      </c>
      <c r="F2841" t="s">
        <v>22</v>
      </c>
      <c r="G2841">
        <v>4</v>
      </c>
      <c r="H2841">
        <v>1</v>
      </c>
      <c r="I2841">
        <v>25</v>
      </c>
      <c r="J2841" t="s">
        <v>23</v>
      </c>
      <c r="K2841" t="s">
        <v>24</v>
      </c>
      <c r="L2841">
        <v>56</v>
      </c>
      <c r="M2841">
        <v>97.834000000000003</v>
      </c>
      <c r="N2841">
        <v>98.941140000000004</v>
      </c>
      <c r="O2841">
        <v>26.007000000000001</v>
      </c>
      <c r="P2841">
        <v>39.020000000000003</v>
      </c>
      <c r="Q2841">
        <v>32.244999999999997</v>
      </c>
      <c r="R2841">
        <v>26</v>
      </c>
      <c r="S2841" t="s">
        <v>83</v>
      </c>
      <c r="T2841">
        <f>IF(TRIM(Table1[[#This Row],[PitStopLaps]])="",0,
LEN(Table1[[#This Row],[PitStopLaps]])-LEN(SUBSTITUTE(Table1[[#This Row],[PitStopLaps]],",",""))+1)</f>
        <v>1</v>
      </c>
      <c r="U2841">
        <f>Table1[[#This Row],[StartPosition]]-Table1[[#This Row],[FinishPosition]]</f>
        <v>3</v>
      </c>
    </row>
    <row r="2842" spans="1:21" x14ac:dyDescent="0.3">
      <c r="A2842">
        <v>2024</v>
      </c>
      <c r="B2842">
        <v>19</v>
      </c>
      <c r="C2842" t="s">
        <v>214</v>
      </c>
      <c r="D2842" t="s">
        <v>47</v>
      </c>
      <c r="E2842" t="s">
        <v>48</v>
      </c>
      <c r="F2842" t="s">
        <v>22</v>
      </c>
      <c r="G2842">
        <v>3</v>
      </c>
      <c r="H2842">
        <v>2</v>
      </c>
      <c r="I2842">
        <v>18</v>
      </c>
      <c r="J2842" t="s">
        <v>23</v>
      </c>
      <c r="K2842" t="s">
        <v>24</v>
      </c>
      <c r="L2842">
        <v>56</v>
      </c>
      <c r="M2842">
        <v>97.763000000000005</v>
      </c>
      <c r="N2842">
        <v>99.108080000000001</v>
      </c>
      <c r="O2842">
        <v>26.102</v>
      </c>
      <c r="P2842">
        <v>39.097000000000001</v>
      </c>
      <c r="Q2842">
        <v>32.296999999999997</v>
      </c>
      <c r="R2842">
        <v>21</v>
      </c>
      <c r="S2842" t="s">
        <v>83</v>
      </c>
      <c r="T2842">
        <f>IF(TRIM(Table1[[#This Row],[PitStopLaps]])="",0,
LEN(Table1[[#This Row],[PitStopLaps]])-LEN(SUBSTITUTE(Table1[[#This Row],[PitStopLaps]],",",""))+1)</f>
        <v>1</v>
      </c>
      <c r="U2842">
        <f>Table1[[#This Row],[StartPosition]]-Table1[[#This Row],[FinishPosition]]</f>
        <v>1</v>
      </c>
    </row>
    <row r="2843" spans="1:21" x14ac:dyDescent="0.3">
      <c r="A2843">
        <v>2024</v>
      </c>
      <c r="B2843">
        <v>19</v>
      </c>
      <c r="C2843" t="s">
        <v>214</v>
      </c>
      <c r="D2843" t="s">
        <v>38</v>
      </c>
      <c r="E2843" t="s">
        <v>39</v>
      </c>
      <c r="F2843" t="s">
        <v>33</v>
      </c>
      <c r="G2843">
        <v>2</v>
      </c>
      <c r="H2843">
        <v>3</v>
      </c>
      <c r="I2843">
        <v>15</v>
      </c>
      <c r="J2843" t="s">
        <v>23</v>
      </c>
      <c r="K2843" t="s">
        <v>24</v>
      </c>
      <c r="L2843">
        <v>56</v>
      </c>
      <c r="M2843">
        <v>98.117000000000004</v>
      </c>
      <c r="N2843">
        <v>99.301779999999994</v>
      </c>
      <c r="O2843">
        <v>26.053000000000001</v>
      </c>
      <c r="P2843">
        <v>39.359000000000002</v>
      </c>
      <c r="Q2843">
        <v>32.353000000000002</v>
      </c>
      <c r="R2843">
        <v>25</v>
      </c>
      <c r="S2843" t="s">
        <v>83</v>
      </c>
      <c r="T2843">
        <f>IF(TRIM(Table1[[#This Row],[PitStopLaps]])="",0,
LEN(Table1[[#This Row],[PitStopLaps]])-LEN(SUBSTITUTE(Table1[[#This Row],[PitStopLaps]],",",""))+1)</f>
        <v>1</v>
      </c>
      <c r="U2843">
        <f>Table1[[#This Row],[StartPosition]]-Table1[[#This Row],[FinishPosition]]</f>
        <v>-1</v>
      </c>
    </row>
    <row r="2844" spans="1:21" x14ac:dyDescent="0.3">
      <c r="A2844">
        <v>2024</v>
      </c>
      <c r="B2844">
        <v>19</v>
      </c>
      <c r="C2844" t="s">
        <v>214</v>
      </c>
      <c r="D2844" t="s">
        <v>246</v>
      </c>
      <c r="E2844" t="s">
        <v>247</v>
      </c>
      <c r="F2844" t="s">
        <v>37</v>
      </c>
      <c r="G2844">
        <v>1</v>
      </c>
      <c r="H2844">
        <v>4</v>
      </c>
      <c r="I2844">
        <v>12</v>
      </c>
      <c r="J2844" t="s">
        <v>34</v>
      </c>
      <c r="K2844" t="s">
        <v>24</v>
      </c>
      <c r="L2844">
        <v>56</v>
      </c>
      <c r="M2844">
        <v>97.679000000000002</v>
      </c>
      <c r="N2844">
        <v>99.203360000000004</v>
      </c>
      <c r="O2844">
        <v>26.181000000000001</v>
      </c>
      <c r="P2844">
        <v>39.084000000000003</v>
      </c>
      <c r="Q2844">
        <v>32.256</v>
      </c>
      <c r="R2844">
        <v>31</v>
      </c>
      <c r="S2844" t="s">
        <v>83</v>
      </c>
      <c r="T2844">
        <f>IF(TRIM(Table1[[#This Row],[PitStopLaps]])="",0,
LEN(Table1[[#This Row],[PitStopLaps]])-LEN(SUBSTITUTE(Table1[[#This Row],[PitStopLaps]],",",""))+1)</f>
        <v>1</v>
      </c>
      <c r="U2844">
        <f>Table1[[#This Row],[StartPosition]]-Table1[[#This Row],[FinishPosition]]</f>
        <v>-3</v>
      </c>
    </row>
    <row r="2845" spans="1:21" x14ac:dyDescent="0.3">
      <c r="A2845">
        <v>2024</v>
      </c>
      <c r="B2845">
        <v>19</v>
      </c>
      <c r="C2845" t="s">
        <v>214</v>
      </c>
      <c r="D2845" t="s">
        <v>1000</v>
      </c>
      <c r="E2845" t="s">
        <v>1001</v>
      </c>
      <c r="F2845" t="s">
        <v>37</v>
      </c>
      <c r="G2845">
        <v>5</v>
      </c>
      <c r="H2845">
        <v>5</v>
      </c>
      <c r="I2845">
        <v>10</v>
      </c>
      <c r="J2845" t="s">
        <v>34</v>
      </c>
      <c r="K2845" t="s">
        <v>24</v>
      </c>
      <c r="L2845">
        <v>56</v>
      </c>
      <c r="M2845">
        <v>97.882999999999996</v>
      </c>
      <c r="N2845">
        <v>99.355720000000005</v>
      </c>
      <c r="O2845">
        <v>26.213999999999999</v>
      </c>
      <c r="P2845">
        <v>39.106999999999999</v>
      </c>
      <c r="Q2845">
        <v>32.225999999999999</v>
      </c>
      <c r="R2845">
        <v>32</v>
      </c>
      <c r="S2845" t="s">
        <v>83</v>
      </c>
      <c r="T2845">
        <f>IF(TRIM(Table1[[#This Row],[PitStopLaps]])="",0,
LEN(Table1[[#This Row],[PitStopLaps]])-LEN(SUBSTITUTE(Table1[[#This Row],[PitStopLaps]],",",""))+1)</f>
        <v>1</v>
      </c>
      <c r="U2845">
        <f>Table1[[#This Row],[StartPosition]]-Table1[[#This Row],[FinishPosition]]</f>
        <v>0</v>
      </c>
    </row>
    <row r="2846" spans="1:21" x14ac:dyDescent="0.3">
      <c r="A2846">
        <v>2024</v>
      </c>
      <c r="B2846">
        <v>19</v>
      </c>
      <c r="C2846" t="s">
        <v>214</v>
      </c>
      <c r="D2846" t="s">
        <v>252</v>
      </c>
      <c r="E2846" t="s">
        <v>253</v>
      </c>
      <c r="F2846" t="s">
        <v>28</v>
      </c>
      <c r="G2846">
        <v>20</v>
      </c>
      <c r="H2846">
        <v>6</v>
      </c>
      <c r="I2846">
        <v>8</v>
      </c>
      <c r="J2846" t="s">
        <v>34</v>
      </c>
      <c r="K2846" t="s">
        <v>24</v>
      </c>
      <c r="L2846">
        <v>56</v>
      </c>
      <c r="M2846">
        <v>97.656000000000006</v>
      </c>
      <c r="N2846">
        <v>99.897419999999997</v>
      </c>
      <c r="O2846">
        <v>26.145</v>
      </c>
      <c r="P2846">
        <v>38.874000000000002</v>
      </c>
      <c r="Q2846">
        <v>32.286000000000001</v>
      </c>
      <c r="R2846">
        <v>40</v>
      </c>
      <c r="S2846" t="s">
        <v>83</v>
      </c>
      <c r="T2846">
        <f>IF(TRIM(Table1[[#This Row],[PitStopLaps]])="",0,
LEN(Table1[[#This Row],[PitStopLaps]])-LEN(SUBSTITUTE(Table1[[#This Row],[PitStopLaps]],",",""))+1)</f>
        <v>1</v>
      </c>
      <c r="U2846">
        <f>Table1[[#This Row],[StartPosition]]-Table1[[#This Row],[FinishPosition]]</f>
        <v>14</v>
      </c>
    </row>
    <row r="2847" spans="1:21" x14ac:dyDescent="0.3">
      <c r="A2847">
        <v>2024</v>
      </c>
      <c r="B2847">
        <v>19</v>
      </c>
      <c r="C2847" t="s">
        <v>214</v>
      </c>
      <c r="D2847" t="s">
        <v>49</v>
      </c>
      <c r="E2847" t="s">
        <v>50</v>
      </c>
      <c r="F2847" t="s">
        <v>33</v>
      </c>
      <c r="G2847">
        <v>9</v>
      </c>
      <c r="H2847">
        <v>7</v>
      </c>
      <c r="I2847">
        <v>6</v>
      </c>
      <c r="J2847" t="s">
        <v>34</v>
      </c>
      <c r="K2847" t="s">
        <v>24</v>
      </c>
      <c r="L2847">
        <v>56</v>
      </c>
      <c r="M2847">
        <v>98.513999999999996</v>
      </c>
      <c r="N2847">
        <v>100.07646</v>
      </c>
      <c r="O2847">
        <v>26.222000000000001</v>
      </c>
      <c r="P2847">
        <v>39.524000000000001</v>
      </c>
      <c r="Q2847">
        <v>32.552</v>
      </c>
      <c r="R2847">
        <v>26</v>
      </c>
      <c r="S2847" t="s">
        <v>83</v>
      </c>
      <c r="T2847">
        <f>IF(TRIM(Table1[[#This Row],[PitStopLaps]])="",0,
LEN(Table1[[#This Row],[PitStopLaps]])-LEN(SUBSTITUTE(Table1[[#This Row],[PitStopLaps]],",",""))+1)</f>
        <v>1</v>
      </c>
      <c r="U2847">
        <f>Table1[[#This Row],[StartPosition]]-Table1[[#This Row],[FinishPosition]]</f>
        <v>2</v>
      </c>
    </row>
    <row r="2848" spans="1:21" x14ac:dyDescent="0.3">
      <c r="A2848">
        <v>2024</v>
      </c>
      <c r="B2848">
        <v>19</v>
      </c>
      <c r="C2848" t="s">
        <v>214</v>
      </c>
      <c r="D2848" t="s">
        <v>40</v>
      </c>
      <c r="E2848" t="s">
        <v>41</v>
      </c>
      <c r="F2848" t="s">
        <v>69</v>
      </c>
      <c r="G2848">
        <v>11</v>
      </c>
      <c r="H2848">
        <v>8</v>
      </c>
      <c r="I2848">
        <v>4</v>
      </c>
      <c r="J2848" t="s">
        <v>34</v>
      </c>
      <c r="K2848" t="s">
        <v>24</v>
      </c>
      <c r="L2848">
        <v>56</v>
      </c>
      <c r="M2848">
        <v>98.403999999999996</v>
      </c>
      <c r="N2848">
        <v>100.09376</v>
      </c>
      <c r="O2848">
        <v>26.346</v>
      </c>
      <c r="P2848">
        <v>39.386000000000003</v>
      </c>
      <c r="Q2848">
        <v>32.5</v>
      </c>
      <c r="R2848">
        <v>27</v>
      </c>
      <c r="S2848" t="s">
        <v>83</v>
      </c>
      <c r="T2848">
        <f>IF(TRIM(Table1[[#This Row],[PitStopLaps]])="",0,
LEN(Table1[[#This Row],[PitStopLaps]])-LEN(SUBSTITUTE(Table1[[#This Row],[PitStopLaps]],",",""))+1)</f>
        <v>1</v>
      </c>
      <c r="U2848">
        <f>Table1[[#This Row],[StartPosition]]-Table1[[#This Row],[FinishPosition]]</f>
        <v>3</v>
      </c>
    </row>
    <row r="2849" spans="1:21" x14ac:dyDescent="0.3">
      <c r="A2849">
        <v>2024</v>
      </c>
      <c r="B2849">
        <v>19</v>
      </c>
      <c r="C2849" t="s">
        <v>214</v>
      </c>
      <c r="D2849" t="s">
        <v>1092</v>
      </c>
      <c r="E2849" t="s">
        <v>1093</v>
      </c>
      <c r="F2849" t="s">
        <v>1176</v>
      </c>
      <c r="G2849">
        <v>19</v>
      </c>
      <c r="H2849">
        <v>9</v>
      </c>
      <c r="I2849">
        <v>2</v>
      </c>
      <c r="J2849" t="s">
        <v>34</v>
      </c>
      <c r="K2849" t="s">
        <v>24</v>
      </c>
      <c r="L2849">
        <v>56</v>
      </c>
      <c r="M2849">
        <v>98.090999999999994</v>
      </c>
      <c r="N2849">
        <v>100.2788</v>
      </c>
      <c r="O2849">
        <v>26.292000000000002</v>
      </c>
      <c r="P2849">
        <v>38.893999999999998</v>
      </c>
      <c r="Q2849">
        <v>32.392000000000003</v>
      </c>
      <c r="R2849">
        <v>36</v>
      </c>
      <c r="S2849" t="s">
        <v>83</v>
      </c>
      <c r="T2849">
        <f>IF(TRIM(Table1[[#This Row],[PitStopLaps]])="",0,
LEN(Table1[[#This Row],[PitStopLaps]])-LEN(SUBSTITUTE(Table1[[#This Row],[PitStopLaps]],",",""))+1)</f>
        <v>1</v>
      </c>
      <c r="U2849">
        <f>Table1[[#This Row],[StartPosition]]-Table1[[#This Row],[FinishPosition]]</f>
        <v>10</v>
      </c>
    </row>
    <row r="2850" spans="1:21" x14ac:dyDescent="0.3">
      <c r="A2850">
        <v>2024</v>
      </c>
      <c r="B2850">
        <v>19</v>
      </c>
      <c r="C2850" t="s">
        <v>214</v>
      </c>
      <c r="D2850" t="s">
        <v>1283</v>
      </c>
      <c r="E2850" t="s">
        <v>1284</v>
      </c>
      <c r="F2850" t="s">
        <v>60</v>
      </c>
      <c r="G2850">
        <v>15</v>
      </c>
      <c r="H2850">
        <v>10</v>
      </c>
      <c r="I2850">
        <v>1</v>
      </c>
      <c r="J2850" t="s">
        <v>34</v>
      </c>
      <c r="K2850" t="s">
        <v>24</v>
      </c>
      <c r="L2850">
        <v>56</v>
      </c>
      <c r="M2850">
        <v>97.611000000000004</v>
      </c>
      <c r="N2850">
        <v>100.31712</v>
      </c>
      <c r="O2850">
        <v>26.117999999999999</v>
      </c>
      <c r="P2850">
        <v>39.030999999999999</v>
      </c>
      <c r="Q2850">
        <v>32.215000000000003</v>
      </c>
      <c r="R2850">
        <v>39</v>
      </c>
      <c r="S2850" t="s">
        <v>83</v>
      </c>
      <c r="T2850">
        <f>IF(TRIM(Table1[[#This Row],[PitStopLaps]])="",0,
LEN(Table1[[#This Row],[PitStopLaps]])-LEN(SUBSTITUTE(Table1[[#This Row],[PitStopLaps]],",",""))+1)</f>
        <v>1</v>
      </c>
      <c r="U2850">
        <f>Table1[[#This Row],[StartPosition]]-Table1[[#This Row],[FinishPosition]]</f>
        <v>5</v>
      </c>
    </row>
    <row r="2851" spans="1:21" x14ac:dyDescent="0.3">
      <c r="A2851">
        <v>2024</v>
      </c>
      <c r="B2851">
        <v>19</v>
      </c>
      <c r="C2851" t="s">
        <v>214</v>
      </c>
      <c r="D2851" t="s">
        <v>71</v>
      </c>
      <c r="E2851" t="s">
        <v>72</v>
      </c>
      <c r="F2851" t="s">
        <v>69</v>
      </c>
      <c r="G2851">
        <v>8</v>
      </c>
      <c r="H2851">
        <v>11</v>
      </c>
      <c r="I2851">
        <v>0</v>
      </c>
      <c r="J2851" t="s">
        <v>34</v>
      </c>
      <c r="K2851" t="s">
        <v>24</v>
      </c>
      <c r="L2851">
        <v>56</v>
      </c>
      <c r="M2851">
        <v>98.21</v>
      </c>
      <c r="N2851">
        <v>100.1155</v>
      </c>
      <c r="O2851">
        <v>26.239000000000001</v>
      </c>
      <c r="P2851">
        <v>39.219000000000001</v>
      </c>
      <c r="Q2851">
        <v>32.308999999999997</v>
      </c>
      <c r="R2851" t="s">
        <v>481</v>
      </c>
      <c r="S2851" t="s">
        <v>83</v>
      </c>
      <c r="T2851">
        <f>IF(TRIM(Table1[[#This Row],[PitStopLaps]])="",0,
LEN(Table1[[#This Row],[PitStopLaps]])-LEN(SUBSTITUTE(Table1[[#This Row],[PitStopLaps]],",",""))+1)</f>
        <v>2</v>
      </c>
      <c r="U2851">
        <f>Table1[[#This Row],[StartPosition]]-Table1[[#This Row],[FinishPosition]]</f>
        <v>-3</v>
      </c>
    </row>
    <row r="2852" spans="1:21" x14ac:dyDescent="0.3">
      <c r="A2852">
        <v>2024</v>
      </c>
      <c r="B2852">
        <v>19</v>
      </c>
      <c r="C2852" t="s">
        <v>214</v>
      </c>
      <c r="D2852" t="s">
        <v>73</v>
      </c>
      <c r="E2852" t="s">
        <v>74</v>
      </c>
      <c r="F2852" t="s">
        <v>607</v>
      </c>
      <c r="G2852">
        <v>6</v>
      </c>
      <c r="H2852">
        <v>12</v>
      </c>
      <c r="I2852">
        <v>0</v>
      </c>
      <c r="J2852" t="s">
        <v>34</v>
      </c>
      <c r="K2852" t="s">
        <v>24</v>
      </c>
      <c r="L2852">
        <v>56</v>
      </c>
      <c r="M2852">
        <v>98.311000000000007</v>
      </c>
      <c r="N2852">
        <v>100.49984000000001</v>
      </c>
      <c r="O2852">
        <v>26.324999999999999</v>
      </c>
      <c r="P2852">
        <v>39.451999999999998</v>
      </c>
      <c r="Q2852">
        <v>32.459000000000003</v>
      </c>
      <c r="R2852">
        <v>18</v>
      </c>
      <c r="S2852" t="s">
        <v>83</v>
      </c>
      <c r="T2852">
        <f>IF(TRIM(Table1[[#This Row],[PitStopLaps]])="",0,
LEN(Table1[[#This Row],[PitStopLaps]])-LEN(SUBSTITUTE(Table1[[#This Row],[PitStopLaps]],",",""))+1)</f>
        <v>1</v>
      </c>
      <c r="U2852">
        <f>Table1[[#This Row],[StartPosition]]-Table1[[#This Row],[FinishPosition]]</f>
        <v>-6</v>
      </c>
    </row>
    <row r="2853" spans="1:21" x14ac:dyDescent="0.3">
      <c r="A2853">
        <v>2024</v>
      </c>
      <c r="B2853">
        <v>19</v>
      </c>
      <c r="C2853" t="s">
        <v>214</v>
      </c>
      <c r="D2853" t="s">
        <v>35</v>
      </c>
      <c r="E2853" t="s">
        <v>36</v>
      </c>
      <c r="F2853" t="s">
        <v>603</v>
      </c>
      <c r="G2853">
        <v>7</v>
      </c>
      <c r="H2853">
        <v>13</v>
      </c>
      <c r="I2853">
        <v>0</v>
      </c>
      <c r="J2853" t="s">
        <v>34</v>
      </c>
      <c r="K2853" t="s">
        <v>994</v>
      </c>
      <c r="L2853">
        <v>55</v>
      </c>
      <c r="M2853">
        <v>99.260999999999996</v>
      </c>
      <c r="N2853">
        <v>100.900346</v>
      </c>
      <c r="O2853">
        <v>26.495999999999999</v>
      </c>
      <c r="P2853">
        <v>39.755000000000003</v>
      </c>
      <c r="Q2853">
        <v>32.674999999999997</v>
      </c>
      <c r="R2853">
        <v>26</v>
      </c>
      <c r="S2853" t="s">
        <v>83</v>
      </c>
      <c r="T2853">
        <f>IF(TRIM(Table1[[#This Row],[PitStopLaps]])="",0,
LEN(Table1[[#This Row],[PitStopLaps]])-LEN(SUBSTITUTE(Table1[[#This Row],[PitStopLaps]],",",""))+1)</f>
        <v>1</v>
      </c>
      <c r="U2853">
        <f>Table1[[#This Row],[StartPosition]]-Table1[[#This Row],[FinishPosition]]</f>
        <v>-6</v>
      </c>
    </row>
    <row r="2854" spans="1:21" x14ac:dyDescent="0.3">
      <c r="A2854">
        <v>2024</v>
      </c>
      <c r="B2854">
        <v>19</v>
      </c>
      <c r="C2854" t="s">
        <v>214</v>
      </c>
      <c r="D2854" t="s">
        <v>601</v>
      </c>
      <c r="E2854" t="s">
        <v>602</v>
      </c>
      <c r="F2854" t="s">
        <v>1176</v>
      </c>
      <c r="G2854">
        <v>10</v>
      </c>
      <c r="H2854">
        <v>14</v>
      </c>
      <c r="I2854">
        <v>0</v>
      </c>
      <c r="J2854" t="s">
        <v>34</v>
      </c>
      <c r="K2854" t="s">
        <v>994</v>
      </c>
      <c r="L2854">
        <v>55</v>
      </c>
      <c r="M2854">
        <v>99.192999999999998</v>
      </c>
      <c r="N2854">
        <v>100.884367</v>
      </c>
      <c r="O2854">
        <v>26.45</v>
      </c>
      <c r="P2854">
        <v>39.720999999999997</v>
      </c>
      <c r="Q2854">
        <v>32.79</v>
      </c>
      <c r="R2854">
        <v>18</v>
      </c>
      <c r="S2854" t="s">
        <v>83</v>
      </c>
      <c r="T2854">
        <f>IF(TRIM(Table1[[#This Row],[PitStopLaps]])="",0,
LEN(Table1[[#This Row],[PitStopLaps]])-LEN(SUBSTITUTE(Table1[[#This Row],[PitStopLaps]],",",""))+1)</f>
        <v>1</v>
      </c>
      <c r="U2854">
        <f>Table1[[#This Row],[StartPosition]]-Table1[[#This Row],[FinishPosition]]</f>
        <v>-4</v>
      </c>
    </row>
    <row r="2855" spans="1:21" x14ac:dyDescent="0.3">
      <c r="A2855">
        <v>2024</v>
      </c>
      <c r="B2855">
        <v>19</v>
      </c>
      <c r="C2855" t="s">
        <v>214</v>
      </c>
      <c r="D2855" t="s">
        <v>58</v>
      </c>
      <c r="E2855" t="s">
        <v>59</v>
      </c>
      <c r="F2855" t="s">
        <v>603</v>
      </c>
      <c r="G2855">
        <v>13</v>
      </c>
      <c r="H2855">
        <v>15</v>
      </c>
      <c r="I2855">
        <v>0</v>
      </c>
      <c r="J2855" t="s">
        <v>34</v>
      </c>
      <c r="K2855" t="s">
        <v>994</v>
      </c>
      <c r="L2855">
        <v>55</v>
      </c>
      <c r="M2855">
        <v>99.213999999999999</v>
      </c>
      <c r="N2855">
        <v>101.14601999999999</v>
      </c>
      <c r="O2855">
        <v>26.715</v>
      </c>
      <c r="P2855">
        <v>39.523000000000003</v>
      </c>
      <c r="Q2855">
        <v>32.606000000000002</v>
      </c>
      <c r="R2855">
        <v>27</v>
      </c>
      <c r="S2855" t="s">
        <v>83</v>
      </c>
      <c r="T2855">
        <f>IF(TRIM(Table1[[#This Row],[PitStopLaps]])="",0,
LEN(Table1[[#This Row],[PitStopLaps]])-LEN(SUBSTITUTE(Table1[[#This Row],[PitStopLaps]],",",""))+1)</f>
        <v>1</v>
      </c>
      <c r="U2855">
        <f>Table1[[#This Row],[StartPosition]]-Table1[[#This Row],[FinishPosition]]</f>
        <v>-2</v>
      </c>
    </row>
    <row r="2856" spans="1:21" x14ac:dyDescent="0.3">
      <c r="A2856">
        <v>2024</v>
      </c>
      <c r="B2856">
        <v>19</v>
      </c>
      <c r="C2856" t="s">
        <v>214</v>
      </c>
      <c r="D2856" t="s">
        <v>248</v>
      </c>
      <c r="E2856" t="s">
        <v>249</v>
      </c>
      <c r="F2856" t="s">
        <v>60</v>
      </c>
      <c r="G2856">
        <v>14</v>
      </c>
      <c r="H2856">
        <v>16</v>
      </c>
      <c r="I2856">
        <v>0</v>
      </c>
      <c r="J2856" t="s">
        <v>34</v>
      </c>
      <c r="K2856" t="s">
        <v>994</v>
      </c>
      <c r="L2856">
        <v>55</v>
      </c>
      <c r="M2856">
        <v>99.084000000000003</v>
      </c>
      <c r="N2856">
        <v>101.19259099999999</v>
      </c>
      <c r="O2856">
        <v>26.515999999999998</v>
      </c>
      <c r="P2856">
        <v>39.594000000000001</v>
      </c>
      <c r="Q2856">
        <v>32.664999999999999</v>
      </c>
      <c r="R2856" t="s">
        <v>461</v>
      </c>
      <c r="S2856" t="s">
        <v>83</v>
      </c>
      <c r="T2856">
        <f>IF(TRIM(Table1[[#This Row],[PitStopLaps]])="",0,
LEN(Table1[[#This Row],[PitStopLaps]])-LEN(SUBSTITUTE(Table1[[#This Row],[PitStopLaps]],",",""))+1)</f>
        <v>2</v>
      </c>
      <c r="U2856">
        <f>Table1[[#This Row],[StartPosition]]-Table1[[#This Row],[FinishPosition]]</f>
        <v>-2</v>
      </c>
    </row>
    <row r="2857" spans="1:21" x14ac:dyDescent="0.3">
      <c r="A2857">
        <v>2024</v>
      </c>
      <c r="B2857">
        <v>19</v>
      </c>
      <c r="C2857" t="s">
        <v>214</v>
      </c>
      <c r="D2857" t="s">
        <v>43</v>
      </c>
      <c r="E2857" t="s">
        <v>44</v>
      </c>
      <c r="F2857" t="s">
        <v>1175</v>
      </c>
      <c r="G2857">
        <v>16</v>
      </c>
      <c r="H2857">
        <v>17</v>
      </c>
      <c r="I2857">
        <v>0</v>
      </c>
      <c r="J2857" t="s">
        <v>34</v>
      </c>
      <c r="K2857" t="s">
        <v>994</v>
      </c>
      <c r="L2857">
        <v>55</v>
      </c>
      <c r="M2857">
        <v>100.575</v>
      </c>
      <c r="N2857">
        <v>101.496979</v>
      </c>
      <c r="O2857">
        <v>26.849</v>
      </c>
      <c r="P2857">
        <v>40.072000000000003</v>
      </c>
      <c r="Q2857">
        <v>33.113</v>
      </c>
      <c r="R2857">
        <v>15</v>
      </c>
      <c r="S2857" t="s">
        <v>83</v>
      </c>
      <c r="T2857">
        <f>IF(TRIM(Table1[[#This Row],[PitStopLaps]])="",0,
LEN(Table1[[#This Row],[PitStopLaps]])-LEN(SUBSTITUTE(Table1[[#This Row],[PitStopLaps]],",",""))+1)</f>
        <v>1</v>
      </c>
      <c r="U2857">
        <f>Table1[[#This Row],[StartPosition]]-Table1[[#This Row],[FinishPosition]]</f>
        <v>-1</v>
      </c>
    </row>
    <row r="2858" spans="1:21" x14ac:dyDescent="0.3">
      <c r="A2858">
        <v>2024</v>
      </c>
      <c r="B2858">
        <v>19</v>
      </c>
      <c r="C2858" t="s">
        <v>214</v>
      </c>
      <c r="D2858" t="s">
        <v>52</v>
      </c>
      <c r="E2858" t="s">
        <v>53</v>
      </c>
      <c r="F2858" t="s">
        <v>607</v>
      </c>
      <c r="G2858">
        <v>12</v>
      </c>
      <c r="H2858">
        <v>18</v>
      </c>
      <c r="I2858">
        <v>0</v>
      </c>
      <c r="J2858" t="s">
        <v>34</v>
      </c>
      <c r="K2858" t="s">
        <v>994</v>
      </c>
      <c r="L2858">
        <v>55</v>
      </c>
      <c r="M2858">
        <v>97.33</v>
      </c>
      <c r="N2858">
        <v>101.010723</v>
      </c>
      <c r="O2858">
        <v>26.416</v>
      </c>
      <c r="P2858">
        <v>38.906999999999996</v>
      </c>
      <c r="Q2858">
        <v>32.006999999999998</v>
      </c>
      <c r="R2858" t="s">
        <v>1293</v>
      </c>
      <c r="S2858" t="s">
        <v>83</v>
      </c>
      <c r="T2858">
        <f>IF(TRIM(Table1[[#This Row],[PitStopLaps]])="",0,
LEN(Table1[[#This Row],[PitStopLaps]])-LEN(SUBSTITUTE(Table1[[#This Row],[PitStopLaps]],",",""))+1)</f>
        <v>2</v>
      </c>
      <c r="U2858">
        <f>Table1[[#This Row],[StartPosition]]-Table1[[#This Row],[FinishPosition]]</f>
        <v>-6</v>
      </c>
    </row>
    <row r="2859" spans="1:21" x14ac:dyDescent="0.3">
      <c r="A2859">
        <v>2024</v>
      </c>
      <c r="B2859">
        <v>19</v>
      </c>
      <c r="C2859" t="s">
        <v>214</v>
      </c>
      <c r="D2859" t="s">
        <v>794</v>
      </c>
      <c r="E2859" t="s">
        <v>795</v>
      </c>
      <c r="F2859" t="s">
        <v>1175</v>
      </c>
      <c r="G2859">
        <v>18</v>
      </c>
      <c r="H2859">
        <v>19</v>
      </c>
      <c r="I2859">
        <v>0</v>
      </c>
      <c r="J2859" t="s">
        <v>34</v>
      </c>
      <c r="K2859" t="s">
        <v>994</v>
      </c>
      <c r="L2859">
        <v>55</v>
      </c>
      <c r="M2859">
        <v>99.272000000000006</v>
      </c>
      <c r="N2859">
        <v>101.27895700000001</v>
      </c>
      <c r="O2859">
        <v>26.681999999999999</v>
      </c>
      <c r="P2859">
        <v>39.874000000000002</v>
      </c>
      <c r="Q2859">
        <v>32.637</v>
      </c>
      <c r="R2859" t="s">
        <v>334</v>
      </c>
      <c r="S2859" t="s">
        <v>83</v>
      </c>
      <c r="T2859">
        <f>IF(TRIM(Table1[[#This Row],[PitStopLaps]])="",0,
LEN(Table1[[#This Row],[PitStopLaps]])-LEN(SUBSTITUTE(Table1[[#This Row],[PitStopLaps]],",",""))+1)</f>
        <v>2</v>
      </c>
      <c r="U2859">
        <f>Table1[[#This Row],[StartPosition]]-Table1[[#This Row],[FinishPosition]]</f>
        <v>-1</v>
      </c>
    </row>
    <row r="2860" spans="1:21" x14ac:dyDescent="0.3">
      <c r="A2860">
        <v>2024</v>
      </c>
      <c r="B2860">
        <v>19</v>
      </c>
      <c r="C2860" t="s">
        <v>214</v>
      </c>
      <c r="D2860" t="s">
        <v>26</v>
      </c>
      <c r="E2860" t="s">
        <v>27</v>
      </c>
      <c r="F2860" t="s">
        <v>28</v>
      </c>
      <c r="G2860">
        <v>17</v>
      </c>
      <c r="H2860">
        <v>20</v>
      </c>
      <c r="I2860">
        <v>0</v>
      </c>
      <c r="J2860" t="s">
        <v>34</v>
      </c>
      <c r="K2860" t="s">
        <v>179</v>
      </c>
      <c r="L2860">
        <v>2</v>
      </c>
      <c r="S2860" t="s">
        <v>83</v>
      </c>
      <c r="T2860">
        <f>IF(TRIM(Table1[[#This Row],[PitStopLaps]])="",0,
LEN(Table1[[#This Row],[PitStopLaps]])-LEN(SUBSTITUTE(Table1[[#This Row],[PitStopLaps]],",",""))+1)</f>
        <v>0</v>
      </c>
      <c r="U2860">
        <f>Table1[[#This Row],[StartPosition]]-Table1[[#This Row],[FinishPosition]]</f>
        <v>-3</v>
      </c>
    </row>
    <row r="2861" spans="1:21" x14ac:dyDescent="0.3">
      <c r="A2861">
        <v>2024</v>
      </c>
      <c r="B2861">
        <v>20</v>
      </c>
      <c r="C2861" t="s">
        <v>736</v>
      </c>
      <c r="D2861" t="s">
        <v>47</v>
      </c>
      <c r="E2861" t="s">
        <v>48</v>
      </c>
      <c r="F2861" t="s">
        <v>22</v>
      </c>
      <c r="G2861">
        <v>1</v>
      </c>
      <c r="H2861">
        <v>1</v>
      </c>
      <c r="I2861">
        <v>25</v>
      </c>
      <c r="J2861" t="s">
        <v>23</v>
      </c>
      <c r="K2861" t="s">
        <v>24</v>
      </c>
      <c r="L2861">
        <v>71</v>
      </c>
      <c r="M2861">
        <v>80.137</v>
      </c>
      <c r="N2861">
        <v>81.081665999999998</v>
      </c>
      <c r="O2861">
        <v>28.283999999999999</v>
      </c>
      <c r="P2861">
        <v>31.187999999999999</v>
      </c>
      <c r="Q2861">
        <v>20.535</v>
      </c>
      <c r="R2861">
        <v>32</v>
      </c>
      <c r="S2861" t="s">
        <v>83</v>
      </c>
      <c r="T2861">
        <f>IF(TRIM(Table1[[#This Row],[PitStopLaps]])="",0,
LEN(Table1[[#This Row],[PitStopLaps]])-LEN(SUBSTITUTE(Table1[[#This Row],[PitStopLaps]],",",""))+1)</f>
        <v>1</v>
      </c>
      <c r="U2861">
        <f>Table1[[#This Row],[StartPosition]]-Table1[[#This Row],[FinishPosition]]</f>
        <v>0</v>
      </c>
    </row>
    <row r="2862" spans="1:21" x14ac:dyDescent="0.3">
      <c r="A2862">
        <v>2024</v>
      </c>
      <c r="B2862">
        <v>20</v>
      </c>
      <c r="C2862" t="s">
        <v>736</v>
      </c>
      <c r="D2862" t="s">
        <v>246</v>
      </c>
      <c r="E2862" t="s">
        <v>247</v>
      </c>
      <c r="F2862" t="s">
        <v>37</v>
      </c>
      <c r="G2862">
        <v>3</v>
      </c>
      <c r="H2862">
        <v>2</v>
      </c>
      <c r="I2862">
        <v>18</v>
      </c>
      <c r="J2862" t="s">
        <v>23</v>
      </c>
      <c r="K2862" t="s">
        <v>24</v>
      </c>
      <c r="L2862">
        <v>71</v>
      </c>
      <c r="M2862">
        <v>79.691000000000003</v>
      </c>
      <c r="N2862">
        <v>81.128506999999999</v>
      </c>
      <c r="O2862">
        <v>27.963000000000001</v>
      </c>
      <c r="P2862">
        <v>30.826000000000001</v>
      </c>
      <c r="Q2862">
        <v>20.431999999999999</v>
      </c>
      <c r="R2862">
        <v>30</v>
      </c>
      <c r="S2862" t="s">
        <v>83</v>
      </c>
      <c r="T2862">
        <f>IF(TRIM(Table1[[#This Row],[PitStopLaps]])="",0,
LEN(Table1[[#This Row],[PitStopLaps]])-LEN(SUBSTITUTE(Table1[[#This Row],[PitStopLaps]],",",""))+1)</f>
        <v>1</v>
      </c>
      <c r="U2862">
        <f>Table1[[#This Row],[StartPosition]]-Table1[[#This Row],[FinishPosition]]</f>
        <v>1</v>
      </c>
    </row>
    <row r="2863" spans="1:21" x14ac:dyDescent="0.3">
      <c r="A2863">
        <v>2024</v>
      </c>
      <c r="B2863">
        <v>20</v>
      </c>
      <c r="C2863" t="s">
        <v>736</v>
      </c>
      <c r="D2863" t="s">
        <v>54</v>
      </c>
      <c r="E2863" t="s">
        <v>55</v>
      </c>
      <c r="F2863" t="s">
        <v>22</v>
      </c>
      <c r="G2863">
        <v>4</v>
      </c>
      <c r="H2863">
        <v>3</v>
      </c>
      <c r="I2863">
        <v>16</v>
      </c>
      <c r="J2863" t="s">
        <v>23</v>
      </c>
      <c r="K2863" t="s">
        <v>24</v>
      </c>
      <c r="L2863">
        <v>71</v>
      </c>
      <c r="M2863">
        <v>78.335999999999999</v>
      </c>
      <c r="N2863">
        <v>81.238754</v>
      </c>
      <c r="O2863">
        <v>27.884</v>
      </c>
      <c r="P2863">
        <v>30.312999999999999</v>
      </c>
      <c r="Q2863">
        <v>20.138999999999999</v>
      </c>
      <c r="R2863" t="s">
        <v>1294</v>
      </c>
      <c r="S2863" t="s">
        <v>83</v>
      </c>
      <c r="T2863">
        <f>IF(TRIM(Table1[[#This Row],[PitStopLaps]])="",0,
LEN(Table1[[#This Row],[PitStopLaps]])-LEN(SUBSTITUTE(Table1[[#This Row],[PitStopLaps]],",",""))+1)</f>
        <v>2</v>
      </c>
      <c r="U2863">
        <f>Table1[[#This Row],[StartPosition]]-Table1[[#This Row],[FinishPosition]]</f>
        <v>1</v>
      </c>
    </row>
    <row r="2864" spans="1:21" x14ac:dyDescent="0.3">
      <c r="A2864">
        <v>2024</v>
      </c>
      <c r="B2864">
        <v>20</v>
      </c>
      <c r="C2864" t="s">
        <v>736</v>
      </c>
      <c r="D2864" t="s">
        <v>26</v>
      </c>
      <c r="E2864" t="s">
        <v>27</v>
      </c>
      <c r="F2864" t="s">
        <v>28</v>
      </c>
      <c r="G2864">
        <v>6</v>
      </c>
      <c r="H2864">
        <v>4</v>
      </c>
      <c r="I2864">
        <v>12</v>
      </c>
      <c r="J2864" t="s">
        <v>34</v>
      </c>
      <c r="K2864" t="s">
        <v>24</v>
      </c>
      <c r="L2864">
        <v>71</v>
      </c>
      <c r="M2864">
        <v>80.370999999999995</v>
      </c>
      <c r="N2864">
        <v>81.700698000000003</v>
      </c>
      <c r="O2864">
        <v>27.936</v>
      </c>
      <c r="P2864">
        <v>31.167000000000002</v>
      </c>
      <c r="Q2864">
        <v>20.652000000000001</v>
      </c>
      <c r="R2864">
        <v>28</v>
      </c>
      <c r="S2864" t="s">
        <v>83</v>
      </c>
      <c r="T2864">
        <f>IF(TRIM(Table1[[#This Row],[PitStopLaps]])="",0,
LEN(Table1[[#This Row],[PitStopLaps]])-LEN(SUBSTITUTE(Table1[[#This Row],[PitStopLaps]],",",""))+1)</f>
        <v>1</v>
      </c>
      <c r="U2864">
        <f>Table1[[#This Row],[StartPosition]]-Table1[[#This Row],[FinishPosition]]</f>
        <v>2</v>
      </c>
    </row>
    <row r="2865" spans="1:21" x14ac:dyDescent="0.3">
      <c r="A2865">
        <v>2024</v>
      </c>
      <c r="B2865">
        <v>20</v>
      </c>
      <c r="C2865" t="s">
        <v>736</v>
      </c>
      <c r="D2865" t="s">
        <v>252</v>
      </c>
      <c r="E2865" t="s">
        <v>253</v>
      </c>
      <c r="F2865" t="s">
        <v>28</v>
      </c>
      <c r="G2865">
        <v>5</v>
      </c>
      <c r="H2865">
        <v>5</v>
      </c>
      <c r="I2865">
        <v>10</v>
      </c>
      <c r="J2865" t="s">
        <v>34</v>
      </c>
      <c r="K2865" t="s">
        <v>24</v>
      </c>
      <c r="L2865">
        <v>71</v>
      </c>
      <c r="M2865">
        <v>80.730999999999995</v>
      </c>
      <c r="N2865">
        <v>81.762062999999998</v>
      </c>
      <c r="O2865">
        <v>28.382999999999999</v>
      </c>
      <c r="P2865">
        <v>31.268000000000001</v>
      </c>
      <c r="Q2865">
        <v>20.742999999999999</v>
      </c>
      <c r="R2865">
        <v>31</v>
      </c>
      <c r="S2865" t="s">
        <v>83</v>
      </c>
      <c r="T2865">
        <f>IF(TRIM(Table1[[#This Row],[PitStopLaps]])="",0,
LEN(Table1[[#This Row],[PitStopLaps]])-LEN(SUBSTITUTE(Table1[[#This Row],[PitStopLaps]],",",""))+1)</f>
        <v>1</v>
      </c>
      <c r="U2865">
        <f>Table1[[#This Row],[StartPosition]]-Table1[[#This Row],[FinishPosition]]</f>
        <v>0</v>
      </c>
    </row>
    <row r="2866" spans="1:21" x14ac:dyDescent="0.3">
      <c r="A2866">
        <v>2024</v>
      </c>
      <c r="B2866">
        <v>20</v>
      </c>
      <c r="C2866" t="s">
        <v>736</v>
      </c>
      <c r="D2866" t="s">
        <v>38</v>
      </c>
      <c r="E2866" t="s">
        <v>39</v>
      </c>
      <c r="F2866" t="s">
        <v>33</v>
      </c>
      <c r="G2866">
        <v>2</v>
      </c>
      <c r="H2866">
        <v>6</v>
      </c>
      <c r="I2866">
        <v>8</v>
      </c>
      <c r="J2866" t="s">
        <v>34</v>
      </c>
      <c r="K2866" t="s">
        <v>24</v>
      </c>
      <c r="L2866">
        <v>71</v>
      </c>
      <c r="M2866">
        <v>80.872</v>
      </c>
      <c r="N2866">
        <v>81.680031</v>
      </c>
      <c r="O2866">
        <v>28.381</v>
      </c>
      <c r="P2866">
        <v>31.193999999999999</v>
      </c>
      <c r="Q2866">
        <v>20.762</v>
      </c>
      <c r="R2866">
        <v>26</v>
      </c>
      <c r="S2866" t="s">
        <v>83</v>
      </c>
      <c r="T2866">
        <f>IF(TRIM(Table1[[#This Row],[PitStopLaps]])="",0,
LEN(Table1[[#This Row],[PitStopLaps]])-LEN(SUBSTITUTE(Table1[[#This Row],[PitStopLaps]],",",""))+1)</f>
        <v>1</v>
      </c>
      <c r="U2866">
        <f>Table1[[#This Row],[StartPosition]]-Table1[[#This Row],[FinishPosition]]</f>
        <v>-4</v>
      </c>
    </row>
    <row r="2867" spans="1:21" x14ac:dyDescent="0.3">
      <c r="A2867">
        <v>2024</v>
      </c>
      <c r="B2867">
        <v>20</v>
      </c>
      <c r="C2867" t="s">
        <v>736</v>
      </c>
      <c r="D2867" t="s">
        <v>71</v>
      </c>
      <c r="E2867" t="s">
        <v>72</v>
      </c>
      <c r="F2867" t="s">
        <v>69</v>
      </c>
      <c r="G2867">
        <v>7</v>
      </c>
      <c r="H2867">
        <v>7</v>
      </c>
      <c r="I2867">
        <v>6</v>
      </c>
      <c r="J2867" t="s">
        <v>34</v>
      </c>
      <c r="K2867" t="s">
        <v>24</v>
      </c>
      <c r="L2867">
        <v>71</v>
      </c>
      <c r="M2867">
        <v>80.637</v>
      </c>
      <c r="N2867">
        <v>81.975396000000003</v>
      </c>
      <c r="O2867">
        <v>28.266999999999999</v>
      </c>
      <c r="P2867">
        <v>31.131</v>
      </c>
      <c r="Q2867">
        <v>20.835999999999999</v>
      </c>
      <c r="R2867">
        <v>30</v>
      </c>
      <c r="S2867" t="s">
        <v>83</v>
      </c>
      <c r="T2867">
        <f>IF(TRIM(Table1[[#This Row],[PitStopLaps]])="",0,
LEN(Table1[[#This Row],[PitStopLaps]])-LEN(SUBSTITUTE(Table1[[#This Row],[PitStopLaps]],",",""))+1)</f>
        <v>1</v>
      </c>
      <c r="U2867">
        <f>Table1[[#This Row],[StartPosition]]-Table1[[#This Row],[FinishPosition]]</f>
        <v>0</v>
      </c>
    </row>
    <row r="2868" spans="1:21" x14ac:dyDescent="0.3">
      <c r="A2868">
        <v>2024</v>
      </c>
      <c r="B2868">
        <v>20</v>
      </c>
      <c r="C2868" t="s">
        <v>736</v>
      </c>
      <c r="D2868" t="s">
        <v>1000</v>
      </c>
      <c r="E2868" t="s">
        <v>1001</v>
      </c>
      <c r="F2868" t="s">
        <v>37</v>
      </c>
      <c r="G2868">
        <v>17</v>
      </c>
      <c r="H2868">
        <v>8</v>
      </c>
      <c r="I2868">
        <v>4</v>
      </c>
      <c r="J2868" t="s">
        <v>34</v>
      </c>
      <c r="K2868" t="s">
        <v>24</v>
      </c>
      <c r="L2868">
        <v>71</v>
      </c>
      <c r="M2868">
        <v>80.063999999999993</v>
      </c>
      <c r="N2868">
        <v>81.968999999999994</v>
      </c>
      <c r="O2868">
        <v>27.916</v>
      </c>
      <c r="P2868">
        <v>30.818999999999999</v>
      </c>
      <c r="Q2868">
        <v>20.53</v>
      </c>
      <c r="R2868">
        <v>39</v>
      </c>
      <c r="S2868" t="s">
        <v>83</v>
      </c>
      <c r="T2868">
        <f>IF(TRIM(Table1[[#This Row],[PitStopLaps]])="",0,
LEN(Table1[[#This Row],[PitStopLaps]])-LEN(SUBSTITUTE(Table1[[#This Row],[PitStopLaps]],",",""))+1)</f>
        <v>1</v>
      </c>
      <c r="U2868">
        <f>Table1[[#This Row],[StartPosition]]-Table1[[#This Row],[FinishPosition]]</f>
        <v>9</v>
      </c>
    </row>
    <row r="2869" spans="1:21" x14ac:dyDescent="0.3">
      <c r="A2869">
        <v>2024</v>
      </c>
      <c r="B2869">
        <v>20</v>
      </c>
      <c r="C2869" t="s">
        <v>736</v>
      </c>
      <c r="D2869" t="s">
        <v>40</v>
      </c>
      <c r="E2869" t="s">
        <v>41</v>
      </c>
      <c r="F2869" t="s">
        <v>69</v>
      </c>
      <c r="G2869">
        <v>10</v>
      </c>
      <c r="H2869">
        <v>9</v>
      </c>
      <c r="I2869">
        <v>2</v>
      </c>
      <c r="J2869" t="s">
        <v>34</v>
      </c>
      <c r="K2869" t="s">
        <v>994</v>
      </c>
      <c r="L2869">
        <v>70</v>
      </c>
      <c r="M2869">
        <v>80.748000000000005</v>
      </c>
      <c r="N2869">
        <v>82.321419000000006</v>
      </c>
      <c r="O2869">
        <v>28.245000000000001</v>
      </c>
      <c r="P2869">
        <v>31.338000000000001</v>
      </c>
      <c r="Q2869">
        <v>20.757000000000001</v>
      </c>
      <c r="R2869">
        <v>29</v>
      </c>
      <c r="S2869" t="s">
        <v>83</v>
      </c>
      <c r="T2869">
        <f>IF(TRIM(Table1[[#This Row],[PitStopLaps]])="",0,
LEN(Table1[[#This Row],[PitStopLaps]])-LEN(SUBSTITUTE(Table1[[#This Row],[PitStopLaps]],",",""))+1)</f>
        <v>1</v>
      </c>
      <c r="U2869">
        <f>Table1[[#This Row],[StartPosition]]-Table1[[#This Row],[FinishPosition]]</f>
        <v>1</v>
      </c>
    </row>
    <row r="2870" spans="1:21" x14ac:dyDescent="0.3">
      <c r="A2870">
        <v>2024</v>
      </c>
      <c r="B2870">
        <v>20</v>
      </c>
      <c r="C2870" t="s">
        <v>736</v>
      </c>
      <c r="D2870" t="s">
        <v>73</v>
      </c>
      <c r="E2870" t="s">
        <v>74</v>
      </c>
      <c r="F2870" t="s">
        <v>607</v>
      </c>
      <c r="G2870">
        <v>8</v>
      </c>
      <c r="H2870">
        <v>10</v>
      </c>
      <c r="I2870">
        <v>1</v>
      </c>
      <c r="J2870" t="s">
        <v>34</v>
      </c>
      <c r="K2870" t="s">
        <v>994</v>
      </c>
      <c r="L2870">
        <v>70</v>
      </c>
      <c r="M2870">
        <v>81.274000000000001</v>
      </c>
      <c r="N2870">
        <v>82.546306000000001</v>
      </c>
      <c r="O2870">
        <v>28.507000000000001</v>
      </c>
      <c r="P2870">
        <v>31.513999999999999</v>
      </c>
      <c r="Q2870">
        <v>20.859000000000002</v>
      </c>
      <c r="R2870">
        <v>28</v>
      </c>
      <c r="S2870" t="s">
        <v>83</v>
      </c>
      <c r="T2870">
        <f>IF(TRIM(Table1[[#This Row],[PitStopLaps]])="",0,
LEN(Table1[[#This Row],[PitStopLaps]])-LEN(SUBSTITUTE(Table1[[#This Row],[PitStopLaps]],",",""))+1)</f>
        <v>1</v>
      </c>
      <c r="U2870">
        <f>Table1[[#This Row],[StartPosition]]-Table1[[#This Row],[FinishPosition]]</f>
        <v>-2</v>
      </c>
    </row>
    <row r="2871" spans="1:21" x14ac:dyDescent="0.3">
      <c r="A2871">
        <v>2024</v>
      </c>
      <c r="B2871">
        <v>20</v>
      </c>
      <c r="C2871" t="s">
        <v>736</v>
      </c>
      <c r="D2871" t="s">
        <v>58</v>
      </c>
      <c r="E2871" t="s">
        <v>59</v>
      </c>
      <c r="F2871" t="s">
        <v>603</v>
      </c>
      <c r="G2871">
        <v>14</v>
      </c>
      <c r="H2871">
        <v>11</v>
      </c>
      <c r="I2871">
        <v>0</v>
      </c>
      <c r="J2871" t="s">
        <v>34</v>
      </c>
      <c r="K2871" t="s">
        <v>994</v>
      </c>
      <c r="L2871">
        <v>70</v>
      </c>
      <c r="M2871">
        <v>81.311000000000007</v>
      </c>
      <c r="N2871">
        <v>82.641193000000001</v>
      </c>
      <c r="O2871">
        <v>28.452999999999999</v>
      </c>
      <c r="P2871">
        <v>31.629000000000001</v>
      </c>
      <c r="Q2871">
        <v>20.765000000000001</v>
      </c>
      <c r="R2871">
        <v>26</v>
      </c>
      <c r="S2871" t="s">
        <v>83</v>
      </c>
      <c r="T2871">
        <f>IF(TRIM(Table1[[#This Row],[PitStopLaps]])="",0,
LEN(Table1[[#This Row],[PitStopLaps]])-LEN(SUBSTITUTE(Table1[[#This Row],[PitStopLaps]],",",""))+1)</f>
        <v>1</v>
      </c>
      <c r="U2871">
        <f>Table1[[#This Row],[StartPosition]]-Table1[[#This Row],[FinishPosition]]</f>
        <v>3</v>
      </c>
    </row>
    <row r="2872" spans="1:21" x14ac:dyDescent="0.3">
      <c r="A2872">
        <v>2024</v>
      </c>
      <c r="B2872">
        <v>20</v>
      </c>
      <c r="C2872" t="s">
        <v>736</v>
      </c>
      <c r="D2872" t="s">
        <v>1283</v>
      </c>
      <c r="E2872" t="s">
        <v>1284</v>
      </c>
      <c r="F2872" t="s">
        <v>60</v>
      </c>
      <c r="G2872">
        <v>16</v>
      </c>
      <c r="H2872">
        <v>12</v>
      </c>
      <c r="I2872">
        <v>0</v>
      </c>
      <c r="J2872" t="s">
        <v>34</v>
      </c>
      <c r="K2872" t="s">
        <v>994</v>
      </c>
      <c r="L2872">
        <v>70</v>
      </c>
      <c r="M2872">
        <v>80.09</v>
      </c>
      <c r="N2872">
        <v>82.634289999999993</v>
      </c>
      <c r="O2872">
        <v>28.335999999999999</v>
      </c>
      <c r="P2872">
        <v>31.029</v>
      </c>
      <c r="Q2872">
        <v>20.527000000000001</v>
      </c>
      <c r="R2872">
        <v>47</v>
      </c>
      <c r="S2872" t="s">
        <v>83</v>
      </c>
      <c r="T2872">
        <f>IF(TRIM(Table1[[#This Row],[PitStopLaps]])="",0,
LEN(Table1[[#This Row],[PitStopLaps]])-LEN(SUBSTITUTE(Table1[[#This Row],[PitStopLaps]],",",""))+1)</f>
        <v>1</v>
      </c>
      <c r="U2872">
        <f>Table1[[#This Row],[StartPosition]]-Table1[[#This Row],[FinishPosition]]</f>
        <v>4</v>
      </c>
    </row>
    <row r="2873" spans="1:21" x14ac:dyDescent="0.3">
      <c r="A2873">
        <v>2024</v>
      </c>
      <c r="B2873">
        <v>20</v>
      </c>
      <c r="C2873" t="s">
        <v>736</v>
      </c>
      <c r="D2873" t="s">
        <v>52</v>
      </c>
      <c r="E2873" t="s">
        <v>53</v>
      </c>
      <c r="F2873" t="s">
        <v>607</v>
      </c>
      <c r="G2873">
        <v>0</v>
      </c>
      <c r="H2873">
        <v>13</v>
      </c>
      <c r="I2873">
        <v>0</v>
      </c>
      <c r="J2873" t="s">
        <v>34</v>
      </c>
      <c r="K2873" t="s">
        <v>994</v>
      </c>
      <c r="L2873">
        <v>70</v>
      </c>
      <c r="M2873">
        <v>80.659000000000006</v>
      </c>
      <c r="N2873">
        <v>82.802209000000005</v>
      </c>
      <c r="O2873">
        <v>28.32</v>
      </c>
      <c r="P2873">
        <v>31.387</v>
      </c>
      <c r="Q2873">
        <v>20.811</v>
      </c>
      <c r="R2873">
        <v>48</v>
      </c>
      <c r="S2873" t="s">
        <v>83</v>
      </c>
      <c r="T2873">
        <f>IF(TRIM(Table1[[#This Row],[PitStopLaps]])="",0,
LEN(Table1[[#This Row],[PitStopLaps]])-LEN(SUBSTITUTE(Table1[[#This Row],[PitStopLaps]],",",""))+1)</f>
        <v>1</v>
      </c>
      <c r="U2873">
        <f>Table1[[#This Row],[StartPosition]]-Table1[[#This Row],[FinishPosition]]</f>
        <v>-13</v>
      </c>
    </row>
    <row r="2874" spans="1:21" x14ac:dyDescent="0.3">
      <c r="A2874">
        <v>2024</v>
      </c>
      <c r="B2874">
        <v>20</v>
      </c>
      <c r="C2874" t="s">
        <v>736</v>
      </c>
      <c r="D2874" t="s">
        <v>43</v>
      </c>
      <c r="E2874" t="s">
        <v>44</v>
      </c>
      <c r="F2874" t="s">
        <v>1175</v>
      </c>
      <c r="G2874">
        <v>15</v>
      </c>
      <c r="H2874">
        <v>14</v>
      </c>
      <c r="I2874">
        <v>0</v>
      </c>
      <c r="J2874" t="s">
        <v>34</v>
      </c>
      <c r="K2874" t="s">
        <v>994</v>
      </c>
      <c r="L2874">
        <v>70</v>
      </c>
      <c r="M2874">
        <v>81.084999999999994</v>
      </c>
      <c r="N2874">
        <v>82.895466999999996</v>
      </c>
      <c r="O2874">
        <v>28.806000000000001</v>
      </c>
      <c r="P2874">
        <v>31.222000000000001</v>
      </c>
      <c r="Q2874">
        <v>20.808</v>
      </c>
      <c r="R2874">
        <v>49</v>
      </c>
      <c r="S2874" t="s">
        <v>83</v>
      </c>
      <c r="T2874">
        <f>IF(TRIM(Table1[[#This Row],[PitStopLaps]])="",0,
LEN(Table1[[#This Row],[PitStopLaps]])-LEN(SUBSTITUTE(Table1[[#This Row],[PitStopLaps]],",",""))+1)</f>
        <v>1</v>
      </c>
      <c r="U2874">
        <f>Table1[[#This Row],[StartPosition]]-Table1[[#This Row],[FinishPosition]]</f>
        <v>1</v>
      </c>
    </row>
    <row r="2875" spans="1:21" x14ac:dyDescent="0.3">
      <c r="A2875">
        <v>2024</v>
      </c>
      <c r="B2875">
        <v>20</v>
      </c>
      <c r="C2875" t="s">
        <v>736</v>
      </c>
      <c r="D2875" t="s">
        <v>794</v>
      </c>
      <c r="E2875" t="s">
        <v>795</v>
      </c>
      <c r="F2875" t="s">
        <v>1175</v>
      </c>
      <c r="G2875">
        <v>19</v>
      </c>
      <c r="H2875">
        <v>15</v>
      </c>
      <c r="I2875">
        <v>0</v>
      </c>
      <c r="J2875" t="s">
        <v>34</v>
      </c>
      <c r="K2875" t="s">
        <v>994</v>
      </c>
      <c r="L2875">
        <v>70</v>
      </c>
      <c r="M2875">
        <v>81.552999999999997</v>
      </c>
      <c r="N2875">
        <v>83.158434999999997</v>
      </c>
      <c r="O2875">
        <v>28.652000000000001</v>
      </c>
      <c r="P2875">
        <v>31.591000000000001</v>
      </c>
      <c r="Q2875">
        <v>20.965</v>
      </c>
      <c r="R2875">
        <v>43</v>
      </c>
      <c r="S2875" t="s">
        <v>83</v>
      </c>
      <c r="T2875">
        <f>IF(TRIM(Table1[[#This Row],[PitStopLaps]])="",0,
LEN(Table1[[#This Row],[PitStopLaps]])-LEN(SUBSTITUTE(Table1[[#This Row],[PitStopLaps]],",",""))+1)</f>
        <v>1</v>
      </c>
      <c r="U2875">
        <f>Table1[[#This Row],[StartPosition]]-Table1[[#This Row],[FinishPosition]]</f>
        <v>4</v>
      </c>
    </row>
    <row r="2876" spans="1:21" x14ac:dyDescent="0.3">
      <c r="A2876">
        <v>2024</v>
      </c>
      <c r="B2876">
        <v>20</v>
      </c>
      <c r="C2876" t="s">
        <v>736</v>
      </c>
      <c r="D2876" t="s">
        <v>1092</v>
      </c>
      <c r="E2876" t="s">
        <v>1093</v>
      </c>
      <c r="F2876" t="s">
        <v>1176</v>
      </c>
      <c r="G2876">
        <v>12</v>
      </c>
      <c r="H2876">
        <v>16</v>
      </c>
      <c r="I2876">
        <v>0</v>
      </c>
      <c r="J2876" t="s">
        <v>34</v>
      </c>
      <c r="K2876" t="s">
        <v>994</v>
      </c>
      <c r="L2876">
        <v>70</v>
      </c>
      <c r="M2876">
        <v>79.501999999999995</v>
      </c>
      <c r="N2876">
        <v>82.711215999999993</v>
      </c>
      <c r="O2876">
        <v>28.370999999999999</v>
      </c>
      <c r="P2876">
        <v>30.565000000000001</v>
      </c>
      <c r="Q2876">
        <v>20.529</v>
      </c>
      <c r="R2876" t="s">
        <v>1295</v>
      </c>
      <c r="S2876" t="s">
        <v>83</v>
      </c>
      <c r="T2876">
        <f>IF(TRIM(Table1[[#This Row],[PitStopLaps]])="",0,
LEN(Table1[[#This Row],[PitStopLaps]])-LEN(SUBSTITUTE(Table1[[#This Row],[PitStopLaps]],",",""))+1)</f>
        <v>2</v>
      </c>
      <c r="U2876">
        <f>Table1[[#This Row],[StartPosition]]-Table1[[#This Row],[FinishPosition]]</f>
        <v>-4</v>
      </c>
    </row>
    <row r="2877" spans="1:21" x14ac:dyDescent="0.3">
      <c r="A2877">
        <v>2024</v>
      </c>
      <c r="B2877">
        <v>20</v>
      </c>
      <c r="C2877" t="s">
        <v>736</v>
      </c>
      <c r="D2877" t="s">
        <v>49</v>
      </c>
      <c r="E2877" t="s">
        <v>50</v>
      </c>
      <c r="F2877" t="s">
        <v>33</v>
      </c>
      <c r="G2877">
        <v>18</v>
      </c>
      <c r="H2877">
        <v>17</v>
      </c>
      <c r="I2877">
        <v>0</v>
      </c>
      <c r="J2877" t="s">
        <v>34</v>
      </c>
      <c r="K2877" t="s">
        <v>994</v>
      </c>
      <c r="L2877">
        <v>70</v>
      </c>
      <c r="M2877">
        <v>79.209000000000003</v>
      </c>
      <c r="N2877">
        <v>82.586482000000004</v>
      </c>
      <c r="O2877">
        <v>28.369</v>
      </c>
      <c r="P2877">
        <v>30.492000000000001</v>
      </c>
      <c r="Q2877">
        <v>20.347999999999999</v>
      </c>
      <c r="R2877" t="s">
        <v>1296</v>
      </c>
      <c r="S2877" t="s">
        <v>83</v>
      </c>
      <c r="T2877">
        <f>IF(TRIM(Table1[[#This Row],[PitStopLaps]])="",0,
LEN(Table1[[#This Row],[PitStopLaps]])-LEN(SUBSTITUTE(Table1[[#This Row],[PitStopLaps]],",",""))+1)</f>
        <v>3</v>
      </c>
      <c r="U2877">
        <f>Table1[[#This Row],[StartPosition]]-Table1[[#This Row],[FinishPosition]]</f>
        <v>1</v>
      </c>
    </row>
    <row r="2878" spans="1:21" x14ac:dyDescent="0.3">
      <c r="A2878">
        <v>2024</v>
      </c>
      <c r="B2878">
        <v>20</v>
      </c>
      <c r="C2878" t="s">
        <v>736</v>
      </c>
      <c r="D2878" t="s">
        <v>35</v>
      </c>
      <c r="E2878" t="s">
        <v>36</v>
      </c>
      <c r="F2878" t="s">
        <v>603</v>
      </c>
      <c r="G2878">
        <v>13</v>
      </c>
      <c r="H2878">
        <v>18</v>
      </c>
      <c r="I2878">
        <v>0</v>
      </c>
      <c r="J2878" t="s">
        <v>34</v>
      </c>
      <c r="K2878" t="s">
        <v>179</v>
      </c>
      <c r="L2878">
        <v>15</v>
      </c>
      <c r="M2878">
        <v>82.721999999999994</v>
      </c>
      <c r="N2878">
        <v>83.507428000000004</v>
      </c>
      <c r="O2878">
        <v>28.885000000000002</v>
      </c>
      <c r="P2878">
        <v>32.067999999999998</v>
      </c>
      <c r="Q2878">
        <v>21.289000000000001</v>
      </c>
      <c r="R2878">
        <v>15</v>
      </c>
      <c r="S2878" t="s">
        <v>83</v>
      </c>
      <c r="T2878">
        <f>IF(TRIM(Table1[[#This Row],[PitStopLaps]])="",0,
LEN(Table1[[#This Row],[PitStopLaps]])-LEN(SUBSTITUTE(Table1[[#This Row],[PitStopLaps]],",",""))+1)</f>
        <v>1</v>
      </c>
      <c r="U2878">
        <f>Table1[[#This Row],[StartPosition]]-Table1[[#This Row],[FinishPosition]]</f>
        <v>-5</v>
      </c>
    </row>
    <row r="2879" spans="1:21" x14ac:dyDescent="0.3">
      <c r="A2879">
        <v>2024</v>
      </c>
      <c r="B2879">
        <v>20</v>
      </c>
      <c r="C2879" t="s">
        <v>736</v>
      </c>
      <c r="D2879" t="s">
        <v>248</v>
      </c>
      <c r="E2879" t="s">
        <v>249</v>
      </c>
      <c r="F2879" t="s">
        <v>60</v>
      </c>
      <c r="G2879">
        <v>9</v>
      </c>
      <c r="H2879">
        <v>19</v>
      </c>
      <c r="I2879">
        <v>0</v>
      </c>
      <c r="J2879" t="s">
        <v>34</v>
      </c>
      <c r="K2879" t="s">
        <v>179</v>
      </c>
      <c r="L2879">
        <v>1</v>
      </c>
      <c r="S2879" t="s">
        <v>83</v>
      </c>
      <c r="T2879">
        <f>IF(TRIM(Table1[[#This Row],[PitStopLaps]])="",0,
LEN(Table1[[#This Row],[PitStopLaps]])-LEN(SUBSTITUTE(Table1[[#This Row],[PitStopLaps]],",",""))+1)</f>
        <v>0</v>
      </c>
      <c r="U2879">
        <f>Table1[[#This Row],[StartPosition]]-Table1[[#This Row],[FinishPosition]]</f>
        <v>-10</v>
      </c>
    </row>
    <row r="2880" spans="1:21" x14ac:dyDescent="0.3">
      <c r="A2880">
        <v>2024</v>
      </c>
      <c r="B2880">
        <v>20</v>
      </c>
      <c r="C2880" t="s">
        <v>736</v>
      </c>
      <c r="D2880" t="s">
        <v>601</v>
      </c>
      <c r="E2880" t="s">
        <v>602</v>
      </c>
      <c r="F2880" t="s">
        <v>1176</v>
      </c>
      <c r="G2880">
        <v>11</v>
      </c>
      <c r="H2880">
        <v>20</v>
      </c>
      <c r="I2880">
        <v>0</v>
      </c>
      <c r="J2880" t="s">
        <v>34</v>
      </c>
      <c r="K2880" t="s">
        <v>179</v>
      </c>
      <c r="L2880">
        <v>1</v>
      </c>
      <c r="S2880" t="s">
        <v>83</v>
      </c>
      <c r="T2880">
        <f>IF(TRIM(Table1[[#This Row],[PitStopLaps]])="",0,
LEN(Table1[[#This Row],[PitStopLaps]])-LEN(SUBSTITUTE(Table1[[#This Row],[PitStopLaps]],",",""))+1)</f>
        <v>0</v>
      </c>
      <c r="U2880">
        <f>Table1[[#This Row],[StartPosition]]-Table1[[#This Row],[FinishPosition]]</f>
        <v>-9</v>
      </c>
    </row>
    <row r="2881" spans="1:21" x14ac:dyDescent="0.3">
      <c r="A2881">
        <v>2024</v>
      </c>
      <c r="B2881">
        <v>21</v>
      </c>
      <c r="C2881" t="s">
        <v>741</v>
      </c>
      <c r="D2881" t="s">
        <v>38</v>
      </c>
      <c r="E2881" t="s">
        <v>39</v>
      </c>
      <c r="F2881" t="s">
        <v>33</v>
      </c>
      <c r="G2881">
        <v>17</v>
      </c>
      <c r="H2881">
        <v>1</v>
      </c>
      <c r="I2881">
        <v>26</v>
      </c>
      <c r="J2881" t="s">
        <v>23</v>
      </c>
      <c r="K2881" t="s">
        <v>24</v>
      </c>
      <c r="L2881">
        <v>69</v>
      </c>
      <c r="M2881">
        <v>80.471999999999994</v>
      </c>
      <c r="N2881">
        <v>84.017758000000001</v>
      </c>
      <c r="O2881">
        <v>20.545999999999999</v>
      </c>
      <c r="P2881">
        <v>42.235999999999997</v>
      </c>
      <c r="Q2881">
        <v>17.690000000000001</v>
      </c>
      <c r="R2881">
        <v>32</v>
      </c>
      <c r="S2881" t="s">
        <v>25</v>
      </c>
      <c r="T2881">
        <f>IF(TRIM(Table1[[#This Row],[PitStopLaps]])="",0,
LEN(Table1[[#This Row],[PitStopLaps]])-LEN(SUBSTITUTE(Table1[[#This Row],[PitStopLaps]],",",""))+1)</f>
        <v>1</v>
      </c>
      <c r="U2881">
        <f>Table1[[#This Row],[StartPosition]]-Table1[[#This Row],[FinishPosition]]</f>
        <v>16</v>
      </c>
    </row>
    <row r="2882" spans="1:21" x14ac:dyDescent="0.3">
      <c r="A2882">
        <v>2024</v>
      </c>
      <c r="B2882">
        <v>21</v>
      </c>
      <c r="C2882" t="s">
        <v>741</v>
      </c>
      <c r="D2882" t="s">
        <v>52</v>
      </c>
      <c r="E2882" t="s">
        <v>53</v>
      </c>
      <c r="F2882" t="s">
        <v>607</v>
      </c>
      <c r="G2882">
        <v>4</v>
      </c>
      <c r="H2882">
        <v>2</v>
      </c>
      <c r="I2882">
        <v>18</v>
      </c>
      <c r="J2882" t="s">
        <v>23</v>
      </c>
      <c r="K2882" t="s">
        <v>24</v>
      </c>
      <c r="L2882">
        <v>69</v>
      </c>
      <c r="M2882">
        <v>81.771000000000001</v>
      </c>
      <c r="N2882">
        <v>84.312861999999996</v>
      </c>
      <c r="O2882">
        <v>20.646000000000001</v>
      </c>
      <c r="P2882">
        <v>42.997999999999998</v>
      </c>
      <c r="Q2882">
        <v>18.001000000000001</v>
      </c>
      <c r="R2882">
        <v>32</v>
      </c>
      <c r="S2882" t="s">
        <v>25</v>
      </c>
      <c r="T2882">
        <f>IF(TRIM(Table1[[#This Row],[PitStopLaps]])="",0,
LEN(Table1[[#This Row],[PitStopLaps]])-LEN(SUBSTITUTE(Table1[[#This Row],[PitStopLaps]],",",""))+1)</f>
        <v>1</v>
      </c>
      <c r="U2882">
        <f>Table1[[#This Row],[StartPosition]]-Table1[[#This Row],[FinishPosition]]</f>
        <v>2</v>
      </c>
    </row>
    <row r="2883" spans="1:21" x14ac:dyDescent="0.3">
      <c r="A2883">
        <v>2024</v>
      </c>
      <c r="B2883">
        <v>21</v>
      </c>
      <c r="C2883" t="s">
        <v>741</v>
      </c>
      <c r="D2883" t="s">
        <v>73</v>
      </c>
      <c r="E2883" t="s">
        <v>74</v>
      </c>
      <c r="F2883" t="s">
        <v>607</v>
      </c>
      <c r="G2883">
        <v>13</v>
      </c>
      <c r="H2883">
        <v>3</v>
      </c>
      <c r="I2883">
        <v>15</v>
      </c>
      <c r="J2883" t="s">
        <v>23</v>
      </c>
      <c r="K2883" t="s">
        <v>24</v>
      </c>
      <c r="L2883">
        <v>69</v>
      </c>
      <c r="M2883">
        <v>81.644999999999996</v>
      </c>
      <c r="N2883">
        <v>84.582655000000003</v>
      </c>
      <c r="O2883">
        <v>20.724</v>
      </c>
      <c r="P2883">
        <v>42.95</v>
      </c>
      <c r="Q2883">
        <v>17.866</v>
      </c>
      <c r="R2883">
        <v>32</v>
      </c>
      <c r="S2883" t="s">
        <v>25</v>
      </c>
      <c r="T2883">
        <f>IF(TRIM(Table1[[#This Row],[PitStopLaps]])="",0,
LEN(Table1[[#This Row],[PitStopLaps]])-LEN(SUBSTITUTE(Table1[[#This Row],[PitStopLaps]],",",""))+1)</f>
        <v>1</v>
      </c>
      <c r="U2883">
        <f>Table1[[#This Row],[StartPosition]]-Table1[[#This Row],[FinishPosition]]</f>
        <v>10</v>
      </c>
    </row>
    <row r="2884" spans="1:21" x14ac:dyDescent="0.3">
      <c r="A2884">
        <v>2024</v>
      </c>
      <c r="B2884">
        <v>21</v>
      </c>
      <c r="C2884" t="s">
        <v>741</v>
      </c>
      <c r="D2884" t="s">
        <v>252</v>
      </c>
      <c r="E2884" t="s">
        <v>253</v>
      </c>
      <c r="F2884" t="s">
        <v>28</v>
      </c>
      <c r="G2884">
        <v>2</v>
      </c>
      <c r="H2884">
        <v>4</v>
      </c>
      <c r="I2884">
        <v>12</v>
      </c>
      <c r="J2884" t="s">
        <v>34</v>
      </c>
      <c r="K2884" t="s">
        <v>24</v>
      </c>
      <c r="L2884">
        <v>69</v>
      </c>
      <c r="M2884">
        <v>81.644999999999996</v>
      </c>
      <c r="N2884">
        <v>84.126534000000007</v>
      </c>
      <c r="O2884">
        <v>20.809000000000001</v>
      </c>
      <c r="P2884">
        <v>42.987000000000002</v>
      </c>
      <c r="Q2884">
        <v>17.72</v>
      </c>
      <c r="R2884" t="s">
        <v>1297</v>
      </c>
      <c r="S2884" t="s">
        <v>25</v>
      </c>
      <c r="T2884">
        <f>IF(TRIM(Table1[[#This Row],[PitStopLaps]])="",0,
LEN(Table1[[#This Row],[PitStopLaps]])-LEN(SUBSTITUTE(Table1[[#This Row],[PitStopLaps]],",",""))+1)</f>
        <v>2</v>
      </c>
      <c r="U2884">
        <f>Table1[[#This Row],[StartPosition]]-Table1[[#This Row],[FinishPosition]]</f>
        <v>-2</v>
      </c>
    </row>
    <row r="2885" spans="1:21" x14ac:dyDescent="0.3">
      <c r="A2885">
        <v>2024</v>
      </c>
      <c r="B2885">
        <v>21</v>
      </c>
      <c r="C2885" t="s">
        <v>741</v>
      </c>
      <c r="D2885" t="s">
        <v>54</v>
      </c>
      <c r="E2885" t="s">
        <v>55</v>
      </c>
      <c r="F2885" t="s">
        <v>22</v>
      </c>
      <c r="G2885">
        <v>6</v>
      </c>
      <c r="H2885">
        <v>5</v>
      </c>
      <c r="I2885">
        <v>10</v>
      </c>
      <c r="J2885" t="s">
        <v>34</v>
      </c>
      <c r="K2885" t="s">
        <v>24</v>
      </c>
      <c r="L2885">
        <v>69</v>
      </c>
      <c r="M2885">
        <v>81.631</v>
      </c>
      <c r="N2885">
        <v>84.651838999999995</v>
      </c>
      <c r="O2885">
        <v>20.702999999999999</v>
      </c>
      <c r="P2885">
        <v>43.002000000000002</v>
      </c>
      <c r="Q2885">
        <v>17.797999999999998</v>
      </c>
      <c r="R2885" t="s">
        <v>1298</v>
      </c>
      <c r="S2885" t="s">
        <v>25</v>
      </c>
      <c r="T2885">
        <f>IF(TRIM(Table1[[#This Row],[PitStopLaps]])="",0,
LEN(Table1[[#This Row],[PitStopLaps]])-LEN(SUBSTITUTE(Table1[[#This Row],[PitStopLaps]],",",""))+1)</f>
        <v>2</v>
      </c>
      <c r="U2885">
        <f>Table1[[#This Row],[StartPosition]]-Table1[[#This Row],[FinishPosition]]</f>
        <v>1</v>
      </c>
    </row>
    <row r="2886" spans="1:21" x14ac:dyDescent="0.3">
      <c r="A2886">
        <v>2024</v>
      </c>
      <c r="B2886">
        <v>21</v>
      </c>
      <c r="C2886" t="s">
        <v>741</v>
      </c>
      <c r="D2886" t="s">
        <v>246</v>
      </c>
      <c r="E2886" t="s">
        <v>247</v>
      </c>
      <c r="F2886" t="s">
        <v>37</v>
      </c>
      <c r="G2886">
        <v>1</v>
      </c>
      <c r="H2886">
        <v>6</v>
      </c>
      <c r="I2886">
        <v>8</v>
      </c>
      <c r="J2886" t="s">
        <v>34</v>
      </c>
      <c r="K2886" t="s">
        <v>24</v>
      </c>
      <c r="L2886">
        <v>69</v>
      </c>
      <c r="M2886">
        <v>81.516999999999996</v>
      </c>
      <c r="N2886">
        <v>84.298688999999996</v>
      </c>
      <c r="O2886">
        <v>20.725000000000001</v>
      </c>
      <c r="P2886">
        <v>42.808999999999997</v>
      </c>
      <c r="Q2886">
        <v>17.760000000000002</v>
      </c>
      <c r="R2886" t="s">
        <v>1297</v>
      </c>
      <c r="S2886" t="s">
        <v>25</v>
      </c>
      <c r="T2886">
        <f>IF(TRIM(Table1[[#This Row],[PitStopLaps]])="",0,
LEN(Table1[[#This Row],[PitStopLaps]])-LEN(SUBSTITUTE(Table1[[#This Row],[PitStopLaps]],",",""))+1)</f>
        <v>2</v>
      </c>
      <c r="U2886">
        <f>Table1[[#This Row],[StartPosition]]-Table1[[#This Row],[FinishPosition]]</f>
        <v>-5</v>
      </c>
    </row>
    <row r="2887" spans="1:21" x14ac:dyDescent="0.3">
      <c r="A2887">
        <v>2024</v>
      </c>
      <c r="B2887">
        <v>21</v>
      </c>
      <c r="C2887" t="s">
        <v>741</v>
      </c>
      <c r="D2887" t="s">
        <v>601</v>
      </c>
      <c r="E2887" t="s">
        <v>602</v>
      </c>
      <c r="F2887" t="s">
        <v>1176</v>
      </c>
      <c r="G2887">
        <v>3</v>
      </c>
      <c r="H2887">
        <v>7</v>
      </c>
      <c r="I2887">
        <v>6</v>
      </c>
      <c r="J2887" t="s">
        <v>34</v>
      </c>
      <c r="K2887" t="s">
        <v>24</v>
      </c>
      <c r="L2887">
        <v>69</v>
      </c>
      <c r="M2887">
        <v>81.828000000000003</v>
      </c>
      <c r="N2887">
        <v>84.761578</v>
      </c>
      <c r="O2887">
        <v>20.756</v>
      </c>
      <c r="P2887">
        <v>43.12</v>
      </c>
      <c r="Q2887">
        <v>17.866</v>
      </c>
      <c r="R2887" t="s">
        <v>1297</v>
      </c>
      <c r="S2887" t="s">
        <v>25</v>
      </c>
      <c r="T2887">
        <f>IF(TRIM(Table1[[#This Row],[PitStopLaps]])="",0,
LEN(Table1[[#This Row],[PitStopLaps]])-LEN(SUBSTITUTE(Table1[[#This Row],[PitStopLaps]],",",""))+1)</f>
        <v>2</v>
      </c>
      <c r="U2887">
        <f>Table1[[#This Row],[StartPosition]]-Table1[[#This Row],[FinishPosition]]</f>
        <v>-4</v>
      </c>
    </row>
    <row r="2888" spans="1:21" x14ac:dyDescent="0.3">
      <c r="A2888">
        <v>2024</v>
      </c>
      <c r="B2888">
        <v>21</v>
      </c>
      <c r="C2888" t="s">
        <v>741</v>
      </c>
      <c r="D2888" t="s">
        <v>1000</v>
      </c>
      <c r="E2888" t="s">
        <v>1001</v>
      </c>
      <c r="F2888" t="s">
        <v>37</v>
      </c>
      <c r="G2888">
        <v>8</v>
      </c>
      <c r="H2888">
        <v>8</v>
      </c>
      <c r="I2888">
        <v>4</v>
      </c>
      <c r="J2888" t="s">
        <v>34</v>
      </c>
      <c r="K2888" t="s">
        <v>24</v>
      </c>
      <c r="L2888">
        <v>69</v>
      </c>
      <c r="M2888">
        <v>81.531999999999996</v>
      </c>
      <c r="N2888">
        <v>84.947430999999995</v>
      </c>
      <c r="O2888">
        <v>20.783999999999999</v>
      </c>
      <c r="P2888">
        <v>42.890999999999998</v>
      </c>
      <c r="Q2888">
        <v>17.757999999999999</v>
      </c>
      <c r="R2888" t="s">
        <v>1061</v>
      </c>
      <c r="S2888" t="s">
        <v>25</v>
      </c>
      <c r="T2888">
        <f>IF(TRIM(Table1[[#This Row],[PitStopLaps]])="",0,
LEN(Table1[[#This Row],[PitStopLaps]])-LEN(SUBSTITUTE(Table1[[#This Row],[PitStopLaps]],",",""))+1)</f>
        <v>2</v>
      </c>
      <c r="U2888">
        <f>Table1[[#This Row],[StartPosition]]-Table1[[#This Row],[FinishPosition]]</f>
        <v>0</v>
      </c>
    </row>
    <row r="2889" spans="1:21" x14ac:dyDescent="0.3">
      <c r="A2889">
        <v>2024</v>
      </c>
      <c r="B2889">
        <v>21</v>
      </c>
      <c r="C2889" t="s">
        <v>741</v>
      </c>
      <c r="D2889" t="s">
        <v>1092</v>
      </c>
      <c r="E2889" t="s">
        <v>1093</v>
      </c>
      <c r="F2889" t="s">
        <v>1176</v>
      </c>
      <c r="G2889">
        <v>5</v>
      </c>
      <c r="H2889">
        <v>9</v>
      </c>
      <c r="I2889">
        <v>2</v>
      </c>
      <c r="J2889" t="s">
        <v>34</v>
      </c>
      <c r="K2889" t="s">
        <v>24</v>
      </c>
      <c r="L2889">
        <v>69</v>
      </c>
      <c r="M2889">
        <v>82.123000000000005</v>
      </c>
      <c r="N2889">
        <v>85.132192000000003</v>
      </c>
      <c r="O2889">
        <v>20.99</v>
      </c>
      <c r="P2889">
        <v>43.161999999999999</v>
      </c>
      <c r="Q2889">
        <v>17.898</v>
      </c>
      <c r="R2889" t="s">
        <v>1297</v>
      </c>
      <c r="S2889" t="s">
        <v>25</v>
      </c>
      <c r="T2889">
        <f>IF(TRIM(Table1[[#This Row],[PitStopLaps]])="",0,
LEN(Table1[[#This Row],[PitStopLaps]])-LEN(SUBSTITUTE(Table1[[#This Row],[PitStopLaps]],",",""))+1)</f>
        <v>2</v>
      </c>
      <c r="U2889">
        <f>Table1[[#This Row],[StartPosition]]-Table1[[#This Row],[FinishPosition]]</f>
        <v>-4</v>
      </c>
    </row>
    <row r="2890" spans="1:21" x14ac:dyDescent="0.3">
      <c r="A2890">
        <v>2024</v>
      </c>
      <c r="B2890">
        <v>21</v>
      </c>
      <c r="C2890" t="s">
        <v>741</v>
      </c>
      <c r="D2890" t="s">
        <v>26</v>
      </c>
      <c r="E2890" t="s">
        <v>27</v>
      </c>
      <c r="F2890" t="s">
        <v>28</v>
      </c>
      <c r="G2890">
        <v>14</v>
      </c>
      <c r="H2890">
        <v>10</v>
      </c>
      <c r="I2890">
        <v>1</v>
      </c>
      <c r="J2890" t="s">
        <v>34</v>
      </c>
      <c r="K2890" t="s">
        <v>24</v>
      </c>
      <c r="L2890">
        <v>69</v>
      </c>
      <c r="M2890">
        <v>82.040999999999997</v>
      </c>
      <c r="N2890">
        <v>85.566964999999996</v>
      </c>
      <c r="O2890">
        <v>20.792000000000002</v>
      </c>
      <c r="P2890">
        <v>42.957000000000001</v>
      </c>
      <c r="Q2890">
        <v>17.771000000000001</v>
      </c>
      <c r="R2890" t="s">
        <v>1061</v>
      </c>
      <c r="S2890" t="s">
        <v>25</v>
      </c>
      <c r="T2890">
        <f>IF(TRIM(Table1[[#This Row],[PitStopLaps]])="",0,
LEN(Table1[[#This Row],[PitStopLaps]])-LEN(SUBSTITUTE(Table1[[#This Row],[PitStopLaps]],",",""))+1)</f>
        <v>2</v>
      </c>
      <c r="U2890">
        <f>Table1[[#This Row],[StartPosition]]-Table1[[#This Row],[FinishPosition]]</f>
        <v>4</v>
      </c>
    </row>
    <row r="2891" spans="1:21" x14ac:dyDescent="0.3">
      <c r="A2891">
        <v>2024</v>
      </c>
      <c r="B2891">
        <v>21</v>
      </c>
      <c r="C2891" t="s">
        <v>741</v>
      </c>
      <c r="D2891" t="s">
        <v>49</v>
      </c>
      <c r="E2891" t="s">
        <v>50</v>
      </c>
      <c r="F2891" t="s">
        <v>33</v>
      </c>
      <c r="G2891">
        <v>12</v>
      </c>
      <c r="H2891">
        <v>11</v>
      </c>
      <c r="I2891">
        <v>0</v>
      </c>
      <c r="J2891" t="s">
        <v>34</v>
      </c>
      <c r="K2891" t="s">
        <v>24</v>
      </c>
      <c r="L2891">
        <v>69</v>
      </c>
      <c r="M2891">
        <v>82.143000000000001</v>
      </c>
      <c r="N2891">
        <v>85.479275000000001</v>
      </c>
      <c r="O2891">
        <v>20.858000000000001</v>
      </c>
      <c r="P2891">
        <v>43.115000000000002</v>
      </c>
      <c r="Q2891">
        <v>17.917000000000002</v>
      </c>
      <c r="R2891" t="s">
        <v>1061</v>
      </c>
      <c r="S2891" t="s">
        <v>25</v>
      </c>
      <c r="T2891">
        <f>IF(TRIM(Table1[[#This Row],[PitStopLaps]])="",0,
LEN(Table1[[#This Row],[PitStopLaps]])-LEN(SUBSTITUTE(Table1[[#This Row],[PitStopLaps]],",",""))+1)</f>
        <v>2</v>
      </c>
      <c r="U2891">
        <f>Table1[[#This Row],[StartPosition]]-Table1[[#This Row],[FinishPosition]]</f>
        <v>1</v>
      </c>
    </row>
    <row r="2892" spans="1:21" x14ac:dyDescent="0.3">
      <c r="A2892">
        <v>2024</v>
      </c>
      <c r="B2892">
        <v>21</v>
      </c>
      <c r="C2892" t="s">
        <v>741</v>
      </c>
      <c r="D2892" t="s">
        <v>1180</v>
      </c>
      <c r="E2892" t="s">
        <v>1181</v>
      </c>
      <c r="F2892" t="s">
        <v>69</v>
      </c>
      <c r="G2892">
        <v>15</v>
      </c>
      <c r="H2892">
        <v>12</v>
      </c>
      <c r="I2892">
        <v>0</v>
      </c>
      <c r="J2892" t="s">
        <v>34</v>
      </c>
      <c r="K2892" t="s">
        <v>24</v>
      </c>
      <c r="L2892">
        <v>69</v>
      </c>
      <c r="M2892">
        <v>82.494</v>
      </c>
      <c r="N2892">
        <v>85.899154999999993</v>
      </c>
      <c r="O2892">
        <v>20.963999999999999</v>
      </c>
      <c r="P2892">
        <v>43.343000000000004</v>
      </c>
      <c r="Q2892">
        <v>17.911999999999999</v>
      </c>
      <c r="R2892" t="s">
        <v>1061</v>
      </c>
      <c r="S2892" t="s">
        <v>25</v>
      </c>
      <c r="T2892">
        <f>IF(TRIM(Table1[[#This Row],[PitStopLaps]])="",0,
LEN(Table1[[#This Row],[PitStopLaps]])-LEN(SUBSTITUTE(Table1[[#This Row],[PitStopLaps]],",",""))+1)</f>
        <v>2</v>
      </c>
      <c r="U2892">
        <f>Table1[[#This Row],[StartPosition]]-Table1[[#This Row],[FinishPosition]]</f>
        <v>3</v>
      </c>
    </row>
    <row r="2893" spans="1:21" x14ac:dyDescent="0.3">
      <c r="A2893">
        <v>2024</v>
      </c>
      <c r="B2893">
        <v>21</v>
      </c>
      <c r="C2893" t="s">
        <v>741</v>
      </c>
      <c r="D2893" t="s">
        <v>43</v>
      </c>
      <c r="E2893" t="s">
        <v>44</v>
      </c>
      <c r="F2893" t="s">
        <v>1175</v>
      </c>
      <c r="G2893">
        <v>11</v>
      </c>
      <c r="H2893">
        <v>13</v>
      </c>
      <c r="I2893">
        <v>0</v>
      </c>
      <c r="J2893" t="s">
        <v>34</v>
      </c>
      <c r="K2893" t="s">
        <v>24</v>
      </c>
      <c r="L2893">
        <v>69</v>
      </c>
      <c r="M2893">
        <v>82.876999999999995</v>
      </c>
      <c r="N2893">
        <v>86.164758000000006</v>
      </c>
      <c r="O2893">
        <v>21.058</v>
      </c>
      <c r="P2893">
        <v>43.344999999999999</v>
      </c>
      <c r="Q2893">
        <v>18.164999999999999</v>
      </c>
      <c r="R2893">
        <v>32</v>
      </c>
      <c r="S2893" t="s">
        <v>25</v>
      </c>
      <c r="T2893">
        <f>IF(TRIM(Table1[[#This Row],[PitStopLaps]])="",0,
LEN(Table1[[#This Row],[PitStopLaps]])-LEN(SUBSTITUTE(Table1[[#This Row],[PitStopLaps]],",",""))+1)</f>
        <v>1</v>
      </c>
      <c r="U2893">
        <f>Table1[[#This Row],[StartPosition]]-Table1[[#This Row],[FinishPosition]]</f>
        <v>-2</v>
      </c>
    </row>
    <row r="2894" spans="1:21" x14ac:dyDescent="0.3">
      <c r="A2894">
        <v>2024</v>
      </c>
      <c r="B2894">
        <v>21</v>
      </c>
      <c r="C2894" t="s">
        <v>741</v>
      </c>
      <c r="D2894" t="s">
        <v>35</v>
      </c>
      <c r="E2894" t="s">
        <v>36</v>
      </c>
      <c r="F2894" t="s">
        <v>603</v>
      </c>
      <c r="G2894">
        <v>9</v>
      </c>
      <c r="H2894">
        <v>14</v>
      </c>
      <c r="I2894">
        <v>0</v>
      </c>
      <c r="J2894" t="s">
        <v>34</v>
      </c>
      <c r="K2894" t="s">
        <v>24</v>
      </c>
      <c r="L2894">
        <v>69</v>
      </c>
      <c r="M2894">
        <v>82.293000000000006</v>
      </c>
      <c r="N2894">
        <v>85.916240999999999</v>
      </c>
      <c r="O2894">
        <v>21.047000000000001</v>
      </c>
      <c r="P2894">
        <v>43.241</v>
      </c>
      <c r="Q2894">
        <v>17.949000000000002</v>
      </c>
      <c r="R2894" t="s">
        <v>1061</v>
      </c>
      <c r="S2894" t="s">
        <v>25</v>
      </c>
      <c r="T2894">
        <f>IF(TRIM(Table1[[#This Row],[PitStopLaps]])="",0,
LEN(Table1[[#This Row],[PitStopLaps]])-LEN(SUBSTITUTE(Table1[[#This Row],[PitStopLaps]],",",""))+1)</f>
        <v>2</v>
      </c>
      <c r="U2894">
        <f>Table1[[#This Row],[StartPosition]]-Table1[[#This Row],[FinishPosition]]</f>
        <v>-5</v>
      </c>
    </row>
    <row r="2895" spans="1:21" x14ac:dyDescent="0.3">
      <c r="A2895">
        <v>2024</v>
      </c>
      <c r="B2895">
        <v>21</v>
      </c>
      <c r="C2895" t="s">
        <v>741</v>
      </c>
      <c r="D2895" t="s">
        <v>794</v>
      </c>
      <c r="E2895" t="s">
        <v>795</v>
      </c>
      <c r="F2895" t="s">
        <v>1175</v>
      </c>
      <c r="G2895">
        <v>19</v>
      </c>
      <c r="H2895">
        <v>15</v>
      </c>
      <c r="I2895">
        <v>0</v>
      </c>
      <c r="J2895" t="s">
        <v>34</v>
      </c>
      <c r="K2895" t="s">
        <v>24</v>
      </c>
      <c r="L2895">
        <v>69</v>
      </c>
      <c r="M2895">
        <v>83.058000000000007</v>
      </c>
      <c r="N2895">
        <v>86.341770999999994</v>
      </c>
      <c r="O2895">
        <v>21.170999999999999</v>
      </c>
      <c r="P2895">
        <v>43.642000000000003</v>
      </c>
      <c r="Q2895">
        <v>18.138999999999999</v>
      </c>
      <c r="R2895" t="s">
        <v>1299</v>
      </c>
      <c r="S2895" t="s">
        <v>25</v>
      </c>
      <c r="T2895">
        <f>IF(TRIM(Table1[[#This Row],[PitStopLaps]])="",0,
LEN(Table1[[#This Row],[PitStopLaps]])-LEN(SUBSTITUTE(Table1[[#This Row],[PitStopLaps]],",",""))+1)</f>
        <v>4</v>
      </c>
      <c r="U2895">
        <f>Table1[[#This Row],[StartPosition]]-Table1[[#This Row],[FinishPosition]]</f>
        <v>4</v>
      </c>
    </row>
    <row r="2896" spans="1:21" x14ac:dyDescent="0.3">
      <c r="A2896">
        <v>2024</v>
      </c>
      <c r="B2896">
        <v>21</v>
      </c>
      <c r="C2896" t="s">
        <v>741</v>
      </c>
      <c r="D2896" t="s">
        <v>47</v>
      </c>
      <c r="E2896" t="s">
        <v>48</v>
      </c>
      <c r="F2896" t="s">
        <v>22</v>
      </c>
      <c r="G2896">
        <v>20</v>
      </c>
      <c r="H2896">
        <v>16</v>
      </c>
      <c r="I2896">
        <v>0</v>
      </c>
      <c r="J2896" t="s">
        <v>34</v>
      </c>
      <c r="K2896" t="s">
        <v>179</v>
      </c>
      <c r="L2896">
        <v>39</v>
      </c>
      <c r="M2896">
        <v>84.200999999999993</v>
      </c>
      <c r="N2896">
        <v>87.082096000000007</v>
      </c>
      <c r="O2896">
        <v>21.234000000000002</v>
      </c>
      <c r="P2896">
        <v>44.357999999999997</v>
      </c>
      <c r="Q2896">
        <v>18.202999999999999</v>
      </c>
      <c r="R2896" t="s">
        <v>1061</v>
      </c>
      <c r="S2896" t="s">
        <v>25</v>
      </c>
      <c r="T2896">
        <f>IF(TRIM(Table1[[#This Row],[PitStopLaps]])="",0,
LEN(Table1[[#This Row],[PitStopLaps]])-LEN(SUBSTITUTE(Table1[[#This Row],[PitStopLaps]],",",""))+1)</f>
        <v>2</v>
      </c>
      <c r="U2896">
        <f>Table1[[#This Row],[StartPosition]]-Table1[[#This Row],[FinishPosition]]</f>
        <v>4</v>
      </c>
    </row>
    <row r="2897" spans="1:21" x14ac:dyDescent="0.3">
      <c r="A2897">
        <v>2024</v>
      </c>
      <c r="B2897">
        <v>21</v>
      </c>
      <c r="C2897" t="s">
        <v>741</v>
      </c>
      <c r="D2897" t="s">
        <v>1283</v>
      </c>
      <c r="E2897" t="s">
        <v>1284</v>
      </c>
      <c r="F2897" t="s">
        <v>60</v>
      </c>
      <c r="G2897">
        <v>16</v>
      </c>
      <c r="H2897">
        <v>17</v>
      </c>
      <c r="I2897">
        <v>0</v>
      </c>
      <c r="J2897" t="s">
        <v>34</v>
      </c>
      <c r="K2897" t="s">
        <v>179</v>
      </c>
      <c r="L2897">
        <v>30</v>
      </c>
      <c r="M2897">
        <v>84.296000000000006</v>
      </c>
      <c r="N2897">
        <v>85.797708</v>
      </c>
      <c r="O2897">
        <v>21.318999999999999</v>
      </c>
      <c r="P2897">
        <v>44.554000000000002</v>
      </c>
      <c r="Q2897">
        <v>18.116</v>
      </c>
      <c r="R2897" t="s">
        <v>1300</v>
      </c>
      <c r="S2897" t="s">
        <v>25</v>
      </c>
      <c r="T2897">
        <f>IF(TRIM(Table1[[#This Row],[PitStopLaps]])="",0,
LEN(Table1[[#This Row],[PitStopLaps]])-LEN(SUBSTITUTE(Table1[[#This Row],[PitStopLaps]],",",""))+1)</f>
        <v>2</v>
      </c>
      <c r="U2897">
        <f>Table1[[#This Row],[StartPosition]]-Table1[[#This Row],[FinishPosition]]</f>
        <v>-1</v>
      </c>
    </row>
    <row r="2898" spans="1:21" x14ac:dyDescent="0.3">
      <c r="A2898">
        <v>2024</v>
      </c>
      <c r="B2898">
        <v>21</v>
      </c>
      <c r="C2898" t="s">
        <v>741</v>
      </c>
      <c r="D2898" t="s">
        <v>248</v>
      </c>
      <c r="E2898" t="s">
        <v>249</v>
      </c>
      <c r="F2898" t="s">
        <v>60</v>
      </c>
      <c r="G2898">
        <v>7</v>
      </c>
      <c r="H2898">
        <v>18</v>
      </c>
      <c r="I2898">
        <v>0</v>
      </c>
      <c r="J2898" t="s">
        <v>34</v>
      </c>
      <c r="K2898" t="s">
        <v>1104</v>
      </c>
      <c r="S2898" t="s">
        <v>25</v>
      </c>
      <c r="T2898">
        <f>IF(TRIM(Table1[[#This Row],[PitStopLaps]])="",0,
LEN(Table1[[#This Row],[PitStopLaps]])-LEN(SUBSTITUTE(Table1[[#This Row],[PitStopLaps]],",",""))+1)</f>
        <v>0</v>
      </c>
      <c r="U2898">
        <f>Table1[[#This Row],[StartPosition]]-Table1[[#This Row],[FinishPosition]]</f>
        <v>-11</v>
      </c>
    </row>
    <row r="2899" spans="1:21" x14ac:dyDescent="0.3">
      <c r="A2899">
        <v>2024</v>
      </c>
      <c r="B2899">
        <v>21</v>
      </c>
      <c r="C2899" t="s">
        <v>741</v>
      </c>
      <c r="D2899" t="s">
        <v>58</v>
      </c>
      <c r="E2899" t="s">
        <v>59</v>
      </c>
      <c r="F2899" t="s">
        <v>603</v>
      </c>
      <c r="G2899">
        <v>10</v>
      </c>
      <c r="H2899">
        <v>19</v>
      </c>
      <c r="I2899">
        <v>0</v>
      </c>
      <c r="J2899" t="s">
        <v>34</v>
      </c>
      <c r="K2899" t="s">
        <v>1104</v>
      </c>
      <c r="S2899" t="s">
        <v>25</v>
      </c>
      <c r="T2899">
        <f>IF(TRIM(Table1[[#This Row],[PitStopLaps]])="",0,
LEN(Table1[[#This Row],[PitStopLaps]])-LEN(SUBSTITUTE(Table1[[#This Row],[PitStopLaps]],",",""))+1)</f>
        <v>0</v>
      </c>
      <c r="U2899">
        <f>Table1[[#This Row],[StartPosition]]-Table1[[#This Row],[FinishPosition]]</f>
        <v>-9</v>
      </c>
    </row>
    <row r="2900" spans="1:21" x14ac:dyDescent="0.3">
      <c r="A2900">
        <v>2024</v>
      </c>
      <c r="B2900">
        <v>21</v>
      </c>
      <c r="C2900" t="s">
        <v>741</v>
      </c>
      <c r="D2900" t="s">
        <v>40</v>
      </c>
      <c r="E2900" t="s">
        <v>41</v>
      </c>
      <c r="F2900" t="s">
        <v>69</v>
      </c>
      <c r="G2900">
        <v>18</v>
      </c>
      <c r="H2900">
        <v>20</v>
      </c>
      <c r="I2900">
        <v>0</v>
      </c>
      <c r="J2900" t="s">
        <v>34</v>
      </c>
      <c r="K2900" t="s">
        <v>220</v>
      </c>
      <c r="L2900">
        <v>30</v>
      </c>
      <c r="M2900">
        <v>83.763999999999996</v>
      </c>
      <c r="N2900">
        <v>85.136391000000003</v>
      </c>
      <c r="O2900">
        <v>21.419</v>
      </c>
      <c r="P2900">
        <v>44.079000000000001</v>
      </c>
      <c r="Q2900">
        <v>18.093</v>
      </c>
      <c r="R2900" t="s">
        <v>1301</v>
      </c>
      <c r="S2900" t="s">
        <v>25</v>
      </c>
      <c r="T2900">
        <f>IF(TRIM(Table1[[#This Row],[PitStopLaps]])="",0,
LEN(Table1[[#This Row],[PitStopLaps]])-LEN(SUBSTITUTE(Table1[[#This Row],[PitStopLaps]],",",""))+1)</f>
        <v>4</v>
      </c>
      <c r="U2900">
        <f>Table1[[#This Row],[StartPosition]]-Table1[[#This Row],[FinishPosition]]</f>
        <v>-2</v>
      </c>
    </row>
    <row r="2901" spans="1:21" x14ac:dyDescent="0.3">
      <c r="A2901">
        <v>2024</v>
      </c>
      <c r="B2901">
        <v>22</v>
      </c>
      <c r="C2901" t="s">
        <v>1168</v>
      </c>
      <c r="D2901" t="s">
        <v>252</v>
      </c>
      <c r="E2901" t="s">
        <v>253</v>
      </c>
      <c r="F2901" t="s">
        <v>28</v>
      </c>
      <c r="G2901">
        <v>1</v>
      </c>
      <c r="H2901">
        <v>1</v>
      </c>
      <c r="I2901">
        <v>25</v>
      </c>
      <c r="J2901" t="s">
        <v>23</v>
      </c>
      <c r="K2901" t="s">
        <v>24</v>
      </c>
      <c r="L2901">
        <v>50</v>
      </c>
      <c r="M2901">
        <v>95.945999999999998</v>
      </c>
      <c r="N2901">
        <v>97.591093000000001</v>
      </c>
      <c r="O2901">
        <v>27.286000000000001</v>
      </c>
      <c r="P2901">
        <v>32.164000000000001</v>
      </c>
      <c r="Q2901">
        <v>36.337000000000003</v>
      </c>
      <c r="R2901" t="s">
        <v>105</v>
      </c>
      <c r="S2901" t="s">
        <v>83</v>
      </c>
      <c r="T2901">
        <f>IF(TRIM(Table1[[#This Row],[PitStopLaps]])="",0,
LEN(Table1[[#This Row],[PitStopLaps]])-LEN(SUBSTITUTE(Table1[[#This Row],[PitStopLaps]],",",""))+1)</f>
        <v>2</v>
      </c>
      <c r="U2901">
        <f>Table1[[#This Row],[StartPosition]]-Table1[[#This Row],[FinishPosition]]</f>
        <v>0</v>
      </c>
    </row>
    <row r="2902" spans="1:21" x14ac:dyDescent="0.3">
      <c r="A2902">
        <v>2024</v>
      </c>
      <c r="B2902">
        <v>22</v>
      </c>
      <c r="C2902" t="s">
        <v>1168</v>
      </c>
      <c r="D2902" t="s">
        <v>26</v>
      </c>
      <c r="E2902" t="s">
        <v>27</v>
      </c>
      <c r="F2902" t="s">
        <v>28</v>
      </c>
      <c r="G2902">
        <v>10</v>
      </c>
      <c r="H2902">
        <v>2</v>
      </c>
      <c r="I2902">
        <v>18</v>
      </c>
      <c r="J2902" t="s">
        <v>23</v>
      </c>
      <c r="K2902" t="s">
        <v>24</v>
      </c>
      <c r="L2902">
        <v>50</v>
      </c>
      <c r="M2902">
        <v>95.48</v>
      </c>
      <c r="N2902">
        <v>97.578158999999999</v>
      </c>
      <c r="O2902">
        <v>27.175000000000001</v>
      </c>
      <c r="P2902">
        <v>32.01</v>
      </c>
      <c r="Q2902">
        <v>36.057000000000002</v>
      </c>
      <c r="R2902" t="s">
        <v>85</v>
      </c>
      <c r="S2902" t="s">
        <v>83</v>
      </c>
      <c r="T2902">
        <f>IF(TRIM(Table1[[#This Row],[PitStopLaps]])="",0,
LEN(Table1[[#This Row],[PitStopLaps]])-LEN(SUBSTITUTE(Table1[[#This Row],[PitStopLaps]],",",""))+1)</f>
        <v>2</v>
      </c>
      <c r="U2902">
        <f>Table1[[#This Row],[StartPosition]]-Table1[[#This Row],[FinishPosition]]</f>
        <v>8</v>
      </c>
    </row>
    <row r="2903" spans="1:21" x14ac:dyDescent="0.3">
      <c r="A2903">
        <v>2024</v>
      </c>
      <c r="B2903">
        <v>22</v>
      </c>
      <c r="C2903" t="s">
        <v>1168</v>
      </c>
      <c r="D2903" t="s">
        <v>47</v>
      </c>
      <c r="E2903" t="s">
        <v>48</v>
      </c>
      <c r="F2903" t="s">
        <v>22</v>
      </c>
      <c r="G2903">
        <v>2</v>
      </c>
      <c r="H2903">
        <v>3</v>
      </c>
      <c r="I2903">
        <v>15</v>
      </c>
      <c r="J2903" t="s">
        <v>23</v>
      </c>
      <c r="K2903" t="s">
        <v>24</v>
      </c>
      <c r="L2903">
        <v>50</v>
      </c>
      <c r="M2903">
        <v>95.875</v>
      </c>
      <c r="N2903">
        <v>97.703636000000003</v>
      </c>
      <c r="O2903">
        <v>27.245999999999999</v>
      </c>
      <c r="P2903">
        <v>32.253</v>
      </c>
      <c r="Q2903">
        <v>36.091000000000001</v>
      </c>
      <c r="R2903" t="s">
        <v>88</v>
      </c>
      <c r="S2903" t="s">
        <v>83</v>
      </c>
      <c r="T2903">
        <f>IF(TRIM(Table1[[#This Row],[PitStopLaps]])="",0,
LEN(Table1[[#This Row],[PitStopLaps]])-LEN(SUBSTITUTE(Table1[[#This Row],[PitStopLaps]],",",""))+1)</f>
        <v>2</v>
      </c>
      <c r="U2903">
        <f>Table1[[#This Row],[StartPosition]]-Table1[[#This Row],[FinishPosition]]</f>
        <v>-1</v>
      </c>
    </row>
    <row r="2904" spans="1:21" x14ac:dyDescent="0.3">
      <c r="A2904">
        <v>2024</v>
      </c>
      <c r="B2904">
        <v>22</v>
      </c>
      <c r="C2904" t="s">
        <v>1168</v>
      </c>
      <c r="D2904" t="s">
        <v>54</v>
      </c>
      <c r="E2904" t="s">
        <v>55</v>
      </c>
      <c r="F2904" t="s">
        <v>22</v>
      </c>
      <c r="G2904">
        <v>4</v>
      </c>
      <c r="H2904">
        <v>4</v>
      </c>
      <c r="I2904">
        <v>12</v>
      </c>
      <c r="J2904" t="s">
        <v>34</v>
      </c>
      <c r="K2904" t="s">
        <v>24</v>
      </c>
      <c r="L2904">
        <v>50</v>
      </c>
      <c r="M2904">
        <v>95.674000000000007</v>
      </c>
      <c r="N2904">
        <v>97.771603999999996</v>
      </c>
      <c r="O2904">
        <v>27.381</v>
      </c>
      <c r="P2904">
        <v>32.253999999999998</v>
      </c>
      <c r="Q2904">
        <v>35.779000000000003</v>
      </c>
      <c r="R2904" t="s">
        <v>728</v>
      </c>
      <c r="S2904" t="s">
        <v>83</v>
      </c>
      <c r="T2904">
        <f>IF(TRIM(Table1[[#This Row],[PitStopLaps]])="",0,
LEN(Table1[[#This Row],[PitStopLaps]])-LEN(SUBSTITUTE(Table1[[#This Row],[PitStopLaps]],",",""))+1)</f>
        <v>2</v>
      </c>
      <c r="U2904">
        <f>Table1[[#This Row],[StartPosition]]-Table1[[#This Row],[FinishPosition]]</f>
        <v>0</v>
      </c>
    </row>
    <row r="2905" spans="1:21" x14ac:dyDescent="0.3">
      <c r="A2905">
        <v>2024</v>
      </c>
      <c r="B2905">
        <v>22</v>
      </c>
      <c r="C2905" t="s">
        <v>1168</v>
      </c>
      <c r="D2905" t="s">
        <v>38</v>
      </c>
      <c r="E2905" t="s">
        <v>39</v>
      </c>
      <c r="F2905" t="s">
        <v>33</v>
      </c>
      <c r="G2905">
        <v>5</v>
      </c>
      <c r="H2905">
        <v>5</v>
      </c>
      <c r="I2905">
        <v>10</v>
      </c>
      <c r="J2905" t="s">
        <v>34</v>
      </c>
      <c r="K2905" t="s">
        <v>24</v>
      </c>
      <c r="L2905">
        <v>50</v>
      </c>
      <c r="M2905">
        <v>96.248000000000005</v>
      </c>
      <c r="N2905">
        <v>97.783681000000001</v>
      </c>
      <c r="O2905">
        <v>27.492000000000001</v>
      </c>
      <c r="P2905">
        <v>32.277999999999999</v>
      </c>
      <c r="Q2905">
        <v>36.225999999999999</v>
      </c>
      <c r="R2905" t="s">
        <v>273</v>
      </c>
      <c r="S2905" t="s">
        <v>83</v>
      </c>
      <c r="T2905">
        <f>IF(TRIM(Table1[[#This Row],[PitStopLaps]])="",0,
LEN(Table1[[#This Row],[PitStopLaps]])-LEN(SUBSTITUTE(Table1[[#This Row],[PitStopLaps]],",",""))+1)</f>
        <v>2</v>
      </c>
      <c r="U2905">
        <f>Table1[[#This Row],[StartPosition]]-Table1[[#This Row],[FinishPosition]]</f>
        <v>0</v>
      </c>
    </row>
    <row r="2906" spans="1:21" x14ac:dyDescent="0.3">
      <c r="A2906">
        <v>2024</v>
      </c>
      <c r="B2906">
        <v>22</v>
      </c>
      <c r="C2906" t="s">
        <v>1168</v>
      </c>
      <c r="D2906" t="s">
        <v>246</v>
      </c>
      <c r="E2906" t="s">
        <v>247</v>
      </c>
      <c r="F2906" t="s">
        <v>37</v>
      </c>
      <c r="G2906">
        <v>6</v>
      </c>
      <c r="H2906">
        <v>6</v>
      </c>
      <c r="I2906">
        <v>9</v>
      </c>
      <c r="J2906" t="s">
        <v>34</v>
      </c>
      <c r="K2906" t="s">
        <v>24</v>
      </c>
      <c r="L2906">
        <v>50</v>
      </c>
      <c r="M2906">
        <v>95.527000000000001</v>
      </c>
      <c r="N2906">
        <v>98.025713999999994</v>
      </c>
      <c r="O2906">
        <v>27.169</v>
      </c>
      <c r="P2906">
        <v>32.08</v>
      </c>
      <c r="Q2906">
        <v>36.061999999999998</v>
      </c>
      <c r="R2906" t="s">
        <v>1302</v>
      </c>
      <c r="S2906" t="s">
        <v>83</v>
      </c>
      <c r="T2906">
        <f>IF(TRIM(Table1[[#This Row],[PitStopLaps]])="",0,
LEN(Table1[[#This Row],[PitStopLaps]])-LEN(SUBSTITUTE(Table1[[#This Row],[PitStopLaps]],",",""))+1)</f>
        <v>3</v>
      </c>
      <c r="U2906">
        <f>Table1[[#This Row],[StartPosition]]-Table1[[#This Row],[FinishPosition]]</f>
        <v>0</v>
      </c>
    </row>
    <row r="2907" spans="1:21" x14ac:dyDescent="0.3">
      <c r="A2907">
        <v>2024</v>
      </c>
      <c r="B2907">
        <v>22</v>
      </c>
      <c r="C2907" t="s">
        <v>1168</v>
      </c>
      <c r="D2907" t="s">
        <v>1000</v>
      </c>
      <c r="E2907" t="s">
        <v>1001</v>
      </c>
      <c r="F2907" t="s">
        <v>37</v>
      </c>
      <c r="G2907">
        <v>8</v>
      </c>
      <c r="H2907">
        <v>7</v>
      </c>
      <c r="I2907">
        <v>6</v>
      </c>
      <c r="J2907" t="s">
        <v>34</v>
      </c>
      <c r="K2907" t="s">
        <v>24</v>
      </c>
      <c r="L2907">
        <v>50</v>
      </c>
      <c r="M2907">
        <v>96.597999999999999</v>
      </c>
      <c r="N2907">
        <v>98.345226999999994</v>
      </c>
      <c r="O2907">
        <v>27.547999999999998</v>
      </c>
      <c r="P2907">
        <v>32.585999999999999</v>
      </c>
      <c r="Q2907">
        <v>36.292999999999999</v>
      </c>
      <c r="R2907" t="s">
        <v>1107</v>
      </c>
      <c r="S2907" t="s">
        <v>83</v>
      </c>
      <c r="T2907">
        <f>IF(TRIM(Table1[[#This Row],[PitStopLaps]])="",0,
LEN(Table1[[#This Row],[PitStopLaps]])-LEN(SUBSTITUTE(Table1[[#This Row],[PitStopLaps]],",",""))+1)</f>
        <v>2</v>
      </c>
      <c r="U2907">
        <f>Table1[[#This Row],[StartPosition]]-Table1[[#This Row],[FinishPosition]]</f>
        <v>1</v>
      </c>
    </row>
    <row r="2908" spans="1:21" x14ac:dyDescent="0.3">
      <c r="A2908">
        <v>2024</v>
      </c>
      <c r="B2908">
        <v>22</v>
      </c>
      <c r="C2908" t="s">
        <v>1168</v>
      </c>
      <c r="D2908" t="s">
        <v>40</v>
      </c>
      <c r="E2908" t="s">
        <v>41</v>
      </c>
      <c r="F2908" t="s">
        <v>69</v>
      </c>
      <c r="G2908">
        <v>9</v>
      </c>
      <c r="H2908">
        <v>8</v>
      </c>
      <c r="I2908">
        <v>4</v>
      </c>
      <c r="J2908" t="s">
        <v>34</v>
      </c>
      <c r="K2908" t="s">
        <v>24</v>
      </c>
      <c r="L2908">
        <v>50</v>
      </c>
      <c r="M2908">
        <v>96.584999999999994</v>
      </c>
      <c r="N2908">
        <v>98.589888000000002</v>
      </c>
      <c r="O2908">
        <v>27.503</v>
      </c>
      <c r="P2908">
        <v>32.365000000000002</v>
      </c>
      <c r="Q2908">
        <v>36.268000000000001</v>
      </c>
      <c r="R2908" t="s">
        <v>526</v>
      </c>
      <c r="S2908" t="s">
        <v>83</v>
      </c>
      <c r="T2908">
        <f>IF(TRIM(Table1[[#This Row],[PitStopLaps]])="",0,
LEN(Table1[[#This Row],[PitStopLaps]])-LEN(SUBSTITUTE(Table1[[#This Row],[PitStopLaps]],",",""))+1)</f>
        <v>2</v>
      </c>
      <c r="U2908">
        <f>Table1[[#This Row],[StartPosition]]-Table1[[#This Row],[FinishPosition]]</f>
        <v>1</v>
      </c>
    </row>
    <row r="2909" spans="1:21" x14ac:dyDescent="0.3">
      <c r="A2909">
        <v>2024</v>
      </c>
      <c r="B2909">
        <v>22</v>
      </c>
      <c r="C2909" t="s">
        <v>1168</v>
      </c>
      <c r="D2909" t="s">
        <v>601</v>
      </c>
      <c r="E2909" t="s">
        <v>602</v>
      </c>
      <c r="F2909" t="s">
        <v>1176</v>
      </c>
      <c r="G2909">
        <v>7</v>
      </c>
      <c r="H2909">
        <v>9</v>
      </c>
      <c r="I2909">
        <v>2</v>
      </c>
      <c r="J2909" t="s">
        <v>34</v>
      </c>
      <c r="K2909" t="s">
        <v>24</v>
      </c>
      <c r="L2909">
        <v>50</v>
      </c>
      <c r="M2909">
        <v>96.956999999999994</v>
      </c>
      <c r="N2909">
        <v>98.659355000000005</v>
      </c>
      <c r="O2909">
        <v>27.832999999999998</v>
      </c>
      <c r="P2909">
        <v>32.377000000000002</v>
      </c>
      <c r="Q2909">
        <v>36.417999999999999</v>
      </c>
      <c r="R2909" t="s">
        <v>93</v>
      </c>
      <c r="S2909" t="s">
        <v>83</v>
      </c>
      <c r="T2909">
        <f>IF(TRIM(Table1[[#This Row],[PitStopLaps]])="",0,
LEN(Table1[[#This Row],[PitStopLaps]])-LEN(SUBSTITUTE(Table1[[#This Row],[PitStopLaps]],",",""))+1)</f>
        <v>2</v>
      </c>
      <c r="U2909">
        <f>Table1[[#This Row],[StartPosition]]-Table1[[#This Row],[FinishPosition]]</f>
        <v>-2</v>
      </c>
    </row>
    <row r="2910" spans="1:21" x14ac:dyDescent="0.3">
      <c r="A2910">
        <v>2024</v>
      </c>
      <c r="B2910">
        <v>22</v>
      </c>
      <c r="C2910" t="s">
        <v>1168</v>
      </c>
      <c r="D2910" t="s">
        <v>49</v>
      </c>
      <c r="E2910" t="s">
        <v>50</v>
      </c>
      <c r="F2910" t="s">
        <v>33</v>
      </c>
      <c r="G2910">
        <v>15</v>
      </c>
      <c r="H2910">
        <v>10</v>
      </c>
      <c r="I2910">
        <v>1</v>
      </c>
      <c r="J2910" t="s">
        <v>34</v>
      </c>
      <c r="K2910" t="s">
        <v>24</v>
      </c>
      <c r="L2910">
        <v>50</v>
      </c>
      <c r="M2910">
        <v>96.325999999999993</v>
      </c>
      <c r="N2910">
        <v>98.506643999999994</v>
      </c>
      <c r="O2910">
        <v>27.44</v>
      </c>
      <c r="P2910">
        <v>32.258000000000003</v>
      </c>
      <c r="Q2910">
        <v>36.451999999999998</v>
      </c>
      <c r="R2910" t="s">
        <v>165</v>
      </c>
      <c r="S2910" t="s">
        <v>83</v>
      </c>
      <c r="T2910">
        <f>IF(TRIM(Table1[[#This Row],[PitStopLaps]])="",0,
LEN(Table1[[#This Row],[PitStopLaps]])-LEN(SUBSTITUTE(Table1[[#This Row],[PitStopLaps]],",",""))+1)</f>
        <v>2</v>
      </c>
      <c r="U2910">
        <f>Table1[[#This Row],[StartPosition]]-Table1[[#This Row],[FinishPosition]]</f>
        <v>5</v>
      </c>
    </row>
    <row r="2911" spans="1:21" x14ac:dyDescent="0.3">
      <c r="A2911">
        <v>2024</v>
      </c>
      <c r="B2911">
        <v>22</v>
      </c>
      <c r="C2911" t="s">
        <v>1168</v>
      </c>
      <c r="D2911" t="s">
        <v>35</v>
      </c>
      <c r="E2911" t="s">
        <v>36</v>
      </c>
      <c r="F2911" t="s">
        <v>603</v>
      </c>
      <c r="G2911">
        <v>16</v>
      </c>
      <c r="H2911">
        <v>11</v>
      </c>
      <c r="I2911">
        <v>0</v>
      </c>
      <c r="J2911" t="s">
        <v>34</v>
      </c>
      <c r="K2911" t="s">
        <v>24</v>
      </c>
      <c r="L2911">
        <v>50</v>
      </c>
      <c r="M2911">
        <v>96.552999999999997</v>
      </c>
      <c r="N2911">
        <v>98.723177000000007</v>
      </c>
      <c r="O2911">
        <v>27.623000000000001</v>
      </c>
      <c r="P2911">
        <v>32.619</v>
      </c>
      <c r="Q2911">
        <v>36.127000000000002</v>
      </c>
      <c r="R2911" t="s">
        <v>1303</v>
      </c>
      <c r="S2911" t="s">
        <v>83</v>
      </c>
      <c r="T2911">
        <f>IF(TRIM(Table1[[#This Row],[PitStopLaps]])="",0,
LEN(Table1[[#This Row],[PitStopLaps]])-LEN(SUBSTITUTE(Table1[[#This Row],[PitStopLaps]],",",""))+1)</f>
        <v>2</v>
      </c>
      <c r="U2911">
        <f>Table1[[#This Row],[StartPosition]]-Table1[[#This Row],[FinishPosition]]</f>
        <v>5</v>
      </c>
    </row>
    <row r="2912" spans="1:21" x14ac:dyDescent="0.3">
      <c r="A2912">
        <v>2024</v>
      </c>
      <c r="B2912">
        <v>22</v>
      </c>
      <c r="C2912" t="s">
        <v>1168</v>
      </c>
      <c r="D2912" t="s">
        <v>71</v>
      </c>
      <c r="E2912" t="s">
        <v>72</v>
      </c>
      <c r="F2912" t="s">
        <v>69</v>
      </c>
      <c r="G2912">
        <v>12</v>
      </c>
      <c r="H2912">
        <v>12</v>
      </c>
      <c r="I2912">
        <v>0</v>
      </c>
      <c r="J2912" t="s">
        <v>34</v>
      </c>
      <c r="K2912" t="s">
        <v>24</v>
      </c>
      <c r="L2912">
        <v>50</v>
      </c>
      <c r="M2912">
        <v>96.557000000000002</v>
      </c>
      <c r="N2912">
        <v>99.108616999999995</v>
      </c>
      <c r="O2912">
        <v>27.565999999999999</v>
      </c>
      <c r="P2912">
        <v>32.609000000000002</v>
      </c>
      <c r="Q2912">
        <v>36.290999999999997</v>
      </c>
      <c r="R2912">
        <v>17</v>
      </c>
      <c r="S2912" t="s">
        <v>83</v>
      </c>
      <c r="T2912">
        <f>IF(TRIM(Table1[[#This Row],[PitStopLaps]])="",0,
LEN(Table1[[#This Row],[PitStopLaps]])-LEN(SUBSTITUTE(Table1[[#This Row],[PitStopLaps]],",",""))+1)</f>
        <v>1</v>
      </c>
      <c r="U2912">
        <f>Table1[[#This Row],[StartPosition]]-Table1[[#This Row],[FinishPosition]]</f>
        <v>0</v>
      </c>
    </row>
    <row r="2913" spans="1:21" x14ac:dyDescent="0.3">
      <c r="A2913">
        <v>2024</v>
      </c>
      <c r="B2913">
        <v>22</v>
      </c>
      <c r="C2913" t="s">
        <v>1168</v>
      </c>
      <c r="D2913" t="s">
        <v>794</v>
      </c>
      <c r="E2913" t="s">
        <v>795</v>
      </c>
      <c r="F2913" t="s">
        <v>1175</v>
      </c>
      <c r="G2913">
        <v>13</v>
      </c>
      <c r="H2913">
        <v>13</v>
      </c>
      <c r="I2913">
        <v>0</v>
      </c>
      <c r="J2913" t="s">
        <v>34</v>
      </c>
      <c r="K2913" t="s">
        <v>24</v>
      </c>
      <c r="L2913">
        <v>50</v>
      </c>
      <c r="M2913">
        <v>96.323999999999998</v>
      </c>
      <c r="N2913">
        <v>98.758088000000001</v>
      </c>
      <c r="O2913">
        <v>27.381</v>
      </c>
      <c r="P2913">
        <v>32.47</v>
      </c>
      <c r="Q2913">
        <v>36.225000000000001</v>
      </c>
      <c r="R2913" t="s">
        <v>730</v>
      </c>
      <c r="S2913" t="s">
        <v>83</v>
      </c>
      <c r="T2913">
        <f>IF(TRIM(Table1[[#This Row],[PitStopLaps]])="",0,
LEN(Table1[[#This Row],[PitStopLaps]])-LEN(SUBSTITUTE(Table1[[#This Row],[PitStopLaps]],",",""))+1)</f>
        <v>2</v>
      </c>
      <c r="U2913">
        <f>Table1[[#This Row],[StartPosition]]-Table1[[#This Row],[FinishPosition]]</f>
        <v>0</v>
      </c>
    </row>
    <row r="2914" spans="1:21" x14ac:dyDescent="0.3">
      <c r="A2914">
        <v>2024</v>
      </c>
      <c r="B2914">
        <v>22</v>
      </c>
      <c r="C2914" t="s">
        <v>1168</v>
      </c>
      <c r="D2914" t="s">
        <v>1283</v>
      </c>
      <c r="E2914" t="s">
        <v>1284</v>
      </c>
      <c r="F2914" t="s">
        <v>60</v>
      </c>
      <c r="G2914">
        <v>20</v>
      </c>
      <c r="H2914">
        <v>14</v>
      </c>
      <c r="I2914">
        <v>0</v>
      </c>
      <c r="J2914" t="s">
        <v>34</v>
      </c>
      <c r="K2914" t="s">
        <v>24</v>
      </c>
      <c r="L2914">
        <v>50</v>
      </c>
      <c r="M2914">
        <v>96.867000000000004</v>
      </c>
      <c r="N2914">
        <v>98.858554999999996</v>
      </c>
      <c r="O2914">
        <v>27.628</v>
      </c>
      <c r="P2914">
        <v>32.631999999999998</v>
      </c>
      <c r="Q2914">
        <v>36.265999999999998</v>
      </c>
      <c r="R2914" t="s">
        <v>90</v>
      </c>
      <c r="S2914" t="s">
        <v>83</v>
      </c>
      <c r="T2914">
        <f>IF(TRIM(Table1[[#This Row],[PitStopLaps]])="",0,
LEN(Table1[[#This Row],[PitStopLaps]])-LEN(SUBSTITUTE(Table1[[#This Row],[PitStopLaps]],",",""))+1)</f>
        <v>2</v>
      </c>
      <c r="U2914">
        <f>Table1[[#This Row],[StartPosition]]-Table1[[#This Row],[FinishPosition]]</f>
        <v>6</v>
      </c>
    </row>
    <row r="2915" spans="1:21" x14ac:dyDescent="0.3">
      <c r="A2915">
        <v>2024</v>
      </c>
      <c r="B2915">
        <v>22</v>
      </c>
      <c r="C2915" t="s">
        <v>1168</v>
      </c>
      <c r="D2915" t="s">
        <v>58</v>
      </c>
      <c r="E2915" t="s">
        <v>59</v>
      </c>
      <c r="F2915" t="s">
        <v>603</v>
      </c>
      <c r="G2915">
        <v>18</v>
      </c>
      <c r="H2915">
        <v>15</v>
      </c>
      <c r="I2915">
        <v>0</v>
      </c>
      <c r="J2915" t="s">
        <v>34</v>
      </c>
      <c r="K2915" t="s">
        <v>24</v>
      </c>
      <c r="L2915">
        <v>50</v>
      </c>
      <c r="M2915">
        <v>97.179000000000002</v>
      </c>
      <c r="N2915">
        <v>98.670243999999997</v>
      </c>
      <c r="O2915">
        <v>27.94</v>
      </c>
      <c r="P2915">
        <v>32.511000000000003</v>
      </c>
      <c r="Q2915">
        <v>36.564999999999998</v>
      </c>
      <c r="R2915" t="s">
        <v>649</v>
      </c>
      <c r="S2915" t="s">
        <v>83</v>
      </c>
      <c r="T2915">
        <f>IF(TRIM(Table1[[#This Row],[PitStopLaps]])="",0,
LEN(Table1[[#This Row],[PitStopLaps]])-LEN(SUBSTITUTE(Table1[[#This Row],[PitStopLaps]],",",""))+1)</f>
        <v>2</v>
      </c>
      <c r="U2915">
        <f>Table1[[#This Row],[StartPosition]]-Table1[[#This Row],[FinishPosition]]</f>
        <v>3</v>
      </c>
    </row>
    <row r="2916" spans="1:21" x14ac:dyDescent="0.3">
      <c r="A2916">
        <v>2024</v>
      </c>
      <c r="B2916">
        <v>22</v>
      </c>
      <c r="C2916" t="s">
        <v>1168</v>
      </c>
      <c r="D2916" t="s">
        <v>1092</v>
      </c>
      <c r="E2916" t="s">
        <v>1093</v>
      </c>
      <c r="F2916" t="s">
        <v>1176</v>
      </c>
      <c r="G2916">
        <v>14</v>
      </c>
      <c r="H2916">
        <v>16</v>
      </c>
      <c r="I2916">
        <v>0</v>
      </c>
      <c r="J2916" t="s">
        <v>34</v>
      </c>
      <c r="K2916" t="s">
        <v>24</v>
      </c>
      <c r="L2916">
        <v>50</v>
      </c>
      <c r="M2916">
        <v>97.033000000000001</v>
      </c>
      <c r="N2916">
        <v>99.223116000000005</v>
      </c>
      <c r="O2916">
        <v>27.713000000000001</v>
      </c>
      <c r="P2916">
        <v>32.380000000000003</v>
      </c>
      <c r="Q2916">
        <v>36.698999999999998</v>
      </c>
      <c r="R2916" t="s">
        <v>1304</v>
      </c>
      <c r="S2916" t="s">
        <v>83</v>
      </c>
      <c r="T2916">
        <f>IF(TRIM(Table1[[#This Row],[PitStopLaps]])="",0,
LEN(Table1[[#This Row],[PitStopLaps]])-LEN(SUBSTITUTE(Table1[[#This Row],[PitStopLaps]],",",""))+1)</f>
        <v>2</v>
      </c>
      <c r="U2916">
        <f>Table1[[#This Row],[StartPosition]]-Table1[[#This Row],[FinishPosition]]</f>
        <v>-2</v>
      </c>
    </row>
    <row r="2917" spans="1:21" x14ac:dyDescent="0.3">
      <c r="A2917">
        <v>2024</v>
      </c>
      <c r="B2917">
        <v>22</v>
      </c>
      <c r="C2917" t="s">
        <v>1168</v>
      </c>
      <c r="D2917" t="s">
        <v>52</v>
      </c>
      <c r="E2917" t="s">
        <v>53</v>
      </c>
      <c r="F2917" t="s">
        <v>607</v>
      </c>
      <c r="G2917">
        <v>11</v>
      </c>
      <c r="H2917">
        <v>17</v>
      </c>
      <c r="I2917">
        <v>0</v>
      </c>
      <c r="J2917" t="s">
        <v>34</v>
      </c>
      <c r="K2917" t="s">
        <v>994</v>
      </c>
      <c r="L2917">
        <v>49</v>
      </c>
      <c r="M2917">
        <v>96.510999999999996</v>
      </c>
      <c r="N2917">
        <v>99.147441000000001</v>
      </c>
      <c r="O2917">
        <v>27.695</v>
      </c>
      <c r="P2917">
        <v>32.380000000000003</v>
      </c>
      <c r="Q2917">
        <v>36.418999999999997</v>
      </c>
      <c r="R2917" t="s">
        <v>1305</v>
      </c>
      <c r="S2917" t="s">
        <v>83</v>
      </c>
      <c r="T2917">
        <f>IF(TRIM(Table1[[#This Row],[PitStopLaps]])="",0,
LEN(Table1[[#This Row],[PitStopLaps]])-LEN(SUBSTITUTE(Table1[[#This Row],[PitStopLaps]],",",""))+1)</f>
        <v>3</v>
      </c>
      <c r="U2917">
        <f>Table1[[#This Row],[StartPosition]]-Table1[[#This Row],[FinishPosition]]</f>
        <v>-6</v>
      </c>
    </row>
    <row r="2918" spans="1:21" x14ac:dyDescent="0.3">
      <c r="A2918">
        <v>2024</v>
      </c>
      <c r="B2918">
        <v>22</v>
      </c>
      <c r="C2918" t="s">
        <v>1168</v>
      </c>
      <c r="D2918" t="s">
        <v>43</v>
      </c>
      <c r="E2918" t="s">
        <v>44</v>
      </c>
      <c r="F2918" t="s">
        <v>1175</v>
      </c>
      <c r="G2918">
        <v>19</v>
      </c>
      <c r="H2918">
        <v>18</v>
      </c>
      <c r="I2918">
        <v>0</v>
      </c>
      <c r="J2918" t="s">
        <v>34</v>
      </c>
      <c r="K2918" t="s">
        <v>994</v>
      </c>
      <c r="L2918">
        <v>49</v>
      </c>
      <c r="M2918">
        <v>96.600999999999999</v>
      </c>
      <c r="N2918">
        <v>99.480879999999999</v>
      </c>
      <c r="O2918">
        <v>27.422000000000001</v>
      </c>
      <c r="P2918">
        <v>32.299999999999997</v>
      </c>
      <c r="Q2918">
        <v>36.582000000000001</v>
      </c>
      <c r="R2918" t="s">
        <v>1130</v>
      </c>
      <c r="S2918" t="s">
        <v>83</v>
      </c>
      <c r="T2918">
        <f>IF(TRIM(Table1[[#This Row],[PitStopLaps]])="",0,
LEN(Table1[[#This Row],[PitStopLaps]])-LEN(SUBSTITUTE(Table1[[#This Row],[PitStopLaps]],",",""))+1)</f>
        <v>2</v>
      </c>
      <c r="U2918">
        <f>Table1[[#This Row],[StartPosition]]-Table1[[#This Row],[FinishPosition]]</f>
        <v>1</v>
      </c>
    </row>
    <row r="2919" spans="1:21" x14ac:dyDescent="0.3">
      <c r="A2919">
        <v>2024</v>
      </c>
      <c r="B2919">
        <v>22</v>
      </c>
      <c r="C2919" t="s">
        <v>1168</v>
      </c>
      <c r="D2919" t="s">
        <v>248</v>
      </c>
      <c r="E2919" t="s">
        <v>249</v>
      </c>
      <c r="F2919" t="s">
        <v>60</v>
      </c>
      <c r="G2919">
        <v>17</v>
      </c>
      <c r="H2919">
        <v>19</v>
      </c>
      <c r="I2919">
        <v>0</v>
      </c>
      <c r="J2919" t="s">
        <v>34</v>
      </c>
      <c r="K2919" t="s">
        <v>179</v>
      </c>
      <c r="L2919">
        <v>25</v>
      </c>
      <c r="M2919">
        <v>98.007999999999996</v>
      </c>
      <c r="N2919">
        <v>99.433952000000005</v>
      </c>
      <c r="O2919">
        <v>28.052</v>
      </c>
      <c r="P2919">
        <v>32.970999999999997</v>
      </c>
      <c r="Q2919">
        <v>36.722999999999999</v>
      </c>
      <c r="R2919" t="s">
        <v>268</v>
      </c>
      <c r="S2919" t="s">
        <v>83</v>
      </c>
      <c r="T2919">
        <f>IF(TRIM(Table1[[#This Row],[PitStopLaps]])="",0,
LEN(Table1[[#This Row],[PitStopLaps]])-LEN(SUBSTITUTE(Table1[[#This Row],[PitStopLaps]],",",""))+1)</f>
        <v>2</v>
      </c>
      <c r="U2919">
        <f>Table1[[#This Row],[StartPosition]]-Table1[[#This Row],[FinishPosition]]</f>
        <v>-2</v>
      </c>
    </row>
    <row r="2920" spans="1:21" x14ac:dyDescent="0.3">
      <c r="A2920">
        <v>2024</v>
      </c>
      <c r="B2920">
        <v>22</v>
      </c>
      <c r="C2920" t="s">
        <v>1168</v>
      </c>
      <c r="D2920" t="s">
        <v>73</v>
      </c>
      <c r="E2920" t="s">
        <v>74</v>
      </c>
      <c r="F2920" t="s">
        <v>607</v>
      </c>
      <c r="G2920">
        <v>3</v>
      </c>
      <c r="H2920">
        <v>20</v>
      </c>
      <c r="I2920">
        <v>0</v>
      </c>
      <c r="J2920" t="s">
        <v>34</v>
      </c>
      <c r="K2920" t="s">
        <v>179</v>
      </c>
      <c r="L2920">
        <v>15</v>
      </c>
      <c r="M2920">
        <v>98.313999999999993</v>
      </c>
      <c r="N2920">
        <v>99.767635999999996</v>
      </c>
      <c r="O2920">
        <v>28.548999999999999</v>
      </c>
      <c r="P2920">
        <v>33.057000000000002</v>
      </c>
      <c r="Q2920">
        <v>36.561</v>
      </c>
      <c r="R2920" t="s">
        <v>1306</v>
      </c>
      <c r="S2920" t="s">
        <v>83</v>
      </c>
      <c r="T2920">
        <f>IF(TRIM(Table1[[#This Row],[PitStopLaps]])="",0,
LEN(Table1[[#This Row],[PitStopLaps]])-LEN(SUBSTITUTE(Table1[[#This Row],[PitStopLaps]],",",""))+1)</f>
        <v>2</v>
      </c>
      <c r="U2920">
        <f>Table1[[#This Row],[StartPosition]]-Table1[[#This Row],[FinishPosition]]</f>
        <v>-17</v>
      </c>
    </row>
    <row r="2921" spans="1:21" x14ac:dyDescent="0.3">
      <c r="A2921">
        <v>2024</v>
      </c>
      <c r="B2921">
        <v>23</v>
      </c>
      <c r="C2921" t="s">
        <v>760</v>
      </c>
      <c r="D2921" t="s">
        <v>38</v>
      </c>
      <c r="E2921" t="s">
        <v>39</v>
      </c>
      <c r="F2921" t="s">
        <v>33</v>
      </c>
      <c r="G2921">
        <v>2</v>
      </c>
      <c r="H2921">
        <v>1</v>
      </c>
      <c r="I2921">
        <v>25</v>
      </c>
      <c r="J2921" t="s">
        <v>23</v>
      </c>
      <c r="K2921" t="s">
        <v>24</v>
      </c>
      <c r="L2921">
        <v>57</v>
      </c>
      <c r="M2921">
        <v>82.905000000000001</v>
      </c>
      <c r="N2921">
        <v>84.673377000000002</v>
      </c>
      <c r="O2921">
        <v>30.832999999999998</v>
      </c>
      <c r="P2921">
        <v>28.004999999999999</v>
      </c>
      <c r="Q2921">
        <v>23.995999999999999</v>
      </c>
      <c r="R2921" t="s">
        <v>1307</v>
      </c>
      <c r="S2921" t="s">
        <v>83</v>
      </c>
      <c r="T2921">
        <f>IF(TRIM(Table1[[#This Row],[PitStopLaps]])="",0,
LEN(Table1[[#This Row],[PitStopLaps]])-LEN(SUBSTITUTE(Table1[[#This Row],[PitStopLaps]],",",""))+1)</f>
        <v>3</v>
      </c>
      <c r="U2921">
        <f>Table1[[#This Row],[StartPosition]]-Table1[[#This Row],[FinishPosition]]</f>
        <v>1</v>
      </c>
    </row>
    <row r="2922" spans="1:21" x14ac:dyDescent="0.3">
      <c r="A2922">
        <v>2024</v>
      </c>
      <c r="B2922">
        <v>23</v>
      </c>
      <c r="C2922" t="s">
        <v>760</v>
      </c>
      <c r="D2922" t="s">
        <v>54</v>
      </c>
      <c r="E2922" t="s">
        <v>55</v>
      </c>
      <c r="F2922" t="s">
        <v>22</v>
      </c>
      <c r="G2922">
        <v>5</v>
      </c>
      <c r="H2922">
        <v>2</v>
      </c>
      <c r="I2922">
        <v>18</v>
      </c>
      <c r="J2922" t="s">
        <v>23</v>
      </c>
      <c r="K2922" t="s">
        <v>24</v>
      </c>
      <c r="L2922">
        <v>57</v>
      </c>
      <c r="M2922">
        <v>83.242000000000004</v>
      </c>
      <c r="N2922">
        <v>85.060288</v>
      </c>
      <c r="O2922">
        <v>31.076000000000001</v>
      </c>
      <c r="P2922">
        <v>28.228999999999999</v>
      </c>
      <c r="Q2922">
        <v>23.887</v>
      </c>
      <c r="R2922" t="s">
        <v>1307</v>
      </c>
      <c r="S2922" t="s">
        <v>83</v>
      </c>
      <c r="T2922">
        <f>IF(TRIM(Table1[[#This Row],[PitStopLaps]])="",0,
LEN(Table1[[#This Row],[PitStopLaps]])-LEN(SUBSTITUTE(Table1[[#This Row],[PitStopLaps]],",",""))+1)</f>
        <v>3</v>
      </c>
      <c r="U2922">
        <f>Table1[[#This Row],[StartPosition]]-Table1[[#This Row],[FinishPosition]]</f>
        <v>3</v>
      </c>
    </row>
    <row r="2923" spans="1:21" x14ac:dyDescent="0.3">
      <c r="A2923">
        <v>2024</v>
      </c>
      <c r="B2923">
        <v>23</v>
      </c>
      <c r="C2923" t="s">
        <v>760</v>
      </c>
      <c r="D2923" t="s">
        <v>1000</v>
      </c>
      <c r="E2923" t="s">
        <v>1001</v>
      </c>
      <c r="F2923" t="s">
        <v>37</v>
      </c>
      <c r="G2923">
        <v>4</v>
      </c>
      <c r="H2923">
        <v>3</v>
      </c>
      <c r="I2923">
        <v>15</v>
      </c>
      <c r="J2923" t="s">
        <v>23</v>
      </c>
      <c r="K2923" t="s">
        <v>24</v>
      </c>
      <c r="L2923">
        <v>57</v>
      </c>
      <c r="M2923">
        <v>83.218000000000004</v>
      </c>
      <c r="N2923">
        <v>85.034567999999993</v>
      </c>
      <c r="O2923">
        <v>31.024999999999999</v>
      </c>
      <c r="P2923">
        <v>28.158999999999999</v>
      </c>
      <c r="Q2923">
        <v>23.89</v>
      </c>
      <c r="R2923" t="s">
        <v>1308</v>
      </c>
      <c r="S2923" t="s">
        <v>83</v>
      </c>
      <c r="T2923">
        <f>IF(TRIM(Table1[[#This Row],[PitStopLaps]])="",0,
LEN(Table1[[#This Row],[PitStopLaps]])-LEN(SUBSTITUTE(Table1[[#This Row],[PitStopLaps]],",",""))+1)</f>
        <v>3</v>
      </c>
      <c r="U2923">
        <f>Table1[[#This Row],[StartPosition]]-Table1[[#This Row],[FinishPosition]]</f>
        <v>1</v>
      </c>
    </row>
    <row r="2924" spans="1:21" x14ac:dyDescent="0.3">
      <c r="A2924">
        <v>2024</v>
      </c>
      <c r="B2924">
        <v>23</v>
      </c>
      <c r="C2924" t="s">
        <v>760</v>
      </c>
      <c r="D2924" t="s">
        <v>252</v>
      </c>
      <c r="E2924" t="s">
        <v>253</v>
      </c>
      <c r="F2924" t="s">
        <v>28</v>
      </c>
      <c r="G2924">
        <v>1</v>
      </c>
      <c r="H2924">
        <v>4</v>
      </c>
      <c r="I2924">
        <v>12</v>
      </c>
      <c r="J2924" t="s">
        <v>34</v>
      </c>
      <c r="K2924" t="s">
        <v>24</v>
      </c>
      <c r="L2924">
        <v>57</v>
      </c>
      <c r="M2924">
        <v>83.355000000000004</v>
      </c>
      <c r="N2924">
        <v>85.287767000000002</v>
      </c>
      <c r="O2924">
        <v>30.933</v>
      </c>
      <c r="P2924">
        <v>28.26</v>
      </c>
      <c r="Q2924">
        <v>24.021000000000001</v>
      </c>
      <c r="R2924" t="s">
        <v>1309</v>
      </c>
      <c r="S2924" t="s">
        <v>83</v>
      </c>
      <c r="T2924">
        <f>IF(TRIM(Table1[[#This Row],[PitStopLaps]])="",0,
LEN(Table1[[#This Row],[PitStopLaps]])-LEN(SUBSTITUTE(Table1[[#This Row],[PitStopLaps]],",",""))+1)</f>
        <v>4</v>
      </c>
      <c r="U2924">
        <f>Table1[[#This Row],[StartPosition]]-Table1[[#This Row],[FinishPosition]]</f>
        <v>-3</v>
      </c>
    </row>
    <row r="2925" spans="1:21" x14ac:dyDescent="0.3">
      <c r="A2925">
        <v>2024</v>
      </c>
      <c r="B2925">
        <v>23</v>
      </c>
      <c r="C2925" t="s">
        <v>760</v>
      </c>
      <c r="D2925" t="s">
        <v>73</v>
      </c>
      <c r="E2925" t="s">
        <v>74</v>
      </c>
      <c r="F2925" t="s">
        <v>607</v>
      </c>
      <c r="G2925">
        <v>11</v>
      </c>
      <c r="H2925">
        <v>5</v>
      </c>
      <c r="I2925">
        <v>10</v>
      </c>
      <c r="J2925" t="s">
        <v>34</v>
      </c>
      <c r="K2925" t="s">
        <v>24</v>
      </c>
      <c r="L2925">
        <v>57</v>
      </c>
      <c r="M2925">
        <v>83.704999999999998</v>
      </c>
      <c r="N2925">
        <v>85.965311</v>
      </c>
      <c r="O2925">
        <v>31.152000000000001</v>
      </c>
      <c r="P2925">
        <v>28.181999999999999</v>
      </c>
      <c r="Q2925">
        <v>24.274000000000001</v>
      </c>
      <c r="R2925" t="s">
        <v>1307</v>
      </c>
      <c r="S2925" t="s">
        <v>83</v>
      </c>
      <c r="T2925">
        <f>IF(TRIM(Table1[[#This Row],[PitStopLaps]])="",0,
LEN(Table1[[#This Row],[PitStopLaps]])-LEN(SUBSTITUTE(Table1[[#This Row],[PitStopLaps]],",",""))+1)</f>
        <v>3</v>
      </c>
      <c r="U2925">
        <f>Table1[[#This Row],[StartPosition]]-Table1[[#This Row],[FinishPosition]]</f>
        <v>6</v>
      </c>
    </row>
    <row r="2926" spans="1:21" x14ac:dyDescent="0.3">
      <c r="A2926">
        <v>2024</v>
      </c>
      <c r="B2926">
        <v>23</v>
      </c>
      <c r="C2926" t="s">
        <v>760</v>
      </c>
      <c r="D2926" t="s">
        <v>47</v>
      </c>
      <c r="E2926" t="s">
        <v>48</v>
      </c>
      <c r="F2926" t="s">
        <v>22</v>
      </c>
      <c r="G2926">
        <v>7</v>
      </c>
      <c r="H2926">
        <v>6</v>
      </c>
      <c r="I2926">
        <v>8</v>
      </c>
      <c r="J2926" t="s">
        <v>34</v>
      </c>
      <c r="K2926" t="s">
        <v>24</v>
      </c>
      <c r="L2926">
        <v>57</v>
      </c>
      <c r="M2926">
        <v>83.465000000000003</v>
      </c>
      <c r="N2926">
        <v>85.385000000000005</v>
      </c>
      <c r="O2926">
        <v>31.024000000000001</v>
      </c>
      <c r="P2926">
        <v>28.38</v>
      </c>
      <c r="Q2926">
        <v>23.969000000000001</v>
      </c>
      <c r="R2926" t="s">
        <v>1308</v>
      </c>
      <c r="S2926" t="s">
        <v>83</v>
      </c>
      <c r="T2926">
        <f>IF(TRIM(Table1[[#This Row],[PitStopLaps]])="",0,
LEN(Table1[[#This Row],[PitStopLaps]])-LEN(SUBSTITUTE(Table1[[#This Row],[PitStopLaps]],",",""))+1)</f>
        <v>3</v>
      </c>
      <c r="U2926">
        <f>Table1[[#This Row],[StartPosition]]-Table1[[#This Row],[FinishPosition]]</f>
        <v>1</v>
      </c>
    </row>
    <row r="2927" spans="1:21" x14ac:dyDescent="0.3">
      <c r="A2927">
        <v>2024</v>
      </c>
      <c r="B2927">
        <v>23</v>
      </c>
      <c r="C2927" t="s">
        <v>760</v>
      </c>
      <c r="D2927" t="s">
        <v>35</v>
      </c>
      <c r="E2927" t="s">
        <v>36</v>
      </c>
      <c r="F2927" t="s">
        <v>603</v>
      </c>
      <c r="G2927">
        <v>8</v>
      </c>
      <c r="H2927">
        <v>7</v>
      </c>
      <c r="I2927">
        <v>6</v>
      </c>
      <c r="J2927" t="s">
        <v>34</v>
      </c>
      <c r="K2927" t="s">
        <v>24</v>
      </c>
      <c r="L2927">
        <v>57</v>
      </c>
      <c r="M2927">
        <v>83.667000000000002</v>
      </c>
      <c r="N2927">
        <v>86.196066000000002</v>
      </c>
      <c r="O2927">
        <v>31.08</v>
      </c>
      <c r="P2927">
        <v>28.361999999999998</v>
      </c>
      <c r="Q2927">
        <v>24.119</v>
      </c>
      <c r="R2927" t="s">
        <v>1307</v>
      </c>
      <c r="S2927" t="s">
        <v>83</v>
      </c>
      <c r="T2927">
        <f>IF(TRIM(Table1[[#This Row],[PitStopLaps]])="",0,
LEN(Table1[[#This Row],[PitStopLaps]])-LEN(SUBSTITUTE(Table1[[#This Row],[PitStopLaps]],",",""))+1)</f>
        <v>3</v>
      </c>
      <c r="U2927">
        <f>Table1[[#This Row],[StartPosition]]-Table1[[#This Row],[FinishPosition]]</f>
        <v>1</v>
      </c>
    </row>
    <row r="2928" spans="1:21" x14ac:dyDescent="0.3">
      <c r="A2928">
        <v>2024</v>
      </c>
      <c r="B2928">
        <v>23</v>
      </c>
      <c r="C2928" t="s">
        <v>760</v>
      </c>
      <c r="D2928" t="s">
        <v>794</v>
      </c>
      <c r="E2928" t="s">
        <v>795</v>
      </c>
      <c r="F2928" t="s">
        <v>1175</v>
      </c>
      <c r="G2928">
        <v>12</v>
      </c>
      <c r="H2928">
        <v>8</v>
      </c>
      <c r="I2928">
        <v>4</v>
      </c>
      <c r="J2928" t="s">
        <v>34</v>
      </c>
      <c r="K2928" t="s">
        <v>24</v>
      </c>
      <c r="L2928">
        <v>57</v>
      </c>
      <c r="M2928">
        <v>83.888999999999996</v>
      </c>
      <c r="N2928">
        <v>86.288088000000002</v>
      </c>
      <c r="O2928">
        <v>31.204000000000001</v>
      </c>
      <c r="P2928">
        <v>28.2</v>
      </c>
      <c r="Q2928">
        <v>24.468</v>
      </c>
      <c r="R2928" t="s">
        <v>1307</v>
      </c>
      <c r="S2928" t="s">
        <v>83</v>
      </c>
      <c r="T2928">
        <f>IF(TRIM(Table1[[#This Row],[PitStopLaps]])="",0,
LEN(Table1[[#This Row],[PitStopLaps]])-LEN(SUBSTITUTE(Table1[[#This Row],[PitStopLaps]],",",""))+1)</f>
        <v>3</v>
      </c>
      <c r="U2928">
        <f>Table1[[#This Row],[StartPosition]]-Table1[[#This Row],[FinishPosition]]</f>
        <v>4</v>
      </c>
    </row>
    <row r="2929" spans="1:21" x14ac:dyDescent="0.3">
      <c r="A2929">
        <v>2024</v>
      </c>
      <c r="B2929">
        <v>23</v>
      </c>
      <c r="C2929" t="s">
        <v>760</v>
      </c>
      <c r="D2929" t="s">
        <v>71</v>
      </c>
      <c r="E2929" t="s">
        <v>72</v>
      </c>
      <c r="F2929" t="s">
        <v>69</v>
      </c>
      <c r="G2929">
        <v>10</v>
      </c>
      <c r="H2929">
        <v>9</v>
      </c>
      <c r="I2929">
        <v>2</v>
      </c>
      <c r="J2929" t="s">
        <v>34</v>
      </c>
      <c r="K2929" t="s">
        <v>24</v>
      </c>
      <c r="L2929">
        <v>57</v>
      </c>
      <c r="M2929">
        <v>84.259</v>
      </c>
      <c r="N2929">
        <v>86.318813000000006</v>
      </c>
      <c r="O2929">
        <v>31.388999999999999</v>
      </c>
      <c r="P2929">
        <v>28.247</v>
      </c>
      <c r="Q2929">
        <v>24.466999999999999</v>
      </c>
      <c r="R2929" t="s">
        <v>1310</v>
      </c>
      <c r="S2929" t="s">
        <v>83</v>
      </c>
      <c r="T2929">
        <f>IF(TRIM(Table1[[#This Row],[PitStopLaps]])="",0,
LEN(Table1[[#This Row],[PitStopLaps]])-LEN(SUBSTITUTE(Table1[[#This Row],[PitStopLaps]],",",""))+1)</f>
        <v>3</v>
      </c>
      <c r="U2929">
        <f>Table1[[#This Row],[StartPosition]]-Table1[[#This Row],[FinishPosition]]</f>
        <v>1</v>
      </c>
    </row>
    <row r="2930" spans="1:21" x14ac:dyDescent="0.3">
      <c r="A2930">
        <v>2024</v>
      </c>
      <c r="B2930">
        <v>23</v>
      </c>
      <c r="C2930" t="s">
        <v>760</v>
      </c>
      <c r="D2930" t="s">
        <v>246</v>
      </c>
      <c r="E2930" t="s">
        <v>247</v>
      </c>
      <c r="F2930" t="s">
        <v>37</v>
      </c>
      <c r="G2930">
        <v>3</v>
      </c>
      <c r="H2930">
        <v>10</v>
      </c>
      <c r="I2930">
        <v>2</v>
      </c>
      <c r="J2930" t="s">
        <v>34</v>
      </c>
      <c r="K2930" t="s">
        <v>24</v>
      </c>
      <c r="L2930">
        <v>57</v>
      </c>
      <c r="M2930">
        <v>82.384</v>
      </c>
      <c r="N2930">
        <v>84.818068999999994</v>
      </c>
      <c r="O2930">
        <v>30.454000000000001</v>
      </c>
      <c r="P2930">
        <v>27.885000000000002</v>
      </c>
      <c r="Q2930">
        <v>23.795000000000002</v>
      </c>
      <c r="R2930" t="s">
        <v>1311</v>
      </c>
      <c r="S2930" t="s">
        <v>83</v>
      </c>
      <c r="T2930">
        <f>IF(TRIM(Table1[[#This Row],[PitStopLaps]])="",0,
LEN(Table1[[#This Row],[PitStopLaps]])-LEN(SUBSTITUTE(Table1[[#This Row],[PitStopLaps]],",",""))+1)</f>
        <v>4</v>
      </c>
      <c r="U2930">
        <f>Table1[[#This Row],[StartPosition]]-Table1[[#This Row],[FinishPosition]]</f>
        <v>-7</v>
      </c>
    </row>
    <row r="2931" spans="1:21" x14ac:dyDescent="0.3">
      <c r="A2931">
        <v>2024</v>
      </c>
      <c r="B2931">
        <v>23</v>
      </c>
      <c r="C2931" t="s">
        <v>760</v>
      </c>
      <c r="D2931" t="s">
        <v>43</v>
      </c>
      <c r="E2931" t="s">
        <v>44</v>
      </c>
      <c r="F2931" t="s">
        <v>1175</v>
      </c>
      <c r="G2931">
        <v>13</v>
      </c>
      <c r="H2931">
        <v>11</v>
      </c>
      <c r="I2931">
        <v>0</v>
      </c>
      <c r="J2931" t="s">
        <v>34</v>
      </c>
      <c r="K2931" t="s">
        <v>24</v>
      </c>
      <c r="L2931">
        <v>57</v>
      </c>
      <c r="M2931">
        <v>85.533000000000001</v>
      </c>
      <c r="N2931">
        <v>87.280737999999999</v>
      </c>
      <c r="O2931">
        <v>31.701000000000001</v>
      </c>
      <c r="P2931">
        <v>28.56</v>
      </c>
      <c r="Q2931">
        <v>24.948</v>
      </c>
      <c r="R2931" t="s">
        <v>1312</v>
      </c>
      <c r="S2931" t="s">
        <v>83</v>
      </c>
      <c r="T2931">
        <f>IF(TRIM(Table1[[#This Row],[PitStopLaps]])="",0,
LEN(Table1[[#This Row],[PitStopLaps]])-LEN(SUBSTITUTE(Table1[[#This Row],[PitStopLaps]],",",""))+1)</f>
        <v>3</v>
      </c>
      <c r="U2931">
        <f>Table1[[#This Row],[StartPosition]]-Table1[[#This Row],[FinishPosition]]</f>
        <v>2</v>
      </c>
    </row>
    <row r="2932" spans="1:21" x14ac:dyDescent="0.3">
      <c r="A2932">
        <v>2024</v>
      </c>
      <c r="B2932">
        <v>23</v>
      </c>
      <c r="C2932" t="s">
        <v>760</v>
      </c>
      <c r="D2932" t="s">
        <v>26</v>
      </c>
      <c r="E2932" t="s">
        <v>27</v>
      </c>
      <c r="F2932" t="s">
        <v>28</v>
      </c>
      <c r="G2932">
        <v>6</v>
      </c>
      <c r="H2932">
        <v>12</v>
      </c>
      <c r="I2932">
        <v>0</v>
      </c>
      <c r="J2932" t="s">
        <v>34</v>
      </c>
      <c r="K2932" t="s">
        <v>24</v>
      </c>
      <c r="L2932">
        <v>57</v>
      </c>
      <c r="M2932">
        <v>83.864999999999995</v>
      </c>
      <c r="N2932">
        <v>86.064261000000002</v>
      </c>
      <c r="O2932">
        <v>31.123999999999999</v>
      </c>
      <c r="P2932">
        <v>28.381</v>
      </c>
      <c r="Q2932">
        <v>24.259</v>
      </c>
      <c r="R2932" t="s">
        <v>1313</v>
      </c>
      <c r="S2932" t="s">
        <v>83</v>
      </c>
      <c r="T2932">
        <f>IF(TRIM(Table1[[#This Row],[PitStopLaps]])="",0,
LEN(Table1[[#This Row],[PitStopLaps]])-LEN(SUBSTITUTE(Table1[[#This Row],[PitStopLaps]],",",""))+1)</f>
        <v>4</v>
      </c>
      <c r="U2932">
        <f>Table1[[#This Row],[StartPosition]]-Table1[[#This Row],[FinishPosition]]</f>
        <v>-6</v>
      </c>
    </row>
    <row r="2933" spans="1:21" x14ac:dyDescent="0.3">
      <c r="A2933">
        <v>2024</v>
      </c>
      <c r="B2933">
        <v>23</v>
      </c>
      <c r="C2933" t="s">
        <v>760</v>
      </c>
      <c r="D2933" t="s">
        <v>601</v>
      </c>
      <c r="E2933" t="s">
        <v>602</v>
      </c>
      <c r="F2933" t="s">
        <v>1176</v>
      </c>
      <c r="G2933">
        <v>14</v>
      </c>
      <c r="H2933">
        <v>13</v>
      </c>
      <c r="I2933">
        <v>0</v>
      </c>
      <c r="J2933" t="s">
        <v>34</v>
      </c>
      <c r="K2933" t="s">
        <v>24</v>
      </c>
      <c r="L2933">
        <v>57</v>
      </c>
      <c r="M2933">
        <v>86.144000000000005</v>
      </c>
      <c r="N2933">
        <v>87.406822000000005</v>
      </c>
      <c r="O2933">
        <v>32.121000000000002</v>
      </c>
      <c r="P2933">
        <v>28.905000000000001</v>
      </c>
      <c r="Q2933">
        <v>24.959</v>
      </c>
      <c r="R2933" t="s">
        <v>1314</v>
      </c>
      <c r="S2933" t="s">
        <v>83</v>
      </c>
      <c r="T2933">
        <f>IF(TRIM(Table1[[#This Row],[PitStopLaps]])="",0,
LEN(Table1[[#This Row],[PitStopLaps]])-LEN(SUBSTITUTE(Table1[[#This Row],[PitStopLaps]],",",""))+1)</f>
        <v>4</v>
      </c>
      <c r="U2933">
        <f>Table1[[#This Row],[StartPosition]]-Table1[[#This Row],[FinishPosition]]</f>
        <v>1</v>
      </c>
    </row>
    <row r="2934" spans="1:21" x14ac:dyDescent="0.3">
      <c r="A2934">
        <v>2024</v>
      </c>
      <c r="B2934">
        <v>23</v>
      </c>
      <c r="C2934" t="s">
        <v>760</v>
      </c>
      <c r="D2934" t="s">
        <v>1092</v>
      </c>
      <c r="E2934" t="s">
        <v>1093</v>
      </c>
      <c r="F2934" t="s">
        <v>1176</v>
      </c>
      <c r="G2934">
        <v>17</v>
      </c>
      <c r="H2934">
        <v>14</v>
      </c>
      <c r="I2934">
        <v>0</v>
      </c>
      <c r="J2934" t="s">
        <v>34</v>
      </c>
      <c r="K2934" t="s">
        <v>24</v>
      </c>
      <c r="L2934">
        <v>57</v>
      </c>
      <c r="M2934">
        <v>86.075999999999993</v>
      </c>
      <c r="N2934">
        <v>87.4756</v>
      </c>
      <c r="O2934">
        <v>31.998999999999999</v>
      </c>
      <c r="P2934">
        <v>29.015999999999998</v>
      </c>
      <c r="Q2934">
        <v>24.896999999999998</v>
      </c>
      <c r="R2934" t="s">
        <v>1314</v>
      </c>
      <c r="S2934" t="s">
        <v>83</v>
      </c>
      <c r="T2934">
        <f>IF(TRIM(Table1[[#This Row],[PitStopLaps]])="",0,
LEN(Table1[[#This Row],[PitStopLaps]])-LEN(SUBSTITUTE(Table1[[#This Row],[PitStopLaps]],",",""))+1)</f>
        <v>4</v>
      </c>
      <c r="U2934">
        <f>Table1[[#This Row],[StartPosition]]-Table1[[#This Row],[FinishPosition]]</f>
        <v>3</v>
      </c>
    </row>
    <row r="2935" spans="1:21" x14ac:dyDescent="0.3">
      <c r="A2935">
        <v>2024</v>
      </c>
      <c r="B2935">
        <v>23</v>
      </c>
      <c r="C2935" t="s">
        <v>760</v>
      </c>
      <c r="D2935" t="s">
        <v>248</v>
      </c>
      <c r="E2935" t="s">
        <v>249</v>
      </c>
      <c r="F2935" t="s">
        <v>60</v>
      </c>
      <c r="G2935">
        <v>16</v>
      </c>
      <c r="H2935">
        <v>15</v>
      </c>
      <c r="I2935">
        <v>0</v>
      </c>
      <c r="J2935" t="s">
        <v>34</v>
      </c>
      <c r="K2935" t="s">
        <v>994</v>
      </c>
      <c r="L2935">
        <v>56</v>
      </c>
      <c r="M2935">
        <v>85.558999999999997</v>
      </c>
      <c r="N2935">
        <v>87.389261000000005</v>
      </c>
      <c r="O2935">
        <v>31.786999999999999</v>
      </c>
      <c r="P2935">
        <v>28.747</v>
      </c>
      <c r="Q2935">
        <v>24.896999999999998</v>
      </c>
      <c r="R2935" t="s">
        <v>1315</v>
      </c>
      <c r="S2935" t="s">
        <v>83</v>
      </c>
      <c r="T2935">
        <f>IF(TRIM(Table1[[#This Row],[PitStopLaps]])="",0,
LEN(Table1[[#This Row],[PitStopLaps]])-LEN(SUBSTITUTE(Table1[[#This Row],[PitStopLaps]],",",""))+1)</f>
        <v>4</v>
      </c>
      <c r="U2935">
        <f>Table1[[#This Row],[StartPosition]]-Table1[[#This Row],[FinishPosition]]</f>
        <v>1</v>
      </c>
    </row>
    <row r="2936" spans="1:21" x14ac:dyDescent="0.3">
      <c r="A2936">
        <v>2024</v>
      </c>
      <c r="B2936">
        <v>23</v>
      </c>
      <c r="C2936" t="s">
        <v>760</v>
      </c>
      <c r="D2936" t="s">
        <v>40</v>
      </c>
      <c r="E2936" t="s">
        <v>41</v>
      </c>
      <c r="F2936" t="s">
        <v>69</v>
      </c>
      <c r="G2936">
        <v>18</v>
      </c>
      <c r="H2936">
        <v>16</v>
      </c>
      <c r="I2936">
        <v>0</v>
      </c>
      <c r="J2936" t="s">
        <v>34</v>
      </c>
      <c r="K2936" t="s">
        <v>179</v>
      </c>
      <c r="L2936">
        <v>40</v>
      </c>
      <c r="M2936">
        <v>85.766999999999996</v>
      </c>
      <c r="N2936">
        <v>87.579407000000003</v>
      </c>
      <c r="O2936">
        <v>31.931999999999999</v>
      </c>
      <c r="P2936">
        <v>28.536000000000001</v>
      </c>
      <c r="Q2936">
        <v>25.125</v>
      </c>
      <c r="R2936" t="s">
        <v>1316</v>
      </c>
      <c r="S2936" t="s">
        <v>83</v>
      </c>
      <c r="T2936">
        <f>IF(TRIM(Table1[[#This Row],[PitStopLaps]])="",0,
LEN(Table1[[#This Row],[PitStopLaps]])-LEN(SUBSTITUTE(Table1[[#This Row],[PitStopLaps]],",",""))+1)</f>
        <v>4</v>
      </c>
      <c r="U2936">
        <f>Table1[[#This Row],[StartPosition]]-Table1[[#This Row],[FinishPosition]]</f>
        <v>2</v>
      </c>
    </row>
    <row r="2937" spans="1:21" x14ac:dyDescent="0.3">
      <c r="A2937">
        <v>2024</v>
      </c>
      <c r="B2937">
        <v>23</v>
      </c>
      <c r="C2937" t="s">
        <v>760</v>
      </c>
      <c r="D2937" t="s">
        <v>49</v>
      </c>
      <c r="E2937" t="s">
        <v>50</v>
      </c>
      <c r="F2937" t="s">
        <v>33</v>
      </c>
      <c r="G2937">
        <v>9</v>
      </c>
      <c r="H2937">
        <v>17</v>
      </c>
      <c r="I2937">
        <v>0</v>
      </c>
      <c r="J2937" t="s">
        <v>34</v>
      </c>
      <c r="K2937" t="s">
        <v>179</v>
      </c>
      <c r="L2937">
        <v>39</v>
      </c>
      <c r="M2937">
        <v>85.287999999999997</v>
      </c>
      <c r="N2937">
        <v>86.293132999999997</v>
      </c>
      <c r="O2937">
        <v>31.709</v>
      </c>
      <c r="P2937">
        <v>28.867000000000001</v>
      </c>
      <c r="Q2937">
        <v>24.606000000000002</v>
      </c>
      <c r="R2937" t="s">
        <v>1307</v>
      </c>
      <c r="S2937" t="s">
        <v>83</v>
      </c>
      <c r="T2937">
        <f>IF(TRIM(Table1[[#This Row],[PitStopLaps]])="",0,
LEN(Table1[[#This Row],[PitStopLaps]])-LEN(SUBSTITUTE(Table1[[#This Row],[PitStopLaps]],",",""))+1)</f>
        <v>3</v>
      </c>
      <c r="U2937">
        <f>Table1[[#This Row],[StartPosition]]-Table1[[#This Row],[FinishPosition]]</f>
        <v>-8</v>
      </c>
    </row>
    <row r="2938" spans="1:21" x14ac:dyDescent="0.3">
      <c r="A2938">
        <v>2024</v>
      </c>
      <c r="B2938">
        <v>23</v>
      </c>
      <c r="C2938" t="s">
        <v>760</v>
      </c>
      <c r="D2938" t="s">
        <v>58</v>
      </c>
      <c r="E2938" t="s">
        <v>59</v>
      </c>
      <c r="F2938" t="s">
        <v>603</v>
      </c>
      <c r="G2938">
        <v>15</v>
      </c>
      <c r="H2938">
        <v>18</v>
      </c>
      <c r="I2938">
        <v>0</v>
      </c>
      <c r="J2938" t="s">
        <v>34</v>
      </c>
      <c r="K2938" t="s">
        <v>179</v>
      </c>
      <c r="L2938">
        <v>8</v>
      </c>
      <c r="M2938">
        <v>90.935000000000002</v>
      </c>
      <c r="N2938">
        <v>92.228999999999999</v>
      </c>
      <c r="O2938">
        <v>34.1</v>
      </c>
      <c r="P2938">
        <v>30.222999999999999</v>
      </c>
      <c r="Q2938">
        <v>26.611999999999998</v>
      </c>
      <c r="R2938" t="s">
        <v>199</v>
      </c>
      <c r="S2938" t="s">
        <v>83</v>
      </c>
      <c r="T2938">
        <f>IF(TRIM(Table1[[#This Row],[PitStopLaps]])="",0,
LEN(Table1[[#This Row],[PitStopLaps]])-LEN(SUBSTITUTE(Table1[[#This Row],[PitStopLaps]],",",""))+1)</f>
        <v>3</v>
      </c>
      <c r="U2938">
        <f>Table1[[#This Row],[StartPosition]]-Table1[[#This Row],[FinishPosition]]</f>
        <v>-3</v>
      </c>
    </row>
    <row r="2939" spans="1:21" x14ac:dyDescent="0.3">
      <c r="A2939">
        <v>2024</v>
      </c>
      <c r="B2939">
        <v>23</v>
      </c>
      <c r="C2939" t="s">
        <v>760</v>
      </c>
      <c r="D2939" t="s">
        <v>1283</v>
      </c>
      <c r="E2939" t="s">
        <v>1284</v>
      </c>
      <c r="F2939" t="s">
        <v>60</v>
      </c>
      <c r="G2939">
        <v>19</v>
      </c>
      <c r="H2939">
        <v>19</v>
      </c>
      <c r="I2939">
        <v>0</v>
      </c>
      <c r="J2939" t="s">
        <v>34</v>
      </c>
      <c r="K2939" t="s">
        <v>179</v>
      </c>
      <c r="L2939">
        <v>1</v>
      </c>
      <c r="S2939" t="s">
        <v>83</v>
      </c>
      <c r="T2939">
        <f>IF(TRIM(Table1[[#This Row],[PitStopLaps]])="",0,
LEN(Table1[[#This Row],[PitStopLaps]])-LEN(SUBSTITUTE(Table1[[#This Row],[PitStopLaps]],",",""))+1)</f>
        <v>0</v>
      </c>
      <c r="U2939">
        <f>Table1[[#This Row],[StartPosition]]-Table1[[#This Row],[FinishPosition]]</f>
        <v>0</v>
      </c>
    </row>
    <row r="2940" spans="1:21" x14ac:dyDescent="0.3">
      <c r="A2940">
        <v>2024</v>
      </c>
      <c r="B2940">
        <v>23</v>
      </c>
      <c r="C2940" t="s">
        <v>760</v>
      </c>
      <c r="D2940" t="s">
        <v>52</v>
      </c>
      <c r="E2940" t="s">
        <v>53</v>
      </c>
      <c r="F2940" t="s">
        <v>607</v>
      </c>
      <c r="G2940">
        <v>20</v>
      </c>
      <c r="H2940">
        <v>20</v>
      </c>
      <c r="I2940">
        <v>0</v>
      </c>
      <c r="J2940" t="s">
        <v>34</v>
      </c>
      <c r="K2940" t="s">
        <v>179</v>
      </c>
      <c r="L2940">
        <v>1</v>
      </c>
      <c r="S2940" t="s">
        <v>83</v>
      </c>
      <c r="T2940">
        <f>IF(TRIM(Table1[[#This Row],[PitStopLaps]])="",0,
LEN(Table1[[#This Row],[PitStopLaps]])-LEN(SUBSTITUTE(Table1[[#This Row],[PitStopLaps]],",",""))+1)</f>
        <v>0</v>
      </c>
      <c r="U2940">
        <f>Table1[[#This Row],[StartPosition]]-Table1[[#This Row],[FinishPosition]]</f>
        <v>0</v>
      </c>
    </row>
    <row r="2941" spans="1:21" x14ac:dyDescent="0.3">
      <c r="A2941">
        <v>2024</v>
      </c>
      <c r="B2941">
        <v>24</v>
      </c>
      <c r="C2941" t="s">
        <v>240</v>
      </c>
      <c r="D2941" t="s">
        <v>246</v>
      </c>
      <c r="E2941" t="s">
        <v>247</v>
      </c>
      <c r="F2941" t="s">
        <v>37</v>
      </c>
      <c r="G2941">
        <v>1</v>
      </c>
      <c r="H2941">
        <v>1</v>
      </c>
      <c r="I2941">
        <v>25</v>
      </c>
      <c r="J2941" t="s">
        <v>23</v>
      </c>
      <c r="K2941" t="s">
        <v>24</v>
      </c>
      <c r="L2941">
        <v>58</v>
      </c>
      <c r="M2941">
        <v>87.438000000000002</v>
      </c>
      <c r="N2941">
        <v>88.517112999999995</v>
      </c>
      <c r="O2941">
        <v>17.513000000000002</v>
      </c>
      <c r="P2941">
        <v>37.828000000000003</v>
      </c>
      <c r="Q2941">
        <v>31.913</v>
      </c>
      <c r="R2941">
        <v>26</v>
      </c>
      <c r="S2941" t="s">
        <v>83</v>
      </c>
      <c r="T2941">
        <f>IF(TRIM(Table1[[#This Row],[PitStopLaps]])="",0,
LEN(Table1[[#This Row],[PitStopLaps]])-LEN(SUBSTITUTE(Table1[[#This Row],[PitStopLaps]],",",""))+1)</f>
        <v>1</v>
      </c>
      <c r="U2941">
        <f>Table1[[#This Row],[StartPosition]]-Table1[[#This Row],[FinishPosition]]</f>
        <v>0</v>
      </c>
    </row>
    <row r="2942" spans="1:21" x14ac:dyDescent="0.3">
      <c r="A2942">
        <v>2024</v>
      </c>
      <c r="B2942">
        <v>24</v>
      </c>
      <c r="C2942" t="s">
        <v>240</v>
      </c>
      <c r="D2942" t="s">
        <v>47</v>
      </c>
      <c r="E2942" t="s">
        <v>48</v>
      </c>
      <c r="F2942" t="s">
        <v>22</v>
      </c>
      <c r="G2942">
        <v>3</v>
      </c>
      <c r="H2942">
        <v>2</v>
      </c>
      <c r="I2942">
        <v>18</v>
      </c>
      <c r="J2942" t="s">
        <v>23</v>
      </c>
      <c r="K2942" t="s">
        <v>24</v>
      </c>
      <c r="L2942">
        <v>58</v>
      </c>
      <c r="M2942">
        <v>87.765000000000001</v>
      </c>
      <c r="N2942">
        <v>88.587924000000001</v>
      </c>
      <c r="O2942">
        <v>17.553000000000001</v>
      </c>
      <c r="P2942">
        <v>37.825000000000003</v>
      </c>
      <c r="Q2942">
        <v>32.237000000000002</v>
      </c>
      <c r="R2942">
        <v>25</v>
      </c>
      <c r="S2942" t="s">
        <v>83</v>
      </c>
      <c r="T2942">
        <f>IF(TRIM(Table1[[#This Row],[PitStopLaps]])="",0,
LEN(Table1[[#This Row],[PitStopLaps]])-LEN(SUBSTITUTE(Table1[[#This Row],[PitStopLaps]],",",""))+1)</f>
        <v>1</v>
      </c>
      <c r="U2942">
        <f>Table1[[#This Row],[StartPosition]]-Table1[[#This Row],[FinishPosition]]</f>
        <v>1</v>
      </c>
    </row>
    <row r="2943" spans="1:21" x14ac:dyDescent="0.3">
      <c r="A2943">
        <v>2024</v>
      </c>
      <c r="B2943">
        <v>24</v>
      </c>
      <c r="C2943" t="s">
        <v>240</v>
      </c>
      <c r="D2943" t="s">
        <v>54</v>
      </c>
      <c r="E2943" t="s">
        <v>55</v>
      </c>
      <c r="F2943" t="s">
        <v>22</v>
      </c>
      <c r="G2943">
        <v>19</v>
      </c>
      <c r="H2943">
        <v>3</v>
      </c>
      <c r="I2943">
        <v>15</v>
      </c>
      <c r="J2943" t="s">
        <v>23</v>
      </c>
      <c r="K2943" t="s">
        <v>24</v>
      </c>
      <c r="L2943">
        <v>58</v>
      </c>
      <c r="M2943">
        <v>88.018000000000001</v>
      </c>
      <c r="N2943">
        <v>88.944433000000004</v>
      </c>
      <c r="O2943">
        <v>17.701000000000001</v>
      </c>
      <c r="P2943">
        <v>37.744999999999997</v>
      </c>
      <c r="Q2943">
        <v>32.226999999999997</v>
      </c>
      <c r="R2943">
        <v>20</v>
      </c>
      <c r="S2943" t="s">
        <v>83</v>
      </c>
      <c r="T2943">
        <f>IF(TRIM(Table1[[#This Row],[PitStopLaps]])="",0,
LEN(Table1[[#This Row],[PitStopLaps]])-LEN(SUBSTITUTE(Table1[[#This Row],[PitStopLaps]],",",""))+1)</f>
        <v>1</v>
      </c>
      <c r="U2943">
        <f>Table1[[#This Row],[StartPosition]]-Table1[[#This Row],[FinishPosition]]</f>
        <v>16</v>
      </c>
    </row>
    <row r="2944" spans="1:21" x14ac:dyDescent="0.3">
      <c r="A2944">
        <v>2024</v>
      </c>
      <c r="B2944">
        <v>24</v>
      </c>
      <c r="C2944" t="s">
        <v>240</v>
      </c>
      <c r="D2944" t="s">
        <v>26</v>
      </c>
      <c r="E2944" t="s">
        <v>27</v>
      </c>
      <c r="F2944" t="s">
        <v>28</v>
      </c>
      <c r="G2944">
        <v>16</v>
      </c>
      <c r="H2944">
        <v>4</v>
      </c>
      <c r="I2944">
        <v>12</v>
      </c>
      <c r="J2944" t="s">
        <v>34</v>
      </c>
      <c r="K2944" t="s">
        <v>24</v>
      </c>
      <c r="L2944">
        <v>58</v>
      </c>
      <c r="M2944">
        <v>87.278000000000006</v>
      </c>
      <c r="N2944">
        <v>88.960547000000005</v>
      </c>
      <c r="O2944">
        <v>17.375</v>
      </c>
      <c r="P2944">
        <v>37.588000000000001</v>
      </c>
      <c r="Q2944">
        <v>31.809000000000001</v>
      </c>
      <c r="R2944">
        <v>34</v>
      </c>
      <c r="S2944" t="s">
        <v>83</v>
      </c>
      <c r="T2944">
        <f>IF(TRIM(Table1[[#This Row],[PitStopLaps]])="",0,
LEN(Table1[[#This Row],[PitStopLaps]])-LEN(SUBSTITUTE(Table1[[#This Row],[PitStopLaps]],",",""))+1)</f>
        <v>1</v>
      </c>
      <c r="U2944">
        <f>Table1[[#This Row],[StartPosition]]-Table1[[#This Row],[FinishPosition]]</f>
        <v>12</v>
      </c>
    </row>
    <row r="2945" spans="1:21" x14ac:dyDescent="0.3">
      <c r="A2945">
        <v>2024</v>
      </c>
      <c r="B2945">
        <v>24</v>
      </c>
      <c r="C2945" t="s">
        <v>240</v>
      </c>
      <c r="D2945" t="s">
        <v>252</v>
      </c>
      <c r="E2945" t="s">
        <v>253</v>
      </c>
      <c r="F2945" t="s">
        <v>28</v>
      </c>
      <c r="G2945">
        <v>6</v>
      </c>
      <c r="H2945">
        <v>5</v>
      </c>
      <c r="I2945">
        <v>10</v>
      </c>
      <c r="J2945" t="s">
        <v>34</v>
      </c>
      <c r="K2945" t="s">
        <v>24</v>
      </c>
      <c r="L2945">
        <v>58</v>
      </c>
      <c r="M2945">
        <v>88.194999999999993</v>
      </c>
      <c r="N2945">
        <v>89.105490000000003</v>
      </c>
      <c r="O2945">
        <v>17.484999999999999</v>
      </c>
      <c r="P2945">
        <v>37.834000000000003</v>
      </c>
      <c r="Q2945">
        <v>32.348999999999997</v>
      </c>
      <c r="R2945">
        <v>26</v>
      </c>
      <c r="S2945" t="s">
        <v>83</v>
      </c>
      <c r="T2945">
        <f>IF(TRIM(Table1[[#This Row],[PitStopLaps]])="",0,
LEN(Table1[[#This Row],[PitStopLaps]])-LEN(SUBSTITUTE(Table1[[#This Row],[PitStopLaps]],",",""))+1)</f>
        <v>1</v>
      </c>
      <c r="U2945">
        <f>Table1[[#This Row],[StartPosition]]-Table1[[#This Row],[FinishPosition]]</f>
        <v>1</v>
      </c>
    </row>
    <row r="2946" spans="1:21" x14ac:dyDescent="0.3">
      <c r="A2946">
        <v>2024</v>
      </c>
      <c r="B2946">
        <v>24</v>
      </c>
      <c r="C2946" t="s">
        <v>240</v>
      </c>
      <c r="D2946" t="s">
        <v>38</v>
      </c>
      <c r="E2946" t="s">
        <v>39</v>
      </c>
      <c r="F2946" t="s">
        <v>33</v>
      </c>
      <c r="G2946">
        <v>4</v>
      </c>
      <c r="H2946">
        <v>6</v>
      </c>
      <c r="I2946">
        <v>8</v>
      </c>
      <c r="J2946" t="s">
        <v>34</v>
      </c>
      <c r="K2946" t="s">
        <v>24</v>
      </c>
      <c r="L2946">
        <v>58</v>
      </c>
      <c r="M2946">
        <v>87.765000000000001</v>
      </c>
      <c r="N2946">
        <v>89.043149999999997</v>
      </c>
      <c r="O2946">
        <v>17.542999999999999</v>
      </c>
      <c r="P2946">
        <v>37.731000000000002</v>
      </c>
      <c r="Q2946">
        <v>32.125999999999998</v>
      </c>
      <c r="R2946">
        <v>29</v>
      </c>
      <c r="S2946" t="s">
        <v>83</v>
      </c>
      <c r="T2946">
        <f>IF(TRIM(Table1[[#This Row],[PitStopLaps]])="",0,
LEN(Table1[[#This Row],[PitStopLaps]])-LEN(SUBSTITUTE(Table1[[#This Row],[PitStopLaps]],",",""))+1)</f>
        <v>1</v>
      </c>
      <c r="U2946">
        <f>Table1[[#This Row],[StartPosition]]-Table1[[#This Row],[FinishPosition]]</f>
        <v>-2</v>
      </c>
    </row>
    <row r="2947" spans="1:21" x14ac:dyDescent="0.3">
      <c r="A2947">
        <v>2024</v>
      </c>
      <c r="B2947">
        <v>24</v>
      </c>
      <c r="C2947" t="s">
        <v>240</v>
      </c>
      <c r="D2947" t="s">
        <v>73</v>
      </c>
      <c r="E2947" t="s">
        <v>74</v>
      </c>
      <c r="F2947" t="s">
        <v>607</v>
      </c>
      <c r="G2947">
        <v>5</v>
      </c>
      <c r="H2947">
        <v>7</v>
      </c>
      <c r="I2947">
        <v>6</v>
      </c>
      <c r="J2947" t="s">
        <v>34</v>
      </c>
      <c r="K2947" t="s">
        <v>24</v>
      </c>
      <c r="L2947">
        <v>58</v>
      </c>
      <c r="M2947">
        <v>89.212000000000003</v>
      </c>
      <c r="N2947">
        <v>89.759338999999997</v>
      </c>
      <c r="O2947">
        <v>17.783999999999999</v>
      </c>
      <c r="P2947">
        <v>37.866</v>
      </c>
      <c r="Q2947">
        <v>32.698</v>
      </c>
      <c r="R2947">
        <v>14</v>
      </c>
      <c r="S2947" t="s">
        <v>83</v>
      </c>
      <c r="T2947">
        <f>IF(TRIM(Table1[[#This Row],[PitStopLaps]])="",0,
LEN(Table1[[#This Row],[PitStopLaps]])-LEN(SUBSTITUTE(Table1[[#This Row],[PitStopLaps]],",",""))+1)</f>
        <v>1</v>
      </c>
      <c r="U2947">
        <f>Table1[[#This Row],[StartPosition]]-Table1[[#This Row],[FinishPosition]]</f>
        <v>-2</v>
      </c>
    </row>
    <row r="2948" spans="1:21" x14ac:dyDescent="0.3">
      <c r="A2948">
        <v>2024</v>
      </c>
      <c r="B2948">
        <v>24</v>
      </c>
      <c r="C2948" t="s">
        <v>240</v>
      </c>
      <c r="D2948" t="s">
        <v>40</v>
      </c>
      <c r="E2948" t="s">
        <v>41</v>
      </c>
      <c r="F2948" t="s">
        <v>69</v>
      </c>
      <c r="G2948">
        <v>7</v>
      </c>
      <c r="H2948">
        <v>8</v>
      </c>
      <c r="I2948">
        <v>4</v>
      </c>
      <c r="J2948" t="s">
        <v>34</v>
      </c>
      <c r="K2948" t="s">
        <v>24</v>
      </c>
      <c r="L2948">
        <v>58</v>
      </c>
      <c r="M2948">
        <v>89.152000000000001</v>
      </c>
      <c r="N2948">
        <v>89.785509000000005</v>
      </c>
      <c r="O2948">
        <v>17.783999999999999</v>
      </c>
      <c r="P2948">
        <v>37.685000000000002</v>
      </c>
      <c r="Q2948">
        <v>32.956000000000003</v>
      </c>
      <c r="R2948">
        <v>13</v>
      </c>
      <c r="S2948" t="s">
        <v>83</v>
      </c>
      <c r="T2948">
        <f>IF(TRIM(Table1[[#This Row],[PitStopLaps]])="",0,
LEN(Table1[[#This Row],[PitStopLaps]])-LEN(SUBSTITUTE(Table1[[#This Row],[PitStopLaps]],",",""))+1)</f>
        <v>1</v>
      </c>
      <c r="U2948">
        <f>Table1[[#This Row],[StartPosition]]-Table1[[#This Row],[FinishPosition]]</f>
        <v>-1</v>
      </c>
    </row>
    <row r="2949" spans="1:21" x14ac:dyDescent="0.3">
      <c r="A2949">
        <v>2024</v>
      </c>
      <c r="B2949">
        <v>24</v>
      </c>
      <c r="C2949" t="s">
        <v>240</v>
      </c>
      <c r="D2949" t="s">
        <v>35</v>
      </c>
      <c r="E2949" t="s">
        <v>36</v>
      </c>
      <c r="F2949" t="s">
        <v>603</v>
      </c>
      <c r="G2949">
        <v>8</v>
      </c>
      <c r="H2949">
        <v>9</v>
      </c>
      <c r="I2949">
        <v>2</v>
      </c>
      <c r="J2949" t="s">
        <v>34</v>
      </c>
      <c r="K2949" t="s">
        <v>24</v>
      </c>
      <c r="L2949">
        <v>58</v>
      </c>
      <c r="M2949">
        <v>87.947999999999993</v>
      </c>
      <c r="N2949">
        <v>89.420351999999994</v>
      </c>
      <c r="O2949">
        <v>17.492000000000001</v>
      </c>
      <c r="P2949">
        <v>37.856000000000002</v>
      </c>
      <c r="Q2949">
        <v>32.222000000000001</v>
      </c>
      <c r="R2949" t="s">
        <v>725</v>
      </c>
      <c r="S2949" t="s">
        <v>83</v>
      </c>
      <c r="T2949">
        <f>IF(TRIM(Table1[[#This Row],[PitStopLaps]])="",0,
LEN(Table1[[#This Row],[PitStopLaps]])-LEN(SUBSTITUTE(Table1[[#This Row],[PitStopLaps]],",",""))+1)</f>
        <v>2</v>
      </c>
      <c r="U2949">
        <f>Table1[[#This Row],[StartPosition]]-Table1[[#This Row],[FinishPosition]]</f>
        <v>-1</v>
      </c>
    </row>
    <row r="2950" spans="1:21" x14ac:dyDescent="0.3">
      <c r="A2950">
        <v>2024</v>
      </c>
      <c r="B2950">
        <v>24</v>
      </c>
      <c r="C2950" t="s">
        <v>240</v>
      </c>
      <c r="D2950" t="s">
        <v>1000</v>
      </c>
      <c r="E2950" t="s">
        <v>1001</v>
      </c>
      <c r="F2950" t="s">
        <v>37</v>
      </c>
      <c r="G2950">
        <v>2</v>
      </c>
      <c r="H2950">
        <v>10</v>
      </c>
      <c r="I2950">
        <v>1</v>
      </c>
      <c r="J2950" t="s">
        <v>34</v>
      </c>
      <c r="K2950" t="s">
        <v>24</v>
      </c>
      <c r="L2950">
        <v>58</v>
      </c>
      <c r="M2950">
        <v>87.69</v>
      </c>
      <c r="N2950">
        <v>89.047371999999996</v>
      </c>
      <c r="O2950">
        <v>17.556999999999999</v>
      </c>
      <c r="P2950">
        <v>37.732999999999997</v>
      </c>
      <c r="Q2950">
        <v>32.042999999999999</v>
      </c>
      <c r="R2950" t="s">
        <v>1317</v>
      </c>
      <c r="S2950" t="s">
        <v>83</v>
      </c>
      <c r="T2950">
        <f>IF(TRIM(Table1[[#This Row],[PitStopLaps]])="",0,
LEN(Table1[[#This Row],[PitStopLaps]])-LEN(SUBSTITUTE(Table1[[#This Row],[PitStopLaps]],",",""))+1)</f>
        <v>2</v>
      </c>
      <c r="U2950">
        <f>Table1[[#This Row],[StartPosition]]-Table1[[#This Row],[FinishPosition]]</f>
        <v>-8</v>
      </c>
    </row>
    <row r="2951" spans="1:21" x14ac:dyDescent="0.3">
      <c r="A2951">
        <v>2024</v>
      </c>
      <c r="B2951">
        <v>24</v>
      </c>
      <c r="C2951" t="s">
        <v>240</v>
      </c>
      <c r="D2951" t="s">
        <v>248</v>
      </c>
      <c r="E2951" t="s">
        <v>249</v>
      </c>
      <c r="F2951" t="s">
        <v>60</v>
      </c>
      <c r="G2951">
        <v>18</v>
      </c>
      <c r="H2951">
        <v>11</v>
      </c>
      <c r="I2951">
        <v>0</v>
      </c>
      <c r="J2951" t="s">
        <v>34</v>
      </c>
      <c r="K2951" t="s">
        <v>994</v>
      </c>
      <c r="L2951">
        <v>57</v>
      </c>
      <c r="M2951">
        <v>89.438000000000002</v>
      </c>
      <c r="N2951">
        <v>90.100211000000002</v>
      </c>
      <c r="O2951">
        <v>17.89</v>
      </c>
      <c r="P2951">
        <v>37.914999999999999</v>
      </c>
      <c r="Q2951">
        <v>32.981999999999999</v>
      </c>
      <c r="R2951">
        <v>12</v>
      </c>
      <c r="S2951" t="s">
        <v>83</v>
      </c>
      <c r="T2951">
        <f>IF(TRIM(Table1[[#This Row],[PitStopLaps]])="",0,
LEN(Table1[[#This Row],[PitStopLaps]])-LEN(SUBSTITUTE(Table1[[#This Row],[PitStopLaps]],",",""))+1)</f>
        <v>1</v>
      </c>
      <c r="U2951">
        <f>Table1[[#This Row],[StartPosition]]-Table1[[#This Row],[FinishPosition]]</f>
        <v>7</v>
      </c>
    </row>
    <row r="2952" spans="1:21" x14ac:dyDescent="0.3">
      <c r="A2952">
        <v>2024</v>
      </c>
      <c r="B2952">
        <v>24</v>
      </c>
      <c r="C2952" t="s">
        <v>240</v>
      </c>
      <c r="D2952" t="s">
        <v>601</v>
      </c>
      <c r="E2952" t="s">
        <v>602</v>
      </c>
      <c r="F2952" t="s">
        <v>1176</v>
      </c>
      <c r="G2952">
        <v>11</v>
      </c>
      <c r="H2952">
        <v>12</v>
      </c>
      <c r="I2952">
        <v>0</v>
      </c>
      <c r="J2952" t="s">
        <v>34</v>
      </c>
      <c r="K2952" t="s">
        <v>994</v>
      </c>
      <c r="L2952">
        <v>57</v>
      </c>
      <c r="M2952">
        <v>89.2</v>
      </c>
      <c r="N2952">
        <v>90.128634000000005</v>
      </c>
      <c r="O2952">
        <v>17.791</v>
      </c>
      <c r="P2952">
        <v>37.942999999999998</v>
      </c>
      <c r="Q2952">
        <v>32.831000000000003</v>
      </c>
      <c r="R2952">
        <v>22</v>
      </c>
      <c r="S2952" t="s">
        <v>83</v>
      </c>
      <c r="T2952">
        <f>IF(TRIM(Table1[[#This Row],[PitStopLaps]])="",0,
LEN(Table1[[#This Row],[PitStopLaps]])-LEN(SUBSTITUTE(Table1[[#This Row],[PitStopLaps]],",",""))+1)</f>
        <v>1</v>
      </c>
      <c r="U2952">
        <f>Table1[[#This Row],[StartPosition]]-Table1[[#This Row],[FinishPosition]]</f>
        <v>-1</v>
      </c>
    </row>
    <row r="2953" spans="1:21" x14ac:dyDescent="0.3">
      <c r="A2953">
        <v>2024</v>
      </c>
      <c r="B2953">
        <v>24</v>
      </c>
      <c r="C2953" t="s">
        <v>240</v>
      </c>
      <c r="D2953" t="s">
        <v>794</v>
      </c>
      <c r="E2953" t="s">
        <v>795</v>
      </c>
      <c r="F2953" t="s">
        <v>1175</v>
      </c>
      <c r="G2953">
        <v>15</v>
      </c>
      <c r="H2953">
        <v>13</v>
      </c>
      <c r="I2953">
        <v>0</v>
      </c>
      <c r="J2953" t="s">
        <v>34</v>
      </c>
      <c r="K2953" t="s">
        <v>994</v>
      </c>
      <c r="L2953">
        <v>57</v>
      </c>
      <c r="M2953">
        <v>87.981999999999999</v>
      </c>
      <c r="N2953">
        <v>89.613699999999994</v>
      </c>
      <c r="O2953">
        <v>17.523</v>
      </c>
      <c r="P2953">
        <v>38.040999999999997</v>
      </c>
      <c r="Q2953">
        <v>32.091999999999999</v>
      </c>
      <c r="R2953" t="s">
        <v>121</v>
      </c>
      <c r="S2953" t="s">
        <v>83</v>
      </c>
      <c r="T2953">
        <f>IF(TRIM(Table1[[#This Row],[PitStopLaps]])="",0,
LEN(Table1[[#This Row],[PitStopLaps]])-LEN(SUBSTITUTE(Table1[[#This Row],[PitStopLaps]],",",""))+1)</f>
        <v>2</v>
      </c>
      <c r="U2953">
        <f>Table1[[#This Row],[StartPosition]]-Table1[[#This Row],[FinishPosition]]</f>
        <v>2</v>
      </c>
    </row>
    <row r="2954" spans="1:21" x14ac:dyDescent="0.3">
      <c r="A2954">
        <v>2024</v>
      </c>
      <c r="B2954">
        <v>24</v>
      </c>
      <c r="C2954" t="s">
        <v>240</v>
      </c>
      <c r="D2954" t="s">
        <v>58</v>
      </c>
      <c r="E2954" t="s">
        <v>59</v>
      </c>
      <c r="F2954" t="s">
        <v>603</v>
      </c>
      <c r="G2954">
        <v>13</v>
      </c>
      <c r="H2954">
        <v>14</v>
      </c>
      <c r="I2954">
        <v>0</v>
      </c>
      <c r="J2954" t="s">
        <v>34</v>
      </c>
      <c r="K2954" t="s">
        <v>994</v>
      </c>
      <c r="L2954">
        <v>57</v>
      </c>
      <c r="M2954">
        <v>88.603999999999999</v>
      </c>
      <c r="N2954">
        <v>89.774900000000002</v>
      </c>
      <c r="O2954">
        <v>17.652000000000001</v>
      </c>
      <c r="P2954">
        <v>37.734000000000002</v>
      </c>
      <c r="Q2954">
        <v>32.655000000000001</v>
      </c>
      <c r="R2954" t="s">
        <v>263</v>
      </c>
      <c r="S2954" t="s">
        <v>83</v>
      </c>
      <c r="T2954">
        <f>IF(TRIM(Table1[[#This Row],[PitStopLaps]])="",0,
LEN(Table1[[#This Row],[PitStopLaps]])-LEN(SUBSTITUTE(Table1[[#This Row],[PitStopLaps]],",",""))+1)</f>
        <v>2</v>
      </c>
      <c r="U2954">
        <f>Table1[[#This Row],[StartPosition]]-Table1[[#This Row],[FinishPosition]]</f>
        <v>-1</v>
      </c>
    </row>
    <row r="2955" spans="1:21" x14ac:dyDescent="0.3">
      <c r="A2955">
        <v>2024</v>
      </c>
      <c r="B2955">
        <v>24</v>
      </c>
      <c r="C2955" t="s">
        <v>240</v>
      </c>
      <c r="D2955" t="s">
        <v>1318</v>
      </c>
      <c r="E2955" t="s">
        <v>1319</v>
      </c>
      <c r="F2955" t="s">
        <v>607</v>
      </c>
      <c r="G2955">
        <v>17</v>
      </c>
      <c r="H2955">
        <v>15</v>
      </c>
      <c r="I2955">
        <v>0</v>
      </c>
      <c r="J2955" t="s">
        <v>34</v>
      </c>
      <c r="K2955" t="s">
        <v>994</v>
      </c>
      <c r="L2955">
        <v>57</v>
      </c>
      <c r="M2955">
        <v>89.120999999999995</v>
      </c>
      <c r="N2955">
        <v>90.319902999999996</v>
      </c>
      <c r="O2955">
        <v>17.754000000000001</v>
      </c>
      <c r="P2955">
        <v>38.122999999999998</v>
      </c>
      <c r="Q2955">
        <v>32.857999999999997</v>
      </c>
      <c r="R2955">
        <v>22</v>
      </c>
      <c r="S2955" t="s">
        <v>83</v>
      </c>
      <c r="T2955">
        <f>IF(TRIM(Table1[[#This Row],[PitStopLaps]])="",0,
LEN(Table1[[#This Row],[PitStopLaps]])-LEN(SUBSTITUTE(Table1[[#This Row],[PitStopLaps]],",",""))+1)</f>
        <v>1</v>
      </c>
      <c r="U2955">
        <f>Table1[[#This Row],[StartPosition]]-Table1[[#This Row],[FinishPosition]]</f>
        <v>2</v>
      </c>
    </row>
    <row r="2956" spans="1:21" x14ac:dyDescent="0.3">
      <c r="A2956">
        <v>2024</v>
      </c>
      <c r="B2956">
        <v>24</v>
      </c>
      <c r="C2956" t="s">
        <v>240</v>
      </c>
      <c r="D2956" t="s">
        <v>71</v>
      </c>
      <c r="E2956" t="s">
        <v>72</v>
      </c>
      <c r="F2956" t="s">
        <v>69</v>
      </c>
      <c r="G2956">
        <v>14</v>
      </c>
      <c r="H2956">
        <v>16</v>
      </c>
      <c r="I2956">
        <v>0</v>
      </c>
      <c r="J2956" t="s">
        <v>34</v>
      </c>
      <c r="K2956" t="s">
        <v>994</v>
      </c>
      <c r="L2956">
        <v>57</v>
      </c>
      <c r="M2956">
        <v>85.637</v>
      </c>
      <c r="N2956">
        <v>89.869617000000005</v>
      </c>
      <c r="O2956">
        <v>17.257000000000001</v>
      </c>
      <c r="P2956">
        <v>37.109000000000002</v>
      </c>
      <c r="Q2956">
        <v>31.271000000000001</v>
      </c>
      <c r="R2956" t="s">
        <v>1320</v>
      </c>
      <c r="S2956" t="s">
        <v>83</v>
      </c>
      <c r="T2956">
        <f>IF(TRIM(Table1[[#This Row],[PitStopLaps]])="",0,
LEN(Table1[[#This Row],[PitStopLaps]])-LEN(SUBSTITUTE(Table1[[#This Row],[PitStopLaps]],",",""))+1)</f>
        <v>4</v>
      </c>
      <c r="U2956">
        <f>Table1[[#This Row],[StartPosition]]-Table1[[#This Row],[FinishPosition]]</f>
        <v>-2</v>
      </c>
    </row>
    <row r="2957" spans="1:21" x14ac:dyDescent="0.3">
      <c r="A2957">
        <v>2024</v>
      </c>
      <c r="B2957">
        <v>24</v>
      </c>
      <c r="C2957" t="s">
        <v>240</v>
      </c>
      <c r="D2957" t="s">
        <v>1092</v>
      </c>
      <c r="E2957" t="s">
        <v>1093</v>
      </c>
      <c r="F2957" t="s">
        <v>1176</v>
      </c>
      <c r="G2957">
        <v>12</v>
      </c>
      <c r="H2957">
        <v>17</v>
      </c>
      <c r="I2957">
        <v>0</v>
      </c>
      <c r="J2957" t="s">
        <v>34</v>
      </c>
      <c r="K2957" t="s">
        <v>179</v>
      </c>
      <c r="L2957">
        <v>56</v>
      </c>
      <c r="M2957">
        <v>88.751000000000005</v>
      </c>
      <c r="N2957">
        <v>89.919764999999998</v>
      </c>
      <c r="O2957">
        <v>17.756</v>
      </c>
      <c r="P2957">
        <v>38.231000000000002</v>
      </c>
      <c r="Q2957">
        <v>32.517000000000003</v>
      </c>
      <c r="R2957" t="s">
        <v>1321</v>
      </c>
      <c r="S2957" t="s">
        <v>83</v>
      </c>
      <c r="T2957">
        <f>IF(TRIM(Table1[[#This Row],[PitStopLaps]])="",0,
LEN(Table1[[#This Row],[PitStopLaps]])-LEN(SUBSTITUTE(Table1[[#This Row],[PitStopLaps]],",",""))+1)</f>
        <v>3</v>
      </c>
      <c r="U2957">
        <f>Table1[[#This Row],[StartPosition]]-Table1[[#This Row],[FinishPosition]]</f>
        <v>-5</v>
      </c>
    </row>
    <row r="2958" spans="1:21" x14ac:dyDescent="0.3">
      <c r="A2958">
        <v>2024</v>
      </c>
      <c r="B2958">
        <v>24</v>
      </c>
      <c r="C2958" t="s">
        <v>240</v>
      </c>
      <c r="D2958" t="s">
        <v>43</v>
      </c>
      <c r="E2958" t="s">
        <v>44</v>
      </c>
      <c r="F2958" t="s">
        <v>1175</v>
      </c>
      <c r="G2958">
        <v>9</v>
      </c>
      <c r="H2958">
        <v>18</v>
      </c>
      <c r="I2958">
        <v>0</v>
      </c>
      <c r="J2958" t="s">
        <v>34</v>
      </c>
      <c r="K2958" t="s">
        <v>179</v>
      </c>
      <c r="L2958">
        <v>30</v>
      </c>
      <c r="M2958">
        <v>89.481999999999999</v>
      </c>
      <c r="N2958">
        <v>90.182416000000003</v>
      </c>
      <c r="O2958">
        <v>17.940999999999999</v>
      </c>
      <c r="P2958">
        <v>38.414999999999999</v>
      </c>
      <c r="Q2958">
        <v>32.723999999999997</v>
      </c>
      <c r="R2958" t="s">
        <v>468</v>
      </c>
      <c r="S2958" t="s">
        <v>83</v>
      </c>
      <c r="T2958">
        <f>IF(TRIM(Table1[[#This Row],[PitStopLaps]])="",0,
LEN(Table1[[#This Row],[PitStopLaps]])-LEN(SUBSTITUTE(Table1[[#This Row],[PitStopLaps]],",",""))+1)</f>
        <v>2</v>
      </c>
      <c r="U2958">
        <f>Table1[[#This Row],[StartPosition]]-Table1[[#This Row],[FinishPosition]]</f>
        <v>-9</v>
      </c>
    </row>
    <row r="2959" spans="1:21" x14ac:dyDescent="0.3">
      <c r="A2959">
        <v>2024</v>
      </c>
      <c r="B2959">
        <v>24</v>
      </c>
      <c r="C2959" t="s">
        <v>240</v>
      </c>
      <c r="D2959" t="s">
        <v>1283</v>
      </c>
      <c r="E2959" t="s">
        <v>1284</v>
      </c>
      <c r="F2959" t="s">
        <v>60</v>
      </c>
      <c r="G2959">
        <v>20</v>
      </c>
      <c r="H2959">
        <v>19</v>
      </c>
      <c r="I2959">
        <v>0</v>
      </c>
      <c r="J2959" t="s">
        <v>34</v>
      </c>
      <c r="K2959" t="s">
        <v>179</v>
      </c>
      <c r="L2959">
        <v>26</v>
      </c>
      <c r="M2959">
        <v>89.411000000000001</v>
      </c>
      <c r="N2959">
        <v>90.453619000000003</v>
      </c>
      <c r="O2959">
        <v>18.097999999999999</v>
      </c>
      <c r="P2959">
        <v>38.414999999999999</v>
      </c>
      <c r="Q2959">
        <v>32.737000000000002</v>
      </c>
      <c r="R2959" t="s">
        <v>1169</v>
      </c>
      <c r="S2959" t="s">
        <v>83</v>
      </c>
      <c r="T2959">
        <f>IF(TRIM(Table1[[#This Row],[PitStopLaps]])="",0,
LEN(Table1[[#This Row],[PitStopLaps]])-LEN(SUBSTITUTE(Table1[[#This Row],[PitStopLaps]],",",""))+1)</f>
        <v>2</v>
      </c>
      <c r="U2959">
        <f>Table1[[#This Row],[StartPosition]]-Table1[[#This Row],[FinishPosition]]</f>
        <v>1</v>
      </c>
    </row>
    <row r="2960" spans="1:21" x14ac:dyDescent="0.3">
      <c r="A2960">
        <v>2024</v>
      </c>
      <c r="B2960">
        <v>24</v>
      </c>
      <c r="C2960" t="s">
        <v>240</v>
      </c>
      <c r="D2960" t="s">
        <v>49</v>
      </c>
      <c r="E2960" t="s">
        <v>50</v>
      </c>
      <c r="F2960" t="s">
        <v>33</v>
      </c>
      <c r="G2960">
        <v>10</v>
      </c>
      <c r="H2960">
        <v>20</v>
      </c>
      <c r="I2960">
        <v>0</v>
      </c>
      <c r="J2960" t="s">
        <v>34</v>
      </c>
      <c r="K2960" t="s">
        <v>179</v>
      </c>
      <c r="L2960">
        <v>1</v>
      </c>
      <c r="S2960" t="s">
        <v>83</v>
      </c>
      <c r="T2960">
        <f>IF(TRIM(Table1[[#This Row],[PitStopLaps]])="",0,
LEN(Table1[[#This Row],[PitStopLaps]])-LEN(SUBSTITUTE(Table1[[#This Row],[PitStopLaps]],",",""))+1)</f>
        <v>0</v>
      </c>
      <c r="U2960">
        <f>Table1[[#This Row],[StartPosition]]-Table1[[#This Row],[FinishPosition]]</f>
        <v>-10</v>
      </c>
    </row>
    <row r="2961" spans="1:21" x14ac:dyDescent="0.3">
      <c r="A2961">
        <v>2025</v>
      </c>
      <c r="B2961">
        <v>1</v>
      </c>
      <c r="C2961" t="s">
        <v>19</v>
      </c>
      <c r="D2961" t="s">
        <v>246</v>
      </c>
      <c r="E2961" t="s">
        <v>247</v>
      </c>
      <c r="F2961" t="s">
        <v>37</v>
      </c>
      <c r="G2961">
        <v>1</v>
      </c>
      <c r="H2961">
        <v>1</v>
      </c>
      <c r="I2961">
        <v>25</v>
      </c>
      <c r="J2961" t="s">
        <v>23</v>
      </c>
      <c r="K2961" t="s">
        <v>24</v>
      </c>
      <c r="L2961">
        <v>57</v>
      </c>
      <c r="M2961">
        <v>82.167000000000002</v>
      </c>
      <c r="N2961">
        <v>89.787457000000003</v>
      </c>
      <c r="O2961">
        <v>28.553000000000001</v>
      </c>
      <c r="P2961">
        <v>18.536999999999999</v>
      </c>
      <c r="Q2961">
        <v>34.89</v>
      </c>
      <c r="R2961" t="s">
        <v>1322</v>
      </c>
      <c r="S2961" t="s">
        <v>25</v>
      </c>
      <c r="T2961">
        <f>IF(TRIM(Table1[[#This Row],[PitStopLaps]])="",0,
LEN(Table1[[#This Row],[PitStopLaps]])-LEN(SUBSTITUTE(Table1[[#This Row],[PitStopLaps]],",",""))+1)</f>
        <v>5</v>
      </c>
      <c r="U2961">
        <f>Table1[[#This Row],[StartPosition]]-Table1[[#This Row],[FinishPosition]]</f>
        <v>0</v>
      </c>
    </row>
    <row r="2962" spans="1:21" x14ac:dyDescent="0.3">
      <c r="A2962">
        <v>2025</v>
      </c>
      <c r="B2962">
        <v>1</v>
      </c>
      <c r="C2962" t="s">
        <v>19</v>
      </c>
      <c r="D2962" t="s">
        <v>38</v>
      </c>
      <c r="E2962" t="s">
        <v>39</v>
      </c>
      <c r="F2962" t="s">
        <v>33</v>
      </c>
      <c r="G2962">
        <v>3</v>
      </c>
      <c r="H2962">
        <v>2</v>
      </c>
      <c r="I2962">
        <v>18</v>
      </c>
      <c r="J2962" t="s">
        <v>23</v>
      </c>
      <c r="K2962" t="s">
        <v>24</v>
      </c>
      <c r="L2962">
        <v>57</v>
      </c>
      <c r="M2962">
        <v>83.081000000000003</v>
      </c>
      <c r="N2962">
        <v>90.314777000000007</v>
      </c>
      <c r="O2962">
        <v>28.765999999999998</v>
      </c>
      <c r="P2962">
        <v>18.154</v>
      </c>
      <c r="Q2962">
        <v>35.634</v>
      </c>
      <c r="R2962" t="s">
        <v>1323</v>
      </c>
      <c r="S2962" t="s">
        <v>25</v>
      </c>
      <c r="T2962">
        <f>IF(TRIM(Table1[[#This Row],[PitStopLaps]])="",0,
LEN(Table1[[#This Row],[PitStopLaps]])-LEN(SUBSTITUTE(Table1[[#This Row],[PitStopLaps]],",",""))+1)</f>
        <v>5</v>
      </c>
      <c r="U2962">
        <f>Table1[[#This Row],[StartPosition]]-Table1[[#This Row],[FinishPosition]]</f>
        <v>1</v>
      </c>
    </row>
    <row r="2963" spans="1:21" x14ac:dyDescent="0.3">
      <c r="A2963">
        <v>2025</v>
      </c>
      <c r="B2963">
        <v>1</v>
      </c>
      <c r="C2963" t="s">
        <v>19</v>
      </c>
      <c r="D2963" t="s">
        <v>252</v>
      </c>
      <c r="E2963" t="s">
        <v>253</v>
      </c>
      <c r="F2963" t="s">
        <v>28</v>
      </c>
      <c r="G2963">
        <v>4</v>
      </c>
      <c r="H2963">
        <v>3</v>
      </c>
      <c r="I2963">
        <v>15</v>
      </c>
      <c r="J2963" t="s">
        <v>23</v>
      </c>
      <c r="K2963" t="s">
        <v>24</v>
      </c>
      <c r="L2963">
        <v>57</v>
      </c>
      <c r="M2963">
        <v>85.064999999999998</v>
      </c>
      <c r="N2963">
        <v>91.073588000000001</v>
      </c>
      <c r="O2963">
        <v>29.510999999999999</v>
      </c>
      <c r="P2963">
        <v>18.617000000000001</v>
      </c>
      <c r="Q2963">
        <v>36.795999999999999</v>
      </c>
      <c r="R2963" t="s">
        <v>1322</v>
      </c>
      <c r="S2963" t="s">
        <v>25</v>
      </c>
      <c r="T2963">
        <f>IF(TRIM(Table1[[#This Row],[PitStopLaps]])="",0,
LEN(Table1[[#This Row],[PitStopLaps]])-LEN(SUBSTITUTE(Table1[[#This Row],[PitStopLaps]],",",""))+1)</f>
        <v>5</v>
      </c>
      <c r="U2963">
        <f>Table1[[#This Row],[StartPosition]]-Table1[[#This Row],[FinishPosition]]</f>
        <v>1</v>
      </c>
    </row>
    <row r="2964" spans="1:21" x14ac:dyDescent="0.3">
      <c r="A2964">
        <v>2025</v>
      </c>
      <c r="B2964">
        <v>1</v>
      </c>
      <c r="C2964" t="s">
        <v>19</v>
      </c>
      <c r="D2964" t="s">
        <v>1324</v>
      </c>
      <c r="E2964" t="s">
        <v>1325</v>
      </c>
      <c r="F2964" t="s">
        <v>28</v>
      </c>
      <c r="G2964">
        <v>16</v>
      </c>
      <c r="H2964">
        <v>4</v>
      </c>
      <c r="I2964">
        <v>12</v>
      </c>
      <c r="J2964" t="s">
        <v>34</v>
      </c>
      <c r="K2964" t="s">
        <v>24</v>
      </c>
      <c r="L2964">
        <v>57</v>
      </c>
      <c r="M2964">
        <v>84.900999999999996</v>
      </c>
      <c r="N2964">
        <v>91.734381999999997</v>
      </c>
      <c r="O2964">
        <v>29.606000000000002</v>
      </c>
      <c r="P2964">
        <v>18.341000000000001</v>
      </c>
      <c r="Q2964">
        <v>36.834000000000003</v>
      </c>
      <c r="R2964" t="s">
        <v>1326</v>
      </c>
      <c r="S2964" t="s">
        <v>25</v>
      </c>
      <c r="T2964">
        <f>IF(TRIM(Table1[[#This Row],[PitStopLaps]])="",0,
LEN(Table1[[#This Row],[PitStopLaps]])-LEN(SUBSTITUTE(Table1[[#This Row],[PitStopLaps]],",",""))+1)</f>
        <v>5</v>
      </c>
      <c r="U2964">
        <f>Table1[[#This Row],[StartPosition]]-Table1[[#This Row],[FinishPosition]]</f>
        <v>12</v>
      </c>
    </row>
    <row r="2965" spans="1:21" x14ac:dyDescent="0.3">
      <c r="A2965">
        <v>2025</v>
      </c>
      <c r="B2965">
        <v>1</v>
      </c>
      <c r="C2965" t="s">
        <v>19</v>
      </c>
      <c r="D2965" t="s">
        <v>248</v>
      </c>
      <c r="E2965" t="s">
        <v>249</v>
      </c>
      <c r="F2965" t="s">
        <v>60</v>
      </c>
      <c r="G2965">
        <v>6</v>
      </c>
      <c r="H2965">
        <v>5</v>
      </c>
      <c r="I2965">
        <v>10</v>
      </c>
      <c r="J2965" t="s">
        <v>34</v>
      </c>
      <c r="K2965" t="s">
        <v>24</v>
      </c>
      <c r="L2965">
        <v>57</v>
      </c>
      <c r="M2965">
        <v>84.596999999999994</v>
      </c>
      <c r="N2965">
        <v>91.847147000000007</v>
      </c>
      <c r="O2965">
        <v>29.495999999999999</v>
      </c>
      <c r="P2965">
        <v>18.2</v>
      </c>
      <c r="Q2965">
        <v>36.901000000000003</v>
      </c>
      <c r="R2965" t="s">
        <v>1326</v>
      </c>
      <c r="S2965" t="s">
        <v>25</v>
      </c>
      <c r="T2965">
        <f>IF(TRIM(Table1[[#This Row],[PitStopLaps]])="",0,
LEN(Table1[[#This Row],[PitStopLaps]])-LEN(SUBSTITUTE(Table1[[#This Row],[PitStopLaps]],",",""))+1)</f>
        <v>5</v>
      </c>
      <c r="U2965">
        <f>Table1[[#This Row],[StartPosition]]-Table1[[#This Row],[FinishPosition]]</f>
        <v>1</v>
      </c>
    </row>
    <row r="2966" spans="1:21" x14ac:dyDescent="0.3">
      <c r="A2966">
        <v>2025</v>
      </c>
      <c r="B2966">
        <v>1</v>
      </c>
      <c r="C2966" t="s">
        <v>19</v>
      </c>
      <c r="D2966" t="s">
        <v>58</v>
      </c>
      <c r="E2966" t="s">
        <v>59</v>
      </c>
      <c r="F2966" t="s">
        <v>603</v>
      </c>
      <c r="G2966">
        <v>13</v>
      </c>
      <c r="H2966">
        <v>6</v>
      </c>
      <c r="I2966">
        <v>8</v>
      </c>
      <c r="J2966" t="s">
        <v>34</v>
      </c>
      <c r="K2966" t="s">
        <v>24</v>
      </c>
      <c r="L2966">
        <v>57</v>
      </c>
      <c r="M2966">
        <v>85.537999999999997</v>
      </c>
      <c r="N2966">
        <v>92.324146999999996</v>
      </c>
      <c r="O2966">
        <v>29.78</v>
      </c>
      <c r="P2966">
        <v>18.445</v>
      </c>
      <c r="Q2966">
        <v>37.313000000000002</v>
      </c>
      <c r="R2966" t="s">
        <v>1326</v>
      </c>
      <c r="S2966" t="s">
        <v>25</v>
      </c>
      <c r="T2966">
        <f>IF(TRIM(Table1[[#This Row],[PitStopLaps]])="",0,
LEN(Table1[[#This Row],[PitStopLaps]])-LEN(SUBSTITUTE(Table1[[#This Row],[PitStopLaps]],",",""))+1)</f>
        <v>5</v>
      </c>
      <c r="U2966">
        <f>Table1[[#This Row],[StartPosition]]-Table1[[#This Row],[FinishPosition]]</f>
        <v>7</v>
      </c>
    </row>
    <row r="2967" spans="1:21" x14ac:dyDescent="0.3">
      <c r="A2967">
        <v>2025</v>
      </c>
      <c r="B2967">
        <v>1</v>
      </c>
      <c r="C2967" t="s">
        <v>19</v>
      </c>
      <c r="D2967" t="s">
        <v>40</v>
      </c>
      <c r="E2967" t="s">
        <v>41</v>
      </c>
      <c r="F2967" t="s">
        <v>1175</v>
      </c>
      <c r="G2967">
        <v>17</v>
      </c>
      <c r="H2967">
        <v>7</v>
      </c>
      <c r="I2967">
        <v>6</v>
      </c>
      <c r="J2967" t="s">
        <v>34</v>
      </c>
      <c r="K2967" t="s">
        <v>24</v>
      </c>
      <c r="L2967">
        <v>57</v>
      </c>
      <c r="M2967">
        <v>85.242999999999995</v>
      </c>
      <c r="N2967">
        <v>92.528205</v>
      </c>
      <c r="O2967">
        <v>30.039000000000001</v>
      </c>
      <c r="P2967">
        <v>18.731999999999999</v>
      </c>
      <c r="Q2967">
        <v>36.472000000000001</v>
      </c>
      <c r="R2967" t="s">
        <v>1326</v>
      </c>
      <c r="S2967" t="s">
        <v>25</v>
      </c>
      <c r="T2967">
        <f>IF(TRIM(Table1[[#This Row],[PitStopLaps]])="",0,
LEN(Table1[[#This Row],[PitStopLaps]])-LEN(SUBSTITUTE(Table1[[#This Row],[PitStopLaps]],",",""))+1)</f>
        <v>5</v>
      </c>
      <c r="U2967">
        <f>Table1[[#This Row],[StartPosition]]-Table1[[#This Row],[FinishPosition]]</f>
        <v>10</v>
      </c>
    </row>
    <row r="2968" spans="1:21" x14ac:dyDescent="0.3">
      <c r="A2968">
        <v>2025</v>
      </c>
      <c r="B2968">
        <v>1</v>
      </c>
      <c r="C2968" t="s">
        <v>19</v>
      </c>
      <c r="D2968" t="s">
        <v>54</v>
      </c>
      <c r="E2968" t="s">
        <v>55</v>
      </c>
      <c r="F2968" t="s">
        <v>22</v>
      </c>
      <c r="G2968">
        <v>7</v>
      </c>
      <c r="H2968">
        <v>8</v>
      </c>
      <c r="I2968">
        <v>4</v>
      </c>
      <c r="J2968" t="s">
        <v>34</v>
      </c>
      <c r="K2968" t="s">
        <v>24</v>
      </c>
      <c r="L2968">
        <v>57</v>
      </c>
      <c r="M2968">
        <v>85.271000000000001</v>
      </c>
      <c r="N2968">
        <v>91.704387999999994</v>
      </c>
      <c r="O2968">
        <v>29.433</v>
      </c>
      <c r="P2968">
        <v>17.831</v>
      </c>
      <c r="Q2968">
        <v>36.911999999999999</v>
      </c>
      <c r="R2968" t="s">
        <v>1327</v>
      </c>
      <c r="S2968" t="s">
        <v>25</v>
      </c>
      <c r="T2968">
        <f>IF(TRIM(Table1[[#This Row],[PitStopLaps]])="",0,
LEN(Table1[[#This Row],[PitStopLaps]])-LEN(SUBSTITUTE(Table1[[#This Row],[PitStopLaps]],",",""))+1)</f>
        <v>5</v>
      </c>
      <c r="U2968">
        <f>Table1[[#This Row],[StartPosition]]-Table1[[#This Row],[FinishPosition]]</f>
        <v>-1</v>
      </c>
    </row>
    <row r="2969" spans="1:21" x14ac:dyDescent="0.3">
      <c r="A2969">
        <v>2025</v>
      </c>
      <c r="B2969">
        <v>1</v>
      </c>
      <c r="C2969" t="s">
        <v>19</v>
      </c>
      <c r="D2969" t="s">
        <v>1000</v>
      </c>
      <c r="E2969" t="s">
        <v>1001</v>
      </c>
      <c r="F2969" t="s">
        <v>37</v>
      </c>
      <c r="G2969">
        <v>2</v>
      </c>
      <c r="H2969">
        <v>9</v>
      </c>
      <c r="I2969">
        <v>2</v>
      </c>
      <c r="J2969" t="s">
        <v>34</v>
      </c>
      <c r="K2969" t="s">
        <v>24</v>
      </c>
      <c r="L2969">
        <v>57</v>
      </c>
      <c r="M2969">
        <v>83.242000000000004</v>
      </c>
      <c r="N2969">
        <v>90.220382000000001</v>
      </c>
      <c r="O2969">
        <v>28.966000000000001</v>
      </c>
      <c r="P2969">
        <v>18.119</v>
      </c>
      <c r="Q2969">
        <v>35.662999999999997</v>
      </c>
      <c r="R2969" t="s">
        <v>1322</v>
      </c>
      <c r="S2969" t="s">
        <v>25</v>
      </c>
      <c r="T2969">
        <f>IF(TRIM(Table1[[#This Row],[PitStopLaps]])="",0,
LEN(Table1[[#This Row],[PitStopLaps]])-LEN(SUBSTITUTE(Table1[[#This Row],[PitStopLaps]],",",""))+1)</f>
        <v>5</v>
      </c>
      <c r="U2969">
        <f>Table1[[#This Row],[StartPosition]]-Table1[[#This Row],[FinishPosition]]</f>
        <v>-7</v>
      </c>
    </row>
    <row r="2970" spans="1:21" x14ac:dyDescent="0.3">
      <c r="A2970">
        <v>2025</v>
      </c>
      <c r="B2970">
        <v>1</v>
      </c>
      <c r="C2970" t="s">
        <v>19</v>
      </c>
      <c r="D2970" t="s">
        <v>26</v>
      </c>
      <c r="E2970" t="s">
        <v>27</v>
      </c>
      <c r="F2970" t="s">
        <v>22</v>
      </c>
      <c r="G2970">
        <v>8</v>
      </c>
      <c r="H2970">
        <v>10</v>
      </c>
      <c r="I2970">
        <v>1</v>
      </c>
      <c r="J2970" t="s">
        <v>34</v>
      </c>
      <c r="K2970" t="s">
        <v>24</v>
      </c>
      <c r="L2970">
        <v>57</v>
      </c>
      <c r="M2970">
        <v>84.218000000000004</v>
      </c>
      <c r="N2970">
        <v>92.102805000000004</v>
      </c>
      <c r="O2970">
        <v>29.552</v>
      </c>
      <c r="P2970">
        <v>18.440000000000001</v>
      </c>
      <c r="Q2970">
        <v>36.191000000000003</v>
      </c>
      <c r="R2970" t="s">
        <v>1328</v>
      </c>
      <c r="S2970" t="s">
        <v>25</v>
      </c>
      <c r="T2970">
        <f>IF(TRIM(Table1[[#This Row],[PitStopLaps]])="",0,
LEN(Table1[[#This Row],[PitStopLaps]])-LEN(SUBSTITUTE(Table1[[#This Row],[PitStopLaps]],",",""))+1)</f>
        <v>5</v>
      </c>
      <c r="U2970">
        <f>Table1[[#This Row],[StartPosition]]-Table1[[#This Row],[FinishPosition]]</f>
        <v>-2</v>
      </c>
    </row>
    <row r="2971" spans="1:21" x14ac:dyDescent="0.3">
      <c r="A2971">
        <v>2025</v>
      </c>
      <c r="B2971">
        <v>1</v>
      </c>
      <c r="C2971" t="s">
        <v>19</v>
      </c>
      <c r="D2971" t="s">
        <v>73</v>
      </c>
      <c r="E2971" t="s">
        <v>74</v>
      </c>
      <c r="F2971" t="s">
        <v>607</v>
      </c>
      <c r="G2971">
        <v>9</v>
      </c>
      <c r="H2971">
        <v>11</v>
      </c>
      <c r="I2971">
        <v>0</v>
      </c>
      <c r="J2971" t="s">
        <v>34</v>
      </c>
      <c r="K2971" t="s">
        <v>24</v>
      </c>
      <c r="L2971">
        <v>57</v>
      </c>
      <c r="M2971">
        <v>85.02</v>
      </c>
      <c r="N2971">
        <v>92.140342000000004</v>
      </c>
      <c r="O2971">
        <v>29.466999999999999</v>
      </c>
      <c r="P2971">
        <v>18.594000000000001</v>
      </c>
      <c r="Q2971">
        <v>36.606000000000002</v>
      </c>
      <c r="R2971" t="s">
        <v>1329</v>
      </c>
      <c r="S2971" t="s">
        <v>25</v>
      </c>
      <c r="T2971">
        <f>IF(TRIM(Table1[[#This Row],[PitStopLaps]])="",0,
LEN(Table1[[#This Row],[PitStopLaps]])-LEN(SUBSTITUTE(Table1[[#This Row],[PitStopLaps]],",",""))+1)</f>
        <v>5</v>
      </c>
      <c r="U2971">
        <f>Table1[[#This Row],[StartPosition]]-Table1[[#This Row],[FinishPosition]]</f>
        <v>-2</v>
      </c>
    </row>
    <row r="2972" spans="1:21" x14ac:dyDescent="0.3">
      <c r="A2972">
        <v>2025</v>
      </c>
      <c r="B2972">
        <v>1</v>
      </c>
      <c r="C2972" t="s">
        <v>19</v>
      </c>
      <c r="D2972" t="s">
        <v>601</v>
      </c>
      <c r="E2972" t="s">
        <v>602</v>
      </c>
      <c r="F2972" t="s">
        <v>1330</v>
      </c>
      <c r="G2972">
        <v>5</v>
      </c>
      <c r="H2972">
        <v>12</v>
      </c>
      <c r="I2972">
        <v>0</v>
      </c>
      <c r="J2972" t="s">
        <v>34</v>
      </c>
      <c r="K2972" t="s">
        <v>24</v>
      </c>
      <c r="L2972">
        <v>57</v>
      </c>
      <c r="M2972">
        <v>84.194000000000003</v>
      </c>
      <c r="N2972">
        <v>92.391971999999996</v>
      </c>
      <c r="O2972">
        <v>29.553000000000001</v>
      </c>
      <c r="P2972">
        <v>18.100000000000001</v>
      </c>
      <c r="Q2972">
        <v>36.540999999999997</v>
      </c>
      <c r="R2972" t="s">
        <v>1328</v>
      </c>
      <c r="S2972" t="s">
        <v>25</v>
      </c>
      <c r="T2972">
        <f>IF(TRIM(Table1[[#This Row],[PitStopLaps]])="",0,
LEN(Table1[[#This Row],[PitStopLaps]])-LEN(SUBSTITUTE(Table1[[#This Row],[PitStopLaps]],",",""))+1)</f>
        <v>5</v>
      </c>
      <c r="U2972">
        <f>Table1[[#This Row],[StartPosition]]-Table1[[#This Row],[FinishPosition]]</f>
        <v>-7</v>
      </c>
    </row>
    <row r="2973" spans="1:21" x14ac:dyDescent="0.3">
      <c r="A2973">
        <v>2025</v>
      </c>
      <c r="B2973">
        <v>1</v>
      </c>
      <c r="C2973" t="s">
        <v>19</v>
      </c>
      <c r="D2973" t="s">
        <v>52</v>
      </c>
      <c r="E2973" t="s">
        <v>53</v>
      </c>
      <c r="F2973" t="s">
        <v>69</v>
      </c>
      <c r="G2973">
        <v>19</v>
      </c>
      <c r="H2973">
        <v>13</v>
      </c>
      <c r="I2973">
        <v>0</v>
      </c>
      <c r="J2973" t="s">
        <v>34</v>
      </c>
      <c r="K2973" t="s">
        <v>24</v>
      </c>
      <c r="L2973">
        <v>57</v>
      </c>
      <c r="M2973">
        <v>86.763999999999996</v>
      </c>
      <c r="N2973">
        <v>93.678314</v>
      </c>
      <c r="O2973">
        <v>30.003</v>
      </c>
      <c r="P2973">
        <v>18.823</v>
      </c>
      <c r="Q2973">
        <v>37.359000000000002</v>
      </c>
      <c r="R2973" t="s">
        <v>1331</v>
      </c>
      <c r="S2973" t="s">
        <v>25</v>
      </c>
      <c r="T2973">
        <f>IF(TRIM(Table1[[#This Row],[PitStopLaps]])="",0,
LEN(Table1[[#This Row],[PitStopLaps]])-LEN(SUBSTITUTE(Table1[[#This Row],[PitStopLaps]],",",""))+1)</f>
        <v>5</v>
      </c>
      <c r="U2973">
        <f>Table1[[#This Row],[StartPosition]]-Table1[[#This Row],[FinishPosition]]</f>
        <v>6</v>
      </c>
    </row>
    <row r="2974" spans="1:21" x14ac:dyDescent="0.3">
      <c r="A2974">
        <v>2025</v>
      </c>
      <c r="B2974">
        <v>1</v>
      </c>
      <c r="C2974" t="s">
        <v>19</v>
      </c>
      <c r="D2974" t="s">
        <v>1180</v>
      </c>
      <c r="E2974" t="s">
        <v>1181</v>
      </c>
      <c r="F2974" t="s">
        <v>69</v>
      </c>
      <c r="G2974">
        <v>20</v>
      </c>
      <c r="H2974">
        <v>14</v>
      </c>
      <c r="I2974">
        <v>0</v>
      </c>
      <c r="J2974" t="s">
        <v>34</v>
      </c>
      <c r="K2974" t="s">
        <v>24</v>
      </c>
      <c r="L2974">
        <v>57</v>
      </c>
      <c r="M2974">
        <v>87.602999999999994</v>
      </c>
      <c r="N2974">
        <v>93.241029999999995</v>
      </c>
      <c r="O2974">
        <v>30.29</v>
      </c>
      <c r="P2974">
        <v>19.123999999999999</v>
      </c>
      <c r="Q2974">
        <v>37.819000000000003</v>
      </c>
      <c r="R2974" t="s">
        <v>1332</v>
      </c>
      <c r="S2974" t="s">
        <v>25</v>
      </c>
      <c r="T2974">
        <f>IF(TRIM(Table1[[#This Row],[PitStopLaps]])="",0,
LEN(Table1[[#This Row],[PitStopLaps]])-LEN(SUBSTITUTE(Table1[[#This Row],[PitStopLaps]],",",""))+1)</f>
        <v>5</v>
      </c>
      <c r="U2974">
        <f>Table1[[#This Row],[StartPosition]]-Table1[[#This Row],[FinishPosition]]</f>
        <v>6</v>
      </c>
    </row>
    <row r="2975" spans="1:21" x14ac:dyDescent="0.3">
      <c r="A2975">
        <v>2025</v>
      </c>
      <c r="B2975">
        <v>1</v>
      </c>
      <c r="C2975" t="s">
        <v>19</v>
      </c>
      <c r="D2975" t="s">
        <v>1092</v>
      </c>
      <c r="E2975" t="s">
        <v>1093</v>
      </c>
      <c r="F2975" t="s">
        <v>33</v>
      </c>
      <c r="G2975">
        <v>18</v>
      </c>
      <c r="H2975">
        <v>15</v>
      </c>
      <c r="I2975">
        <v>0</v>
      </c>
      <c r="J2975" t="s">
        <v>34</v>
      </c>
      <c r="K2975" t="s">
        <v>179</v>
      </c>
      <c r="L2975">
        <v>47</v>
      </c>
      <c r="M2975">
        <v>82.97</v>
      </c>
      <c r="N2975">
        <v>93.040766000000005</v>
      </c>
      <c r="O2975">
        <v>28.698</v>
      </c>
      <c r="P2975">
        <v>18.234000000000002</v>
      </c>
      <c r="Q2975">
        <v>35.81</v>
      </c>
      <c r="R2975" t="s">
        <v>1333</v>
      </c>
      <c r="S2975" t="s">
        <v>25</v>
      </c>
      <c r="T2975">
        <f>IF(TRIM(Table1[[#This Row],[PitStopLaps]])="",0,
LEN(Table1[[#This Row],[PitStopLaps]])-LEN(SUBSTITUTE(Table1[[#This Row],[PitStopLaps]],",",""))+1)</f>
        <v>4</v>
      </c>
      <c r="U2975">
        <f>Table1[[#This Row],[StartPosition]]-Table1[[#This Row],[FinishPosition]]</f>
        <v>3</v>
      </c>
    </row>
    <row r="2976" spans="1:21" x14ac:dyDescent="0.3">
      <c r="A2976">
        <v>2025</v>
      </c>
      <c r="B2976">
        <v>1</v>
      </c>
      <c r="C2976" t="s">
        <v>19</v>
      </c>
      <c r="D2976" t="s">
        <v>1334</v>
      </c>
      <c r="E2976" t="s">
        <v>1335</v>
      </c>
      <c r="F2976" t="s">
        <v>1175</v>
      </c>
      <c r="G2976">
        <v>15</v>
      </c>
      <c r="H2976">
        <v>16</v>
      </c>
      <c r="I2976">
        <v>0</v>
      </c>
      <c r="J2976" t="s">
        <v>34</v>
      </c>
      <c r="K2976" t="s">
        <v>179</v>
      </c>
      <c r="L2976">
        <v>46</v>
      </c>
      <c r="M2976">
        <v>84.191999999999993</v>
      </c>
      <c r="N2976">
        <v>92.693073999999996</v>
      </c>
      <c r="O2976">
        <v>29.065999999999999</v>
      </c>
      <c r="P2976">
        <v>18.780999999999999</v>
      </c>
      <c r="Q2976">
        <v>35.917999999999999</v>
      </c>
      <c r="R2976" t="s">
        <v>1326</v>
      </c>
      <c r="S2976" t="s">
        <v>25</v>
      </c>
      <c r="T2976">
        <f>IF(TRIM(Table1[[#This Row],[PitStopLaps]])="",0,
LEN(Table1[[#This Row],[PitStopLaps]])-LEN(SUBSTITUTE(Table1[[#This Row],[PitStopLaps]],",",""))+1)</f>
        <v>5</v>
      </c>
      <c r="U2976">
        <f>Table1[[#This Row],[StartPosition]]-Table1[[#This Row],[FinishPosition]]</f>
        <v>-1</v>
      </c>
    </row>
    <row r="2977" spans="1:21" x14ac:dyDescent="0.3">
      <c r="A2977">
        <v>2025</v>
      </c>
      <c r="B2977">
        <v>1</v>
      </c>
      <c r="C2977" t="s">
        <v>19</v>
      </c>
      <c r="D2977" t="s">
        <v>35</v>
      </c>
      <c r="E2977" t="s">
        <v>36</v>
      </c>
      <c r="F2977" t="s">
        <v>603</v>
      </c>
      <c r="G2977">
        <v>12</v>
      </c>
      <c r="H2977">
        <v>17</v>
      </c>
      <c r="I2977">
        <v>0</v>
      </c>
      <c r="J2977" t="s">
        <v>34</v>
      </c>
      <c r="K2977" t="s">
        <v>179</v>
      </c>
      <c r="L2977">
        <v>33</v>
      </c>
      <c r="M2977">
        <v>88.819000000000003</v>
      </c>
      <c r="N2977">
        <v>92.502319999999997</v>
      </c>
      <c r="O2977">
        <v>31.155999999999999</v>
      </c>
      <c r="P2977">
        <v>18.616</v>
      </c>
      <c r="Q2977">
        <v>38.573999999999998</v>
      </c>
      <c r="R2977" t="s">
        <v>1336</v>
      </c>
      <c r="S2977" t="s">
        <v>25</v>
      </c>
      <c r="T2977">
        <f>IF(TRIM(Table1[[#This Row],[PitStopLaps]])="",0,
LEN(Table1[[#This Row],[PitStopLaps]])-LEN(SUBSTITUTE(Table1[[#This Row],[PitStopLaps]],",",""))+1)</f>
        <v>3</v>
      </c>
      <c r="U2977">
        <f>Table1[[#This Row],[StartPosition]]-Table1[[#This Row],[FinishPosition]]</f>
        <v>-5</v>
      </c>
    </row>
    <row r="2978" spans="1:21" x14ac:dyDescent="0.3">
      <c r="A2978">
        <v>2025</v>
      </c>
      <c r="B2978">
        <v>1</v>
      </c>
      <c r="C2978" t="s">
        <v>19</v>
      </c>
      <c r="D2978" t="s">
        <v>47</v>
      </c>
      <c r="E2978" t="s">
        <v>48</v>
      </c>
      <c r="F2978" t="s">
        <v>60</v>
      </c>
      <c r="G2978">
        <v>10</v>
      </c>
      <c r="H2978">
        <v>18</v>
      </c>
      <c r="I2978">
        <v>0</v>
      </c>
      <c r="J2978" t="s">
        <v>34</v>
      </c>
      <c r="K2978" t="s">
        <v>179</v>
      </c>
      <c r="L2978">
        <v>1</v>
      </c>
      <c r="S2978" t="s">
        <v>25</v>
      </c>
      <c r="T2978">
        <f>IF(TRIM(Table1[[#This Row],[PitStopLaps]])="",0,
LEN(Table1[[#This Row],[PitStopLaps]])-LEN(SUBSTITUTE(Table1[[#This Row],[PitStopLaps]],",",""))+1)</f>
        <v>0</v>
      </c>
      <c r="U2978">
        <f>Table1[[#This Row],[StartPosition]]-Table1[[#This Row],[FinishPosition]]</f>
        <v>-8</v>
      </c>
    </row>
    <row r="2979" spans="1:21" x14ac:dyDescent="0.3">
      <c r="A2979">
        <v>2025</v>
      </c>
      <c r="B2979">
        <v>1</v>
      </c>
      <c r="C2979" t="s">
        <v>19</v>
      </c>
      <c r="D2979" t="s">
        <v>1318</v>
      </c>
      <c r="E2979" t="s">
        <v>1319</v>
      </c>
      <c r="F2979" t="s">
        <v>607</v>
      </c>
      <c r="G2979">
        <v>14</v>
      </c>
      <c r="H2979">
        <v>19</v>
      </c>
      <c r="I2979">
        <v>0</v>
      </c>
      <c r="J2979" t="s">
        <v>34</v>
      </c>
      <c r="K2979" t="s">
        <v>179</v>
      </c>
      <c r="L2979">
        <v>1</v>
      </c>
      <c r="S2979" t="s">
        <v>25</v>
      </c>
      <c r="T2979">
        <f>IF(TRIM(Table1[[#This Row],[PitStopLaps]])="",0,
LEN(Table1[[#This Row],[PitStopLaps]])-LEN(SUBSTITUTE(Table1[[#This Row],[PitStopLaps]],",",""))+1)</f>
        <v>0</v>
      </c>
      <c r="U2979">
        <f>Table1[[#This Row],[StartPosition]]-Table1[[#This Row],[FinishPosition]]</f>
        <v>-5</v>
      </c>
    </row>
    <row r="2980" spans="1:21" x14ac:dyDescent="0.3">
      <c r="A2980">
        <v>2025</v>
      </c>
      <c r="B2980">
        <v>1</v>
      </c>
      <c r="C2980" t="s">
        <v>19</v>
      </c>
      <c r="D2980" t="s">
        <v>1337</v>
      </c>
      <c r="E2980" t="s">
        <v>1338</v>
      </c>
      <c r="F2980" t="s">
        <v>1330</v>
      </c>
      <c r="G2980">
        <v>11</v>
      </c>
      <c r="H2980">
        <v>20</v>
      </c>
      <c r="I2980">
        <v>0</v>
      </c>
      <c r="J2980" t="s">
        <v>34</v>
      </c>
      <c r="K2980" t="s">
        <v>179</v>
      </c>
      <c r="L2980">
        <v>1</v>
      </c>
      <c r="S2980" t="s">
        <v>25</v>
      </c>
      <c r="T2980">
        <f>IF(TRIM(Table1[[#This Row],[PitStopLaps]])="",0,
LEN(Table1[[#This Row],[PitStopLaps]])-LEN(SUBSTITUTE(Table1[[#This Row],[PitStopLaps]],",",""))+1)</f>
        <v>0</v>
      </c>
      <c r="U2980">
        <f>Table1[[#This Row],[StartPosition]]-Table1[[#This Row],[FinishPosition]]</f>
        <v>-9</v>
      </c>
    </row>
    <row r="2981" spans="1:21" x14ac:dyDescent="0.3">
      <c r="A2981">
        <v>2025</v>
      </c>
      <c r="B2981">
        <v>2</v>
      </c>
      <c r="C2981" t="s">
        <v>100</v>
      </c>
      <c r="D2981" t="s">
        <v>1000</v>
      </c>
      <c r="E2981" t="s">
        <v>1001</v>
      </c>
      <c r="F2981" t="s">
        <v>37</v>
      </c>
      <c r="G2981">
        <v>1</v>
      </c>
      <c r="H2981">
        <v>1</v>
      </c>
      <c r="I2981">
        <v>25</v>
      </c>
      <c r="J2981" t="s">
        <v>23</v>
      </c>
      <c r="K2981" t="s">
        <v>24</v>
      </c>
      <c r="L2981">
        <v>56</v>
      </c>
      <c r="M2981">
        <v>95.52</v>
      </c>
      <c r="N2981">
        <v>96.915583999999996</v>
      </c>
      <c r="O2981">
        <v>25.565000000000001</v>
      </c>
      <c r="P2981">
        <v>28.606999999999999</v>
      </c>
      <c r="Q2981">
        <v>41.204999999999998</v>
      </c>
      <c r="R2981">
        <v>14</v>
      </c>
      <c r="S2981" t="s">
        <v>83</v>
      </c>
      <c r="T2981">
        <f>IF(TRIM(Table1[[#This Row],[PitStopLaps]])="",0,
LEN(Table1[[#This Row],[PitStopLaps]])-LEN(SUBSTITUTE(Table1[[#This Row],[PitStopLaps]],",",""))+1)</f>
        <v>1</v>
      </c>
      <c r="U2981">
        <f>Table1[[#This Row],[StartPosition]]-Table1[[#This Row],[FinishPosition]]</f>
        <v>0</v>
      </c>
    </row>
    <row r="2982" spans="1:21" x14ac:dyDescent="0.3">
      <c r="A2982">
        <v>2025</v>
      </c>
      <c r="B2982">
        <v>2</v>
      </c>
      <c r="C2982" t="s">
        <v>100</v>
      </c>
      <c r="D2982" t="s">
        <v>246</v>
      </c>
      <c r="E2982" t="s">
        <v>247</v>
      </c>
      <c r="F2982" t="s">
        <v>37</v>
      </c>
      <c r="G2982">
        <v>3</v>
      </c>
      <c r="H2982">
        <v>2</v>
      </c>
      <c r="I2982">
        <v>18</v>
      </c>
      <c r="J2982" t="s">
        <v>23</v>
      </c>
      <c r="K2982" t="s">
        <v>24</v>
      </c>
      <c r="L2982">
        <v>56</v>
      </c>
      <c r="M2982">
        <v>95.453999999999994</v>
      </c>
      <c r="N2982">
        <v>97.105283</v>
      </c>
      <c r="O2982">
        <v>25.433</v>
      </c>
      <c r="P2982">
        <v>28.616</v>
      </c>
      <c r="Q2982">
        <v>41.265999999999998</v>
      </c>
      <c r="R2982">
        <v>15</v>
      </c>
      <c r="S2982" t="s">
        <v>83</v>
      </c>
      <c r="T2982">
        <f>IF(TRIM(Table1[[#This Row],[PitStopLaps]])="",0,
LEN(Table1[[#This Row],[PitStopLaps]])-LEN(SUBSTITUTE(Table1[[#This Row],[PitStopLaps]],",",""))+1)</f>
        <v>1</v>
      </c>
      <c r="U2982">
        <f>Table1[[#This Row],[StartPosition]]-Table1[[#This Row],[FinishPosition]]</f>
        <v>1</v>
      </c>
    </row>
    <row r="2983" spans="1:21" x14ac:dyDescent="0.3">
      <c r="A2983">
        <v>2025</v>
      </c>
      <c r="B2983">
        <v>2</v>
      </c>
      <c r="C2983" t="s">
        <v>100</v>
      </c>
      <c r="D2983" t="s">
        <v>252</v>
      </c>
      <c r="E2983" t="s">
        <v>253</v>
      </c>
      <c r="F2983" t="s">
        <v>28</v>
      </c>
      <c r="G2983">
        <v>2</v>
      </c>
      <c r="H2983">
        <v>3</v>
      </c>
      <c r="I2983">
        <v>15</v>
      </c>
      <c r="J2983" t="s">
        <v>23</v>
      </c>
      <c r="K2983" t="s">
        <v>24</v>
      </c>
      <c r="L2983">
        <v>56</v>
      </c>
      <c r="M2983">
        <v>95.816000000000003</v>
      </c>
      <c r="N2983">
        <v>97.142622000000003</v>
      </c>
      <c r="O2983">
        <v>25.573</v>
      </c>
      <c r="P2983">
        <v>28.805</v>
      </c>
      <c r="Q2983">
        <v>41.286999999999999</v>
      </c>
      <c r="R2983">
        <v>14</v>
      </c>
      <c r="S2983" t="s">
        <v>83</v>
      </c>
      <c r="T2983">
        <f>IF(TRIM(Table1[[#This Row],[PitStopLaps]])="",0,
LEN(Table1[[#This Row],[PitStopLaps]])-LEN(SUBSTITUTE(Table1[[#This Row],[PitStopLaps]],",",""))+1)</f>
        <v>1</v>
      </c>
      <c r="U2983">
        <f>Table1[[#This Row],[StartPosition]]-Table1[[#This Row],[FinishPosition]]</f>
        <v>-1</v>
      </c>
    </row>
    <row r="2984" spans="1:21" x14ac:dyDescent="0.3">
      <c r="A2984">
        <v>2025</v>
      </c>
      <c r="B2984">
        <v>2</v>
      </c>
      <c r="C2984" t="s">
        <v>100</v>
      </c>
      <c r="D2984" t="s">
        <v>38</v>
      </c>
      <c r="E2984" t="s">
        <v>39</v>
      </c>
      <c r="F2984" t="s">
        <v>33</v>
      </c>
      <c r="G2984">
        <v>4</v>
      </c>
      <c r="H2984">
        <v>4</v>
      </c>
      <c r="I2984">
        <v>12</v>
      </c>
      <c r="J2984" t="s">
        <v>34</v>
      </c>
      <c r="K2984" t="s">
        <v>24</v>
      </c>
      <c r="L2984">
        <v>56</v>
      </c>
      <c r="M2984">
        <v>95.488</v>
      </c>
      <c r="N2984">
        <v>97.199451999999994</v>
      </c>
      <c r="O2984">
        <v>25.341000000000001</v>
      </c>
      <c r="P2984">
        <v>28.678999999999998</v>
      </c>
      <c r="Q2984">
        <v>41.192</v>
      </c>
      <c r="R2984">
        <v>13</v>
      </c>
      <c r="S2984" t="s">
        <v>83</v>
      </c>
      <c r="T2984">
        <f>IF(TRIM(Table1[[#This Row],[PitStopLaps]])="",0,
LEN(Table1[[#This Row],[PitStopLaps]])-LEN(SUBSTITUTE(Table1[[#This Row],[PitStopLaps]],",",""))+1)</f>
        <v>1</v>
      </c>
      <c r="U2984">
        <f>Table1[[#This Row],[StartPosition]]-Table1[[#This Row],[FinishPosition]]</f>
        <v>0</v>
      </c>
    </row>
    <row r="2985" spans="1:21" x14ac:dyDescent="0.3">
      <c r="A2985">
        <v>2025</v>
      </c>
      <c r="B2985">
        <v>2</v>
      </c>
      <c r="C2985" t="s">
        <v>100</v>
      </c>
      <c r="D2985" t="s">
        <v>52</v>
      </c>
      <c r="E2985" t="s">
        <v>53</v>
      </c>
      <c r="F2985" t="s">
        <v>69</v>
      </c>
      <c r="G2985">
        <v>11</v>
      </c>
      <c r="H2985">
        <v>5</v>
      </c>
      <c r="I2985">
        <v>10</v>
      </c>
      <c r="J2985" t="s">
        <v>34</v>
      </c>
      <c r="K2985" t="s">
        <v>24</v>
      </c>
      <c r="L2985">
        <v>56</v>
      </c>
      <c r="M2985">
        <v>95.74</v>
      </c>
      <c r="N2985">
        <v>97.754414999999995</v>
      </c>
      <c r="O2985">
        <v>25.54</v>
      </c>
      <c r="P2985">
        <v>28.780999999999999</v>
      </c>
      <c r="Q2985">
        <v>41.366999999999997</v>
      </c>
      <c r="R2985">
        <v>11</v>
      </c>
      <c r="S2985" t="s">
        <v>83</v>
      </c>
      <c r="T2985">
        <f>IF(TRIM(Table1[[#This Row],[PitStopLaps]])="",0,
LEN(Table1[[#This Row],[PitStopLaps]])-LEN(SUBSTITUTE(Table1[[#This Row],[PitStopLaps]],",",""))+1)</f>
        <v>1</v>
      </c>
      <c r="U2985">
        <f>Table1[[#This Row],[StartPosition]]-Table1[[#This Row],[FinishPosition]]</f>
        <v>6</v>
      </c>
    </row>
    <row r="2986" spans="1:21" x14ac:dyDescent="0.3">
      <c r="A2986">
        <v>2025</v>
      </c>
      <c r="B2986">
        <v>2</v>
      </c>
      <c r="C2986" t="s">
        <v>100</v>
      </c>
      <c r="D2986" t="s">
        <v>1339</v>
      </c>
      <c r="E2986" t="s">
        <v>1325</v>
      </c>
      <c r="F2986" t="s">
        <v>28</v>
      </c>
      <c r="G2986">
        <v>8</v>
      </c>
      <c r="H2986">
        <v>6</v>
      </c>
      <c r="I2986">
        <v>8</v>
      </c>
      <c r="J2986" t="s">
        <v>34</v>
      </c>
      <c r="K2986" t="s">
        <v>24</v>
      </c>
      <c r="L2986">
        <v>56</v>
      </c>
      <c r="M2986">
        <v>96.046000000000006</v>
      </c>
      <c r="N2986">
        <v>97.820527999999996</v>
      </c>
      <c r="O2986">
        <v>25.696999999999999</v>
      </c>
      <c r="P2986">
        <v>28.888999999999999</v>
      </c>
      <c r="Q2986">
        <v>41.32</v>
      </c>
      <c r="R2986">
        <v>12</v>
      </c>
      <c r="S2986" t="s">
        <v>83</v>
      </c>
      <c r="T2986">
        <f>IF(TRIM(Table1[[#This Row],[PitStopLaps]])="",0,
LEN(Table1[[#This Row],[PitStopLaps]])-LEN(SUBSTITUTE(Table1[[#This Row],[PitStopLaps]],",",""))+1)</f>
        <v>1</v>
      </c>
      <c r="U2986">
        <f>Table1[[#This Row],[StartPosition]]-Table1[[#This Row],[FinishPosition]]</f>
        <v>2</v>
      </c>
    </row>
    <row r="2987" spans="1:21" x14ac:dyDescent="0.3">
      <c r="A2987">
        <v>2025</v>
      </c>
      <c r="B2987">
        <v>2</v>
      </c>
      <c r="C2987" t="s">
        <v>100</v>
      </c>
      <c r="D2987" t="s">
        <v>248</v>
      </c>
      <c r="E2987" t="s">
        <v>249</v>
      </c>
      <c r="F2987" t="s">
        <v>60</v>
      </c>
      <c r="G2987">
        <v>10</v>
      </c>
      <c r="H2987">
        <v>7</v>
      </c>
      <c r="I2987">
        <v>6</v>
      </c>
      <c r="J2987" t="s">
        <v>34</v>
      </c>
      <c r="K2987" t="s">
        <v>24</v>
      </c>
      <c r="L2987">
        <v>56</v>
      </c>
      <c r="M2987">
        <v>96.254000000000005</v>
      </c>
      <c r="N2987">
        <v>97.796547000000004</v>
      </c>
      <c r="O2987">
        <v>25.748999999999999</v>
      </c>
      <c r="P2987">
        <v>28.911000000000001</v>
      </c>
      <c r="Q2987">
        <v>41.462000000000003</v>
      </c>
      <c r="R2987">
        <v>20</v>
      </c>
      <c r="S2987" t="s">
        <v>83</v>
      </c>
      <c r="T2987">
        <f>IF(TRIM(Table1[[#This Row],[PitStopLaps]])="",0,
LEN(Table1[[#This Row],[PitStopLaps]])-LEN(SUBSTITUTE(Table1[[#This Row],[PitStopLaps]],",",""))+1)</f>
        <v>1</v>
      </c>
      <c r="U2987">
        <f>Table1[[#This Row],[StartPosition]]-Table1[[#This Row],[FinishPosition]]</f>
        <v>3</v>
      </c>
    </row>
    <row r="2988" spans="1:21" x14ac:dyDescent="0.3">
      <c r="A2988">
        <v>2025</v>
      </c>
      <c r="B2988">
        <v>2</v>
      </c>
      <c r="C2988" t="s">
        <v>100</v>
      </c>
      <c r="D2988" t="s">
        <v>1180</v>
      </c>
      <c r="E2988" t="s">
        <v>1181</v>
      </c>
      <c r="F2988" t="s">
        <v>69</v>
      </c>
      <c r="G2988">
        <v>17</v>
      </c>
      <c r="H2988">
        <v>8</v>
      </c>
      <c r="I2988">
        <v>4</v>
      </c>
      <c r="J2988" t="s">
        <v>34</v>
      </c>
      <c r="K2988" t="s">
        <v>24</v>
      </c>
      <c r="L2988">
        <v>56</v>
      </c>
      <c r="M2988">
        <v>96.363</v>
      </c>
      <c r="N2988">
        <v>97.923829999999995</v>
      </c>
      <c r="O2988">
        <v>25.689</v>
      </c>
      <c r="P2988">
        <v>29.01</v>
      </c>
      <c r="Q2988">
        <v>41.308999999999997</v>
      </c>
      <c r="R2988">
        <v>26</v>
      </c>
      <c r="S2988" t="s">
        <v>83</v>
      </c>
      <c r="T2988">
        <f>IF(TRIM(Table1[[#This Row],[PitStopLaps]])="",0,
LEN(Table1[[#This Row],[PitStopLaps]])-LEN(SUBSTITUTE(Table1[[#This Row],[PitStopLaps]],",",""))+1)</f>
        <v>1</v>
      </c>
      <c r="U2988">
        <f>Table1[[#This Row],[StartPosition]]-Table1[[#This Row],[FinishPosition]]</f>
        <v>9</v>
      </c>
    </row>
    <row r="2989" spans="1:21" x14ac:dyDescent="0.3">
      <c r="A2989">
        <v>2025</v>
      </c>
      <c r="B2989">
        <v>2</v>
      </c>
      <c r="C2989" t="s">
        <v>100</v>
      </c>
      <c r="D2989" t="s">
        <v>58</v>
      </c>
      <c r="E2989" t="s">
        <v>59</v>
      </c>
      <c r="F2989" t="s">
        <v>603</v>
      </c>
      <c r="G2989">
        <v>14</v>
      </c>
      <c r="H2989">
        <v>9</v>
      </c>
      <c r="I2989">
        <v>2</v>
      </c>
      <c r="J2989" t="s">
        <v>34</v>
      </c>
      <c r="K2989" t="s">
        <v>24</v>
      </c>
      <c r="L2989">
        <v>56</v>
      </c>
      <c r="M2989">
        <v>96.043999999999997</v>
      </c>
      <c r="N2989">
        <v>98.144433000000006</v>
      </c>
      <c r="O2989">
        <v>25.433</v>
      </c>
      <c r="P2989">
        <v>28.934999999999999</v>
      </c>
      <c r="Q2989">
        <v>41.38</v>
      </c>
      <c r="R2989">
        <v>36</v>
      </c>
      <c r="S2989" t="s">
        <v>83</v>
      </c>
      <c r="T2989">
        <f>IF(TRIM(Table1[[#This Row],[PitStopLaps]])="",0,
LEN(Table1[[#This Row],[PitStopLaps]])-LEN(SUBSTITUTE(Table1[[#This Row],[PitStopLaps]],",",""))+1)</f>
        <v>1</v>
      </c>
      <c r="U2989">
        <f>Table1[[#This Row],[StartPosition]]-Table1[[#This Row],[FinishPosition]]</f>
        <v>5</v>
      </c>
    </row>
    <row r="2990" spans="1:21" x14ac:dyDescent="0.3">
      <c r="A2990">
        <v>2025</v>
      </c>
      <c r="B2990">
        <v>2</v>
      </c>
      <c r="C2990" t="s">
        <v>100</v>
      </c>
      <c r="D2990" t="s">
        <v>47</v>
      </c>
      <c r="E2990" t="s">
        <v>48</v>
      </c>
      <c r="F2990" t="s">
        <v>60</v>
      </c>
      <c r="G2990">
        <v>15</v>
      </c>
      <c r="H2990">
        <v>10</v>
      </c>
      <c r="I2990">
        <v>1</v>
      </c>
      <c r="J2990" t="s">
        <v>34</v>
      </c>
      <c r="K2990" t="s">
        <v>24</v>
      </c>
      <c r="L2990">
        <v>56</v>
      </c>
      <c r="M2990">
        <v>96.778999999999996</v>
      </c>
      <c r="N2990">
        <v>98.162357999999998</v>
      </c>
      <c r="O2990">
        <v>25.776</v>
      </c>
      <c r="P2990">
        <v>29.058</v>
      </c>
      <c r="Q2990">
        <v>41.747999999999998</v>
      </c>
      <c r="R2990">
        <v>17</v>
      </c>
      <c r="S2990" t="s">
        <v>83</v>
      </c>
      <c r="T2990">
        <f>IF(TRIM(Table1[[#This Row],[PitStopLaps]])="",0,
LEN(Table1[[#This Row],[PitStopLaps]])-LEN(SUBSTITUTE(Table1[[#This Row],[PitStopLaps]],",",""))+1)</f>
        <v>1</v>
      </c>
      <c r="U2990">
        <f>Table1[[#This Row],[StartPosition]]-Table1[[#This Row],[FinishPosition]]</f>
        <v>5</v>
      </c>
    </row>
    <row r="2991" spans="1:21" x14ac:dyDescent="0.3">
      <c r="A2991">
        <v>2025</v>
      </c>
      <c r="B2991">
        <v>2</v>
      </c>
      <c r="C2991" t="s">
        <v>100</v>
      </c>
      <c r="D2991" t="s">
        <v>1337</v>
      </c>
      <c r="E2991" t="s">
        <v>1338</v>
      </c>
      <c r="F2991" t="s">
        <v>1330</v>
      </c>
      <c r="G2991">
        <v>7</v>
      </c>
      <c r="H2991">
        <v>11</v>
      </c>
      <c r="I2991">
        <v>0</v>
      </c>
      <c r="J2991" t="s">
        <v>34</v>
      </c>
      <c r="K2991" t="s">
        <v>24</v>
      </c>
      <c r="L2991">
        <v>56</v>
      </c>
      <c r="M2991">
        <v>95.867999999999995</v>
      </c>
      <c r="N2991">
        <v>97.893843000000004</v>
      </c>
      <c r="O2991">
        <v>25.571999999999999</v>
      </c>
      <c r="P2991">
        <v>28.786999999999999</v>
      </c>
      <c r="Q2991">
        <v>41.509</v>
      </c>
      <c r="R2991" t="s">
        <v>598</v>
      </c>
      <c r="S2991" t="s">
        <v>83</v>
      </c>
      <c r="T2991">
        <f>IF(TRIM(Table1[[#This Row],[PitStopLaps]])="",0,
LEN(Table1[[#This Row],[PitStopLaps]])-LEN(SUBSTITUTE(Table1[[#This Row],[PitStopLaps]],",",""))+1)</f>
        <v>2</v>
      </c>
      <c r="U2991">
        <f>Table1[[#This Row],[StartPosition]]-Table1[[#This Row],[FinishPosition]]</f>
        <v>-4</v>
      </c>
    </row>
    <row r="2992" spans="1:21" x14ac:dyDescent="0.3">
      <c r="A2992">
        <v>2025</v>
      </c>
      <c r="B2992">
        <v>2</v>
      </c>
      <c r="C2992" t="s">
        <v>100</v>
      </c>
      <c r="D2992" t="s">
        <v>1092</v>
      </c>
      <c r="E2992" t="s">
        <v>1093</v>
      </c>
      <c r="F2992" t="s">
        <v>33</v>
      </c>
      <c r="G2992">
        <v>20</v>
      </c>
      <c r="H2992">
        <v>12</v>
      </c>
      <c r="I2992">
        <v>0</v>
      </c>
      <c r="J2992" t="s">
        <v>34</v>
      </c>
      <c r="K2992" t="s">
        <v>24</v>
      </c>
      <c r="L2992">
        <v>56</v>
      </c>
      <c r="M2992">
        <v>95.984999999999999</v>
      </c>
      <c r="N2992">
        <v>97.823666000000003</v>
      </c>
      <c r="O2992">
        <v>25.425999999999998</v>
      </c>
      <c r="P2992">
        <v>29.018000000000001</v>
      </c>
      <c r="Q2992">
        <v>41.365000000000002</v>
      </c>
      <c r="R2992" t="s">
        <v>160</v>
      </c>
      <c r="S2992" t="s">
        <v>83</v>
      </c>
      <c r="T2992">
        <f>IF(TRIM(Table1[[#This Row],[PitStopLaps]])="",0,
LEN(Table1[[#This Row],[PitStopLaps]])-LEN(SUBSTITUTE(Table1[[#This Row],[PitStopLaps]],",",""))+1)</f>
        <v>2</v>
      </c>
      <c r="U2992">
        <f>Table1[[#This Row],[StartPosition]]-Table1[[#This Row],[FinishPosition]]</f>
        <v>8</v>
      </c>
    </row>
    <row r="2993" spans="1:21" x14ac:dyDescent="0.3">
      <c r="A2993">
        <v>2025</v>
      </c>
      <c r="B2993">
        <v>2</v>
      </c>
      <c r="C2993" t="s">
        <v>100</v>
      </c>
      <c r="D2993" t="s">
        <v>1318</v>
      </c>
      <c r="E2993" t="s">
        <v>1319</v>
      </c>
      <c r="F2993" t="s">
        <v>607</v>
      </c>
      <c r="G2993">
        <v>18</v>
      </c>
      <c r="H2993">
        <v>13</v>
      </c>
      <c r="I2993">
        <v>0</v>
      </c>
      <c r="J2993" t="s">
        <v>34</v>
      </c>
      <c r="K2993" t="s">
        <v>24</v>
      </c>
      <c r="L2993">
        <v>56</v>
      </c>
      <c r="M2993">
        <v>96.424000000000007</v>
      </c>
      <c r="N2993">
        <v>98.231206999999998</v>
      </c>
      <c r="O2993">
        <v>25.786000000000001</v>
      </c>
      <c r="P2993">
        <v>28.858000000000001</v>
      </c>
      <c r="Q2993">
        <v>41.697000000000003</v>
      </c>
      <c r="R2993">
        <v>11</v>
      </c>
      <c r="S2993" t="s">
        <v>83</v>
      </c>
      <c r="T2993">
        <f>IF(TRIM(Table1[[#This Row],[PitStopLaps]])="",0,
LEN(Table1[[#This Row],[PitStopLaps]])-LEN(SUBSTITUTE(Table1[[#This Row],[PitStopLaps]],",",""))+1)</f>
        <v>1</v>
      </c>
      <c r="U2993">
        <f>Table1[[#This Row],[StartPosition]]-Table1[[#This Row],[FinishPosition]]</f>
        <v>5</v>
      </c>
    </row>
    <row r="2994" spans="1:21" x14ac:dyDescent="0.3">
      <c r="A2994">
        <v>2025</v>
      </c>
      <c r="B2994">
        <v>2</v>
      </c>
      <c r="C2994" t="s">
        <v>100</v>
      </c>
      <c r="D2994" t="s">
        <v>1334</v>
      </c>
      <c r="E2994" t="s">
        <v>1335</v>
      </c>
      <c r="F2994" t="s">
        <v>1175</v>
      </c>
      <c r="G2994">
        <v>19</v>
      </c>
      <c r="H2994">
        <v>14</v>
      </c>
      <c r="I2994">
        <v>0</v>
      </c>
      <c r="J2994" t="s">
        <v>34</v>
      </c>
      <c r="K2994" t="s">
        <v>994</v>
      </c>
      <c r="L2994">
        <v>55</v>
      </c>
      <c r="M2994">
        <v>95.873999999999995</v>
      </c>
      <c r="N2994">
        <v>98.133234999999999</v>
      </c>
      <c r="O2994">
        <v>25.593</v>
      </c>
      <c r="P2994">
        <v>28.722999999999999</v>
      </c>
      <c r="Q2994">
        <v>41.558</v>
      </c>
      <c r="R2994" t="s">
        <v>190</v>
      </c>
      <c r="S2994" t="s">
        <v>83</v>
      </c>
      <c r="T2994">
        <f>IF(TRIM(Table1[[#This Row],[PitStopLaps]])="",0,
LEN(Table1[[#This Row],[PitStopLaps]])-LEN(SUBSTITUTE(Table1[[#This Row],[PitStopLaps]],",",""))+1)</f>
        <v>2</v>
      </c>
      <c r="U2994">
        <f>Table1[[#This Row],[StartPosition]]-Table1[[#This Row],[FinishPosition]]</f>
        <v>5</v>
      </c>
    </row>
    <row r="2995" spans="1:21" x14ac:dyDescent="0.3">
      <c r="A2995">
        <v>2025</v>
      </c>
      <c r="B2995">
        <v>2</v>
      </c>
      <c r="C2995" t="s">
        <v>100</v>
      </c>
      <c r="D2995" t="s">
        <v>40</v>
      </c>
      <c r="E2995" t="s">
        <v>41</v>
      </c>
      <c r="F2995" t="s">
        <v>1175</v>
      </c>
      <c r="G2995">
        <v>12</v>
      </c>
      <c r="H2995">
        <v>15</v>
      </c>
      <c r="I2995">
        <v>0</v>
      </c>
      <c r="J2995" t="s">
        <v>34</v>
      </c>
      <c r="K2995" t="s">
        <v>994</v>
      </c>
      <c r="L2995">
        <v>55</v>
      </c>
      <c r="M2995">
        <v>97.275000000000006</v>
      </c>
      <c r="N2995">
        <v>98.889556999999996</v>
      </c>
      <c r="O2995">
        <v>25.895</v>
      </c>
      <c r="P2995">
        <v>29.324999999999999</v>
      </c>
      <c r="Q2995">
        <v>41.975000000000001</v>
      </c>
      <c r="R2995">
        <v>20</v>
      </c>
      <c r="S2995" t="s">
        <v>83</v>
      </c>
      <c r="T2995">
        <f>IF(TRIM(Table1[[#This Row],[PitStopLaps]])="",0,
LEN(Table1[[#This Row],[PitStopLaps]])-LEN(SUBSTITUTE(Table1[[#This Row],[PitStopLaps]],",",""))+1)</f>
        <v>1</v>
      </c>
      <c r="U2995">
        <f>Table1[[#This Row],[StartPosition]]-Table1[[#This Row],[FinishPosition]]</f>
        <v>-3</v>
      </c>
    </row>
    <row r="2996" spans="1:21" x14ac:dyDescent="0.3">
      <c r="A2996">
        <v>2025</v>
      </c>
      <c r="B2996">
        <v>2</v>
      </c>
      <c r="C2996" t="s">
        <v>100</v>
      </c>
      <c r="D2996" t="s">
        <v>601</v>
      </c>
      <c r="E2996" t="s">
        <v>602</v>
      </c>
      <c r="F2996" t="s">
        <v>1330</v>
      </c>
      <c r="G2996">
        <v>9</v>
      </c>
      <c r="H2996">
        <v>16</v>
      </c>
      <c r="I2996">
        <v>0</v>
      </c>
      <c r="J2996" t="s">
        <v>34</v>
      </c>
      <c r="K2996" t="s">
        <v>994</v>
      </c>
      <c r="L2996">
        <v>55</v>
      </c>
      <c r="M2996">
        <v>95.870999999999995</v>
      </c>
      <c r="N2996">
        <v>97.802937</v>
      </c>
      <c r="O2996">
        <v>25.62</v>
      </c>
      <c r="P2996">
        <v>28.751999999999999</v>
      </c>
      <c r="Q2996">
        <v>41.423000000000002</v>
      </c>
      <c r="R2996" t="s">
        <v>1340</v>
      </c>
      <c r="S2996" t="s">
        <v>83</v>
      </c>
      <c r="T2996">
        <f>IF(TRIM(Table1[[#This Row],[PitStopLaps]])="",0,
LEN(Table1[[#This Row],[PitStopLaps]])-LEN(SUBSTITUTE(Table1[[#This Row],[PitStopLaps]],",",""))+1)</f>
        <v>3</v>
      </c>
      <c r="U2996">
        <f>Table1[[#This Row],[StartPosition]]-Table1[[#This Row],[FinishPosition]]</f>
        <v>-7</v>
      </c>
    </row>
    <row r="2997" spans="1:21" x14ac:dyDescent="0.3">
      <c r="A2997">
        <v>2025</v>
      </c>
      <c r="B2997">
        <v>2</v>
      </c>
      <c r="C2997" t="s">
        <v>100</v>
      </c>
      <c r="D2997" t="s">
        <v>35</v>
      </c>
      <c r="E2997" t="s">
        <v>36</v>
      </c>
      <c r="F2997" t="s">
        <v>603</v>
      </c>
      <c r="G2997">
        <v>13</v>
      </c>
      <c r="H2997">
        <v>17</v>
      </c>
      <c r="I2997">
        <v>0</v>
      </c>
      <c r="J2997" t="s">
        <v>34</v>
      </c>
      <c r="K2997" t="s">
        <v>179</v>
      </c>
      <c r="L2997">
        <v>4</v>
      </c>
      <c r="M2997">
        <v>99.256</v>
      </c>
      <c r="N2997">
        <v>99.423500000000004</v>
      </c>
      <c r="O2997">
        <v>26.288</v>
      </c>
      <c r="P2997">
        <v>30.334</v>
      </c>
      <c r="Q2997">
        <v>42.59</v>
      </c>
      <c r="R2997">
        <v>4</v>
      </c>
      <c r="S2997" t="s">
        <v>83</v>
      </c>
      <c r="T2997">
        <f>IF(TRIM(Table1[[#This Row],[PitStopLaps]])="",0,
LEN(Table1[[#This Row],[PitStopLaps]])-LEN(SUBSTITUTE(Table1[[#This Row],[PitStopLaps]],",",""))+1)</f>
        <v>1</v>
      </c>
      <c r="U2997">
        <f>Table1[[#This Row],[StartPosition]]-Table1[[#This Row],[FinishPosition]]</f>
        <v>-4</v>
      </c>
    </row>
    <row r="2998" spans="1:21" x14ac:dyDescent="0.3">
      <c r="A2998">
        <v>2025</v>
      </c>
      <c r="B2998">
        <v>2</v>
      </c>
      <c r="C2998" t="s">
        <v>100</v>
      </c>
      <c r="D2998" t="s">
        <v>54</v>
      </c>
      <c r="E2998" t="s">
        <v>55</v>
      </c>
      <c r="F2998" t="s">
        <v>22</v>
      </c>
      <c r="G2998">
        <v>6</v>
      </c>
      <c r="H2998">
        <v>18</v>
      </c>
      <c r="I2998">
        <v>0</v>
      </c>
      <c r="J2998" t="s">
        <v>34</v>
      </c>
      <c r="K2998" t="s">
        <v>220</v>
      </c>
      <c r="L2998">
        <v>56</v>
      </c>
      <c r="M2998">
        <v>96.156999999999996</v>
      </c>
      <c r="N2998">
        <v>97.329753999999994</v>
      </c>
      <c r="O2998">
        <v>25.539000000000001</v>
      </c>
      <c r="P2998">
        <v>29.012</v>
      </c>
      <c r="Q2998">
        <v>41.408000000000001</v>
      </c>
      <c r="R2998">
        <v>15</v>
      </c>
      <c r="S2998" t="s">
        <v>83</v>
      </c>
      <c r="T2998">
        <f>IF(TRIM(Table1[[#This Row],[PitStopLaps]])="",0,
LEN(Table1[[#This Row],[PitStopLaps]])-LEN(SUBSTITUTE(Table1[[#This Row],[PitStopLaps]],",",""))+1)</f>
        <v>1</v>
      </c>
      <c r="U2998">
        <f>Table1[[#This Row],[StartPosition]]-Table1[[#This Row],[FinishPosition]]</f>
        <v>-12</v>
      </c>
    </row>
    <row r="2999" spans="1:21" x14ac:dyDescent="0.3">
      <c r="A2999">
        <v>2025</v>
      </c>
      <c r="B2999">
        <v>2</v>
      </c>
      <c r="C2999" t="s">
        <v>100</v>
      </c>
      <c r="D2999" t="s">
        <v>26</v>
      </c>
      <c r="E2999" t="s">
        <v>27</v>
      </c>
      <c r="F2999" t="s">
        <v>22</v>
      </c>
      <c r="G2999">
        <v>5</v>
      </c>
      <c r="H2999">
        <v>19</v>
      </c>
      <c r="I2999">
        <v>0</v>
      </c>
      <c r="J2999" t="s">
        <v>34</v>
      </c>
      <c r="K2999" t="s">
        <v>220</v>
      </c>
      <c r="L2999">
        <v>56</v>
      </c>
      <c r="M2999">
        <v>95.069000000000003</v>
      </c>
      <c r="N2999">
        <v>96.951881999999998</v>
      </c>
      <c r="O2999">
        <v>25.334</v>
      </c>
      <c r="P2999">
        <v>28.437000000000001</v>
      </c>
      <c r="Q2999">
        <v>41.177</v>
      </c>
      <c r="R2999" t="s">
        <v>725</v>
      </c>
      <c r="S2999" t="s">
        <v>83</v>
      </c>
      <c r="T2999">
        <f>IF(TRIM(Table1[[#This Row],[PitStopLaps]])="",0,
LEN(Table1[[#This Row],[PitStopLaps]])-LEN(SUBSTITUTE(Table1[[#This Row],[PitStopLaps]],",",""))+1)</f>
        <v>2</v>
      </c>
      <c r="U2999">
        <f>Table1[[#This Row],[StartPosition]]-Table1[[#This Row],[FinishPosition]]</f>
        <v>-14</v>
      </c>
    </row>
    <row r="3000" spans="1:21" x14ac:dyDescent="0.3">
      <c r="A3000">
        <v>2025</v>
      </c>
      <c r="B3000">
        <v>2</v>
      </c>
      <c r="C3000" t="s">
        <v>100</v>
      </c>
      <c r="D3000" t="s">
        <v>73</v>
      </c>
      <c r="E3000" t="s">
        <v>74</v>
      </c>
      <c r="F3000" t="s">
        <v>607</v>
      </c>
      <c r="G3000">
        <v>16</v>
      </c>
      <c r="H3000">
        <v>20</v>
      </c>
      <c r="I3000">
        <v>0</v>
      </c>
      <c r="J3000" t="s">
        <v>34</v>
      </c>
      <c r="K3000" t="s">
        <v>220</v>
      </c>
      <c r="L3000">
        <v>56</v>
      </c>
      <c r="M3000">
        <v>96.424999999999997</v>
      </c>
      <c r="N3000">
        <v>98.049319999999994</v>
      </c>
      <c r="O3000">
        <v>25.628</v>
      </c>
      <c r="P3000">
        <v>28.913</v>
      </c>
      <c r="Q3000">
        <v>41.792000000000002</v>
      </c>
      <c r="R3000">
        <v>10</v>
      </c>
      <c r="S3000" t="s">
        <v>83</v>
      </c>
      <c r="T3000">
        <f>IF(TRIM(Table1[[#This Row],[PitStopLaps]])="",0,
LEN(Table1[[#This Row],[PitStopLaps]])-LEN(SUBSTITUTE(Table1[[#This Row],[PitStopLaps]],",",""))+1)</f>
        <v>1</v>
      </c>
      <c r="U3000">
        <f>Table1[[#This Row],[StartPosition]]-Table1[[#This Row],[FinishPosition]]</f>
        <v>-4</v>
      </c>
    </row>
    <row r="3001" spans="1:21" x14ac:dyDescent="0.3">
      <c r="A3001">
        <v>2025</v>
      </c>
      <c r="B3001">
        <v>3</v>
      </c>
      <c r="C3001" t="s">
        <v>208</v>
      </c>
      <c r="D3001" t="s">
        <v>38</v>
      </c>
      <c r="E3001" t="s">
        <v>39</v>
      </c>
      <c r="F3001" t="s">
        <v>33</v>
      </c>
      <c r="G3001">
        <v>1</v>
      </c>
      <c r="H3001">
        <v>1</v>
      </c>
      <c r="I3001">
        <v>25</v>
      </c>
      <c r="J3001" t="s">
        <v>23</v>
      </c>
      <c r="K3001" t="s">
        <v>24</v>
      </c>
      <c r="L3001">
        <v>53</v>
      </c>
      <c r="M3001">
        <v>91.040999999999997</v>
      </c>
      <c r="N3001">
        <v>92.459199999999996</v>
      </c>
      <c r="O3001">
        <v>31.286000000000001</v>
      </c>
      <c r="P3001">
        <v>41.707999999999998</v>
      </c>
      <c r="Q3001">
        <v>17.858000000000001</v>
      </c>
      <c r="R3001">
        <v>21</v>
      </c>
      <c r="S3001" t="s">
        <v>83</v>
      </c>
      <c r="T3001">
        <f>IF(TRIM(Table1[[#This Row],[PitStopLaps]])="",0,
LEN(Table1[[#This Row],[PitStopLaps]])-LEN(SUBSTITUTE(Table1[[#This Row],[PitStopLaps]],",",""))+1)</f>
        <v>1</v>
      </c>
      <c r="U3001">
        <f>Table1[[#This Row],[StartPosition]]-Table1[[#This Row],[FinishPosition]]</f>
        <v>0</v>
      </c>
    </row>
    <row r="3002" spans="1:21" x14ac:dyDescent="0.3">
      <c r="A3002">
        <v>2025</v>
      </c>
      <c r="B3002">
        <v>3</v>
      </c>
      <c r="C3002" t="s">
        <v>208</v>
      </c>
      <c r="D3002" t="s">
        <v>246</v>
      </c>
      <c r="E3002" t="s">
        <v>247</v>
      </c>
      <c r="F3002" t="s">
        <v>37</v>
      </c>
      <c r="G3002">
        <v>2</v>
      </c>
      <c r="H3002">
        <v>2</v>
      </c>
      <c r="I3002">
        <v>18</v>
      </c>
      <c r="J3002" t="s">
        <v>23</v>
      </c>
      <c r="K3002" t="s">
        <v>24</v>
      </c>
      <c r="L3002">
        <v>53</v>
      </c>
      <c r="M3002">
        <v>91.116</v>
      </c>
      <c r="N3002">
        <v>92.456280000000007</v>
      </c>
      <c r="O3002">
        <v>31.234999999999999</v>
      </c>
      <c r="P3002">
        <v>41.726999999999997</v>
      </c>
      <c r="Q3002">
        <v>17.835999999999999</v>
      </c>
      <c r="R3002">
        <v>21</v>
      </c>
      <c r="S3002" t="s">
        <v>83</v>
      </c>
      <c r="T3002">
        <f>IF(TRIM(Table1[[#This Row],[PitStopLaps]])="",0,
LEN(Table1[[#This Row],[PitStopLaps]])-LEN(SUBSTITUTE(Table1[[#This Row],[PitStopLaps]],",",""))+1)</f>
        <v>1</v>
      </c>
      <c r="U3002">
        <f>Table1[[#This Row],[StartPosition]]-Table1[[#This Row],[FinishPosition]]</f>
        <v>0</v>
      </c>
    </row>
    <row r="3003" spans="1:21" x14ac:dyDescent="0.3">
      <c r="A3003">
        <v>2025</v>
      </c>
      <c r="B3003">
        <v>3</v>
      </c>
      <c r="C3003" t="s">
        <v>208</v>
      </c>
      <c r="D3003" t="s">
        <v>1000</v>
      </c>
      <c r="E3003" t="s">
        <v>1001</v>
      </c>
      <c r="F3003" t="s">
        <v>37</v>
      </c>
      <c r="G3003">
        <v>3</v>
      </c>
      <c r="H3003">
        <v>3</v>
      </c>
      <c r="I3003">
        <v>15</v>
      </c>
      <c r="J3003" t="s">
        <v>23</v>
      </c>
      <c r="K3003" t="s">
        <v>24</v>
      </c>
      <c r="L3003">
        <v>53</v>
      </c>
      <c r="M3003">
        <v>91.039000000000001</v>
      </c>
      <c r="N3003">
        <v>92.484719999999996</v>
      </c>
      <c r="O3003">
        <v>31.335000000000001</v>
      </c>
      <c r="P3003">
        <v>41.515000000000001</v>
      </c>
      <c r="Q3003">
        <v>17.884</v>
      </c>
      <c r="R3003">
        <v>20</v>
      </c>
      <c r="S3003" t="s">
        <v>83</v>
      </c>
      <c r="T3003">
        <f>IF(TRIM(Table1[[#This Row],[PitStopLaps]])="",0,
LEN(Table1[[#This Row],[PitStopLaps]])-LEN(SUBSTITUTE(Table1[[#This Row],[PitStopLaps]],",",""))+1)</f>
        <v>1</v>
      </c>
      <c r="U3003">
        <f>Table1[[#This Row],[StartPosition]]-Table1[[#This Row],[FinishPosition]]</f>
        <v>0</v>
      </c>
    </row>
    <row r="3004" spans="1:21" x14ac:dyDescent="0.3">
      <c r="A3004">
        <v>2025</v>
      </c>
      <c r="B3004">
        <v>3</v>
      </c>
      <c r="C3004" t="s">
        <v>208</v>
      </c>
      <c r="D3004" t="s">
        <v>54</v>
      </c>
      <c r="E3004" t="s">
        <v>55</v>
      </c>
      <c r="F3004" t="s">
        <v>22</v>
      </c>
      <c r="G3004">
        <v>4</v>
      </c>
      <c r="H3004">
        <v>4</v>
      </c>
      <c r="I3004">
        <v>12</v>
      </c>
      <c r="J3004" t="s">
        <v>34</v>
      </c>
      <c r="K3004" t="s">
        <v>24</v>
      </c>
      <c r="L3004">
        <v>53</v>
      </c>
      <c r="M3004">
        <v>91.468999999999994</v>
      </c>
      <c r="N3004">
        <v>92.733500000000006</v>
      </c>
      <c r="O3004">
        <v>31.649000000000001</v>
      </c>
      <c r="P3004">
        <v>41.682000000000002</v>
      </c>
      <c r="Q3004">
        <v>17.907</v>
      </c>
      <c r="R3004">
        <v>21</v>
      </c>
      <c r="S3004" t="s">
        <v>83</v>
      </c>
      <c r="T3004">
        <f>IF(TRIM(Table1[[#This Row],[PitStopLaps]])="",0,
LEN(Table1[[#This Row],[PitStopLaps]])-LEN(SUBSTITUTE(Table1[[#This Row],[PitStopLaps]],",",""))+1)</f>
        <v>1</v>
      </c>
      <c r="U3004">
        <f>Table1[[#This Row],[StartPosition]]-Table1[[#This Row],[FinishPosition]]</f>
        <v>0</v>
      </c>
    </row>
    <row r="3005" spans="1:21" x14ac:dyDescent="0.3">
      <c r="A3005">
        <v>2025</v>
      </c>
      <c r="B3005">
        <v>3</v>
      </c>
      <c r="C3005" t="s">
        <v>208</v>
      </c>
      <c r="D3005" t="s">
        <v>252</v>
      </c>
      <c r="E3005" t="s">
        <v>253</v>
      </c>
      <c r="F3005" t="s">
        <v>28</v>
      </c>
      <c r="G3005">
        <v>5</v>
      </c>
      <c r="H3005">
        <v>5</v>
      </c>
      <c r="I3005">
        <v>10</v>
      </c>
      <c r="J3005" t="s">
        <v>34</v>
      </c>
      <c r="K3005" t="s">
        <v>24</v>
      </c>
      <c r="L3005">
        <v>53</v>
      </c>
      <c r="M3005">
        <v>91.356999999999999</v>
      </c>
      <c r="N3005">
        <v>92.753839999999997</v>
      </c>
      <c r="O3005">
        <v>31.353999999999999</v>
      </c>
      <c r="P3005">
        <v>41.884999999999998</v>
      </c>
      <c r="Q3005">
        <v>17.920000000000002</v>
      </c>
      <c r="R3005">
        <v>19</v>
      </c>
      <c r="S3005" t="s">
        <v>83</v>
      </c>
      <c r="T3005">
        <f>IF(TRIM(Table1[[#This Row],[PitStopLaps]])="",0,
LEN(Table1[[#This Row],[PitStopLaps]])-LEN(SUBSTITUTE(Table1[[#This Row],[PitStopLaps]],",",""))+1)</f>
        <v>1</v>
      </c>
      <c r="U3005">
        <f>Table1[[#This Row],[StartPosition]]-Table1[[#This Row],[FinishPosition]]</f>
        <v>0</v>
      </c>
    </row>
    <row r="3006" spans="1:21" x14ac:dyDescent="0.3">
      <c r="A3006">
        <v>2025</v>
      </c>
      <c r="B3006">
        <v>3</v>
      </c>
      <c r="C3006" t="s">
        <v>208</v>
      </c>
      <c r="D3006" t="s">
        <v>1339</v>
      </c>
      <c r="E3006" t="s">
        <v>1325</v>
      </c>
      <c r="F3006" t="s">
        <v>28</v>
      </c>
      <c r="G3006">
        <v>6</v>
      </c>
      <c r="H3006">
        <v>6</v>
      </c>
      <c r="I3006">
        <v>8</v>
      </c>
      <c r="J3006" t="s">
        <v>34</v>
      </c>
      <c r="K3006" t="s">
        <v>24</v>
      </c>
      <c r="L3006">
        <v>53</v>
      </c>
      <c r="M3006">
        <v>90.965000000000003</v>
      </c>
      <c r="N3006">
        <v>92.714119999999994</v>
      </c>
      <c r="O3006">
        <v>31.396000000000001</v>
      </c>
      <c r="P3006">
        <v>41.496000000000002</v>
      </c>
      <c r="Q3006">
        <v>17.751000000000001</v>
      </c>
      <c r="R3006">
        <v>31</v>
      </c>
      <c r="S3006" t="s">
        <v>83</v>
      </c>
      <c r="T3006">
        <f>IF(TRIM(Table1[[#This Row],[PitStopLaps]])="",0,
LEN(Table1[[#This Row],[PitStopLaps]])-LEN(SUBSTITUTE(Table1[[#This Row],[PitStopLaps]],",",""))+1)</f>
        <v>1</v>
      </c>
      <c r="U3006">
        <f>Table1[[#This Row],[StartPosition]]-Table1[[#This Row],[FinishPosition]]</f>
        <v>0</v>
      </c>
    </row>
    <row r="3007" spans="1:21" x14ac:dyDescent="0.3">
      <c r="A3007">
        <v>2025</v>
      </c>
      <c r="B3007">
        <v>3</v>
      </c>
      <c r="C3007" t="s">
        <v>208</v>
      </c>
      <c r="D3007" t="s">
        <v>26</v>
      </c>
      <c r="E3007" t="s">
        <v>27</v>
      </c>
      <c r="F3007" t="s">
        <v>22</v>
      </c>
      <c r="G3007">
        <v>8</v>
      </c>
      <c r="H3007">
        <v>7</v>
      </c>
      <c r="I3007">
        <v>6</v>
      </c>
      <c r="J3007" t="s">
        <v>34</v>
      </c>
      <c r="K3007" t="s">
        <v>24</v>
      </c>
      <c r="L3007">
        <v>53</v>
      </c>
      <c r="M3007">
        <v>91.406000000000006</v>
      </c>
      <c r="N3007">
        <v>92.946759999999998</v>
      </c>
      <c r="O3007">
        <v>31.664999999999999</v>
      </c>
      <c r="P3007">
        <v>41.404000000000003</v>
      </c>
      <c r="Q3007">
        <v>17.741</v>
      </c>
      <c r="R3007">
        <v>30</v>
      </c>
      <c r="S3007" t="s">
        <v>83</v>
      </c>
      <c r="T3007">
        <f>IF(TRIM(Table1[[#This Row],[PitStopLaps]])="",0,
LEN(Table1[[#This Row],[PitStopLaps]])-LEN(SUBSTITUTE(Table1[[#This Row],[PitStopLaps]],",",""))+1)</f>
        <v>1</v>
      </c>
      <c r="U3007">
        <f>Table1[[#This Row],[StartPosition]]-Table1[[#This Row],[FinishPosition]]</f>
        <v>1</v>
      </c>
    </row>
    <row r="3008" spans="1:21" x14ac:dyDescent="0.3">
      <c r="A3008">
        <v>2025</v>
      </c>
      <c r="B3008">
        <v>3</v>
      </c>
      <c r="C3008" t="s">
        <v>208</v>
      </c>
      <c r="D3008" t="s">
        <v>1337</v>
      </c>
      <c r="E3008" t="s">
        <v>1338</v>
      </c>
      <c r="F3008" t="s">
        <v>1330</v>
      </c>
      <c r="G3008">
        <v>7</v>
      </c>
      <c r="H3008">
        <v>8</v>
      </c>
      <c r="I3008">
        <v>4</v>
      </c>
      <c r="J3008" t="s">
        <v>34</v>
      </c>
      <c r="K3008" t="s">
        <v>24</v>
      </c>
      <c r="L3008">
        <v>53</v>
      </c>
      <c r="M3008">
        <v>91.316999999999993</v>
      </c>
      <c r="N3008">
        <v>93.047780000000003</v>
      </c>
      <c r="O3008">
        <v>31.576000000000001</v>
      </c>
      <c r="P3008">
        <v>41.75</v>
      </c>
      <c r="Q3008">
        <v>17.956</v>
      </c>
      <c r="R3008">
        <v>25</v>
      </c>
      <c r="S3008" t="s">
        <v>83</v>
      </c>
      <c r="T3008">
        <f>IF(TRIM(Table1[[#This Row],[PitStopLaps]])="",0,
LEN(Table1[[#This Row],[PitStopLaps]])-LEN(SUBSTITUTE(Table1[[#This Row],[PitStopLaps]],",",""))+1)</f>
        <v>1</v>
      </c>
      <c r="U3008">
        <f>Table1[[#This Row],[StartPosition]]-Table1[[#This Row],[FinishPosition]]</f>
        <v>-1</v>
      </c>
    </row>
    <row r="3009" spans="1:21" x14ac:dyDescent="0.3">
      <c r="A3009">
        <v>2025</v>
      </c>
      <c r="B3009">
        <v>3</v>
      </c>
      <c r="C3009" t="s">
        <v>208</v>
      </c>
      <c r="D3009" t="s">
        <v>248</v>
      </c>
      <c r="E3009" t="s">
        <v>249</v>
      </c>
      <c r="F3009" t="s">
        <v>60</v>
      </c>
      <c r="G3009">
        <v>9</v>
      </c>
      <c r="H3009">
        <v>9</v>
      </c>
      <c r="I3009">
        <v>2</v>
      </c>
      <c r="J3009" t="s">
        <v>34</v>
      </c>
      <c r="K3009" t="s">
        <v>24</v>
      </c>
      <c r="L3009">
        <v>53</v>
      </c>
      <c r="M3009">
        <v>91.125</v>
      </c>
      <c r="N3009">
        <v>93.077619999999996</v>
      </c>
      <c r="O3009">
        <v>31.466000000000001</v>
      </c>
      <c r="P3009">
        <v>41.756</v>
      </c>
      <c r="Q3009">
        <v>17.809000000000001</v>
      </c>
      <c r="R3009">
        <v>24</v>
      </c>
      <c r="S3009" t="s">
        <v>83</v>
      </c>
      <c r="T3009">
        <f>IF(TRIM(Table1[[#This Row],[PitStopLaps]])="",0,
LEN(Table1[[#This Row],[PitStopLaps]])-LEN(SUBSTITUTE(Table1[[#This Row],[PitStopLaps]],",",""))+1)</f>
        <v>1</v>
      </c>
      <c r="U3009">
        <f>Table1[[#This Row],[StartPosition]]-Table1[[#This Row],[FinishPosition]]</f>
        <v>0</v>
      </c>
    </row>
    <row r="3010" spans="1:21" x14ac:dyDescent="0.3">
      <c r="A3010">
        <v>2025</v>
      </c>
      <c r="B3010">
        <v>3</v>
      </c>
      <c r="C3010" t="s">
        <v>208</v>
      </c>
      <c r="D3010" t="s">
        <v>1180</v>
      </c>
      <c r="E3010" t="s">
        <v>1181</v>
      </c>
      <c r="F3010" t="s">
        <v>69</v>
      </c>
      <c r="G3010">
        <v>10</v>
      </c>
      <c r="H3010">
        <v>10</v>
      </c>
      <c r="I3010">
        <v>1</v>
      </c>
      <c r="J3010" t="s">
        <v>34</v>
      </c>
      <c r="K3010" t="s">
        <v>24</v>
      </c>
      <c r="L3010">
        <v>53</v>
      </c>
      <c r="M3010">
        <v>92.006</v>
      </c>
      <c r="N3010">
        <v>93.387799999999999</v>
      </c>
      <c r="O3010">
        <v>31.751999999999999</v>
      </c>
      <c r="P3010">
        <v>41.927999999999997</v>
      </c>
      <c r="Q3010">
        <v>18.036000000000001</v>
      </c>
      <c r="R3010">
        <v>23</v>
      </c>
      <c r="S3010" t="s">
        <v>83</v>
      </c>
      <c r="T3010">
        <f>IF(TRIM(Table1[[#This Row],[PitStopLaps]])="",0,
LEN(Table1[[#This Row],[PitStopLaps]])-LEN(SUBSTITUTE(Table1[[#This Row],[PitStopLaps]],",",""))+1)</f>
        <v>1</v>
      </c>
      <c r="U3010">
        <f>Table1[[#This Row],[StartPosition]]-Table1[[#This Row],[FinishPosition]]</f>
        <v>0</v>
      </c>
    </row>
    <row r="3011" spans="1:21" x14ac:dyDescent="0.3">
      <c r="A3011">
        <v>2025</v>
      </c>
      <c r="B3011">
        <v>3</v>
      </c>
      <c r="C3011" t="s">
        <v>208</v>
      </c>
      <c r="D3011" t="s">
        <v>35</v>
      </c>
      <c r="E3011" t="s">
        <v>36</v>
      </c>
      <c r="F3011" t="s">
        <v>603</v>
      </c>
      <c r="G3011">
        <v>12</v>
      </c>
      <c r="H3011">
        <v>11</v>
      </c>
      <c r="I3011">
        <v>0</v>
      </c>
      <c r="J3011" t="s">
        <v>34</v>
      </c>
      <c r="K3011" t="s">
        <v>24</v>
      </c>
      <c r="L3011">
        <v>53</v>
      </c>
      <c r="M3011">
        <v>91.77</v>
      </c>
      <c r="N3011">
        <v>93.363699999999994</v>
      </c>
      <c r="O3011">
        <v>31.690999999999999</v>
      </c>
      <c r="P3011">
        <v>41.798999999999999</v>
      </c>
      <c r="Q3011">
        <v>18.027000000000001</v>
      </c>
      <c r="R3011">
        <v>24</v>
      </c>
      <c r="S3011" t="s">
        <v>83</v>
      </c>
      <c r="T3011">
        <f>IF(TRIM(Table1[[#This Row],[PitStopLaps]])="",0,
LEN(Table1[[#This Row],[PitStopLaps]])-LEN(SUBSTITUTE(Table1[[#This Row],[PitStopLaps]],",",""))+1)</f>
        <v>1</v>
      </c>
      <c r="U3011">
        <f>Table1[[#This Row],[StartPosition]]-Table1[[#This Row],[FinishPosition]]</f>
        <v>1</v>
      </c>
    </row>
    <row r="3012" spans="1:21" x14ac:dyDescent="0.3">
      <c r="A3012">
        <v>2025</v>
      </c>
      <c r="B3012">
        <v>3</v>
      </c>
      <c r="C3012" t="s">
        <v>208</v>
      </c>
      <c r="D3012" t="s">
        <v>601</v>
      </c>
      <c r="E3012" t="s">
        <v>602</v>
      </c>
      <c r="F3012" t="s">
        <v>33</v>
      </c>
      <c r="G3012">
        <v>14</v>
      </c>
      <c r="H3012">
        <v>12</v>
      </c>
      <c r="I3012">
        <v>0</v>
      </c>
      <c r="J3012" t="s">
        <v>34</v>
      </c>
      <c r="K3012" t="s">
        <v>24</v>
      </c>
      <c r="L3012">
        <v>53</v>
      </c>
      <c r="M3012">
        <v>91.870999999999995</v>
      </c>
      <c r="N3012">
        <v>93.430940000000007</v>
      </c>
      <c r="O3012">
        <v>31.855</v>
      </c>
      <c r="P3012">
        <v>41.811999999999998</v>
      </c>
      <c r="Q3012">
        <v>17.975000000000001</v>
      </c>
      <c r="R3012">
        <v>23</v>
      </c>
      <c r="S3012" t="s">
        <v>83</v>
      </c>
      <c r="T3012">
        <f>IF(TRIM(Table1[[#This Row],[PitStopLaps]])="",0,
LEN(Table1[[#This Row],[PitStopLaps]])-LEN(SUBSTITUTE(Table1[[#This Row],[PitStopLaps]],",",""))+1)</f>
        <v>1</v>
      </c>
      <c r="U3012">
        <f>Table1[[#This Row],[StartPosition]]-Table1[[#This Row],[FinishPosition]]</f>
        <v>2</v>
      </c>
    </row>
    <row r="3013" spans="1:21" x14ac:dyDescent="0.3">
      <c r="A3013">
        <v>2025</v>
      </c>
      <c r="B3013">
        <v>3</v>
      </c>
      <c r="C3013" t="s">
        <v>208</v>
      </c>
      <c r="D3013" t="s">
        <v>73</v>
      </c>
      <c r="E3013" t="s">
        <v>74</v>
      </c>
      <c r="F3013" t="s">
        <v>607</v>
      </c>
      <c r="G3013">
        <v>11</v>
      </c>
      <c r="H3013">
        <v>13</v>
      </c>
      <c r="I3013">
        <v>0</v>
      </c>
      <c r="J3013" t="s">
        <v>34</v>
      </c>
      <c r="K3013" t="s">
        <v>24</v>
      </c>
      <c r="L3013">
        <v>53</v>
      </c>
      <c r="M3013">
        <v>91.82</v>
      </c>
      <c r="N3013">
        <v>93.393420000000006</v>
      </c>
      <c r="O3013">
        <v>31.52</v>
      </c>
      <c r="P3013">
        <v>41.972999999999999</v>
      </c>
      <c r="Q3013">
        <v>17.949000000000002</v>
      </c>
      <c r="R3013">
        <v>24</v>
      </c>
      <c r="S3013" t="s">
        <v>83</v>
      </c>
      <c r="T3013">
        <f>IF(TRIM(Table1[[#This Row],[PitStopLaps]])="",0,
LEN(Table1[[#This Row],[PitStopLaps]])-LEN(SUBSTITUTE(Table1[[#This Row],[PitStopLaps]],",",""))+1)</f>
        <v>1</v>
      </c>
      <c r="U3013">
        <f>Table1[[#This Row],[StartPosition]]-Table1[[#This Row],[FinishPosition]]</f>
        <v>-2</v>
      </c>
    </row>
    <row r="3014" spans="1:21" x14ac:dyDescent="0.3">
      <c r="A3014">
        <v>2025</v>
      </c>
      <c r="B3014">
        <v>3</v>
      </c>
      <c r="C3014" t="s">
        <v>208</v>
      </c>
      <c r="D3014" t="s">
        <v>47</v>
      </c>
      <c r="E3014" t="s">
        <v>48</v>
      </c>
      <c r="F3014" t="s">
        <v>60</v>
      </c>
      <c r="G3014">
        <v>15</v>
      </c>
      <c r="H3014">
        <v>14</v>
      </c>
      <c r="I3014">
        <v>0</v>
      </c>
      <c r="J3014" t="s">
        <v>34</v>
      </c>
      <c r="K3014" t="s">
        <v>24</v>
      </c>
      <c r="L3014">
        <v>53</v>
      </c>
      <c r="M3014">
        <v>91.105999999999995</v>
      </c>
      <c r="N3014">
        <v>93.753839999999997</v>
      </c>
      <c r="O3014">
        <v>31.440999999999999</v>
      </c>
      <c r="P3014">
        <v>41.484000000000002</v>
      </c>
      <c r="Q3014">
        <v>17.7</v>
      </c>
      <c r="R3014">
        <v>33</v>
      </c>
      <c r="S3014" t="s">
        <v>83</v>
      </c>
      <c r="T3014">
        <f>IF(TRIM(Table1[[#This Row],[PitStopLaps]])="",0,
LEN(Table1[[#This Row],[PitStopLaps]])-LEN(SUBSTITUTE(Table1[[#This Row],[PitStopLaps]],",",""))+1)</f>
        <v>1</v>
      </c>
      <c r="U3014">
        <f>Table1[[#This Row],[StartPosition]]-Table1[[#This Row],[FinishPosition]]</f>
        <v>1</v>
      </c>
    </row>
    <row r="3015" spans="1:21" x14ac:dyDescent="0.3">
      <c r="A3015">
        <v>2025</v>
      </c>
      <c r="B3015">
        <v>3</v>
      </c>
      <c r="C3015" t="s">
        <v>208</v>
      </c>
      <c r="D3015" t="s">
        <v>1318</v>
      </c>
      <c r="E3015" t="s">
        <v>1319</v>
      </c>
      <c r="F3015" t="s">
        <v>607</v>
      </c>
      <c r="G3015">
        <v>19</v>
      </c>
      <c r="H3015">
        <v>15</v>
      </c>
      <c r="I3015">
        <v>0</v>
      </c>
      <c r="J3015" t="s">
        <v>34</v>
      </c>
      <c r="K3015" t="s">
        <v>24</v>
      </c>
      <c r="L3015">
        <v>53</v>
      </c>
      <c r="M3015">
        <v>92.685000000000002</v>
      </c>
      <c r="N3015">
        <v>93.823419999999999</v>
      </c>
      <c r="O3015">
        <v>32.24</v>
      </c>
      <c r="P3015">
        <v>42.188000000000002</v>
      </c>
      <c r="Q3015">
        <v>18.140999999999998</v>
      </c>
      <c r="R3015">
        <v>15</v>
      </c>
      <c r="S3015" t="s">
        <v>83</v>
      </c>
      <c r="T3015">
        <f>IF(TRIM(Table1[[#This Row],[PitStopLaps]])="",0,
LEN(Table1[[#This Row],[PitStopLaps]])-LEN(SUBSTITUTE(Table1[[#This Row],[PitStopLaps]],",",""))+1)</f>
        <v>1</v>
      </c>
      <c r="U3015">
        <f>Table1[[#This Row],[StartPosition]]-Table1[[#This Row],[FinishPosition]]</f>
        <v>4</v>
      </c>
    </row>
    <row r="3016" spans="1:21" x14ac:dyDescent="0.3">
      <c r="A3016">
        <v>2025</v>
      </c>
      <c r="B3016">
        <v>3</v>
      </c>
      <c r="C3016" t="s">
        <v>208</v>
      </c>
      <c r="D3016" t="s">
        <v>40</v>
      </c>
      <c r="E3016" t="s">
        <v>41</v>
      </c>
      <c r="F3016" t="s">
        <v>1175</v>
      </c>
      <c r="G3016">
        <v>16</v>
      </c>
      <c r="H3016">
        <v>16</v>
      </c>
      <c r="I3016">
        <v>0</v>
      </c>
      <c r="J3016" t="s">
        <v>34</v>
      </c>
      <c r="K3016" t="s">
        <v>24</v>
      </c>
      <c r="L3016">
        <v>53</v>
      </c>
      <c r="M3016">
        <v>92.572000000000003</v>
      </c>
      <c r="N3016">
        <v>93.877499999999998</v>
      </c>
      <c r="O3016">
        <v>31.989000000000001</v>
      </c>
      <c r="P3016">
        <v>41.664000000000001</v>
      </c>
      <c r="Q3016">
        <v>17.98</v>
      </c>
      <c r="R3016">
        <v>22</v>
      </c>
      <c r="S3016" t="s">
        <v>83</v>
      </c>
      <c r="T3016">
        <f>IF(TRIM(Table1[[#This Row],[PitStopLaps]])="",0,
LEN(Table1[[#This Row],[PitStopLaps]])-LEN(SUBSTITUTE(Table1[[#This Row],[PitStopLaps]],",",""))+1)</f>
        <v>1</v>
      </c>
      <c r="U3016">
        <f>Table1[[#This Row],[StartPosition]]-Table1[[#This Row],[FinishPosition]]</f>
        <v>0</v>
      </c>
    </row>
    <row r="3017" spans="1:21" x14ac:dyDescent="0.3">
      <c r="A3017">
        <v>2025</v>
      </c>
      <c r="B3017">
        <v>3</v>
      </c>
      <c r="C3017" t="s">
        <v>208</v>
      </c>
      <c r="D3017" t="s">
        <v>1092</v>
      </c>
      <c r="E3017" t="s">
        <v>1093</v>
      </c>
      <c r="F3017" t="s">
        <v>1330</v>
      </c>
      <c r="G3017">
        <v>13</v>
      </c>
      <c r="H3017">
        <v>17</v>
      </c>
      <c r="I3017">
        <v>0</v>
      </c>
      <c r="J3017" t="s">
        <v>34</v>
      </c>
      <c r="K3017" t="s">
        <v>24</v>
      </c>
      <c r="L3017">
        <v>53</v>
      </c>
      <c r="M3017">
        <v>92.043000000000006</v>
      </c>
      <c r="N3017">
        <v>93.911259999999999</v>
      </c>
      <c r="O3017">
        <v>32.210999999999999</v>
      </c>
      <c r="P3017">
        <v>41.505000000000003</v>
      </c>
      <c r="Q3017">
        <v>17.928000000000001</v>
      </c>
      <c r="R3017">
        <v>33</v>
      </c>
      <c r="S3017" t="s">
        <v>83</v>
      </c>
      <c r="T3017">
        <f>IF(TRIM(Table1[[#This Row],[PitStopLaps]])="",0,
LEN(Table1[[#This Row],[PitStopLaps]])-LEN(SUBSTITUTE(Table1[[#This Row],[PitStopLaps]],",",""))+1)</f>
        <v>1</v>
      </c>
      <c r="U3017">
        <f>Table1[[#This Row],[StartPosition]]-Table1[[#This Row],[FinishPosition]]</f>
        <v>-4</v>
      </c>
    </row>
    <row r="3018" spans="1:21" x14ac:dyDescent="0.3">
      <c r="A3018">
        <v>2025</v>
      </c>
      <c r="B3018">
        <v>3</v>
      </c>
      <c r="C3018" t="s">
        <v>208</v>
      </c>
      <c r="D3018" t="s">
        <v>52</v>
      </c>
      <c r="E3018" t="s">
        <v>53</v>
      </c>
      <c r="F3018" t="s">
        <v>69</v>
      </c>
      <c r="G3018">
        <v>18</v>
      </c>
      <c r="H3018">
        <v>18</v>
      </c>
      <c r="I3018">
        <v>0</v>
      </c>
      <c r="J3018" t="s">
        <v>34</v>
      </c>
      <c r="K3018" t="s">
        <v>24</v>
      </c>
      <c r="L3018">
        <v>53</v>
      </c>
      <c r="M3018">
        <v>91.966999999999999</v>
      </c>
      <c r="N3018">
        <v>93.893780000000007</v>
      </c>
      <c r="O3018">
        <v>32.021999999999998</v>
      </c>
      <c r="P3018">
        <v>41.862000000000002</v>
      </c>
      <c r="Q3018">
        <v>18.003</v>
      </c>
      <c r="R3018">
        <v>32</v>
      </c>
      <c r="S3018" t="s">
        <v>83</v>
      </c>
      <c r="T3018">
        <f>IF(TRIM(Table1[[#This Row],[PitStopLaps]])="",0,
LEN(Table1[[#This Row],[PitStopLaps]])-LEN(SUBSTITUTE(Table1[[#This Row],[PitStopLaps]],",",""))+1)</f>
        <v>1</v>
      </c>
      <c r="U3018">
        <f>Table1[[#This Row],[StartPosition]]-Table1[[#This Row],[FinishPosition]]</f>
        <v>0</v>
      </c>
    </row>
    <row r="3019" spans="1:21" x14ac:dyDescent="0.3">
      <c r="A3019">
        <v>2025</v>
      </c>
      <c r="B3019">
        <v>3</v>
      </c>
      <c r="C3019" t="s">
        <v>208</v>
      </c>
      <c r="D3019" t="s">
        <v>1334</v>
      </c>
      <c r="E3019" t="s">
        <v>1335</v>
      </c>
      <c r="F3019" t="s">
        <v>1175</v>
      </c>
      <c r="G3019">
        <v>17</v>
      </c>
      <c r="H3019">
        <v>19</v>
      </c>
      <c r="I3019">
        <v>0</v>
      </c>
      <c r="J3019" t="s">
        <v>34</v>
      </c>
      <c r="K3019" t="s">
        <v>24</v>
      </c>
      <c r="L3019">
        <v>53</v>
      </c>
      <c r="M3019">
        <v>92.034000000000006</v>
      </c>
      <c r="N3019">
        <v>93.836439999999996</v>
      </c>
      <c r="O3019">
        <v>31.911000000000001</v>
      </c>
      <c r="P3019">
        <v>41.597000000000001</v>
      </c>
      <c r="Q3019">
        <v>17.896999999999998</v>
      </c>
      <c r="R3019">
        <v>31</v>
      </c>
      <c r="S3019" t="s">
        <v>83</v>
      </c>
      <c r="T3019">
        <f>IF(TRIM(Table1[[#This Row],[PitStopLaps]])="",0,
LEN(Table1[[#This Row],[PitStopLaps]])-LEN(SUBSTITUTE(Table1[[#This Row],[PitStopLaps]],",",""))+1)</f>
        <v>1</v>
      </c>
      <c r="U3019">
        <f>Table1[[#This Row],[StartPosition]]-Table1[[#This Row],[FinishPosition]]</f>
        <v>-2</v>
      </c>
    </row>
    <row r="3020" spans="1:21" x14ac:dyDescent="0.3">
      <c r="A3020">
        <v>2025</v>
      </c>
      <c r="B3020">
        <v>3</v>
      </c>
      <c r="C3020" t="s">
        <v>208</v>
      </c>
      <c r="D3020" t="s">
        <v>58</v>
      </c>
      <c r="E3020" t="s">
        <v>59</v>
      </c>
      <c r="F3020" t="s">
        <v>603</v>
      </c>
      <c r="G3020">
        <v>20</v>
      </c>
      <c r="H3020">
        <v>20</v>
      </c>
      <c r="I3020">
        <v>0</v>
      </c>
      <c r="J3020" t="s">
        <v>34</v>
      </c>
      <c r="K3020" t="s">
        <v>994</v>
      </c>
      <c r="L3020">
        <v>52</v>
      </c>
      <c r="M3020">
        <v>92.052000000000007</v>
      </c>
      <c r="N3020">
        <v>93.857743999999997</v>
      </c>
      <c r="O3020">
        <v>31.792000000000002</v>
      </c>
      <c r="P3020">
        <v>41.738</v>
      </c>
      <c r="Q3020">
        <v>18.088000000000001</v>
      </c>
      <c r="R3020" t="s">
        <v>1108</v>
      </c>
      <c r="S3020" t="s">
        <v>83</v>
      </c>
      <c r="T3020">
        <f>IF(TRIM(Table1[[#This Row],[PitStopLaps]])="",0,
LEN(Table1[[#This Row],[PitStopLaps]])-LEN(SUBSTITUTE(Table1[[#This Row],[PitStopLaps]],",",""))+1)</f>
        <v>2</v>
      </c>
      <c r="U3020">
        <f>Table1[[#This Row],[StartPosition]]-Table1[[#This Row],[FinishPosition]]</f>
        <v>0</v>
      </c>
    </row>
    <row r="3021" spans="1:21" x14ac:dyDescent="0.3">
      <c r="A3021">
        <v>2025</v>
      </c>
      <c r="B3021">
        <v>4</v>
      </c>
      <c r="C3021" t="s">
        <v>82</v>
      </c>
      <c r="D3021" t="s">
        <v>1000</v>
      </c>
      <c r="E3021" t="s">
        <v>1001</v>
      </c>
      <c r="F3021" t="s">
        <v>37</v>
      </c>
      <c r="G3021">
        <v>1</v>
      </c>
      <c r="H3021">
        <v>1</v>
      </c>
      <c r="I3021">
        <v>25</v>
      </c>
      <c r="J3021" t="s">
        <v>23</v>
      </c>
      <c r="K3021" t="s">
        <v>24</v>
      </c>
      <c r="L3021">
        <v>57</v>
      </c>
      <c r="M3021">
        <v>95.14</v>
      </c>
      <c r="N3021">
        <v>97.180419999999998</v>
      </c>
      <c r="O3021">
        <v>30.547999999999998</v>
      </c>
      <c r="P3021">
        <v>41.215000000000003</v>
      </c>
      <c r="Q3021">
        <v>23.376999999999999</v>
      </c>
      <c r="R3021" t="s">
        <v>806</v>
      </c>
      <c r="S3021" t="s">
        <v>83</v>
      </c>
      <c r="T3021">
        <f>IF(TRIM(Table1[[#This Row],[PitStopLaps]])="",0,
LEN(Table1[[#This Row],[PitStopLaps]])-LEN(SUBSTITUTE(Table1[[#This Row],[PitStopLaps]],",",""))+1)</f>
        <v>2</v>
      </c>
      <c r="U3021">
        <f>Table1[[#This Row],[StartPosition]]-Table1[[#This Row],[FinishPosition]]</f>
        <v>0</v>
      </c>
    </row>
    <row r="3022" spans="1:21" x14ac:dyDescent="0.3">
      <c r="A3022">
        <v>2025</v>
      </c>
      <c r="B3022">
        <v>4</v>
      </c>
      <c r="C3022" t="s">
        <v>82</v>
      </c>
      <c r="D3022" t="s">
        <v>252</v>
      </c>
      <c r="E3022" t="s">
        <v>253</v>
      </c>
      <c r="F3022" t="s">
        <v>28</v>
      </c>
      <c r="G3022">
        <v>3</v>
      </c>
      <c r="H3022">
        <v>2</v>
      </c>
      <c r="I3022">
        <v>18</v>
      </c>
      <c r="J3022" t="s">
        <v>23</v>
      </c>
      <c r="K3022" t="s">
        <v>24</v>
      </c>
      <c r="L3022">
        <v>57</v>
      </c>
      <c r="M3022">
        <v>95.518000000000001</v>
      </c>
      <c r="N3022">
        <v>98.081132999999994</v>
      </c>
      <c r="O3022">
        <v>30.751999999999999</v>
      </c>
      <c r="P3022">
        <v>41.505000000000003</v>
      </c>
      <c r="Q3022">
        <v>23.260999999999999</v>
      </c>
      <c r="R3022" t="s">
        <v>161</v>
      </c>
      <c r="S3022" t="s">
        <v>83</v>
      </c>
      <c r="T3022">
        <f>IF(TRIM(Table1[[#This Row],[PitStopLaps]])="",0,
LEN(Table1[[#This Row],[PitStopLaps]])-LEN(SUBSTITUTE(Table1[[#This Row],[PitStopLaps]],",",""))+1)</f>
        <v>2</v>
      </c>
      <c r="U3022">
        <f>Table1[[#This Row],[StartPosition]]-Table1[[#This Row],[FinishPosition]]</f>
        <v>1</v>
      </c>
    </row>
    <row r="3023" spans="1:21" x14ac:dyDescent="0.3">
      <c r="A3023">
        <v>2025</v>
      </c>
      <c r="B3023">
        <v>4</v>
      </c>
      <c r="C3023" t="s">
        <v>82</v>
      </c>
      <c r="D3023" t="s">
        <v>246</v>
      </c>
      <c r="E3023" t="s">
        <v>247</v>
      </c>
      <c r="F3023" t="s">
        <v>37</v>
      </c>
      <c r="G3023">
        <v>6</v>
      </c>
      <c r="H3023">
        <v>3</v>
      </c>
      <c r="I3023">
        <v>15</v>
      </c>
      <c r="J3023" t="s">
        <v>23</v>
      </c>
      <c r="K3023" t="s">
        <v>24</v>
      </c>
      <c r="L3023">
        <v>57</v>
      </c>
      <c r="M3023">
        <v>95.727999999999994</v>
      </c>
      <c r="N3023">
        <v>97.568280000000001</v>
      </c>
      <c r="O3023">
        <v>30.584</v>
      </c>
      <c r="P3023">
        <v>41.466999999999999</v>
      </c>
      <c r="Q3023">
        <v>23.448</v>
      </c>
      <c r="R3023" t="s">
        <v>553</v>
      </c>
      <c r="S3023" t="s">
        <v>83</v>
      </c>
      <c r="T3023">
        <f>IF(TRIM(Table1[[#This Row],[PitStopLaps]])="",0,
LEN(Table1[[#This Row],[PitStopLaps]])-LEN(SUBSTITUTE(Table1[[#This Row],[PitStopLaps]],",",""))+1)</f>
        <v>2</v>
      </c>
      <c r="U3023">
        <f>Table1[[#This Row],[StartPosition]]-Table1[[#This Row],[FinishPosition]]</f>
        <v>3</v>
      </c>
    </row>
    <row r="3024" spans="1:21" x14ac:dyDescent="0.3">
      <c r="A3024">
        <v>2025</v>
      </c>
      <c r="B3024">
        <v>4</v>
      </c>
      <c r="C3024" t="s">
        <v>82</v>
      </c>
      <c r="D3024" t="s">
        <v>54</v>
      </c>
      <c r="E3024" t="s">
        <v>55</v>
      </c>
      <c r="F3024" t="s">
        <v>22</v>
      </c>
      <c r="G3024">
        <v>2</v>
      </c>
      <c r="H3024">
        <v>4</v>
      </c>
      <c r="I3024">
        <v>12</v>
      </c>
      <c r="J3024" t="s">
        <v>34</v>
      </c>
      <c r="K3024" t="s">
        <v>24</v>
      </c>
      <c r="L3024">
        <v>57</v>
      </c>
      <c r="M3024">
        <v>96.132000000000005</v>
      </c>
      <c r="N3024">
        <v>97.678600000000003</v>
      </c>
      <c r="O3024">
        <v>30.795000000000002</v>
      </c>
      <c r="P3024">
        <v>41.387999999999998</v>
      </c>
      <c r="Q3024">
        <v>23.568999999999999</v>
      </c>
      <c r="R3024" t="s">
        <v>165</v>
      </c>
      <c r="S3024" t="s">
        <v>83</v>
      </c>
      <c r="T3024">
        <f>IF(TRIM(Table1[[#This Row],[PitStopLaps]])="",0,
LEN(Table1[[#This Row],[PitStopLaps]])-LEN(SUBSTITUTE(Table1[[#This Row],[PitStopLaps]],",",""))+1)</f>
        <v>2</v>
      </c>
      <c r="U3024">
        <f>Table1[[#This Row],[StartPosition]]-Table1[[#This Row],[FinishPosition]]</f>
        <v>-2</v>
      </c>
    </row>
    <row r="3025" spans="1:21" x14ac:dyDescent="0.3">
      <c r="A3025">
        <v>2025</v>
      </c>
      <c r="B3025">
        <v>4</v>
      </c>
      <c r="C3025" t="s">
        <v>82</v>
      </c>
      <c r="D3025" t="s">
        <v>26</v>
      </c>
      <c r="E3025" t="s">
        <v>27</v>
      </c>
      <c r="F3025" t="s">
        <v>22</v>
      </c>
      <c r="G3025">
        <v>9</v>
      </c>
      <c r="H3025">
        <v>5</v>
      </c>
      <c r="I3025">
        <v>10</v>
      </c>
      <c r="J3025" t="s">
        <v>34</v>
      </c>
      <c r="K3025" t="s">
        <v>24</v>
      </c>
      <c r="L3025">
        <v>57</v>
      </c>
      <c r="M3025">
        <v>96.234999999999999</v>
      </c>
      <c r="N3025">
        <v>97.990340000000003</v>
      </c>
      <c r="O3025">
        <v>30.457000000000001</v>
      </c>
      <c r="P3025">
        <v>41.457999999999998</v>
      </c>
      <c r="Q3025">
        <v>23.675999999999998</v>
      </c>
      <c r="R3025" t="s">
        <v>165</v>
      </c>
      <c r="S3025" t="s">
        <v>83</v>
      </c>
      <c r="T3025">
        <f>IF(TRIM(Table1[[#This Row],[PitStopLaps]])="",0,
LEN(Table1[[#This Row],[PitStopLaps]])-LEN(SUBSTITUTE(Table1[[#This Row],[PitStopLaps]],",",""))+1)</f>
        <v>2</v>
      </c>
      <c r="U3025">
        <f>Table1[[#This Row],[StartPosition]]-Table1[[#This Row],[FinishPosition]]</f>
        <v>4</v>
      </c>
    </row>
    <row r="3026" spans="1:21" x14ac:dyDescent="0.3">
      <c r="A3026">
        <v>2025</v>
      </c>
      <c r="B3026">
        <v>4</v>
      </c>
      <c r="C3026" t="s">
        <v>82</v>
      </c>
      <c r="D3026" t="s">
        <v>38</v>
      </c>
      <c r="E3026" t="s">
        <v>39</v>
      </c>
      <c r="F3026" t="s">
        <v>33</v>
      </c>
      <c r="G3026">
        <v>7</v>
      </c>
      <c r="H3026">
        <v>6</v>
      </c>
      <c r="I3026">
        <v>8</v>
      </c>
      <c r="J3026" t="s">
        <v>34</v>
      </c>
      <c r="K3026" t="s">
        <v>24</v>
      </c>
      <c r="L3026">
        <v>57</v>
      </c>
      <c r="M3026">
        <v>96.167000000000002</v>
      </c>
      <c r="N3026">
        <v>98.083375000000004</v>
      </c>
      <c r="O3026">
        <v>30.521000000000001</v>
      </c>
      <c r="P3026">
        <v>41.674999999999997</v>
      </c>
      <c r="Q3026">
        <v>23.747</v>
      </c>
      <c r="R3026" t="s">
        <v>921</v>
      </c>
      <c r="S3026" t="s">
        <v>83</v>
      </c>
      <c r="T3026">
        <f>IF(TRIM(Table1[[#This Row],[PitStopLaps]])="",0,
LEN(Table1[[#This Row],[PitStopLaps]])-LEN(SUBSTITUTE(Table1[[#This Row],[PitStopLaps]],",",""))+1)</f>
        <v>2</v>
      </c>
      <c r="U3026">
        <f>Table1[[#This Row],[StartPosition]]-Table1[[#This Row],[FinishPosition]]</f>
        <v>1</v>
      </c>
    </row>
    <row r="3027" spans="1:21" x14ac:dyDescent="0.3">
      <c r="A3027">
        <v>2025</v>
      </c>
      <c r="B3027">
        <v>4</v>
      </c>
      <c r="C3027" t="s">
        <v>82</v>
      </c>
      <c r="D3027" t="s">
        <v>73</v>
      </c>
      <c r="E3027" t="s">
        <v>74</v>
      </c>
      <c r="F3027" t="s">
        <v>607</v>
      </c>
      <c r="G3027">
        <v>4</v>
      </c>
      <c r="H3027">
        <v>7</v>
      </c>
      <c r="I3027">
        <v>6</v>
      </c>
      <c r="J3027" t="s">
        <v>34</v>
      </c>
      <c r="K3027" t="s">
        <v>24</v>
      </c>
      <c r="L3027">
        <v>57</v>
      </c>
      <c r="M3027">
        <v>96.531000000000006</v>
      </c>
      <c r="N3027">
        <v>98.106875000000002</v>
      </c>
      <c r="O3027">
        <v>30.718</v>
      </c>
      <c r="P3027">
        <v>41.744999999999997</v>
      </c>
      <c r="Q3027">
        <v>23.652000000000001</v>
      </c>
      <c r="R3027" t="s">
        <v>88</v>
      </c>
      <c r="S3027" t="s">
        <v>83</v>
      </c>
      <c r="T3027">
        <f>IF(TRIM(Table1[[#This Row],[PitStopLaps]])="",0,
LEN(Table1[[#This Row],[PitStopLaps]])-LEN(SUBSTITUTE(Table1[[#This Row],[PitStopLaps]],",",""))+1)</f>
        <v>2</v>
      </c>
      <c r="U3027">
        <f>Table1[[#This Row],[StartPosition]]-Table1[[#This Row],[FinishPosition]]</f>
        <v>-3</v>
      </c>
    </row>
    <row r="3028" spans="1:21" x14ac:dyDescent="0.3">
      <c r="A3028">
        <v>2025</v>
      </c>
      <c r="B3028">
        <v>4</v>
      </c>
      <c r="C3028" t="s">
        <v>82</v>
      </c>
      <c r="D3028" t="s">
        <v>52</v>
      </c>
      <c r="E3028" t="s">
        <v>53</v>
      </c>
      <c r="F3028" t="s">
        <v>69</v>
      </c>
      <c r="G3028">
        <v>14</v>
      </c>
      <c r="H3028">
        <v>8</v>
      </c>
      <c r="I3028">
        <v>4</v>
      </c>
      <c r="J3028" t="s">
        <v>34</v>
      </c>
      <c r="K3028" t="s">
        <v>24</v>
      </c>
      <c r="L3028">
        <v>57</v>
      </c>
      <c r="M3028">
        <v>97.097999999999999</v>
      </c>
      <c r="N3028">
        <v>98.298186999999999</v>
      </c>
      <c r="O3028">
        <v>30.922999999999998</v>
      </c>
      <c r="P3028">
        <v>42.167999999999999</v>
      </c>
      <c r="Q3028">
        <v>23.853999999999999</v>
      </c>
      <c r="R3028" t="s">
        <v>1341</v>
      </c>
      <c r="S3028" t="s">
        <v>83</v>
      </c>
      <c r="T3028">
        <f>IF(TRIM(Table1[[#This Row],[PitStopLaps]])="",0,
LEN(Table1[[#This Row],[PitStopLaps]])-LEN(SUBSTITUTE(Table1[[#This Row],[PitStopLaps]],",",""))+1)</f>
        <v>2</v>
      </c>
      <c r="U3028">
        <f>Table1[[#This Row],[StartPosition]]-Table1[[#This Row],[FinishPosition]]</f>
        <v>6</v>
      </c>
    </row>
    <row r="3029" spans="1:21" x14ac:dyDescent="0.3">
      <c r="A3029">
        <v>2025</v>
      </c>
      <c r="B3029">
        <v>4</v>
      </c>
      <c r="C3029" t="s">
        <v>82</v>
      </c>
      <c r="D3029" t="s">
        <v>601</v>
      </c>
      <c r="E3029" t="s">
        <v>602</v>
      </c>
      <c r="F3029" t="s">
        <v>33</v>
      </c>
      <c r="G3029">
        <v>10</v>
      </c>
      <c r="H3029">
        <v>9</v>
      </c>
      <c r="I3029">
        <v>2</v>
      </c>
      <c r="J3029" t="s">
        <v>34</v>
      </c>
      <c r="K3029" t="s">
        <v>24</v>
      </c>
      <c r="L3029">
        <v>57</v>
      </c>
      <c r="M3029">
        <v>97.224999999999994</v>
      </c>
      <c r="N3029">
        <v>98.596919999999997</v>
      </c>
      <c r="O3029">
        <v>30.625</v>
      </c>
      <c r="P3029">
        <v>42.238999999999997</v>
      </c>
      <c r="Q3029">
        <v>23.943999999999999</v>
      </c>
      <c r="R3029" t="s">
        <v>263</v>
      </c>
      <c r="S3029" t="s">
        <v>83</v>
      </c>
      <c r="T3029">
        <f>IF(TRIM(Table1[[#This Row],[PitStopLaps]])="",0,
LEN(Table1[[#This Row],[PitStopLaps]])-LEN(SUBSTITUTE(Table1[[#This Row],[PitStopLaps]],",",""))+1)</f>
        <v>2</v>
      </c>
      <c r="U3029">
        <f>Table1[[#This Row],[StartPosition]]-Table1[[#This Row],[FinishPosition]]</f>
        <v>1</v>
      </c>
    </row>
    <row r="3030" spans="1:21" x14ac:dyDescent="0.3">
      <c r="A3030">
        <v>2025</v>
      </c>
      <c r="B3030">
        <v>4</v>
      </c>
      <c r="C3030" t="s">
        <v>82</v>
      </c>
      <c r="D3030" t="s">
        <v>1180</v>
      </c>
      <c r="E3030" t="s">
        <v>1181</v>
      </c>
      <c r="F3030" t="s">
        <v>69</v>
      </c>
      <c r="G3030">
        <v>20</v>
      </c>
      <c r="H3030">
        <v>10</v>
      </c>
      <c r="I3030">
        <v>1</v>
      </c>
      <c r="J3030" t="s">
        <v>34</v>
      </c>
      <c r="K3030" t="s">
        <v>24</v>
      </c>
      <c r="L3030">
        <v>57</v>
      </c>
      <c r="M3030">
        <v>97.302999999999997</v>
      </c>
      <c r="N3030">
        <v>98.695319999999995</v>
      </c>
      <c r="O3030">
        <v>30.638999999999999</v>
      </c>
      <c r="P3030">
        <v>42.497</v>
      </c>
      <c r="Q3030">
        <v>23.9</v>
      </c>
      <c r="R3030" t="s">
        <v>806</v>
      </c>
      <c r="S3030" t="s">
        <v>83</v>
      </c>
      <c r="T3030">
        <f>IF(TRIM(Table1[[#This Row],[PitStopLaps]])="",0,
LEN(Table1[[#This Row],[PitStopLaps]])-LEN(SUBSTITUTE(Table1[[#This Row],[PitStopLaps]],",",""))+1)</f>
        <v>2</v>
      </c>
      <c r="U3030">
        <f>Table1[[#This Row],[StartPosition]]-Table1[[#This Row],[FinishPosition]]</f>
        <v>10</v>
      </c>
    </row>
    <row r="3031" spans="1:21" x14ac:dyDescent="0.3">
      <c r="A3031">
        <v>2025</v>
      </c>
      <c r="B3031">
        <v>4</v>
      </c>
      <c r="C3031" t="s">
        <v>82</v>
      </c>
      <c r="D3031" t="s">
        <v>1339</v>
      </c>
      <c r="E3031" t="s">
        <v>1325</v>
      </c>
      <c r="F3031" t="s">
        <v>28</v>
      </c>
      <c r="G3031">
        <v>5</v>
      </c>
      <c r="H3031">
        <v>11</v>
      </c>
      <c r="I3031">
        <v>0</v>
      </c>
      <c r="J3031" t="s">
        <v>34</v>
      </c>
      <c r="K3031" t="s">
        <v>24</v>
      </c>
      <c r="L3031">
        <v>57</v>
      </c>
      <c r="M3031">
        <v>96.69</v>
      </c>
      <c r="N3031">
        <v>98.362645000000001</v>
      </c>
      <c r="O3031">
        <v>30.526</v>
      </c>
      <c r="P3031">
        <v>42.012</v>
      </c>
      <c r="Q3031">
        <v>23.655000000000001</v>
      </c>
      <c r="R3031" t="s">
        <v>1342</v>
      </c>
      <c r="S3031" t="s">
        <v>83</v>
      </c>
      <c r="T3031">
        <f>IF(TRIM(Table1[[#This Row],[PitStopLaps]])="",0,
LEN(Table1[[#This Row],[PitStopLaps]])-LEN(SUBSTITUTE(Table1[[#This Row],[PitStopLaps]],",",""))+1)</f>
        <v>3</v>
      </c>
      <c r="U3031">
        <f>Table1[[#This Row],[StartPosition]]-Table1[[#This Row],[FinishPosition]]</f>
        <v>-6</v>
      </c>
    </row>
    <row r="3032" spans="1:21" x14ac:dyDescent="0.3">
      <c r="A3032">
        <v>2025</v>
      </c>
      <c r="B3032">
        <v>4</v>
      </c>
      <c r="C3032" t="s">
        <v>82</v>
      </c>
      <c r="D3032" t="s">
        <v>248</v>
      </c>
      <c r="E3032" t="s">
        <v>249</v>
      </c>
      <c r="F3032" t="s">
        <v>60</v>
      </c>
      <c r="G3032">
        <v>15</v>
      </c>
      <c r="H3032">
        <v>12</v>
      </c>
      <c r="I3032">
        <v>0</v>
      </c>
      <c r="J3032" t="s">
        <v>34</v>
      </c>
      <c r="K3032" t="s">
        <v>24</v>
      </c>
      <c r="L3032">
        <v>57</v>
      </c>
      <c r="M3032">
        <v>97.141000000000005</v>
      </c>
      <c r="N3032">
        <v>98.65652</v>
      </c>
      <c r="O3032">
        <v>30.593</v>
      </c>
      <c r="P3032">
        <v>42.371000000000002</v>
      </c>
      <c r="Q3032">
        <v>23.757999999999999</v>
      </c>
      <c r="R3032" t="s">
        <v>1343</v>
      </c>
      <c r="S3032" t="s">
        <v>83</v>
      </c>
      <c r="T3032">
        <f>IF(TRIM(Table1[[#This Row],[PitStopLaps]])="",0,
LEN(Table1[[#This Row],[PitStopLaps]])-LEN(SUBSTITUTE(Table1[[#This Row],[PitStopLaps]],",",""))+1)</f>
        <v>2</v>
      </c>
      <c r="U3032">
        <f>Table1[[#This Row],[StartPosition]]-Table1[[#This Row],[FinishPosition]]</f>
        <v>3</v>
      </c>
    </row>
    <row r="3033" spans="1:21" x14ac:dyDescent="0.3">
      <c r="A3033">
        <v>2025</v>
      </c>
      <c r="B3033">
        <v>4</v>
      </c>
      <c r="C3033" t="s">
        <v>82</v>
      </c>
      <c r="D3033" t="s">
        <v>1337</v>
      </c>
      <c r="E3033" t="s">
        <v>1338</v>
      </c>
      <c r="F3033" t="s">
        <v>1330</v>
      </c>
      <c r="G3033">
        <v>12</v>
      </c>
      <c r="H3033">
        <v>13</v>
      </c>
      <c r="I3033">
        <v>0</v>
      </c>
      <c r="J3033" t="s">
        <v>34</v>
      </c>
      <c r="K3033" t="s">
        <v>24</v>
      </c>
      <c r="L3033">
        <v>57</v>
      </c>
      <c r="M3033">
        <v>96.951999999999998</v>
      </c>
      <c r="N3033">
        <v>98.801665999999997</v>
      </c>
      <c r="O3033">
        <v>30.666</v>
      </c>
      <c r="P3033">
        <v>42.384999999999998</v>
      </c>
      <c r="Q3033">
        <v>23.742000000000001</v>
      </c>
      <c r="R3033" t="s">
        <v>1344</v>
      </c>
      <c r="S3033" t="s">
        <v>83</v>
      </c>
      <c r="T3033">
        <f>IF(TRIM(Table1[[#This Row],[PitStopLaps]])="",0,
LEN(Table1[[#This Row],[PitStopLaps]])-LEN(SUBSTITUTE(Table1[[#This Row],[PitStopLaps]],",",""))+1)</f>
        <v>2</v>
      </c>
      <c r="U3033">
        <f>Table1[[#This Row],[StartPosition]]-Table1[[#This Row],[FinishPosition]]</f>
        <v>-1</v>
      </c>
    </row>
    <row r="3034" spans="1:21" x14ac:dyDescent="0.3">
      <c r="A3034">
        <v>2025</v>
      </c>
      <c r="B3034">
        <v>4</v>
      </c>
      <c r="C3034" t="s">
        <v>82</v>
      </c>
      <c r="D3034" t="s">
        <v>1318</v>
      </c>
      <c r="E3034" t="s">
        <v>1319</v>
      </c>
      <c r="F3034" t="s">
        <v>607</v>
      </c>
      <c r="G3034">
        <v>11</v>
      </c>
      <c r="H3034">
        <v>14</v>
      </c>
      <c r="I3034">
        <v>0</v>
      </c>
      <c r="J3034" t="s">
        <v>34</v>
      </c>
      <c r="K3034" t="s">
        <v>24</v>
      </c>
      <c r="L3034">
        <v>57</v>
      </c>
      <c r="M3034">
        <v>96.682000000000002</v>
      </c>
      <c r="N3034">
        <v>98.605290999999994</v>
      </c>
      <c r="O3034">
        <v>30.893999999999998</v>
      </c>
      <c r="P3034">
        <v>41.838999999999999</v>
      </c>
      <c r="Q3034">
        <v>23.814</v>
      </c>
      <c r="R3034" t="s">
        <v>649</v>
      </c>
      <c r="S3034" t="s">
        <v>83</v>
      </c>
      <c r="T3034">
        <f>IF(TRIM(Table1[[#This Row],[PitStopLaps]])="",0,
LEN(Table1[[#This Row],[PitStopLaps]])-LEN(SUBSTITUTE(Table1[[#This Row],[PitStopLaps]],",",""))+1)</f>
        <v>2</v>
      </c>
      <c r="U3034">
        <f>Table1[[#This Row],[StartPosition]]-Table1[[#This Row],[FinishPosition]]</f>
        <v>-3</v>
      </c>
    </row>
    <row r="3035" spans="1:21" x14ac:dyDescent="0.3">
      <c r="A3035">
        <v>2025</v>
      </c>
      <c r="B3035">
        <v>4</v>
      </c>
      <c r="C3035" t="s">
        <v>82</v>
      </c>
      <c r="D3035" t="s">
        <v>35</v>
      </c>
      <c r="E3035" t="s">
        <v>36</v>
      </c>
      <c r="F3035" t="s">
        <v>603</v>
      </c>
      <c r="G3035">
        <v>13</v>
      </c>
      <c r="H3035">
        <v>15</v>
      </c>
      <c r="I3035">
        <v>0</v>
      </c>
      <c r="J3035" t="s">
        <v>34</v>
      </c>
      <c r="K3035" t="s">
        <v>24</v>
      </c>
      <c r="L3035">
        <v>57</v>
      </c>
      <c r="M3035">
        <v>97.906000000000006</v>
      </c>
      <c r="N3035">
        <v>99.040679999999995</v>
      </c>
      <c r="O3035">
        <v>30.905000000000001</v>
      </c>
      <c r="P3035">
        <v>42.478999999999999</v>
      </c>
      <c r="Q3035">
        <v>24.106999999999999</v>
      </c>
      <c r="R3035" t="s">
        <v>1343</v>
      </c>
      <c r="S3035" t="s">
        <v>83</v>
      </c>
      <c r="T3035">
        <f>IF(TRIM(Table1[[#This Row],[PitStopLaps]])="",0,
LEN(Table1[[#This Row],[PitStopLaps]])-LEN(SUBSTITUTE(Table1[[#This Row],[PitStopLaps]],",",""))+1)</f>
        <v>2</v>
      </c>
      <c r="U3035">
        <f>Table1[[#This Row],[StartPosition]]-Table1[[#This Row],[FinishPosition]]</f>
        <v>-2</v>
      </c>
    </row>
    <row r="3036" spans="1:21" x14ac:dyDescent="0.3">
      <c r="A3036">
        <v>2025</v>
      </c>
      <c r="B3036">
        <v>4</v>
      </c>
      <c r="C3036" t="s">
        <v>82</v>
      </c>
      <c r="D3036" t="s">
        <v>1092</v>
      </c>
      <c r="E3036" t="s">
        <v>1093</v>
      </c>
      <c r="F3036" t="s">
        <v>1330</v>
      </c>
      <c r="G3036">
        <v>17</v>
      </c>
      <c r="H3036">
        <v>16</v>
      </c>
      <c r="I3036">
        <v>0</v>
      </c>
      <c r="J3036" t="s">
        <v>34</v>
      </c>
      <c r="K3036" t="s">
        <v>24</v>
      </c>
      <c r="L3036">
        <v>57</v>
      </c>
      <c r="M3036">
        <v>97.38</v>
      </c>
      <c r="N3036">
        <v>98.87236</v>
      </c>
      <c r="O3036">
        <v>30.814</v>
      </c>
      <c r="P3036">
        <v>42.351999999999997</v>
      </c>
      <c r="Q3036">
        <v>23.960999999999999</v>
      </c>
      <c r="R3036" t="s">
        <v>806</v>
      </c>
      <c r="S3036" t="s">
        <v>83</v>
      </c>
      <c r="T3036">
        <f>IF(TRIM(Table1[[#This Row],[PitStopLaps]])="",0,
LEN(Table1[[#This Row],[PitStopLaps]])-LEN(SUBSTITUTE(Table1[[#This Row],[PitStopLaps]],",",""))+1)</f>
        <v>2</v>
      </c>
      <c r="U3036">
        <f>Table1[[#This Row],[StartPosition]]-Table1[[#This Row],[FinishPosition]]</f>
        <v>1</v>
      </c>
    </row>
    <row r="3037" spans="1:21" x14ac:dyDescent="0.3">
      <c r="A3037">
        <v>2025</v>
      </c>
      <c r="B3037">
        <v>4</v>
      </c>
      <c r="C3037" t="s">
        <v>82</v>
      </c>
      <c r="D3037" t="s">
        <v>58</v>
      </c>
      <c r="E3037" t="s">
        <v>59</v>
      </c>
      <c r="F3037" t="s">
        <v>603</v>
      </c>
      <c r="G3037">
        <v>19</v>
      </c>
      <c r="H3037">
        <v>17</v>
      </c>
      <c r="I3037">
        <v>0</v>
      </c>
      <c r="J3037" t="s">
        <v>34</v>
      </c>
      <c r="K3037" t="s">
        <v>24</v>
      </c>
      <c r="L3037">
        <v>57</v>
      </c>
      <c r="M3037">
        <v>98.063999999999993</v>
      </c>
      <c r="N3037">
        <v>99.241600000000005</v>
      </c>
      <c r="O3037">
        <v>30.85</v>
      </c>
      <c r="P3037">
        <v>42.787999999999997</v>
      </c>
      <c r="Q3037">
        <v>24.152999999999999</v>
      </c>
      <c r="R3037" t="s">
        <v>105</v>
      </c>
      <c r="S3037" t="s">
        <v>83</v>
      </c>
      <c r="T3037">
        <f>IF(TRIM(Table1[[#This Row],[PitStopLaps]])="",0,
LEN(Table1[[#This Row],[PitStopLaps]])-LEN(SUBSTITUTE(Table1[[#This Row],[PitStopLaps]],",",""))+1)</f>
        <v>2</v>
      </c>
      <c r="U3037">
        <f>Table1[[#This Row],[StartPosition]]-Table1[[#This Row],[FinishPosition]]</f>
        <v>2</v>
      </c>
    </row>
    <row r="3038" spans="1:21" x14ac:dyDescent="0.3">
      <c r="A3038">
        <v>2025</v>
      </c>
      <c r="B3038">
        <v>4</v>
      </c>
      <c r="C3038" t="s">
        <v>82</v>
      </c>
      <c r="D3038" t="s">
        <v>1334</v>
      </c>
      <c r="E3038" t="s">
        <v>1335</v>
      </c>
      <c r="F3038" t="s">
        <v>1175</v>
      </c>
      <c r="G3038">
        <v>18</v>
      </c>
      <c r="H3038">
        <v>18</v>
      </c>
      <c r="I3038">
        <v>0</v>
      </c>
      <c r="J3038" t="s">
        <v>34</v>
      </c>
      <c r="K3038" t="s">
        <v>24</v>
      </c>
      <c r="L3038">
        <v>57</v>
      </c>
      <c r="M3038">
        <v>98.006</v>
      </c>
      <c r="N3038">
        <v>99.341399999999993</v>
      </c>
      <c r="O3038">
        <v>30.946999999999999</v>
      </c>
      <c r="P3038">
        <v>42.694000000000003</v>
      </c>
      <c r="Q3038">
        <v>24.225000000000001</v>
      </c>
      <c r="R3038" t="s">
        <v>161</v>
      </c>
      <c r="S3038" t="s">
        <v>83</v>
      </c>
      <c r="T3038">
        <f>IF(TRIM(Table1[[#This Row],[PitStopLaps]])="",0,
LEN(Table1[[#This Row],[PitStopLaps]])-LEN(SUBSTITUTE(Table1[[#This Row],[PitStopLaps]],",",""))+1)</f>
        <v>2</v>
      </c>
      <c r="U3038">
        <f>Table1[[#This Row],[StartPosition]]-Table1[[#This Row],[FinishPosition]]</f>
        <v>0</v>
      </c>
    </row>
    <row r="3039" spans="1:21" x14ac:dyDescent="0.3">
      <c r="A3039">
        <v>2025</v>
      </c>
      <c r="B3039">
        <v>4</v>
      </c>
      <c r="C3039" t="s">
        <v>82</v>
      </c>
      <c r="D3039" t="s">
        <v>47</v>
      </c>
      <c r="E3039" t="s">
        <v>48</v>
      </c>
      <c r="F3039" t="s">
        <v>60</v>
      </c>
      <c r="G3039">
        <v>8</v>
      </c>
      <c r="H3039">
        <v>19</v>
      </c>
      <c r="I3039">
        <v>0</v>
      </c>
      <c r="J3039" t="s">
        <v>34</v>
      </c>
      <c r="K3039" t="s">
        <v>179</v>
      </c>
      <c r="L3039">
        <v>45</v>
      </c>
      <c r="M3039">
        <v>96.953999999999994</v>
      </c>
      <c r="N3039">
        <v>99.145860999999996</v>
      </c>
      <c r="O3039">
        <v>30.548999999999999</v>
      </c>
      <c r="P3039">
        <v>42.491</v>
      </c>
      <c r="Q3039">
        <v>23.914000000000001</v>
      </c>
      <c r="R3039" t="s">
        <v>1345</v>
      </c>
      <c r="S3039" t="s">
        <v>83</v>
      </c>
      <c r="T3039">
        <f>IF(TRIM(Table1[[#This Row],[PitStopLaps]])="",0,
LEN(Table1[[#This Row],[PitStopLaps]])-LEN(SUBSTITUTE(Table1[[#This Row],[PitStopLaps]],",",""))+1)</f>
        <v>4</v>
      </c>
      <c r="U3039">
        <f>Table1[[#This Row],[StartPosition]]-Table1[[#This Row],[FinishPosition]]</f>
        <v>-11</v>
      </c>
    </row>
    <row r="3040" spans="1:21" x14ac:dyDescent="0.3">
      <c r="A3040">
        <v>2025</v>
      </c>
      <c r="B3040">
        <v>4</v>
      </c>
      <c r="C3040" t="s">
        <v>82</v>
      </c>
      <c r="D3040" t="s">
        <v>40</v>
      </c>
      <c r="E3040" t="s">
        <v>41</v>
      </c>
      <c r="F3040" t="s">
        <v>1175</v>
      </c>
      <c r="G3040">
        <v>16</v>
      </c>
      <c r="H3040">
        <v>20</v>
      </c>
      <c r="I3040">
        <v>0</v>
      </c>
      <c r="J3040" t="s">
        <v>34</v>
      </c>
      <c r="K3040" t="s">
        <v>220</v>
      </c>
      <c r="L3040">
        <v>57</v>
      </c>
      <c r="M3040">
        <v>97.337999999999994</v>
      </c>
      <c r="N3040">
        <v>98.82</v>
      </c>
      <c r="O3040">
        <v>30.852</v>
      </c>
      <c r="P3040">
        <v>42.399000000000001</v>
      </c>
      <c r="Q3040">
        <v>23.824000000000002</v>
      </c>
      <c r="R3040" t="s">
        <v>1346</v>
      </c>
      <c r="S3040" t="s">
        <v>83</v>
      </c>
      <c r="T3040">
        <f>IF(TRIM(Table1[[#This Row],[PitStopLaps]])="",0,
LEN(Table1[[#This Row],[PitStopLaps]])-LEN(SUBSTITUTE(Table1[[#This Row],[PitStopLaps]],",",""))+1)</f>
        <v>2</v>
      </c>
      <c r="U3040">
        <f>Table1[[#This Row],[StartPosition]]-Table1[[#This Row],[FinishPosition]]</f>
        <v>-4</v>
      </c>
    </row>
    <row r="3041" spans="1:21" x14ac:dyDescent="0.3">
      <c r="A3041">
        <v>2025</v>
      </c>
      <c r="B3041">
        <v>5</v>
      </c>
      <c r="C3041" t="s">
        <v>766</v>
      </c>
      <c r="D3041" t="s">
        <v>1000</v>
      </c>
      <c r="E3041" t="s">
        <v>1001</v>
      </c>
      <c r="F3041" t="s">
        <v>37</v>
      </c>
      <c r="G3041">
        <v>2</v>
      </c>
      <c r="H3041">
        <v>1</v>
      </c>
      <c r="I3041">
        <v>25</v>
      </c>
      <c r="J3041" t="s">
        <v>23</v>
      </c>
      <c r="K3041" t="s">
        <v>24</v>
      </c>
      <c r="L3041">
        <v>50</v>
      </c>
      <c r="M3041">
        <v>92.227999999999994</v>
      </c>
      <c r="N3041">
        <v>93.232111000000003</v>
      </c>
      <c r="O3041">
        <v>33.933999999999997</v>
      </c>
      <c r="P3041">
        <v>28.888000000000002</v>
      </c>
      <c r="Q3041">
        <v>29.353000000000002</v>
      </c>
      <c r="R3041">
        <v>19</v>
      </c>
      <c r="S3041" t="s">
        <v>83</v>
      </c>
      <c r="T3041">
        <f>IF(TRIM(Table1[[#This Row],[PitStopLaps]])="",0,
LEN(Table1[[#This Row],[PitStopLaps]])-LEN(SUBSTITUTE(Table1[[#This Row],[PitStopLaps]],",",""))+1)</f>
        <v>1</v>
      </c>
      <c r="U3041">
        <f>Table1[[#This Row],[StartPosition]]-Table1[[#This Row],[FinishPosition]]</f>
        <v>1</v>
      </c>
    </row>
    <row r="3042" spans="1:21" x14ac:dyDescent="0.3">
      <c r="A3042">
        <v>2025</v>
      </c>
      <c r="B3042">
        <v>5</v>
      </c>
      <c r="C3042" t="s">
        <v>766</v>
      </c>
      <c r="D3042" t="s">
        <v>38</v>
      </c>
      <c r="E3042" t="s">
        <v>39</v>
      </c>
      <c r="F3042" t="s">
        <v>33</v>
      </c>
      <c r="G3042">
        <v>1</v>
      </c>
      <c r="H3042">
        <v>2</v>
      </c>
      <c r="I3042">
        <v>18</v>
      </c>
      <c r="J3042" t="s">
        <v>23</v>
      </c>
      <c r="K3042" t="s">
        <v>24</v>
      </c>
      <c r="L3042">
        <v>50</v>
      </c>
      <c r="M3042">
        <v>92.28</v>
      </c>
      <c r="N3042">
        <v>93.191066000000006</v>
      </c>
      <c r="O3042">
        <v>33.667000000000002</v>
      </c>
      <c r="P3042">
        <v>29.094999999999999</v>
      </c>
      <c r="Q3042">
        <v>29.308</v>
      </c>
      <c r="R3042">
        <v>21</v>
      </c>
      <c r="S3042" t="s">
        <v>83</v>
      </c>
      <c r="T3042">
        <f>IF(TRIM(Table1[[#This Row],[PitStopLaps]])="",0,
LEN(Table1[[#This Row],[PitStopLaps]])-LEN(SUBSTITUTE(Table1[[#This Row],[PitStopLaps]],",",""))+1)</f>
        <v>1</v>
      </c>
      <c r="U3042">
        <f>Table1[[#This Row],[StartPosition]]-Table1[[#This Row],[FinishPosition]]</f>
        <v>-1</v>
      </c>
    </row>
    <row r="3043" spans="1:21" x14ac:dyDescent="0.3">
      <c r="A3043">
        <v>2025</v>
      </c>
      <c r="B3043">
        <v>5</v>
      </c>
      <c r="C3043" t="s">
        <v>766</v>
      </c>
      <c r="D3043" t="s">
        <v>54</v>
      </c>
      <c r="E3043" t="s">
        <v>55</v>
      </c>
      <c r="F3043" t="s">
        <v>22</v>
      </c>
      <c r="G3043">
        <v>4</v>
      </c>
      <c r="H3043">
        <v>3</v>
      </c>
      <c r="I3043">
        <v>15</v>
      </c>
      <c r="J3043" t="s">
        <v>23</v>
      </c>
      <c r="K3043" t="s">
        <v>24</v>
      </c>
      <c r="L3043">
        <v>50</v>
      </c>
      <c r="M3043">
        <v>92.191999999999993</v>
      </c>
      <c r="N3043">
        <v>93.418666000000002</v>
      </c>
      <c r="O3043">
        <v>33.636000000000003</v>
      </c>
      <c r="P3043">
        <v>28.994</v>
      </c>
      <c r="Q3043">
        <v>29.113</v>
      </c>
      <c r="R3043">
        <v>29</v>
      </c>
      <c r="S3043" t="s">
        <v>83</v>
      </c>
      <c r="T3043">
        <f>IF(TRIM(Table1[[#This Row],[PitStopLaps]])="",0,
LEN(Table1[[#This Row],[PitStopLaps]])-LEN(SUBSTITUTE(Table1[[#This Row],[PitStopLaps]],",",""))+1)</f>
        <v>1</v>
      </c>
      <c r="U3043">
        <f>Table1[[#This Row],[StartPosition]]-Table1[[#This Row],[FinishPosition]]</f>
        <v>1</v>
      </c>
    </row>
    <row r="3044" spans="1:21" x14ac:dyDescent="0.3">
      <c r="A3044">
        <v>2025</v>
      </c>
      <c r="B3044">
        <v>5</v>
      </c>
      <c r="C3044" t="s">
        <v>766</v>
      </c>
      <c r="D3044" t="s">
        <v>246</v>
      </c>
      <c r="E3044" t="s">
        <v>247</v>
      </c>
      <c r="F3044" t="s">
        <v>37</v>
      </c>
      <c r="G3044">
        <v>10</v>
      </c>
      <c r="H3044">
        <v>4</v>
      </c>
      <c r="I3044">
        <v>12</v>
      </c>
      <c r="J3044" t="s">
        <v>34</v>
      </c>
      <c r="K3044" t="s">
        <v>24</v>
      </c>
      <c r="L3044">
        <v>50</v>
      </c>
      <c r="M3044">
        <v>91.778000000000006</v>
      </c>
      <c r="N3044">
        <v>93.428600000000003</v>
      </c>
      <c r="O3044">
        <v>33.499000000000002</v>
      </c>
      <c r="P3044">
        <v>28.922999999999998</v>
      </c>
      <c r="Q3044">
        <v>29.202000000000002</v>
      </c>
      <c r="R3044">
        <v>34</v>
      </c>
      <c r="S3044" t="s">
        <v>83</v>
      </c>
      <c r="T3044">
        <f>IF(TRIM(Table1[[#This Row],[PitStopLaps]])="",0,
LEN(Table1[[#This Row],[PitStopLaps]])-LEN(SUBSTITUTE(Table1[[#This Row],[PitStopLaps]],",",""))+1)</f>
        <v>1</v>
      </c>
      <c r="U3044">
        <f>Table1[[#This Row],[StartPosition]]-Table1[[#This Row],[FinishPosition]]</f>
        <v>6</v>
      </c>
    </row>
    <row r="3045" spans="1:21" x14ac:dyDescent="0.3">
      <c r="A3045">
        <v>2025</v>
      </c>
      <c r="B3045">
        <v>5</v>
      </c>
      <c r="C3045" t="s">
        <v>766</v>
      </c>
      <c r="D3045" t="s">
        <v>252</v>
      </c>
      <c r="E3045" t="s">
        <v>253</v>
      </c>
      <c r="F3045" t="s">
        <v>28</v>
      </c>
      <c r="G3045">
        <v>3</v>
      </c>
      <c r="H3045">
        <v>5</v>
      </c>
      <c r="I3045">
        <v>10</v>
      </c>
      <c r="J3045" t="s">
        <v>34</v>
      </c>
      <c r="K3045" t="s">
        <v>24</v>
      </c>
      <c r="L3045">
        <v>50</v>
      </c>
      <c r="M3045">
        <v>92.893000000000001</v>
      </c>
      <c r="N3045">
        <v>93.833376999999999</v>
      </c>
      <c r="O3045">
        <v>34.148000000000003</v>
      </c>
      <c r="P3045">
        <v>29.026</v>
      </c>
      <c r="Q3045">
        <v>29.507999999999999</v>
      </c>
      <c r="R3045">
        <v>20</v>
      </c>
      <c r="S3045" t="s">
        <v>83</v>
      </c>
      <c r="T3045">
        <f>IF(TRIM(Table1[[#This Row],[PitStopLaps]])="",0,
LEN(Table1[[#This Row],[PitStopLaps]])-LEN(SUBSTITUTE(Table1[[#This Row],[PitStopLaps]],",",""))+1)</f>
        <v>1</v>
      </c>
      <c r="U3045">
        <f>Table1[[#This Row],[StartPosition]]-Table1[[#This Row],[FinishPosition]]</f>
        <v>-2</v>
      </c>
    </row>
    <row r="3046" spans="1:21" x14ac:dyDescent="0.3">
      <c r="A3046">
        <v>2025</v>
      </c>
      <c r="B3046">
        <v>5</v>
      </c>
      <c r="C3046" t="s">
        <v>766</v>
      </c>
      <c r="D3046" t="s">
        <v>1339</v>
      </c>
      <c r="E3046" t="s">
        <v>1325</v>
      </c>
      <c r="F3046" t="s">
        <v>28</v>
      </c>
      <c r="G3046">
        <v>5</v>
      </c>
      <c r="H3046">
        <v>6</v>
      </c>
      <c r="I3046">
        <v>8</v>
      </c>
      <c r="J3046" t="s">
        <v>34</v>
      </c>
      <c r="K3046" t="s">
        <v>24</v>
      </c>
      <c r="L3046">
        <v>50</v>
      </c>
      <c r="M3046">
        <v>92.396000000000001</v>
      </c>
      <c r="N3046">
        <v>93.909844000000007</v>
      </c>
      <c r="O3046">
        <v>33.869999999999997</v>
      </c>
      <c r="P3046">
        <v>28.992000000000001</v>
      </c>
      <c r="Q3046">
        <v>29.411999999999999</v>
      </c>
      <c r="R3046">
        <v>19</v>
      </c>
      <c r="S3046" t="s">
        <v>83</v>
      </c>
      <c r="T3046">
        <f>IF(TRIM(Table1[[#This Row],[PitStopLaps]])="",0,
LEN(Table1[[#This Row],[PitStopLaps]])-LEN(SUBSTITUTE(Table1[[#This Row],[PitStopLaps]],",",""))+1)</f>
        <v>1</v>
      </c>
      <c r="U3046">
        <f>Table1[[#This Row],[StartPosition]]-Table1[[#This Row],[FinishPosition]]</f>
        <v>-1</v>
      </c>
    </row>
    <row r="3047" spans="1:21" x14ac:dyDescent="0.3">
      <c r="A3047">
        <v>2025</v>
      </c>
      <c r="B3047">
        <v>5</v>
      </c>
      <c r="C3047" t="s">
        <v>766</v>
      </c>
      <c r="D3047" t="s">
        <v>26</v>
      </c>
      <c r="E3047" t="s">
        <v>27</v>
      </c>
      <c r="F3047" t="s">
        <v>22</v>
      </c>
      <c r="G3047">
        <v>7</v>
      </c>
      <c r="H3047">
        <v>7</v>
      </c>
      <c r="I3047">
        <v>6</v>
      </c>
      <c r="J3047" t="s">
        <v>34</v>
      </c>
      <c r="K3047" t="s">
        <v>24</v>
      </c>
      <c r="L3047">
        <v>50</v>
      </c>
      <c r="M3047">
        <v>92.6</v>
      </c>
      <c r="N3047">
        <v>94.020622000000003</v>
      </c>
      <c r="O3047">
        <v>34</v>
      </c>
      <c r="P3047">
        <v>29.030999999999999</v>
      </c>
      <c r="Q3047">
        <v>29.5</v>
      </c>
      <c r="R3047">
        <v>23</v>
      </c>
      <c r="S3047" t="s">
        <v>83</v>
      </c>
      <c r="T3047">
        <f>IF(TRIM(Table1[[#This Row],[PitStopLaps]])="",0,
LEN(Table1[[#This Row],[PitStopLaps]])-LEN(SUBSTITUTE(Table1[[#This Row],[PitStopLaps]],",",""))+1)</f>
        <v>1</v>
      </c>
      <c r="U3047">
        <f>Table1[[#This Row],[StartPosition]]-Table1[[#This Row],[FinishPosition]]</f>
        <v>0</v>
      </c>
    </row>
    <row r="3048" spans="1:21" x14ac:dyDescent="0.3">
      <c r="A3048">
        <v>2025</v>
      </c>
      <c r="B3048">
        <v>5</v>
      </c>
      <c r="C3048" t="s">
        <v>766</v>
      </c>
      <c r="D3048" t="s">
        <v>47</v>
      </c>
      <c r="E3048" t="s">
        <v>48</v>
      </c>
      <c r="F3048" t="s">
        <v>60</v>
      </c>
      <c r="G3048">
        <v>6</v>
      </c>
      <c r="H3048">
        <v>8</v>
      </c>
      <c r="I3048">
        <v>4</v>
      </c>
      <c r="J3048" t="s">
        <v>34</v>
      </c>
      <c r="K3048" t="s">
        <v>24</v>
      </c>
      <c r="L3048">
        <v>50</v>
      </c>
      <c r="M3048">
        <v>92.465999999999994</v>
      </c>
      <c r="N3048">
        <v>94.497444000000002</v>
      </c>
      <c r="O3048">
        <v>34.095999999999997</v>
      </c>
      <c r="P3048">
        <v>28.972000000000001</v>
      </c>
      <c r="Q3048">
        <v>29.398</v>
      </c>
      <c r="R3048">
        <v>21</v>
      </c>
      <c r="S3048" t="s">
        <v>83</v>
      </c>
      <c r="T3048">
        <f>IF(TRIM(Table1[[#This Row],[PitStopLaps]])="",0,
LEN(Table1[[#This Row],[PitStopLaps]])-LEN(SUBSTITUTE(Table1[[#This Row],[PitStopLaps]],",",""))+1)</f>
        <v>1</v>
      </c>
      <c r="U3048">
        <f>Table1[[#This Row],[StartPosition]]-Table1[[#This Row],[FinishPosition]]</f>
        <v>-2</v>
      </c>
    </row>
    <row r="3049" spans="1:21" x14ac:dyDescent="0.3">
      <c r="A3049">
        <v>2025</v>
      </c>
      <c r="B3049">
        <v>5</v>
      </c>
      <c r="C3049" t="s">
        <v>766</v>
      </c>
      <c r="D3049" t="s">
        <v>248</v>
      </c>
      <c r="E3049" t="s">
        <v>249</v>
      </c>
      <c r="F3049" t="s">
        <v>60</v>
      </c>
      <c r="G3049">
        <v>11</v>
      </c>
      <c r="H3049">
        <v>9</v>
      </c>
      <c r="I3049">
        <v>2</v>
      </c>
      <c r="J3049" t="s">
        <v>34</v>
      </c>
      <c r="K3049" t="s">
        <v>24</v>
      </c>
      <c r="L3049">
        <v>50</v>
      </c>
      <c r="M3049">
        <v>93.477000000000004</v>
      </c>
      <c r="N3049">
        <v>94.566599999999994</v>
      </c>
      <c r="O3049">
        <v>34.710999999999999</v>
      </c>
      <c r="P3049">
        <v>29.228999999999999</v>
      </c>
      <c r="Q3049">
        <v>29.297999999999998</v>
      </c>
      <c r="R3049">
        <v>22</v>
      </c>
      <c r="S3049" t="s">
        <v>83</v>
      </c>
      <c r="T3049">
        <f>IF(TRIM(Table1[[#This Row],[PitStopLaps]])="",0,
LEN(Table1[[#This Row],[PitStopLaps]])-LEN(SUBSTITUTE(Table1[[#This Row],[PitStopLaps]],",",""))+1)</f>
        <v>1</v>
      </c>
      <c r="U3049">
        <f>Table1[[#This Row],[StartPosition]]-Table1[[#This Row],[FinishPosition]]</f>
        <v>2</v>
      </c>
    </row>
    <row r="3050" spans="1:21" x14ac:dyDescent="0.3">
      <c r="A3050">
        <v>2025</v>
      </c>
      <c r="B3050">
        <v>5</v>
      </c>
      <c r="C3050" t="s">
        <v>766</v>
      </c>
      <c r="D3050" t="s">
        <v>1337</v>
      </c>
      <c r="E3050" t="s">
        <v>1338</v>
      </c>
      <c r="F3050" t="s">
        <v>1330</v>
      </c>
      <c r="G3050">
        <v>14</v>
      </c>
      <c r="H3050">
        <v>10</v>
      </c>
      <c r="I3050">
        <v>1</v>
      </c>
      <c r="J3050" t="s">
        <v>34</v>
      </c>
      <c r="K3050" t="s">
        <v>24</v>
      </c>
      <c r="L3050">
        <v>50</v>
      </c>
      <c r="M3050">
        <v>93.257000000000005</v>
      </c>
      <c r="N3050">
        <v>94.656443999999993</v>
      </c>
      <c r="O3050">
        <v>34.496000000000002</v>
      </c>
      <c r="P3050">
        <v>29.062999999999999</v>
      </c>
      <c r="Q3050">
        <v>29.498999999999999</v>
      </c>
      <c r="R3050">
        <v>34</v>
      </c>
      <c r="S3050" t="s">
        <v>83</v>
      </c>
      <c r="T3050">
        <f>IF(TRIM(Table1[[#This Row],[PitStopLaps]])="",0,
LEN(Table1[[#This Row],[PitStopLaps]])-LEN(SUBSTITUTE(Table1[[#This Row],[PitStopLaps]],",",""))+1)</f>
        <v>1</v>
      </c>
      <c r="U3050">
        <f>Table1[[#This Row],[StartPosition]]-Table1[[#This Row],[FinishPosition]]</f>
        <v>4</v>
      </c>
    </row>
    <row r="3051" spans="1:21" x14ac:dyDescent="0.3">
      <c r="A3051">
        <v>2025</v>
      </c>
      <c r="B3051">
        <v>5</v>
      </c>
      <c r="C3051" t="s">
        <v>766</v>
      </c>
      <c r="D3051" t="s">
        <v>35</v>
      </c>
      <c r="E3051" t="s">
        <v>36</v>
      </c>
      <c r="F3051" t="s">
        <v>603</v>
      </c>
      <c r="G3051">
        <v>13</v>
      </c>
      <c r="H3051">
        <v>11</v>
      </c>
      <c r="I3051">
        <v>0</v>
      </c>
      <c r="J3051" t="s">
        <v>34</v>
      </c>
      <c r="K3051" t="s">
        <v>24</v>
      </c>
      <c r="L3051">
        <v>50</v>
      </c>
      <c r="M3051">
        <v>93.009</v>
      </c>
      <c r="N3051">
        <v>94.784333000000004</v>
      </c>
      <c r="O3051">
        <v>34.029000000000003</v>
      </c>
      <c r="P3051">
        <v>29.202000000000002</v>
      </c>
      <c r="Q3051">
        <v>29.716999999999999</v>
      </c>
      <c r="R3051">
        <v>19</v>
      </c>
      <c r="S3051" t="s">
        <v>83</v>
      </c>
      <c r="T3051">
        <f>IF(TRIM(Table1[[#This Row],[PitStopLaps]])="",0,
LEN(Table1[[#This Row],[PitStopLaps]])-LEN(SUBSTITUTE(Table1[[#This Row],[PitStopLaps]],",",""))+1)</f>
        <v>1</v>
      </c>
      <c r="U3051">
        <f>Table1[[#This Row],[StartPosition]]-Table1[[#This Row],[FinishPosition]]</f>
        <v>2</v>
      </c>
    </row>
    <row r="3052" spans="1:21" x14ac:dyDescent="0.3">
      <c r="A3052">
        <v>2025</v>
      </c>
      <c r="B3052">
        <v>5</v>
      </c>
      <c r="C3052" t="s">
        <v>766</v>
      </c>
      <c r="D3052" t="s">
        <v>1092</v>
      </c>
      <c r="E3052" t="s">
        <v>1093</v>
      </c>
      <c r="F3052" t="s">
        <v>1330</v>
      </c>
      <c r="G3052">
        <v>12</v>
      </c>
      <c r="H3052">
        <v>12</v>
      </c>
      <c r="I3052">
        <v>0</v>
      </c>
      <c r="J3052" t="s">
        <v>34</v>
      </c>
      <c r="K3052" t="s">
        <v>24</v>
      </c>
      <c r="L3052">
        <v>50</v>
      </c>
      <c r="M3052">
        <v>92.998000000000005</v>
      </c>
      <c r="N3052">
        <v>94.630733000000006</v>
      </c>
      <c r="O3052">
        <v>34.226999999999997</v>
      </c>
      <c r="P3052">
        <v>29.181999999999999</v>
      </c>
      <c r="Q3052">
        <v>29.431000000000001</v>
      </c>
      <c r="R3052">
        <v>20</v>
      </c>
      <c r="S3052" t="s">
        <v>83</v>
      </c>
      <c r="T3052">
        <f>IF(TRIM(Table1[[#This Row],[PitStopLaps]])="",0,
LEN(Table1[[#This Row],[PitStopLaps]])-LEN(SUBSTITUTE(Table1[[#This Row],[PitStopLaps]],",",""))+1)</f>
        <v>1</v>
      </c>
      <c r="U3052">
        <f>Table1[[#This Row],[StartPosition]]-Table1[[#This Row],[FinishPosition]]</f>
        <v>0</v>
      </c>
    </row>
    <row r="3053" spans="1:21" x14ac:dyDescent="0.3">
      <c r="A3053">
        <v>2025</v>
      </c>
      <c r="B3053">
        <v>5</v>
      </c>
      <c r="C3053" t="s">
        <v>766</v>
      </c>
      <c r="D3053" t="s">
        <v>1180</v>
      </c>
      <c r="E3053" t="s">
        <v>1181</v>
      </c>
      <c r="F3053" t="s">
        <v>69</v>
      </c>
      <c r="G3053">
        <v>15</v>
      </c>
      <c r="H3053">
        <v>13</v>
      </c>
      <c r="I3053">
        <v>0</v>
      </c>
      <c r="J3053" t="s">
        <v>34</v>
      </c>
      <c r="K3053" t="s">
        <v>24</v>
      </c>
      <c r="L3053">
        <v>50</v>
      </c>
      <c r="M3053">
        <v>93.238</v>
      </c>
      <c r="N3053">
        <v>94.817887999999996</v>
      </c>
      <c r="O3053">
        <v>34.347999999999999</v>
      </c>
      <c r="P3053">
        <v>29.356999999999999</v>
      </c>
      <c r="Q3053">
        <v>29.471</v>
      </c>
      <c r="R3053">
        <v>18</v>
      </c>
      <c r="S3053" t="s">
        <v>83</v>
      </c>
      <c r="T3053">
        <f>IF(TRIM(Table1[[#This Row],[PitStopLaps]])="",0,
LEN(Table1[[#This Row],[PitStopLaps]])-LEN(SUBSTITUTE(Table1[[#This Row],[PitStopLaps]],",",""))+1)</f>
        <v>1</v>
      </c>
      <c r="U3053">
        <f>Table1[[#This Row],[StartPosition]]-Table1[[#This Row],[FinishPosition]]</f>
        <v>2</v>
      </c>
    </row>
    <row r="3054" spans="1:21" x14ac:dyDescent="0.3">
      <c r="A3054">
        <v>2025</v>
      </c>
      <c r="B3054">
        <v>5</v>
      </c>
      <c r="C3054" t="s">
        <v>766</v>
      </c>
      <c r="D3054" t="s">
        <v>52</v>
      </c>
      <c r="E3054" t="s">
        <v>53</v>
      </c>
      <c r="F3054" t="s">
        <v>69</v>
      </c>
      <c r="G3054">
        <v>19</v>
      </c>
      <c r="H3054">
        <v>14</v>
      </c>
      <c r="I3054">
        <v>0</v>
      </c>
      <c r="J3054" t="s">
        <v>34</v>
      </c>
      <c r="K3054" t="s">
        <v>24</v>
      </c>
      <c r="L3054">
        <v>50</v>
      </c>
      <c r="M3054">
        <v>94.308999999999997</v>
      </c>
      <c r="N3054">
        <v>95.682126999999994</v>
      </c>
      <c r="O3054">
        <v>34.621000000000002</v>
      </c>
      <c r="P3054">
        <v>29.661999999999999</v>
      </c>
      <c r="Q3054">
        <v>29.718</v>
      </c>
      <c r="R3054">
        <v>1</v>
      </c>
      <c r="S3054" t="s">
        <v>83</v>
      </c>
      <c r="T3054">
        <f>IF(TRIM(Table1[[#This Row],[PitStopLaps]])="",0,
LEN(Table1[[#This Row],[PitStopLaps]])-LEN(SUBSTITUTE(Table1[[#This Row],[PitStopLaps]],",",""))+1)</f>
        <v>1</v>
      </c>
      <c r="U3054">
        <f>Table1[[#This Row],[StartPosition]]-Table1[[#This Row],[FinishPosition]]</f>
        <v>5</v>
      </c>
    </row>
    <row r="3055" spans="1:21" x14ac:dyDescent="0.3">
      <c r="A3055">
        <v>2025</v>
      </c>
      <c r="B3055">
        <v>5</v>
      </c>
      <c r="C3055" t="s">
        <v>766</v>
      </c>
      <c r="D3055" t="s">
        <v>40</v>
      </c>
      <c r="E3055" t="s">
        <v>41</v>
      </c>
      <c r="F3055" t="s">
        <v>1175</v>
      </c>
      <c r="G3055">
        <v>18</v>
      </c>
      <c r="H3055">
        <v>15</v>
      </c>
      <c r="I3055">
        <v>0</v>
      </c>
      <c r="J3055" t="s">
        <v>34</v>
      </c>
      <c r="K3055" t="s">
        <v>994</v>
      </c>
      <c r="L3055">
        <v>49</v>
      </c>
      <c r="M3055">
        <v>93.445999999999998</v>
      </c>
      <c r="N3055">
        <v>95.345454000000004</v>
      </c>
      <c r="O3055">
        <v>34.424999999999997</v>
      </c>
      <c r="P3055">
        <v>29.323</v>
      </c>
      <c r="Q3055">
        <v>29.521000000000001</v>
      </c>
      <c r="R3055">
        <v>33</v>
      </c>
      <c r="S3055" t="s">
        <v>83</v>
      </c>
      <c r="T3055">
        <f>IF(TRIM(Table1[[#This Row],[PitStopLaps]])="",0,
LEN(Table1[[#This Row],[PitStopLaps]])-LEN(SUBSTITUTE(Table1[[#This Row],[PitStopLaps]],",",""))+1)</f>
        <v>1</v>
      </c>
      <c r="U3055">
        <f>Table1[[#This Row],[StartPosition]]-Table1[[#This Row],[FinishPosition]]</f>
        <v>3</v>
      </c>
    </row>
    <row r="3056" spans="1:21" x14ac:dyDescent="0.3">
      <c r="A3056">
        <v>2025</v>
      </c>
      <c r="B3056">
        <v>5</v>
      </c>
      <c r="C3056" t="s">
        <v>766</v>
      </c>
      <c r="D3056" t="s">
        <v>58</v>
      </c>
      <c r="E3056" t="s">
        <v>59</v>
      </c>
      <c r="F3056" t="s">
        <v>603</v>
      </c>
      <c r="G3056">
        <v>16</v>
      </c>
      <c r="H3056">
        <v>16</v>
      </c>
      <c r="I3056">
        <v>0</v>
      </c>
      <c r="J3056" t="s">
        <v>34</v>
      </c>
      <c r="K3056" t="s">
        <v>994</v>
      </c>
      <c r="L3056">
        <v>49</v>
      </c>
      <c r="M3056">
        <v>92.745000000000005</v>
      </c>
      <c r="N3056">
        <v>95.318250000000006</v>
      </c>
      <c r="O3056">
        <v>33.906999999999996</v>
      </c>
      <c r="P3056">
        <v>29.189</v>
      </c>
      <c r="Q3056">
        <v>29.631</v>
      </c>
      <c r="R3056">
        <v>39</v>
      </c>
      <c r="S3056" t="s">
        <v>83</v>
      </c>
      <c r="T3056">
        <f>IF(TRIM(Table1[[#This Row],[PitStopLaps]])="",0,
LEN(Table1[[#This Row],[PitStopLaps]])-LEN(SUBSTITUTE(Table1[[#This Row],[PitStopLaps]],",",""))+1)</f>
        <v>1</v>
      </c>
      <c r="U3056">
        <f>Table1[[#This Row],[StartPosition]]-Table1[[#This Row],[FinishPosition]]</f>
        <v>0</v>
      </c>
    </row>
    <row r="3057" spans="1:21" x14ac:dyDescent="0.3">
      <c r="A3057">
        <v>2025</v>
      </c>
      <c r="B3057">
        <v>5</v>
      </c>
      <c r="C3057" t="s">
        <v>766</v>
      </c>
      <c r="D3057" t="s">
        <v>1318</v>
      </c>
      <c r="E3057" t="s">
        <v>1319</v>
      </c>
      <c r="F3057" t="s">
        <v>607</v>
      </c>
      <c r="G3057">
        <v>17</v>
      </c>
      <c r="H3057">
        <v>17</v>
      </c>
      <c r="I3057">
        <v>0</v>
      </c>
      <c r="J3057" t="s">
        <v>34</v>
      </c>
      <c r="K3057" t="s">
        <v>994</v>
      </c>
      <c r="L3057">
        <v>49</v>
      </c>
      <c r="M3057">
        <v>93.15</v>
      </c>
      <c r="N3057">
        <v>95.573659000000006</v>
      </c>
      <c r="O3057">
        <v>34.158000000000001</v>
      </c>
      <c r="P3057">
        <v>29.225999999999999</v>
      </c>
      <c r="Q3057">
        <v>29.6</v>
      </c>
      <c r="R3057" t="s">
        <v>1347</v>
      </c>
      <c r="S3057" t="s">
        <v>83</v>
      </c>
      <c r="T3057">
        <f>IF(TRIM(Table1[[#This Row],[PitStopLaps]])="",0,
LEN(Table1[[#This Row],[PitStopLaps]])-LEN(SUBSTITUTE(Table1[[#This Row],[PitStopLaps]],",",""))+1)</f>
        <v>2</v>
      </c>
      <c r="U3057">
        <f>Table1[[#This Row],[StartPosition]]-Table1[[#This Row],[FinishPosition]]</f>
        <v>0</v>
      </c>
    </row>
    <row r="3058" spans="1:21" x14ac:dyDescent="0.3">
      <c r="A3058">
        <v>2025</v>
      </c>
      <c r="B3058">
        <v>5</v>
      </c>
      <c r="C3058" t="s">
        <v>766</v>
      </c>
      <c r="D3058" t="s">
        <v>1334</v>
      </c>
      <c r="E3058" t="s">
        <v>1335</v>
      </c>
      <c r="F3058" t="s">
        <v>1175</v>
      </c>
      <c r="G3058">
        <v>20</v>
      </c>
      <c r="H3058">
        <v>18</v>
      </c>
      <c r="I3058">
        <v>0</v>
      </c>
      <c r="J3058" t="s">
        <v>34</v>
      </c>
      <c r="K3058" t="s">
        <v>994</v>
      </c>
      <c r="L3058">
        <v>49</v>
      </c>
      <c r="M3058">
        <v>94.447000000000003</v>
      </c>
      <c r="N3058">
        <v>96.003043000000005</v>
      </c>
      <c r="O3058">
        <v>34.81</v>
      </c>
      <c r="P3058">
        <v>29.614999999999998</v>
      </c>
      <c r="Q3058">
        <v>29.951999999999899</v>
      </c>
      <c r="R3058">
        <v>1</v>
      </c>
      <c r="S3058" t="s">
        <v>83</v>
      </c>
      <c r="T3058">
        <f>IF(TRIM(Table1[[#This Row],[PitStopLaps]])="",0,
LEN(Table1[[#This Row],[PitStopLaps]])-LEN(SUBSTITUTE(Table1[[#This Row],[PitStopLaps]],",",""))+1)</f>
        <v>1</v>
      </c>
      <c r="U3058">
        <f>Table1[[#This Row],[StartPosition]]-Table1[[#This Row],[FinishPosition]]</f>
        <v>2</v>
      </c>
    </row>
    <row r="3059" spans="1:21" x14ac:dyDescent="0.3">
      <c r="A3059">
        <v>2025</v>
      </c>
      <c r="B3059">
        <v>5</v>
      </c>
      <c r="C3059" t="s">
        <v>766</v>
      </c>
      <c r="D3059" t="s">
        <v>601</v>
      </c>
      <c r="E3059" t="s">
        <v>602</v>
      </c>
      <c r="F3059" t="s">
        <v>33</v>
      </c>
      <c r="G3059">
        <v>8</v>
      </c>
      <c r="H3059">
        <v>19</v>
      </c>
      <c r="I3059">
        <v>0</v>
      </c>
      <c r="J3059" t="s">
        <v>34</v>
      </c>
      <c r="K3059" t="s">
        <v>179</v>
      </c>
      <c r="L3059">
        <v>1</v>
      </c>
      <c r="R3059">
        <v>1</v>
      </c>
      <c r="S3059" t="s">
        <v>83</v>
      </c>
      <c r="T3059">
        <f>IF(TRIM(Table1[[#This Row],[PitStopLaps]])="",0,
LEN(Table1[[#This Row],[PitStopLaps]])-LEN(SUBSTITUTE(Table1[[#This Row],[PitStopLaps]],",",""))+1)</f>
        <v>1</v>
      </c>
      <c r="U3059">
        <f>Table1[[#This Row],[StartPosition]]-Table1[[#This Row],[FinishPosition]]</f>
        <v>-11</v>
      </c>
    </row>
    <row r="3060" spans="1:21" x14ac:dyDescent="0.3">
      <c r="A3060">
        <v>2025</v>
      </c>
      <c r="B3060">
        <v>5</v>
      </c>
      <c r="C3060" t="s">
        <v>766</v>
      </c>
      <c r="D3060" t="s">
        <v>73</v>
      </c>
      <c r="E3060" t="s">
        <v>74</v>
      </c>
      <c r="F3060" t="s">
        <v>607</v>
      </c>
      <c r="G3060">
        <v>9</v>
      </c>
      <c r="H3060">
        <v>20</v>
      </c>
      <c r="I3060">
        <v>0</v>
      </c>
      <c r="J3060" t="s">
        <v>34</v>
      </c>
      <c r="K3060" t="s">
        <v>179</v>
      </c>
      <c r="L3060">
        <v>1</v>
      </c>
      <c r="S3060" t="s">
        <v>83</v>
      </c>
      <c r="T3060">
        <f>IF(TRIM(Table1[[#This Row],[PitStopLaps]])="",0,
LEN(Table1[[#This Row],[PitStopLaps]])-LEN(SUBSTITUTE(Table1[[#This Row],[PitStopLaps]],",",""))+1)</f>
        <v>0</v>
      </c>
      <c r="U3060">
        <f>Table1[[#This Row],[StartPosition]]-Table1[[#This Row],[FinishPosition]]</f>
        <v>-11</v>
      </c>
    </row>
    <row r="3061" spans="1:21" x14ac:dyDescent="0.3">
      <c r="A3061">
        <v>2025</v>
      </c>
      <c r="B3061">
        <v>6</v>
      </c>
      <c r="C3061" t="s">
        <v>819</v>
      </c>
      <c r="D3061" t="s">
        <v>1000</v>
      </c>
      <c r="E3061" t="s">
        <v>1001</v>
      </c>
      <c r="F3061" t="s">
        <v>37</v>
      </c>
      <c r="G3061">
        <v>4</v>
      </c>
      <c r="H3061">
        <v>1</v>
      </c>
      <c r="I3061">
        <v>25</v>
      </c>
      <c r="J3061" t="s">
        <v>23</v>
      </c>
      <c r="K3061" t="s">
        <v>24</v>
      </c>
      <c r="L3061">
        <v>57</v>
      </c>
      <c r="M3061">
        <v>89.822000000000003</v>
      </c>
      <c r="N3061">
        <v>91.112939999999995</v>
      </c>
      <c r="O3061">
        <v>29.888999999999999</v>
      </c>
      <c r="P3061">
        <v>34.295000000000002</v>
      </c>
      <c r="Q3061">
        <v>25.402000000000001</v>
      </c>
      <c r="R3061">
        <v>29</v>
      </c>
      <c r="S3061" t="s">
        <v>25</v>
      </c>
      <c r="T3061">
        <f>IF(TRIM(Table1[[#This Row],[PitStopLaps]])="",0,
LEN(Table1[[#This Row],[PitStopLaps]])-LEN(SUBSTITUTE(Table1[[#This Row],[PitStopLaps]],",",""))+1)</f>
        <v>1</v>
      </c>
      <c r="U3061">
        <f>Table1[[#This Row],[StartPosition]]-Table1[[#This Row],[FinishPosition]]</f>
        <v>3</v>
      </c>
    </row>
    <row r="3062" spans="1:21" x14ac:dyDescent="0.3">
      <c r="A3062">
        <v>2025</v>
      </c>
      <c r="B3062">
        <v>6</v>
      </c>
      <c r="C3062" t="s">
        <v>819</v>
      </c>
      <c r="D3062" t="s">
        <v>246</v>
      </c>
      <c r="E3062" t="s">
        <v>247</v>
      </c>
      <c r="F3062" t="s">
        <v>37</v>
      </c>
      <c r="G3062">
        <v>2</v>
      </c>
      <c r="H3062">
        <v>2</v>
      </c>
      <c r="I3062">
        <v>18</v>
      </c>
      <c r="J3062" t="s">
        <v>23</v>
      </c>
      <c r="K3062" t="s">
        <v>24</v>
      </c>
      <c r="L3062">
        <v>57</v>
      </c>
      <c r="M3062">
        <v>89.745999999999995</v>
      </c>
      <c r="N3062">
        <v>91.202820000000003</v>
      </c>
      <c r="O3062">
        <v>29.832999999999998</v>
      </c>
      <c r="P3062">
        <v>34.124000000000002</v>
      </c>
      <c r="Q3062">
        <v>25.474</v>
      </c>
      <c r="R3062">
        <v>29</v>
      </c>
      <c r="S3062" t="s">
        <v>25</v>
      </c>
      <c r="T3062">
        <f>IF(TRIM(Table1[[#This Row],[PitStopLaps]])="",0,
LEN(Table1[[#This Row],[PitStopLaps]])-LEN(SUBSTITUTE(Table1[[#This Row],[PitStopLaps]],",",""))+1)</f>
        <v>1</v>
      </c>
      <c r="U3062">
        <f>Table1[[#This Row],[StartPosition]]-Table1[[#This Row],[FinishPosition]]</f>
        <v>0</v>
      </c>
    </row>
    <row r="3063" spans="1:21" x14ac:dyDescent="0.3">
      <c r="A3063">
        <v>2025</v>
      </c>
      <c r="B3063">
        <v>6</v>
      </c>
      <c r="C3063" t="s">
        <v>819</v>
      </c>
      <c r="D3063" t="s">
        <v>252</v>
      </c>
      <c r="E3063" t="s">
        <v>253</v>
      </c>
      <c r="F3063" t="s">
        <v>28</v>
      </c>
      <c r="G3063">
        <v>5</v>
      </c>
      <c r="H3063">
        <v>3</v>
      </c>
      <c r="I3063">
        <v>15</v>
      </c>
      <c r="J3063" t="s">
        <v>23</v>
      </c>
      <c r="K3063" t="s">
        <v>24</v>
      </c>
      <c r="L3063">
        <v>57</v>
      </c>
      <c r="M3063">
        <v>90.317999999999998</v>
      </c>
      <c r="N3063">
        <v>91.789078000000003</v>
      </c>
      <c r="O3063">
        <v>29.876999999999999</v>
      </c>
      <c r="P3063">
        <v>34.57</v>
      </c>
      <c r="Q3063">
        <v>25.646000000000001</v>
      </c>
      <c r="R3063">
        <v>29</v>
      </c>
      <c r="S3063" t="s">
        <v>25</v>
      </c>
      <c r="T3063">
        <f>IF(TRIM(Table1[[#This Row],[PitStopLaps]])="",0,
LEN(Table1[[#This Row],[PitStopLaps]])-LEN(SUBSTITUTE(Table1[[#This Row],[PitStopLaps]],",",""))+1)</f>
        <v>1</v>
      </c>
      <c r="U3063">
        <f>Table1[[#This Row],[StartPosition]]-Table1[[#This Row],[FinishPosition]]</f>
        <v>2</v>
      </c>
    </row>
    <row r="3064" spans="1:21" x14ac:dyDescent="0.3">
      <c r="A3064">
        <v>2025</v>
      </c>
      <c r="B3064">
        <v>6</v>
      </c>
      <c r="C3064" t="s">
        <v>819</v>
      </c>
      <c r="D3064" t="s">
        <v>38</v>
      </c>
      <c r="E3064" t="s">
        <v>39</v>
      </c>
      <c r="F3064" t="s">
        <v>33</v>
      </c>
      <c r="G3064">
        <v>1</v>
      </c>
      <c r="H3064">
        <v>4</v>
      </c>
      <c r="I3064">
        <v>12</v>
      </c>
      <c r="J3064" t="s">
        <v>34</v>
      </c>
      <c r="K3064" t="s">
        <v>24</v>
      </c>
      <c r="L3064">
        <v>57</v>
      </c>
      <c r="M3064">
        <v>90.465999999999994</v>
      </c>
      <c r="N3064">
        <v>91.751290999999995</v>
      </c>
      <c r="O3064">
        <v>30.074999999999999</v>
      </c>
      <c r="P3064">
        <v>34.552999999999997</v>
      </c>
      <c r="Q3064">
        <v>25.712</v>
      </c>
      <c r="R3064">
        <v>26</v>
      </c>
      <c r="S3064" t="s">
        <v>25</v>
      </c>
      <c r="T3064">
        <f>IF(TRIM(Table1[[#This Row],[PitStopLaps]])="",0,
LEN(Table1[[#This Row],[PitStopLaps]])-LEN(SUBSTITUTE(Table1[[#This Row],[PitStopLaps]],",",""))+1)</f>
        <v>1</v>
      </c>
      <c r="U3064">
        <f>Table1[[#This Row],[StartPosition]]-Table1[[#This Row],[FinishPosition]]</f>
        <v>-3</v>
      </c>
    </row>
    <row r="3065" spans="1:21" x14ac:dyDescent="0.3">
      <c r="A3065">
        <v>2025</v>
      </c>
      <c r="B3065">
        <v>6</v>
      </c>
      <c r="C3065" t="s">
        <v>819</v>
      </c>
      <c r="D3065" t="s">
        <v>248</v>
      </c>
      <c r="E3065" t="s">
        <v>249</v>
      </c>
      <c r="F3065" t="s">
        <v>60</v>
      </c>
      <c r="G3065">
        <v>7</v>
      </c>
      <c r="H3065">
        <v>5</v>
      </c>
      <c r="I3065">
        <v>10</v>
      </c>
      <c r="J3065" t="s">
        <v>34</v>
      </c>
      <c r="K3065" t="s">
        <v>24</v>
      </c>
      <c r="L3065">
        <v>57</v>
      </c>
      <c r="M3065">
        <v>90.481999999999999</v>
      </c>
      <c r="N3065">
        <v>91.823447999999999</v>
      </c>
      <c r="O3065">
        <v>30.251000000000001</v>
      </c>
      <c r="P3065">
        <v>34.381</v>
      </c>
      <c r="Q3065">
        <v>25.507000000000001</v>
      </c>
      <c r="R3065">
        <v>26</v>
      </c>
      <c r="S3065" t="s">
        <v>25</v>
      </c>
      <c r="T3065">
        <f>IF(TRIM(Table1[[#This Row],[PitStopLaps]])="",0,
LEN(Table1[[#This Row],[PitStopLaps]])-LEN(SUBSTITUTE(Table1[[#This Row],[PitStopLaps]],",",""))+1)</f>
        <v>1</v>
      </c>
      <c r="U3065">
        <f>Table1[[#This Row],[StartPosition]]-Table1[[#This Row],[FinishPosition]]</f>
        <v>2</v>
      </c>
    </row>
    <row r="3066" spans="1:21" x14ac:dyDescent="0.3">
      <c r="A3066">
        <v>2025</v>
      </c>
      <c r="B3066">
        <v>6</v>
      </c>
      <c r="C3066" t="s">
        <v>819</v>
      </c>
      <c r="D3066" t="s">
        <v>1339</v>
      </c>
      <c r="E3066" t="s">
        <v>1325</v>
      </c>
      <c r="F3066" t="s">
        <v>28</v>
      </c>
      <c r="G3066">
        <v>3</v>
      </c>
      <c r="H3066">
        <v>6</v>
      </c>
      <c r="I3066">
        <v>8</v>
      </c>
      <c r="J3066" t="s">
        <v>34</v>
      </c>
      <c r="K3066" t="s">
        <v>24</v>
      </c>
      <c r="L3066">
        <v>57</v>
      </c>
      <c r="M3066">
        <v>90.795000000000002</v>
      </c>
      <c r="N3066">
        <v>91.945244000000002</v>
      </c>
      <c r="O3066">
        <v>30.244</v>
      </c>
      <c r="P3066">
        <v>34.607999999999997</v>
      </c>
      <c r="Q3066">
        <v>25.695</v>
      </c>
      <c r="R3066">
        <v>25</v>
      </c>
      <c r="S3066" t="s">
        <v>25</v>
      </c>
      <c r="T3066">
        <f>IF(TRIM(Table1[[#This Row],[PitStopLaps]])="",0,
LEN(Table1[[#This Row],[PitStopLaps]])-LEN(SUBSTITUTE(Table1[[#This Row],[PitStopLaps]],",",""))+1)</f>
        <v>1</v>
      </c>
      <c r="U3066">
        <f>Table1[[#This Row],[StartPosition]]-Table1[[#This Row],[FinishPosition]]</f>
        <v>-3</v>
      </c>
    </row>
    <row r="3067" spans="1:21" x14ac:dyDescent="0.3">
      <c r="A3067">
        <v>2025</v>
      </c>
      <c r="B3067">
        <v>6</v>
      </c>
      <c r="C3067" t="s">
        <v>819</v>
      </c>
      <c r="D3067" t="s">
        <v>54</v>
      </c>
      <c r="E3067" t="s">
        <v>55</v>
      </c>
      <c r="F3067" t="s">
        <v>22</v>
      </c>
      <c r="G3067">
        <v>8</v>
      </c>
      <c r="H3067">
        <v>7</v>
      </c>
      <c r="I3067">
        <v>6</v>
      </c>
      <c r="J3067" t="s">
        <v>34</v>
      </c>
      <c r="K3067" t="s">
        <v>24</v>
      </c>
      <c r="L3067">
        <v>57</v>
      </c>
      <c r="M3067">
        <v>90.460999999999999</v>
      </c>
      <c r="N3067">
        <v>91.993705000000006</v>
      </c>
      <c r="O3067">
        <v>30.053999999999998</v>
      </c>
      <c r="P3067">
        <v>34.612000000000002</v>
      </c>
      <c r="Q3067">
        <v>25.469000000000001</v>
      </c>
      <c r="R3067">
        <v>29</v>
      </c>
      <c r="S3067" t="s">
        <v>25</v>
      </c>
      <c r="T3067">
        <f>IF(TRIM(Table1[[#This Row],[PitStopLaps]])="",0,
LEN(Table1[[#This Row],[PitStopLaps]])-LEN(SUBSTITUTE(Table1[[#This Row],[PitStopLaps]],",",""))+1)</f>
        <v>1</v>
      </c>
      <c r="U3067">
        <f>Table1[[#This Row],[StartPosition]]-Table1[[#This Row],[FinishPosition]]</f>
        <v>1</v>
      </c>
    </row>
    <row r="3068" spans="1:21" x14ac:dyDescent="0.3">
      <c r="A3068">
        <v>2025</v>
      </c>
      <c r="B3068">
        <v>6</v>
      </c>
      <c r="C3068" t="s">
        <v>819</v>
      </c>
      <c r="D3068" t="s">
        <v>26</v>
      </c>
      <c r="E3068" t="s">
        <v>27</v>
      </c>
      <c r="F3068" t="s">
        <v>22</v>
      </c>
      <c r="G3068">
        <v>12</v>
      </c>
      <c r="H3068">
        <v>8</v>
      </c>
      <c r="I3068">
        <v>4</v>
      </c>
      <c r="J3068" t="s">
        <v>34</v>
      </c>
      <c r="K3068" t="s">
        <v>24</v>
      </c>
      <c r="L3068">
        <v>57</v>
      </c>
      <c r="M3068">
        <v>90.561999999999998</v>
      </c>
      <c r="N3068">
        <v>92.037215000000003</v>
      </c>
      <c r="O3068">
        <v>30.244</v>
      </c>
      <c r="P3068">
        <v>34.661999999999999</v>
      </c>
      <c r="Q3068">
        <v>25.335000000000001</v>
      </c>
      <c r="R3068">
        <v>28</v>
      </c>
      <c r="S3068" t="s">
        <v>25</v>
      </c>
      <c r="T3068">
        <f>IF(TRIM(Table1[[#This Row],[PitStopLaps]])="",0,
LEN(Table1[[#This Row],[PitStopLaps]])-LEN(SUBSTITUTE(Table1[[#This Row],[PitStopLaps]],",",""))+1)</f>
        <v>1</v>
      </c>
      <c r="U3068">
        <f>Table1[[#This Row],[StartPosition]]-Table1[[#This Row],[FinishPosition]]</f>
        <v>4</v>
      </c>
    </row>
    <row r="3069" spans="1:21" x14ac:dyDescent="0.3">
      <c r="A3069">
        <v>2025</v>
      </c>
      <c r="B3069">
        <v>6</v>
      </c>
      <c r="C3069" t="s">
        <v>819</v>
      </c>
      <c r="D3069" t="s">
        <v>47</v>
      </c>
      <c r="E3069" t="s">
        <v>48</v>
      </c>
      <c r="F3069" t="s">
        <v>60</v>
      </c>
      <c r="G3069">
        <v>6</v>
      </c>
      <c r="H3069">
        <v>9</v>
      </c>
      <c r="I3069">
        <v>2</v>
      </c>
      <c r="J3069" t="s">
        <v>34</v>
      </c>
      <c r="K3069" t="s">
        <v>24</v>
      </c>
      <c r="L3069">
        <v>57</v>
      </c>
      <c r="M3069">
        <v>90.703000000000003</v>
      </c>
      <c r="N3069">
        <v>91.982427999999999</v>
      </c>
      <c r="O3069">
        <v>30.64</v>
      </c>
      <c r="P3069">
        <v>34.463999999999999</v>
      </c>
      <c r="Q3069">
        <v>25.427</v>
      </c>
      <c r="R3069">
        <v>25</v>
      </c>
      <c r="S3069" t="s">
        <v>25</v>
      </c>
      <c r="T3069">
        <f>IF(TRIM(Table1[[#This Row],[PitStopLaps]])="",0,
LEN(Table1[[#This Row],[PitStopLaps]])-LEN(SUBSTITUTE(Table1[[#This Row],[PitStopLaps]],",",""))+1)</f>
        <v>1</v>
      </c>
      <c r="U3069">
        <f>Table1[[#This Row],[StartPosition]]-Table1[[#This Row],[FinishPosition]]</f>
        <v>-3</v>
      </c>
    </row>
    <row r="3070" spans="1:21" x14ac:dyDescent="0.3">
      <c r="A3070">
        <v>2025</v>
      </c>
      <c r="B3070">
        <v>6</v>
      </c>
      <c r="C3070" t="s">
        <v>819</v>
      </c>
      <c r="D3070" t="s">
        <v>601</v>
      </c>
      <c r="E3070" t="s">
        <v>602</v>
      </c>
      <c r="F3070" t="s">
        <v>33</v>
      </c>
      <c r="G3070">
        <v>10</v>
      </c>
      <c r="H3070">
        <v>10</v>
      </c>
      <c r="I3070">
        <v>1</v>
      </c>
      <c r="J3070" t="s">
        <v>34</v>
      </c>
      <c r="K3070" t="s">
        <v>24</v>
      </c>
      <c r="L3070">
        <v>57</v>
      </c>
      <c r="M3070">
        <v>90.963999999999999</v>
      </c>
      <c r="N3070">
        <v>92.132816000000005</v>
      </c>
      <c r="O3070">
        <v>30.093</v>
      </c>
      <c r="P3070">
        <v>34.735999999999997</v>
      </c>
      <c r="Q3070">
        <v>25.777000000000001</v>
      </c>
      <c r="R3070">
        <v>27</v>
      </c>
      <c r="S3070" t="s">
        <v>25</v>
      </c>
      <c r="T3070">
        <f>IF(TRIM(Table1[[#This Row],[PitStopLaps]])="",0,
LEN(Table1[[#This Row],[PitStopLaps]])-LEN(SUBSTITUTE(Table1[[#This Row],[PitStopLaps]],",",""))+1)</f>
        <v>1</v>
      </c>
      <c r="U3070">
        <f>Table1[[#This Row],[StartPosition]]-Table1[[#This Row],[FinishPosition]]</f>
        <v>0</v>
      </c>
    </row>
    <row r="3071" spans="1:21" x14ac:dyDescent="0.3">
      <c r="A3071">
        <v>2025</v>
      </c>
      <c r="B3071">
        <v>6</v>
      </c>
      <c r="C3071" t="s">
        <v>819</v>
      </c>
      <c r="D3071" t="s">
        <v>1337</v>
      </c>
      <c r="E3071" t="s">
        <v>1338</v>
      </c>
      <c r="F3071" t="s">
        <v>1330</v>
      </c>
      <c r="G3071">
        <v>11</v>
      </c>
      <c r="H3071">
        <v>11</v>
      </c>
      <c r="I3071">
        <v>0</v>
      </c>
      <c r="J3071" t="s">
        <v>34</v>
      </c>
      <c r="K3071" t="s">
        <v>24</v>
      </c>
      <c r="L3071">
        <v>57</v>
      </c>
      <c r="M3071">
        <v>90.971000000000004</v>
      </c>
      <c r="N3071">
        <v>92.149540999999999</v>
      </c>
      <c r="O3071">
        <v>30.335999999999999</v>
      </c>
      <c r="P3071">
        <v>34.689</v>
      </c>
      <c r="Q3071">
        <v>25.823</v>
      </c>
      <c r="R3071">
        <v>22</v>
      </c>
      <c r="S3071" t="s">
        <v>25</v>
      </c>
      <c r="T3071">
        <f>IF(TRIM(Table1[[#This Row],[PitStopLaps]])="",0,
LEN(Table1[[#This Row],[PitStopLaps]])-LEN(SUBSTITUTE(Table1[[#This Row],[PitStopLaps]],",",""))+1)</f>
        <v>1</v>
      </c>
      <c r="U3071">
        <f>Table1[[#This Row],[StartPosition]]-Table1[[#This Row],[FinishPosition]]</f>
        <v>0</v>
      </c>
    </row>
    <row r="3072" spans="1:21" x14ac:dyDescent="0.3">
      <c r="A3072">
        <v>2025</v>
      </c>
      <c r="B3072">
        <v>6</v>
      </c>
      <c r="C3072" t="s">
        <v>819</v>
      </c>
      <c r="D3072" t="s">
        <v>52</v>
      </c>
      <c r="E3072" t="s">
        <v>53</v>
      </c>
      <c r="F3072" t="s">
        <v>69</v>
      </c>
      <c r="G3072">
        <v>9</v>
      </c>
      <c r="H3072">
        <v>12</v>
      </c>
      <c r="I3072">
        <v>0</v>
      </c>
      <c r="J3072" t="s">
        <v>34</v>
      </c>
      <c r="K3072" t="s">
        <v>24</v>
      </c>
      <c r="L3072">
        <v>57</v>
      </c>
      <c r="M3072">
        <v>91.122</v>
      </c>
      <c r="N3072">
        <v>92.317812000000004</v>
      </c>
      <c r="O3072">
        <v>30.370999999999999</v>
      </c>
      <c r="P3072">
        <v>34.695999999999998</v>
      </c>
      <c r="Q3072">
        <v>25.57</v>
      </c>
      <c r="R3072">
        <v>23</v>
      </c>
      <c r="S3072" t="s">
        <v>25</v>
      </c>
      <c r="T3072">
        <f>IF(TRIM(Table1[[#This Row],[PitStopLaps]])="",0,
LEN(Table1[[#This Row],[PitStopLaps]])-LEN(SUBSTITUTE(Table1[[#This Row],[PitStopLaps]],",",""))+1)</f>
        <v>1</v>
      </c>
      <c r="U3072">
        <f>Table1[[#This Row],[StartPosition]]-Table1[[#This Row],[FinishPosition]]</f>
        <v>-3</v>
      </c>
    </row>
    <row r="3073" spans="1:21" x14ac:dyDescent="0.3">
      <c r="A3073">
        <v>2025</v>
      </c>
      <c r="B3073">
        <v>6</v>
      </c>
      <c r="C3073" t="s">
        <v>819</v>
      </c>
      <c r="D3073" t="s">
        <v>73</v>
      </c>
      <c r="E3073" t="s">
        <v>74</v>
      </c>
      <c r="F3073" t="s">
        <v>607</v>
      </c>
      <c r="G3073">
        <v>20</v>
      </c>
      <c r="H3073">
        <v>13</v>
      </c>
      <c r="I3073">
        <v>0</v>
      </c>
      <c r="J3073" t="s">
        <v>34</v>
      </c>
      <c r="K3073" t="s">
        <v>24</v>
      </c>
      <c r="L3073">
        <v>57</v>
      </c>
      <c r="M3073">
        <v>91.159000000000006</v>
      </c>
      <c r="N3073">
        <v>92.582480000000004</v>
      </c>
      <c r="O3073">
        <v>30.446000000000002</v>
      </c>
      <c r="P3073">
        <v>34.817</v>
      </c>
      <c r="Q3073">
        <v>25.782</v>
      </c>
      <c r="R3073">
        <v>32</v>
      </c>
      <c r="S3073" t="s">
        <v>25</v>
      </c>
      <c r="T3073">
        <f>IF(TRIM(Table1[[#This Row],[PitStopLaps]])="",0,
LEN(Table1[[#This Row],[PitStopLaps]])-LEN(SUBSTITUTE(Table1[[#This Row],[PitStopLaps]],",",""))+1)</f>
        <v>1</v>
      </c>
      <c r="U3073">
        <f>Table1[[#This Row],[StartPosition]]-Table1[[#This Row],[FinishPosition]]</f>
        <v>7</v>
      </c>
    </row>
    <row r="3074" spans="1:21" x14ac:dyDescent="0.3">
      <c r="A3074">
        <v>2025</v>
      </c>
      <c r="B3074">
        <v>6</v>
      </c>
      <c r="C3074" t="s">
        <v>819</v>
      </c>
      <c r="D3074" t="s">
        <v>40</v>
      </c>
      <c r="E3074" t="s">
        <v>41</v>
      </c>
      <c r="F3074" t="s">
        <v>1175</v>
      </c>
      <c r="G3074">
        <v>16</v>
      </c>
      <c r="H3074">
        <v>14</v>
      </c>
      <c r="I3074">
        <v>0</v>
      </c>
      <c r="J3074" t="s">
        <v>34</v>
      </c>
      <c r="K3074" t="s">
        <v>994</v>
      </c>
      <c r="L3074">
        <v>56</v>
      </c>
      <c r="M3074">
        <v>91.015000000000001</v>
      </c>
      <c r="N3074">
        <v>92.527041999999994</v>
      </c>
      <c r="O3074">
        <v>30.216000000000001</v>
      </c>
      <c r="P3074">
        <v>34.786000000000001</v>
      </c>
      <c r="Q3074">
        <v>25.771000000000001</v>
      </c>
      <c r="R3074">
        <v>36</v>
      </c>
      <c r="S3074" t="s">
        <v>25</v>
      </c>
      <c r="T3074">
        <f>IF(TRIM(Table1[[#This Row],[PitStopLaps]])="",0,
LEN(Table1[[#This Row],[PitStopLaps]])-LEN(SUBSTITUTE(Table1[[#This Row],[PitStopLaps]],",",""))+1)</f>
        <v>1</v>
      </c>
      <c r="U3074">
        <f>Table1[[#This Row],[StartPosition]]-Table1[[#This Row],[FinishPosition]]</f>
        <v>2</v>
      </c>
    </row>
    <row r="3075" spans="1:21" x14ac:dyDescent="0.3">
      <c r="A3075">
        <v>2025</v>
      </c>
      <c r="B3075">
        <v>6</v>
      </c>
      <c r="C3075" t="s">
        <v>819</v>
      </c>
      <c r="D3075" t="s">
        <v>35</v>
      </c>
      <c r="E3075" t="s">
        <v>36</v>
      </c>
      <c r="F3075" t="s">
        <v>603</v>
      </c>
      <c r="G3075">
        <v>17</v>
      </c>
      <c r="H3075">
        <v>15</v>
      </c>
      <c r="I3075">
        <v>0</v>
      </c>
      <c r="J3075" t="s">
        <v>34</v>
      </c>
      <c r="K3075" t="s">
        <v>994</v>
      </c>
      <c r="L3075">
        <v>56</v>
      </c>
      <c r="M3075">
        <v>91.287000000000006</v>
      </c>
      <c r="N3075">
        <v>93.002673000000001</v>
      </c>
      <c r="O3075">
        <v>30.513999999999999</v>
      </c>
      <c r="P3075">
        <v>34.917999999999999</v>
      </c>
      <c r="Q3075">
        <v>25.699000000000002</v>
      </c>
      <c r="R3075">
        <v>28</v>
      </c>
      <c r="S3075" t="s">
        <v>25</v>
      </c>
      <c r="T3075">
        <f>IF(TRIM(Table1[[#This Row],[PitStopLaps]])="",0,
LEN(Table1[[#This Row],[PitStopLaps]])-LEN(SUBSTITUTE(Table1[[#This Row],[PitStopLaps]],",",""))+1)</f>
        <v>1</v>
      </c>
      <c r="U3075">
        <f>Table1[[#This Row],[StartPosition]]-Table1[[#This Row],[FinishPosition]]</f>
        <v>2</v>
      </c>
    </row>
    <row r="3076" spans="1:21" x14ac:dyDescent="0.3">
      <c r="A3076">
        <v>2025</v>
      </c>
      <c r="B3076">
        <v>6</v>
      </c>
      <c r="C3076" t="s">
        <v>819</v>
      </c>
      <c r="D3076" t="s">
        <v>58</v>
      </c>
      <c r="E3076" t="s">
        <v>59</v>
      </c>
      <c r="F3076" t="s">
        <v>603</v>
      </c>
      <c r="G3076">
        <v>18</v>
      </c>
      <c r="H3076">
        <v>16</v>
      </c>
      <c r="I3076">
        <v>0</v>
      </c>
      <c r="J3076" t="s">
        <v>34</v>
      </c>
      <c r="K3076" t="s">
        <v>994</v>
      </c>
      <c r="L3076">
        <v>56</v>
      </c>
      <c r="M3076">
        <v>91.769000000000005</v>
      </c>
      <c r="N3076">
        <v>92.947318999999993</v>
      </c>
      <c r="O3076">
        <v>30.626000000000001</v>
      </c>
      <c r="P3076">
        <v>35.215000000000003</v>
      </c>
      <c r="Q3076">
        <v>25.756</v>
      </c>
      <c r="R3076">
        <v>20</v>
      </c>
      <c r="S3076" t="s">
        <v>25</v>
      </c>
      <c r="T3076">
        <f>IF(TRIM(Table1[[#This Row],[PitStopLaps]])="",0,
LEN(Table1[[#This Row],[PitStopLaps]])-LEN(SUBSTITUTE(Table1[[#This Row],[PitStopLaps]],",",""))+1)</f>
        <v>1</v>
      </c>
      <c r="U3076">
        <f>Table1[[#This Row],[StartPosition]]-Table1[[#This Row],[FinishPosition]]</f>
        <v>2</v>
      </c>
    </row>
    <row r="3077" spans="1:21" x14ac:dyDescent="0.3">
      <c r="A3077">
        <v>2025</v>
      </c>
      <c r="B3077">
        <v>6</v>
      </c>
      <c r="C3077" t="s">
        <v>819</v>
      </c>
      <c r="D3077" t="s">
        <v>1092</v>
      </c>
      <c r="E3077" t="s">
        <v>1093</v>
      </c>
      <c r="F3077" t="s">
        <v>1330</v>
      </c>
      <c r="G3077">
        <v>15</v>
      </c>
      <c r="H3077">
        <v>17</v>
      </c>
      <c r="I3077">
        <v>0</v>
      </c>
      <c r="J3077" t="s">
        <v>34</v>
      </c>
      <c r="K3077" t="s">
        <v>179</v>
      </c>
      <c r="L3077">
        <v>36</v>
      </c>
      <c r="M3077">
        <v>91.77</v>
      </c>
      <c r="N3077">
        <v>94.111964</v>
      </c>
      <c r="O3077">
        <v>31.033999999999999</v>
      </c>
      <c r="P3077">
        <v>34.948999999999998</v>
      </c>
      <c r="Q3077">
        <v>25.786999999999999</v>
      </c>
      <c r="R3077" t="s">
        <v>1348</v>
      </c>
      <c r="S3077" t="s">
        <v>25</v>
      </c>
      <c r="T3077">
        <f>IF(TRIM(Table1[[#This Row],[PitStopLaps]])="",0,
LEN(Table1[[#This Row],[PitStopLaps]])-LEN(SUBSTITUTE(Table1[[#This Row],[PitStopLaps]],",",""))+1)</f>
        <v>2</v>
      </c>
      <c r="U3077">
        <f>Table1[[#This Row],[StartPosition]]-Table1[[#This Row],[FinishPosition]]</f>
        <v>-2</v>
      </c>
    </row>
    <row r="3078" spans="1:21" x14ac:dyDescent="0.3">
      <c r="A3078">
        <v>2025</v>
      </c>
      <c r="B3078">
        <v>6</v>
      </c>
      <c r="C3078" t="s">
        <v>819</v>
      </c>
      <c r="D3078" t="s">
        <v>1334</v>
      </c>
      <c r="E3078" t="s">
        <v>1335</v>
      </c>
      <c r="F3078" t="s">
        <v>1175</v>
      </c>
      <c r="G3078">
        <v>13</v>
      </c>
      <c r="H3078">
        <v>18</v>
      </c>
      <c r="I3078">
        <v>0</v>
      </c>
      <c r="J3078" t="s">
        <v>34</v>
      </c>
      <c r="K3078" t="s">
        <v>179</v>
      </c>
      <c r="L3078">
        <v>31</v>
      </c>
      <c r="M3078">
        <v>92.328000000000003</v>
      </c>
      <c r="N3078">
        <v>94.304130000000001</v>
      </c>
      <c r="O3078">
        <v>30.895</v>
      </c>
      <c r="P3078">
        <v>35.28</v>
      </c>
      <c r="Q3078">
        <v>25.920999999999999</v>
      </c>
      <c r="R3078">
        <v>19</v>
      </c>
      <c r="S3078" t="s">
        <v>25</v>
      </c>
      <c r="T3078">
        <f>IF(TRIM(Table1[[#This Row],[PitStopLaps]])="",0,
LEN(Table1[[#This Row],[PitStopLaps]])-LEN(SUBSTITUTE(Table1[[#This Row],[PitStopLaps]],",",""))+1)</f>
        <v>1</v>
      </c>
      <c r="U3078">
        <f>Table1[[#This Row],[StartPosition]]-Table1[[#This Row],[FinishPosition]]</f>
        <v>-5</v>
      </c>
    </row>
    <row r="3079" spans="1:21" x14ac:dyDescent="0.3">
      <c r="A3079">
        <v>2025</v>
      </c>
      <c r="B3079">
        <v>6</v>
      </c>
      <c r="C3079" t="s">
        <v>819</v>
      </c>
      <c r="D3079" t="s">
        <v>1180</v>
      </c>
      <c r="E3079" t="s">
        <v>1181</v>
      </c>
      <c r="F3079" t="s">
        <v>69</v>
      </c>
      <c r="G3079">
        <v>19</v>
      </c>
      <c r="H3079">
        <v>19</v>
      </c>
      <c r="I3079">
        <v>0</v>
      </c>
      <c r="J3079" t="s">
        <v>34</v>
      </c>
      <c r="K3079" t="s">
        <v>179</v>
      </c>
      <c r="L3079">
        <v>28</v>
      </c>
      <c r="M3079">
        <v>92.68</v>
      </c>
      <c r="N3079">
        <v>93.562124999999995</v>
      </c>
      <c r="O3079">
        <v>31.073</v>
      </c>
      <c r="P3079">
        <v>35.409999999999997</v>
      </c>
      <c r="Q3079">
        <v>25.916</v>
      </c>
      <c r="S3079" t="s">
        <v>25</v>
      </c>
      <c r="T3079">
        <f>IF(TRIM(Table1[[#This Row],[PitStopLaps]])="",0,
LEN(Table1[[#This Row],[PitStopLaps]])-LEN(SUBSTITUTE(Table1[[#This Row],[PitStopLaps]],",",""))+1)</f>
        <v>0</v>
      </c>
      <c r="U3079">
        <f>Table1[[#This Row],[StartPosition]]-Table1[[#This Row],[FinishPosition]]</f>
        <v>0</v>
      </c>
    </row>
    <row r="3080" spans="1:21" x14ac:dyDescent="0.3">
      <c r="A3080">
        <v>2025</v>
      </c>
      <c r="B3080">
        <v>6</v>
      </c>
      <c r="C3080" t="s">
        <v>819</v>
      </c>
      <c r="D3080" t="s">
        <v>1318</v>
      </c>
      <c r="E3080" t="s">
        <v>1319</v>
      </c>
      <c r="F3080" t="s">
        <v>607</v>
      </c>
      <c r="G3080">
        <v>14</v>
      </c>
      <c r="H3080">
        <v>20</v>
      </c>
      <c r="I3080">
        <v>0</v>
      </c>
      <c r="J3080" t="s">
        <v>34</v>
      </c>
      <c r="K3080" t="s">
        <v>179</v>
      </c>
      <c r="L3080">
        <v>1</v>
      </c>
      <c r="S3080" t="s">
        <v>25</v>
      </c>
      <c r="T3080">
        <f>IF(TRIM(Table1[[#This Row],[PitStopLaps]])="",0,
LEN(Table1[[#This Row],[PitStopLaps]])-LEN(SUBSTITUTE(Table1[[#This Row],[PitStopLaps]],",",""))+1)</f>
        <v>0</v>
      </c>
      <c r="U3080">
        <f>Table1[[#This Row],[StartPosition]]-Table1[[#This Row],[FinishPosition]]</f>
        <v>-6</v>
      </c>
    </row>
    <row r="3081" spans="1:21" x14ac:dyDescent="0.3">
      <c r="A3081">
        <v>2025</v>
      </c>
      <c r="B3081">
        <v>7</v>
      </c>
      <c r="C3081" t="s">
        <v>535</v>
      </c>
      <c r="D3081" t="s">
        <v>38</v>
      </c>
      <c r="E3081" t="s">
        <v>39</v>
      </c>
      <c r="F3081" t="s">
        <v>33</v>
      </c>
      <c r="G3081">
        <v>2</v>
      </c>
      <c r="H3081">
        <v>1</v>
      </c>
      <c r="I3081">
        <v>25</v>
      </c>
      <c r="J3081" t="s">
        <v>23</v>
      </c>
      <c r="K3081" t="s">
        <v>24</v>
      </c>
      <c r="L3081">
        <v>63</v>
      </c>
      <c r="M3081">
        <v>77.988</v>
      </c>
      <c r="N3081">
        <v>80.305176000000003</v>
      </c>
      <c r="O3081">
        <v>24.77</v>
      </c>
      <c r="P3081">
        <v>26.965</v>
      </c>
      <c r="Q3081">
        <v>26.07</v>
      </c>
      <c r="R3081" t="s">
        <v>1349</v>
      </c>
      <c r="S3081" t="s">
        <v>83</v>
      </c>
      <c r="T3081">
        <f>IF(TRIM(Table1[[#This Row],[PitStopLaps]])="",0,
LEN(Table1[[#This Row],[PitStopLaps]])-LEN(SUBSTITUTE(Table1[[#This Row],[PitStopLaps]],",",""))+1)</f>
        <v>2</v>
      </c>
      <c r="U3081">
        <f>Table1[[#This Row],[StartPosition]]-Table1[[#This Row],[FinishPosition]]</f>
        <v>1</v>
      </c>
    </row>
    <row r="3082" spans="1:21" x14ac:dyDescent="0.3">
      <c r="A3082">
        <v>2025</v>
      </c>
      <c r="B3082">
        <v>7</v>
      </c>
      <c r="C3082" t="s">
        <v>535</v>
      </c>
      <c r="D3082" t="s">
        <v>246</v>
      </c>
      <c r="E3082" t="s">
        <v>247</v>
      </c>
      <c r="F3082" t="s">
        <v>37</v>
      </c>
      <c r="G3082">
        <v>4</v>
      </c>
      <c r="H3082">
        <v>2</v>
      </c>
      <c r="I3082">
        <v>18</v>
      </c>
      <c r="J3082" t="s">
        <v>23</v>
      </c>
      <c r="K3082" t="s">
        <v>24</v>
      </c>
      <c r="L3082">
        <v>63</v>
      </c>
      <c r="M3082">
        <v>78.311000000000007</v>
      </c>
      <c r="N3082">
        <v>80.488939999999999</v>
      </c>
      <c r="O3082">
        <v>24.898</v>
      </c>
      <c r="P3082">
        <v>27.11</v>
      </c>
      <c r="Q3082">
        <v>26.138999999999999</v>
      </c>
      <c r="R3082" t="s">
        <v>1065</v>
      </c>
      <c r="S3082" t="s">
        <v>83</v>
      </c>
      <c r="T3082">
        <f>IF(TRIM(Table1[[#This Row],[PitStopLaps]])="",0,
LEN(Table1[[#This Row],[PitStopLaps]])-LEN(SUBSTITUTE(Table1[[#This Row],[PitStopLaps]],",",""))+1)</f>
        <v>2</v>
      </c>
      <c r="U3082">
        <f>Table1[[#This Row],[StartPosition]]-Table1[[#This Row],[FinishPosition]]</f>
        <v>2</v>
      </c>
    </row>
    <row r="3083" spans="1:21" x14ac:dyDescent="0.3">
      <c r="A3083">
        <v>2025</v>
      </c>
      <c r="B3083">
        <v>7</v>
      </c>
      <c r="C3083" t="s">
        <v>535</v>
      </c>
      <c r="D3083" t="s">
        <v>1000</v>
      </c>
      <c r="E3083" t="s">
        <v>1001</v>
      </c>
      <c r="F3083" t="s">
        <v>37</v>
      </c>
      <c r="G3083">
        <v>1</v>
      </c>
      <c r="H3083">
        <v>3</v>
      </c>
      <c r="I3083">
        <v>15</v>
      </c>
      <c r="J3083" t="s">
        <v>23</v>
      </c>
      <c r="K3083" t="s">
        <v>24</v>
      </c>
      <c r="L3083">
        <v>63</v>
      </c>
      <c r="M3083">
        <v>78.894000000000005</v>
      </c>
      <c r="N3083">
        <v>80.543488999999994</v>
      </c>
      <c r="O3083">
        <v>24.808</v>
      </c>
      <c r="P3083">
        <v>27.376000000000001</v>
      </c>
      <c r="Q3083">
        <v>26.396000000000001</v>
      </c>
      <c r="R3083" t="s">
        <v>1350</v>
      </c>
      <c r="S3083" t="s">
        <v>83</v>
      </c>
      <c r="T3083">
        <f>IF(TRIM(Table1[[#This Row],[PitStopLaps]])="",0,
LEN(Table1[[#This Row],[PitStopLaps]])-LEN(SUBSTITUTE(Table1[[#This Row],[PitStopLaps]],",",""))+1)</f>
        <v>2</v>
      </c>
      <c r="U3083">
        <f>Table1[[#This Row],[StartPosition]]-Table1[[#This Row],[FinishPosition]]</f>
        <v>-2</v>
      </c>
    </row>
    <row r="3084" spans="1:21" x14ac:dyDescent="0.3">
      <c r="A3084">
        <v>2025</v>
      </c>
      <c r="B3084">
        <v>7</v>
      </c>
      <c r="C3084" t="s">
        <v>535</v>
      </c>
      <c r="D3084" t="s">
        <v>26</v>
      </c>
      <c r="E3084" t="s">
        <v>27</v>
      </c>
      <c r="F3084" t="s">
        <v>22</v>
      </c>
      <c r="G3084">
        <v>12</v>
      </c>
      <c r="H3084">
        <v>4</v>
      </c>
      <c r="I3084">
        <v>12</v>
      </c>
      <c r="J3084" t="s">
        <v>34</v>
      </c>
      <c r="K3084" t="s">
        <v>24</v>
      </c>
      <c r="L3084">
        <v>63</v>
      </c>
      <c r="M3084">
        <v>78.265000000000001</v>
      </c>
      <c r="N3084">
        <v>81.226704999999995</v>
      </c>
      <c r="O3084">
        <v>24.533999999999999</v>
      </c>
      <c r="P3084">
        <v>27.385000000000002</v>
      </c>
      <c r="Q3084">
        <v>26.251000000000001</v>
      </c>
      <c r="R3084" t="s">
        <v>1349</v>
      </c>
      <c r="S3084" t="s">
        <v>83</v>
      </c>
      <c r="T3084">
        <f>IF(TRIM(Table1[[#This Row],[PitStopLaps]])="",0,
LEN(Table1[[#This Row],[PitStopLaps]])-LEN(SUBSTITUTE(Table1[[#This Row],[PitStopLaps]],",",""))+1)</f>
        <v>2</v>
      </c>
      <c r="U3084">
        <f>Table1[[#This Row],[StartPosition]]-Table1[[#This Row],[FinishPosition]]</f>
        <v>8</v>
      </c>
    </row>
    <row r="3085" spans="1:21" x14ac:dyDescent="0.3">
      <c r="A3085">
        <v>2025</v>
      </c>
      <c r="B3085">
        <v>7</v>
      </c>
      <c r="C3085" t="s">
        <v>535</v>
      </c>
      <c r="D3085" t="s">
        <v>248</v>
      </c>
      <c r="E3085" t="s">
        <v>249</v>
      </c>
      <c r="F3085" t="s">
        <v>60</v>
      </c>
      <c r="G3085">
        <v>7</v>
      </c>
      <c r="H3085">
        <v>5</v>
      </c>
      <c r="I3085">
        <v>10</v>
      </c>
      <c r="J3085" t="s">
        <v>34</v>
      </c>
      <c r="K3085" t="s">
        <v>24</v>
      </c>
      <c r="L3085">
        <v>63</v>
      </c>
      <c r="M3085">
        <v>78.289000000000001</v>
      </c>
      <c r="N3085">
        <v>81.241508999999994</v>
      </c>
      <c r="O3085">
        <v>24.599</v>
      </c>
      <c r="P3085">
        <v>27.405999999999999</v>
      </c>
      <c r="Q3085">
        <v>26.283999999999999</v>
      </c>
      <c r="R3085" t="s">
        <v>1351</v>
      </c>
      <c r="S3085" t="s">
        <v>83</v>
      </c>
      <c r="T3085">
        <f>IF(TRIM(Table1[[#This Row],[PitStopLaps]])="",0,
LEN(Table1[[#This Row],[PitStopLaps]])-LEN(SUBSTITUTE(Table1[[#This Row],[PitStopLaps]],",",""))+1)</f>
        <v>2</v>
      </c>
      <c r="U3085">
        <f>Table1[[#This Row],[StartPosition]]-Table1[[#This Row],[FinishPosition]]</f>
        <v>2</v>
      </c>
    </row>
    <row r="3086" spans="1:21" x14ac:dyDescent="0.3">
      <c r="A3086">
        <v>2025</v>
      </c>
      <c r="B3086">
        <v>7</v>
      </c>
      <c r="C3086" t="s">
        <v>535</v>
      </c>
      <c r="D3086" t="s">
        <v>54</v>
      </c>
      <c r="E3086" t="s">
        <v>55</v>
      </c>
      <c r="F3086" t="s">
        <v>22</v>
      </c>
      <c r="G3086">
        <v>11</v>
      </c>
      <c r="H3086">
        <v>6</v>
      </c>
      <c r="I3086">
        <v>8</v>
      </c>
      <c r="J3086" t="s">
        <v>34</v>
      </c>
      <c r="K3086" t="s">
        <v>24</v>
      </c>
      <c r="L3086">
        <v>63</v>
      </c>
      <c r="M3086">
        <v>79.048000000000002</v>
      </c>
      <c r="N3086">
        <v>80.871448000000001</v>
      </c>
      <c r="O3086">
        <v>24.827999999999999</v>
      </c>
      <c r="P3086">
        <v>27.623000000000001</v>
      </c>
      <c r="Q3086">
        <v>26.411999999999999</v>
      </c>
      <c r="R3086" t="s">
        <v>93</v>
      </c>
      <c r="S3086" t="s">
        <v>83</v>
      </c>
      <c r="T3086">
        <f>IF(TRIM(Table1[[#This Row],[PitStopLaps]])="",0,
LEN(Table1[[#This Row],[PitStopLaps]])-LEN(SUBSTITUTE(Table1[[#This Row],[PitStopLaps]],",",""))+1)</f>
        <v>2</v>
      </c>
      <c r="U3086">
        <f>Table1[[#This Row],[StartPosition]]-Table1[[#This Row],[FinishPosition]]</f>
        <v>5</v>
      </c>
    </row>
    <row r="3087" spans="1:21" x14ac:dyDescent="0.3">
      <c r="A3087">
        <v>2025</v>
      </c>
      <c r="B3087">
        <v>7</v>
      </c>
      <c r="C3087" t="s">
        <v>535</v>
      </c>
      <c r="D3087" t="s">
        <v>252</v>
      </c>
      <c r="E3087" t="s">
        <v>253</v>
      </c>
      <c r="F3087" t="s">
        <v>28</v>
      </c>
      <c r="G3087">
        <v>3</v>
      </c>
      <c r="H3087">
        <v>7</v>
      </c>
      <c r="I3087">
        <v>6</v>
      </c>
      <c r="J3087" t="s">
        <v>34</v>
      </c>
      <c r="K3087" t="s">
        <v>24</v>
      </c>
      <c r="L3087">
        <v>63</v>
      </c>
      <c r="M3087">
        <v>79.733000000000004</v>
      </c>
      <c r="N3087">
        <v>81.190366999999995</v>
      </c>
      <c r="O3087">
        <v>25.03</v>
      </c>
      <c r="P3087">
        <v>27.812999999999999</v>
      </c>
      <c r="Q3087">
        <v>26.529</v>
      </c>
      <c r="R3087" t="s">
        <v>727</v>
      </c>
      <c r="S3087" t="s">
        <v>83</v>
      </c>
      <c r="T3087">
        <f>IF(TRIM(Table1[[#This Row],[PitStopLaps]])="",0,
LEN(Table1[[#This Row],[PitStopLaps]])-LEN(SUBSTITUTE(Table1[[#This Row],[PitStopLaps]],",",""))+1)</f>
        <v>2</v>
      </c>
      <c r="U3087">
        <f>Table1[[#This Row],[StartPosition]]-Table1[[#This Row],[FinishPosition]]</f>
        <v>-4</v>
      </c>
    </row>
    <row r="3088" spans="1:21" x14ac:dyDescent="0.3">
      <c r="A3088">
        <v>2025</v>
      </c>
      <c r="B3088">
        <v>7</v>
      </c>
      <c r="C3088" t="s">
        <v>535</v>
      </c>
      <c r="D3088" t="s">
        <v>47</v>
      </c>
      <c r="E3088" t="s">
        <v>48</v>
      </c>
      <c r="F3088" t="s">
        <v>60</v>
      </c>
      <c r="G3088">
        <v>6</v>
      </c>
      <c r="H3088">
        <v>8</v>
      </c>
      <c r="I3088">
        <v>4</v>
      </c>
      <c r="J3088" t="s">
        <v>34</v>
      </c>
      <c r="K3088" t="s">
        <v>24</v>
      </c>
      <c r="L3088">
        <v>63</v>
      </c>
      <c r="M3088">
        <v>79.835999999999999</v>
      </c>
      <c r="N3088">
        <v>81.332244000000003</v>
      </c>
      <c r="O3088">
        <v>24.792999999999999</v>
      </c>
      <c r="P3088">
        <v>27.876000000000001</v>
      </c>
      <c r="Q3088">
        <v>26.669</v>
      </c>
      <c r="R3088" t="s">
        <v>727</v>
      </c>
      <c r="S3088" t="s">
        <v>83</v>
      </c>
      <c r="T3088">
        <f>IF(TRIM(Table1[[#This Row],[PitStopLaps]])="",0,
LEN(Table1[[#This Row],[PitStopLaps]])-LEN(SUBSTITUTE(Table1[[#This Row],[PitStopLaps]],",",""))+1)</f>
        <v>2</v>
      </c>
      <c r="U3088">
        <f>Table1[[#This Row],[StartPosition]]-Table1[[#This Row],[FinishPosition]]</f>
        <v>-2</v>
      </c>
    </row>
    <row r="3089" spans="1:21" x14ac:dyDescent="0.3">
      <c r="A3089">
        <v>2025</v>
      </c>
      <c r="B3089">
        <v>7</v>
      </c>
      <c r="C3089" t="s">
        <v>535</v>
      </c>
      <c r="D3089" t="s">
        <v>1337</v>
      </c>
      <c r="E3089" t="s">
        <v>1338</v>
      </c>
      <c r="F3089" t="s">
        <v>1330</v>
      </c>
      <c r="G3089">
        <v>9</v>
      </c>
      <c r="H3089">
        <v>9</v>
      </c>
      <c r="I3089">
        <v>2</v>
      </c>
      <c r="J3089" t="s">
        <v>34</v>
      </c>
      <c r="K3089" t="s">
        <v>24</v>
      </c>
      <c r="L3089">
        <v>63</v>
      </c>
      <c r="M3089">
        <v>79.472999999999999</v>
      </c>
      <c r="N3089">
        <v>81.541509000000005</v>
      </c>
      <c r="O3089">
        <v>24.92</v>
      </c>
      <c r="P3089">
        <v>27.626999999999999</v>
      </c>
      <c r="Q3089">
        <v>26.654</v>
      </c>
      <c r="R3089" t="s">
        <v>1349</v>
      </c>
      <c r="S3089" t="s">
        <v>83</v>
      </c>
      <c r="T3089">
        <f>IF(TRIM(Table1[[#This Row],[PitStopLaps]])="",0,
LEN(Table1[[#This Row],[PitStopLaps]])-LEN(SUBSTITUTE(Table1[[#This Row],[PitStopLaps]],",",""))+1)</f>
        <v>2</v>
      </c>
      <c r="U3089">
        <f>Table1[[#This Row],[StartPosition]]-Table1[[#This Row],[FinishPosition]]</f>
        <v>0</v>
      </c>
    </row>
    <row r="3090" spans="1:21" x14ac:dyDescent="0.3">
      <c r="A3090">
        <v>2025</v>
      </c>
      <c r="B3090">
        <v>7</v>
      </c>
      <c r="C3090" t="s">
        <v>535</v>
      </c>
      <c r="D3090" t="s">
        <v>601</v>
      </c>
      <c r="E3090" t="s">
        <v>602</v>
      </c>
      <c r="F3090" t="s">
        <v>33</v>
      </c>
      <c r="G3090">
        <v>20</v>
      </c>
      <c r="H3090">
        <v>10</v>
      </c>
      <c r="I3090">
        <v>1</v>
      </c>
      <c r="J3090" t="s">
        <v>34</v>
      </c>
      <c r="K3090" t="s">
        <v>24</v>
      </c>
      <c r="L3090">
        <v>63</v>
      </c>
      <c r="M3090">
        <v>80.039000000000001</v>
      </c>
      <c r="N3090">
        <v>81.917822999999999</v>
      </c>
      <c r="O3090">
        <v>25.361000000000001</v>
      </c>
      <c r="P3090">
        <v>27.783000000000001</v>
      </c>
      <c r="Q3090">
        <v>26.747</v>
      </c>
      <c r="R3090">
        <v>29</v>
      </c>
      <c r="S3090" t="s">
        <v>83</v>
      </c>
      <c r="T3090">
        <f>IF(TRIM(Table1[[#This Row],[PitStopLaps]])="",0,
LEN(Table1[[#This Row],[PitStopLaps]])-LEN(SUBSTITUTE(Table1[[#This Row],[PitStopLaps]],",",""))+1)</f>
        <v>1</v>
      </c>
      <c r="U3090">
        <f>Table1[[#This Row],[StartPosition]]-Table1[[#This Row],[FinishPosition]]</f>
        <v>10</v>
      </c>
    </row>
    <row r="3091" spans="1:21" x14ac:dyDescent="0.3">
      <c r="A3091">
        <v>2025</v>
      </c>
      <c r="B3091">
        <v>7</v>
      </c>
      <c r="C3091" t="s">
        <v>535</v>
      </c>
      <c r="D3091" t="s">
        <v>35</v>
      </c>
      <c r="E3091" t="s">
        <v>36</v>
      </c>
      <c r="F3091" t="s">
        <v>603</v>
      </c>
      <c r="G3091">
        <v>5</v>
      </c>
      <c r="H3091">
        <v>11</v>
      </c>
      <c r="I3091">
        <v>0</v>
      </c>
      <c r="J3091" t="s">
        <v>34</v>
      </c>
      <c r="K3091" t="s">
        <v>24</v>
      </c>
      <c r="L3091">
        <v>63</v>
      </c>
      <c r="M3091">
        <v>79.894000000000005</v>
      </c>
      <c r="N3091">
        <v>81.882644999999997</v>
      </c>
      <c r="O3091">
        <v>24.898</v>
      </c>
      <c r="P3091">
        <v>27.896000000000001</v>
      </c>
      <c r="Q3091">
        <v>26.710999999999999</v>
      </c>
      <c r="R3091" t="s">
        <v>1352</v>
      </c>
      <c r="S3091" t="s">
        <v>83</v>
      </c>
      <c r="T3091">
        <f>IF(TRIM(Table1[[#This Row],[PitStopLaps]])="",0,
LEN(Table1[[#This Row],[PitStopLaps]])-LEN(SUBSTITUTE(Table1[[#This Row],[PitStopLaps]],",",""))+1)</f>
        <v>2</v>
      </c>
      <c r="U3091">
        <f>Table1[[#This Row],[StartPosition]]-Table1[[#This Row],[FinishPosition]]</f>
        <v>-6</v>
      </c>
    </row>
    <row r="3092" spans="1:21" x14ac:dyDescent="0.3">
      <c r="A3092">
        <v>2025</v>
      </c>
      <c r="B3092">
        <v>7</v>
      </c>
      <c r="C3092" t="s">
        <v>535</v>
      </c>
      <c r="D3092" t="s">
        <v>40</v>
      </c>
      <c r="E3092" t="s">
        <v>41</v>
      </c>
      <c r="F3092" t="s">
        <v>1175</v>
      </c>
      <c r="G3092">
        <v>17</v>
      </c>
      <c r="H3092">
        <v>12</v>
      </c>
      <c r="I3092">
        <v>0</v>
      </c>
      <c r="J3092" t="s">
        <v>34</v>
      </c>
      <c r="K3092" t="s">
        <v>24</v>
      </c>
      <c r="L3092">
        <v>63</v>
      </c>
      <c r="M3092">
        <v>80.400999999999996</v>
      </c>
      <c r="N3092">
        <v>82.021199999999993</v>
      </c>
      <c r="O3092">
        <v>25.251999999999999</v>
      </c>
      <c r="P3092">
        <v>28.04</v>
      </c>
      <c r="Q3092">
        <v>26.913</v>
      </c>
      <c r="R3092">
        <v>29</v>
      </c>
      <c r="S3092" t="s">
        <v>83</v>
      </c>
      <c r="T3092">
        <f>IF(TRIM(Table1[[#This Row],[PitStopLaps]])="",0,
LEN(Table1[[#This Row],[PitStopLaps]])-LEN(SUBSTITUTE(Table1[[#This Row],[PitStopLaps]],",",""))+1)</f>
        <v>1</v>
      </c>
      <c r="U3092">
        <f>Table1[[#This Row],[StartPosition]]-Table1[[#This Row],[FinishPosition]]</f>
        <v>5</v>
      </c>
    </row>
    <row r="3093" spans="1:21" x14ac:dyDescent="0.3">
      <c r="A3093">
        <v>2025</v>
      </c>
      <c r="B3093">
        <v>7</v>
      </c>
      <c r="C3093" t="s">
        <v>535</v>
      </c>
      <c r="D3093" t="s">
        <v>73</v>
      </c>
      <c r="E3093" t="s">
        <v>74</v>
      </c>
      <c r="F3093" t="s">
        <v>607</v>
      </c>
      <c r="G3093">
        <v>10</v>
      </c>
      <c r="H3093">
        <v>13</v>
      </c>
      <c r="I3093">
        <v>0</v>
      </c>
      <c r="J3093" t="s">
        <v>34</v>
      </c>
      <c r="K3093" t="s">
        <v>24</v>
      </c>
      <c r="L3093">
        <v>63</v>
      </c>
      <c r="M3093">
        <v>80.397999999999996</v>
      </c>
      <c r="N3093">
        <v>81.71002</v>
      </c>
      <c r="O3093">
        <v>25.169</v>
      </c>
      <c r="P3093">
        <v>28.042999999999999</v>
      </c>
      <c r="Q3093">
        <v>26.734000000000002</v>
      </c>
      <c r="R3093" t="s">
        <v>410</v>
      </c>
      <c r="S3093" t="s">
        <v>83</v>
      </c>
      <c r="T3093">
        <f>IF(TRIM(Table1[[#This Row],[PitStopLaps]])="",0,
LEN(Table1[[#This Row],[PitStopLaps]])-LEN(SUBSTITUTE(Table1[[#This Row],[PitStopLaps]],",",""))+1)</f>
        <v>2</v>
      </c>
      <c r="U3093">
        <f>Table1[[#This Row],[StartPosition]]-Table1[[#This Row],[FinishPosition]]</f>
        <v>-3</v>
      </c>
    </row>
    <row r="3094" spans="1:21" x14ac:dyDescent="0.3">
      <c r="A3094">
        <v>2025</v>
      </c>
      <c r="B3094">
        <v>7</v>
      </c>
      <c r="C3094" t="s">
        <v>535</v>
      </c>
      <c r="D3094" t="s">
        <v>1092</v>
      </c>
      <c r="E3094" t="s">
        <v>1093</v>
      </c>
      <c r="F3094" t="s">
        <v>1330</v>
      </c>
      <c r="G3094">
        <v>15</v>
      </c>
      <c r="H3094">
        <v>14</v>
      </c>
      <c r="I3094">
        <v>0</v>
      </c>
      <c r="J3094" t="s">
        <v>34</v>
      </c>
      <c r="K3094" t="s">
        <v>24</v>
      </c>
      <c r="L3094">
        <v>63</v>
      </c>
      <c r="M3094">
        <v>80.472999999999999</v>
      </c>
      <c r="N3094">
        <v>81.748061000000007</v>
      </c>
      <c r="O3094">
        <v>25.13</v>
      </c>
      <c r="P3094">
        <v>27.992000000000001</v>
      </c>
      <c r="Q3094">
        <v>26.86</v>
      </c>
      <c r="R3094" t="s">
        <v>93</v>
      </c>
      <c r="S3094" t="s">
        <v>83</v>
      </c>
      <c r="T3094">
        <f>IF(TRIM(Table1[[#This Row],[PitStopLaps]])="",0,
LEN(Table1[[#This Row],[PitStopLaps]])-LEN(SUBSTITUTE(Table1[[#This Row],[PitStopLaps]],",",""))+1)</f>
        <v>2</v>
      </c>
      <c r="U3094">
        <f>Table1[[#This Row],[StartPosition]]-Table1[[#This Row],[FinishPosition]]</f>
        <v>1</v>
      </c>
    </row>
    <row r="3095" spans="1:21" x14ac:dyDescent="0.3">
      <c r="A3095">
        <v>2025</v>
      </c>
      <c r="B3095">
        <v>7</v>
      </c>
      <c r="C3095" t="s">
        <v>535</v>
      </c>
      <c r="D3095" t="s">
        <v>58</v>
      </c>
      <c r="E3095" t="s">
        <v>59</v>
      </c>
      <c r="F3095" t="s">
        <v>603</v>
      </c>
      <c r="G3095">
        <v>8</v>
      </c>
      <c r="H3095">
        <v>15</v>
      </c>
      <c r="I3095">
        <v>0</v>
      </c>
      <c r="J3095" t="s">
        <v>34</v>
      </c>
      <c r="K3095" t="s">
        <v>24</v>
      </c>
      <c r="L3095">
        <v>63</v>
      </c>
      <c r="M3095">
        <v>80.501000000000005</v>
      </c>
      <c r="N3095">
        <v>82.014812000000006</v>
      </c>
      <c r="O3095">
        <v>24.986999999999998</v>
      </c>
      <c r="P3095">
        <v>28.074000000000002</v>
      </c>
      <c r="Q3095">
        <v>27.001999999999999</v>
      </c>
      <c r="R3095" t="s">
        <v>676</v>
      </c>
      <c r="S3095" t="s">
        <v>83</v>
      </c>
      <c r="T3095">
        <f>IF(TRIM(Table1[[#This Row],[PitStopLaps]])="",0,
LEN(Table1[[#This Row],[PitStopLaps]])-LEN(SUBSTITUTE(Table1[[#This Row],[PitStopLaps]],",",""))+1)</f>
        <v>2</v>
      </c>
      <c r="U3095">
        <f>Table1[[#This Row],[StartPosition]]-Table1[[#This Row],[FinishPosition]]</f>
        <v>-7</v>
      </c>
    </row>
    <row r="3096" spans="1:21" x14ac:dyDescent="0.3">
      <c r="A3096">
        <v>2025</v>
      </c>
      <c r="B3096">
        <v>7</v>
      </c>
      <c r="C3096" t="s">
        <v>535</v>
      </c>
      <c r="D3096" t="s">
        <v>1283</v>
      </c>
      <c r="E3096" t="s">
        <v>1284</v>
      </c>
      <c r="F3096" t="s">
        <v>607</v>
      </c>
      <c r="G3096">
        <v>16</v>
      </c>
      <c r="H3096">
        <v>16</v>
      </c>
      <c r="I3096">
        <v>0</v>
      </c>
      <c r="J3096" t="s">
        <v>34</v>
      </c>
      <c r="K3096" t="s">
        <v>24</v>
      </c>
      <c r="L3096">
        <v>63</v>
      </c>
      <c r="M3096">
        <v>80.344999999999999</v>
      </c>
      <c r="N3096">
        <v>82.034999999999997</v>
      </c>
      <c r="O3096">
        <v>24.763999999999999</v>
      </c>
      <c r="P3096">
        <v>28.207999999999998</v>
      </c>
      <c r="Q3096">
        <v>26.954999999999998</v>
      </c>
      <c r="R3096" t="s">
        <v>305</v>
      </c>
      <c r="S3096" t="s">
        <v>83</v>
      </c>
      <c r="T3096">
        <f>IF(TRIM(Table1[[#This Row],[PitStopLaps]])="",0,
LEN(Table1[[#This Row],[PitStopLaps]])-LEN(SUBSTITUTE(Table1[[#This Row],[PitStopLaps]],",",""))+1)</f>
        <v>2</v>
      </c>
      <c r="U3096">
        <f>Table1[[#This Row],[StartPosition]]-Table1[[#This Row],[FinishPosition]]</f>
        <v>0</v>
      </c>
    </row>
    <row r="3097" spans="1:21" x14ac:dyDescent="0.3">
      <c r="A3097">
        <v>2025</v>
      </c>
      <c r="B3097">
        <v>7</v>
      </c>
      <c r="C3097" t="s">
        <v>535</v>
      </c>
      <c r="D3097" t="s">
        <v>1180</v>
      </c>
      <c r="E3097" t="s">
        <v>1181</v>
      </c>
      <c r="F3097" t="s">
        <v>69</v>
      </c>
      <c r="G3097">
        <v>19</v>
      </c>
      <c r="H3097">
        <v>17</v>
      </c>
      <c r="I3097">
        <v>0</v>
      </c>
      <c r="J3097" t="s">
        <v>34</v>
      </c>
      <c r="K3097" t="s">
        <v>24</v>
      </c>
      <c r="L3097">
        <v>63</v>
      </c>
      <c r="M3097">
        <v>79.649000000000001</v>
      </c>
      <c r="N3097">
        <v>81.630897000000004</v>
      </c>
      <c r="O3097">
        <v>24.949000000000002</v>
      </c>
      <c r="P3097">
        <v>27.6</v>
      </c>
      <c r="Q3097">
        <v>26.736999999999998</v>
      </c>
      <c r="R3097" t="s">
        <v>1353</v>
      </c>
      <c r="S3097" t="s">
        <v>83</v>
      </c>
      <c r="T3097">
        <f>IF(TRIM(Table1[[#This Row],[PitStopLaps]])="",0,
LEN(Table1[[#This Row],[PitStopLaps]])-LEN(SUBSTITUTE(Table1[[#This Row],[PitStopLaps]],",",""))+1)</f>
        <v>2</v>
      </c>
      <c r="U3097">
        <f>Table1[[#This Row],[StartPosition]]-Table1[[#This Row],[FinishPosition]]</f>
        <v>2</v>
      </c>
    </row>
    <row r="3098" spans="1:21" x14ac:dyDescent="0.3">
      <c r="A3098">
        <v>2025</v>
      </c>
      <c r="B3098">
        <v>7</v>
      </c>
      <c r="C3098" t="s">
        <v>535</v>
      </c>
      <c r="D3098" t="s">
        <v>1334</v>
      </c>
      <c r="E3098" t="s">
        <v>1335</v>
      </c>
      <c r="F3098" t="s">
        <v>1175</v>
      </c>
      <c r="G3098">
        <v>14</v>
      </c>
      <c r="H3098">
        <v>18</v>
      </c>
      <c r="I3098">
        <v>0</v>
      </c>
      <c r="J3098" t="s">
        <v>34</v>
      </c>
      <c r="K3098" t="s">
        <v>24</v>
      </c>
      <c r="L3098">
        <v>63</v>
      </c>
      <c r="M3098">
        <v>80.63</v>
      </c>
      <c r="N3098">
        <v>81.866061000000002</v>
      </c>
      <c r="O3098">
        <v>25.186</v>
      </c>
      <c r="P3098">
        <v>28.143999999999998</v>
      </c>
      <c r="Q3098">
        <v>27.053999999999998</v>
      </c>
      <c r="R3098" t="s">
        <v>1354</v>
      </c>
      <c r="S3098" t="s">
        <v>83</v>
      </c>
      <c r="T3098">
        <f>IF(TRIM(Table1[[#This Row],[PitStopLaps]])="",0,
LEN(Table1[[#This Row],[PitStopLaps]])-LEN(SUBSTITUTE(Table1[[#This Row],[PitStopLaps]],",",""))+1)</f>
        <v>3</v>
      </c>
      <c r="U3098">
        <f>Table1[[#This Row],[StartPosition]]-Table1[[#This Row],[FinishPosition]]</f>
        <v>-4</v>
      </c>
    </row>
    <row r="3099" spans="1:21" x14ac:dyDescent="0.3">
      <c r="A3099">
        <v>2025</v>
      </c>
      <c r="B3099">
        <v>7</v>
      </c>
      <c r="C3099" t="s">
        <v>535</v>
      </c>
      <c r="D3099" t="s">
        <v>1339</v>
      </c>
      <c r="E3099" t="s">
        <v>1325</v>
      </c>
      <c r="F3099" t="s">
        <v>28</v>
      </c>
      <c r="G3099">
        <v>13</v>
      </c>
      <c r="H3099">
        <v>19</v>
      </c>
      <c r="I3099">
        <v>0</v>
      </c>
      <c r="J3099" t="s">
        <v>34</v>
      </c>
      <c r="K3099" t="s">
        <v>179</v>
      </c>
      <c r="L3099">
        <v>45</v>
      </c>
      <c r="M3099">
        <v>80.62</v>
      </c>
      <c r="N3099">
        <v>81.92165</v>
      </c>
      <c r="O3099">
        <v>25.442</v>
      </c>
      <c r="P3099">
        <v>28.084</v>
      </c>
      <c r="Q3099">
        <v>26.745999999999999</v>
      </c>
      <c r="R3099">
        <v>29</v>
      </c>
      <c r="S3099" t="s">
        <v>83</v>
      </c>
      <c r="T3099">
        <f>IF(TRIM(Table1[[#This Row],[PitStopLaps]])="",0,
LEN(Table1[[#This Row],[PitStopLaps]])-LEN(SUBSTITUTE(Table1[[#This Row],[PitStopLaps]],",",""))+1)</f>
        <v>1</v>
      </c>
      <c r="U3099">
        <f>Table1[[#This Row],[StartPosition]]-Table1[[#This Row],[FinishPosition]]</f>
        <v>-6</v>
      </c>
    </row>
    <row r="3100" spans="1:21" x14ac:dyDescent="0.3">
      <c r="A3100">
        <v>2025</v>
      </c>
      <c r="B3100">
        <v>7</v>
      </c>
      <c r="C3100" t="s">
        <v>535</v>
      </c>
      <c r="D3100" t="s">
        <v>52</v>
      </c>
      <c r="E3100" t="s">
        <v>53</v>
      </c>
      <c r="F3100" t="s">
        <v>69</v>
      </c>
      <c r="G3100">
        <v>18</v>
      </c>
      <c r="H3100">
        <v>20</v>
      </c>
      <c r="I3100">
        <v>0</v>
      </c>
      <c r="J3100" t="s">
        <v>34</v>
      </c>
      <c r="K3100" t="s">
        <v>179</v>
      </c>
      <c r="L3100">
        <v>28</v>
      </c>
      <c r="M3100">
        <v>81.412999999999997</v>
      </c>
      <c r="N3100">
        <v>82.454040000000006</v>
      </c>
      <c r="O3100">
        <v>25.984999999999999</v>
      </c>
      <c r="P3100">
        <v>28.120999999999999</v>
      </c>
      <c r="Q3100">
        <v>27.117000000000001</v>
      </c>
      <c r="R3100">
        <v>1</v>
      </c>
      <c r="S3100" t="s">
        <v>83</v>
      </c>
      <c r="T3100">
        <f>IF(TRIM(Table1[[#This Row],[PitStopLaps]])="",0,
LEN(Table1[[#This Row],[PitStopLaps]])-LEN(SUBSTITUTE(Table1[[#This Row],[PitStopLaps]],",",""))+1)</f>
        <v>1</v>
      </c>
      <c r="U3100">
        <f>Table1[[#This Row],[StartPosition]]-Table1[[#This Row],[FinishPosition]]</f>
        <v>-2</v>
      </c>
    </row>
    <row r="3101" spans="1:21" x14ac:dyDescent="0.3">
      <c r="A3101">
        <v>2025</v>
      </c>
      <c r="B3101">
        <v>8</v>
      </c>
      <c r="C3101" t="s">
        <v>136</v>
      </c>
      <c r="D3101" t="s">
        <v>246</v>
      </c>
      <c r="E3101" t="s">
        <v>247</v>
      </c>
      <c r="F3101" t="s">
        <v>37</v>
      </c>
      <c r="G3101">
        <v>1</v>
      </c>
      <c r="H3101">
        <v>1</v>
      </c>
      <c r="I3101">
        <v>25</v>
      </c>
      <c r="J3101" t="s">
        <v>23</v>
      </c>
      <c r="K3101" t="s">
        <v>24</v>
      </c>
      <c r="L3101">
        <v>78</v>
      </c>
      <c r="M3101">
        <v>73.221000000000004</v>
      </c>
      <c r="N3101">
        <v>75.655327999999997</v>
      </c>
      <c r="O3101">
        <v>19.145</v>
      </c>
      <c r="P3101">
        <v>34.697000000000003</v>
      </c>
      <c r="Q3101">
        <v>19.379000000000001</v>
      </c>
      <c r="R3101" t="s">
        <v>1355</v>
      </c>
      <c r="S3101" t="s">
        <v>83</v>
      </c>
      <c r="T3101">
        <f>IF(TRIM(Table1[[#This Row],[PitStopLaps]])="",0,
LEN(Table1[[#This Row],[PitStopLaps]])-LEN(SUBSTITUTE(Table1[[#This Row],[PitStopLaps]],",",""))+1)</f>
        <v>2</v>
      </c>
      <c r="U3101">
        <f>Table1[[#This Row],[StartPosition]]-Table1[[#This Row],[FinishPosition]]</f>
        <v>0</v>
      </c>
    </row>
    <row r="3102" spans="1:21" x14ac:dyDescent="0.3">
      <c r="A3102">
        <v>2025</v>
      </c>
      <c r="B3102">
        <v>8</v>
      </c>
      <c r="C3102" t="s">
        <v>136</v>
      </c>
      <c r="D3102" t="s">
        <v>54</v>
      </c>
      <c r="E3102" t="s">
        <v>55</v>
      </c>
      <c r="F3102" t="s">
        <v>22</v>
      </c>
      <c r="G3102">
        <v>2</v>
      </c>
      <c r="H3102">
        <v>2</v>
      </c>
      <c r="I3102">
        <v>18</v>
      </c>
      <c r="J3102" t="s">
        <v>23</v>
      </c>
      <c r="K3102" t="s">
        <v>24</v>
      </c>
      <c r="L3102">
        <v>78</v>
      </c>
      <c r="M3102">
        <v>74.055000000000007</v>
      </c>
      <c r="N3102">
        <v>75.658327999999997</v>
      </c>
      <c r="O3102">
        <v>19.219000000000001</v>
      </c>
      <c r="P3102">
        <v>35.048999999999999</v>
      </c>
      <c r="Q3102">
        <v>19.556999999999999</v>
      </c>
      <c r="R3102" t="s">
        <v>287</v>
      </c>
      <c r="S3102" t="s">
        <v>83</v>
      </c>
      <c r="T3102">
        <f>IF(TRIM(Table1[[#This Row],[PitStopLaps]])="",0,
LEN(Table1[[#This Row],[PitStopLaps]])-LEN(SUBSTITUTE(Table1[[#This Row],[PitStopLaps]],",",""))+1)</f>
        <v>2</v>
      </c>
      <c r="U3102">
        <f>Table1[[#This Row],[StartPosition]]-Table1[[#This Row],[FinishPosition]]</f>
        <v>0</v>
      </c>
    </row>
    <row r="3103" spans="1:21" x14ac:dyDescent="0.3">
      <c r="A3103">
        <v>2025</v>
      </c>
      <c r="B3103">
        <v>8</v>
      </c>
      <c r="C3103" t="s">
        <v>136</v>
      </c>
      <c r="D3103" t="s">
        <v>1000</v>
      </c>
      <c r="E3103" t="s">
        <v>1001</v>
      </c>
      <c r="F3103" t="s">
        <v>37</v>
      </c>
      <c r="G3103">
        <v>3</v>
      </c>
      <c r="H3103">
        <v>3</v>
      </c>
      <c r="I3103">
        <v>15</v>
      </c>
      <c r="J3103" t="s">
        <v>23</v>
      </c>
      <c r="K3103" t="s">
        <v>24</v>
      </c>
      <c r="L3103">
        <v>78</v>
      </c>
      <c r="M3103">
        <v>73.745000000000005</v>
      </c>
      <c r="N3103">
        <v>75.640270999999998</v>
      </c>
      <c r="O3103">
        <v>19.388000000000002</v>
      </c>
      <c r="P3103">
        <v>34.786999999999999</v>
      </c>
      <c r="Q3103">
        <v>19.489999999999998</v>
      </c>
      <c r="R3103" t="s">
        <v>1356</v>
      </c>
      <c r="S3103" t="s">
        <v>83</v>
      </c>
      <c r="T3103">
        <f>IF(TRIM(Table1[[#This Row],[PitStopLaps]])="",0,
LEN(Table1[[#This Row],[PitStopLaps]])-LEN(SUBSTITUTE(Table1[[#This Row],[PitStopLaps]],",",""))+1)</f>
        <v>2</v>
      </c>
      <c r="U3103">
        <f>Table1[[#This Row],[StartPosition]]-Table1[[#This Row],[FinishPosition]]</f>
        <v>0</v>
      </c>
    </row>
    <row r="3104" spans="1:21" x14ac:dyDescent="0.3">
      <c r="A3104">
        <v>2025</v>
      </c>
      <c r="B3104">
        <v>8</v>
      </c>
      <c r="C3104" t="s">
        <v>136</v>
      </c>
      <c r="D3104" t="s">
        <v>38</v>
      </c>
      <c r="E3104" t="s">
        <v>39</v>
      </c>
      <c r="F3104" t="s">
        <v>33</v>
      </c>
      <c r="G3104">
        <v>4</v>
      </c>
      <c r="H3104">
        <v>4</v>
      </c>
      <c r="I3104">
        <v>12</v>
      </c>
      <c r="J3104" t="s">
        <v>34</v>
      </c>
      <c r="K3104" t="s">
        <v>24</v>
      </c>
      <c r="L3104">
        <v>78</v>
      </c>
      <c r="M3104">
        <v>74.23</v>
      </c>
      <c r="N3104">
        <v>75.852114</v>
      </c>
      <c r="O3104">
        <v>19.233000000000001</v>
      </c>
      <c r="P3104">
        <v>35.103000000000002</v>
      </c>
      <c r="Q3104">
        <v>19.669</v>
      </c>
      <c r="R3104" t="s">
        <v>1357</v>
      </c>
      <c r="S3104" t="s">
        <v>83</v>
      </c>
      <c r="T3104">
        <f>IF(TRIM(Table1[[#This Row],[PitStopLaps]])="",0,
LEN(Table1[[#This Row],[PitStopLaps]])-LEN(SUBSTITUTE(Table1[[#This Row],[PitStopLaps]],",",""))+1)</f>
        <v>2</v>
      </c>
      <c r="U3104">
        <f>Table1[[#This Row],[StartPosition]]-Table1[[#This Row],[FinishPosition]]</f>
        <v>0</v>
      </c>
    </row>
    <row r="3105" spans="1:21" x14ac:dyDescent="0.3">
      <c r="A3105">
        <v>2025</v>
      </c>
      <c r="B3105">
        <v>8</v>
      </c>
      <c r="C3105" t="s">
        <v>136</v>
      </c>
      <c r="D3105" t="s">
        <v>26</v>
      </c>
      <c r="E3105" t="s">
        <v>27</v>
      </c>
      <c r="F3105" t="s">
        <v>22</v>
      </c>
      <c r="G3105">
        <v>7</v>
      </c>
      <c r="H3105">
        <v>5</v>
      </c>
      <c r="I3105">
        <v>10</v>
      </c>
      <c r="J3105" t="s">
        <v>34</v>
      </c>
      <c r="K3105" t="s">
        <v>24</v>
      </c>
      <c r="L3105">
        <v>78</v>
      </c>
      <c r="M3105">
        <v>74.09</v>
      </c>
      <c r="N3105">
        <v>76.221528000000006</v>
      </c>
      <c r="O3105">
        <v>19.356000000000002</v>
      </c>
      <c r="P3105">
        <v>35.137999999999998</v>
      </c>
      <c r="Q3105">
        <v>19.576999999999899</v>
      </c>
      <c r="R3105" t="s">
        <v>381</v>
      </c>
      <c r="S3105" t="s">
        <v>83</v>
      </c>
      <c r="T3105">
        <f>IF(TRIM(Table1[[#This Row],[PitStopLaps]])="",0,
LEN(Table1[[#This Row],[PitStopLaps]])-LEN(SUBSTITUTE(Table1[[#This Row],[PitStopLaps]],",",""))+1)</f>
        <v>2</v>
      </c>
      <c r="U3105">
        <f>Table1[[#This Row],[StartPosition]]-Table1[[#This Row],[FinishPosition]]</f>
        <v>2</v>
      </c>
    </row>
    <row r="3106" spans="1:21" x14ac:dyDescent="0.3">
      <c r="A3106">
        <v>2025</v>
      </c>
      <c r="B3106">
        <v>8</v>
      </c>
      <c r="C3106" t="s">
        <v>136</v>
      </c>
      <c r="D3106" t="s">
        <v>1337</v>
      </c>
      <c r="E3106" t="s">
        <v>1338</v>
      </c>
      <c r="F3106" t="s">
        <v>1330</v>
      </c>
      <c r="G3106">
        <v>5</v>
      </c>
      <c r="H3106">
        <v>6</v>
      </c>
      <c r="I3106">
        <v>8</v>
      </c>
      <c r="J3106" t="s">
        <v>34</v>
      </c>
      <c r="K3106" t="s">
        <v>994</v>
      </c>
      <c r="L3106">
        <v>77</v>
      </c>
      <c r="M3106">
        <v>75.980999999999995</v>
      </c>
      <c r="N3106">
        <v>77.525651999999994</v>
      </c>
      <c r="O3106">
        <v>19.724</v>
      </c>
      <c r="P3106">
        <v>35.982999999999997</v>
      </c>
      <c r="Q3106">
        <v>19.922999999999998</v>
      </c>
      <c r="R3106" t="s">
        <v>1358</v>
      </c>
      <c r="S3106" t="s">
        <v>83</v>
      </c>
      <c r="T3106">
        <f>IF(TRIM(Table1[[#This Row],[PitStopLaps]])="",0,
LEN(Table1[[#This Row],[PitStopLaps]])-LEN(SUBSTITUTE(Table1[[#This Row],[PitStopLaps]],",",""))+1)</f>
        <v>2</v>
      </c>
      <c r="U3106">
        <f>Table1[[#This Row],[StartPosition]]-Table1[[#This Row],[FinishPosition]]</f>
        <v>-1</v>
      </c>
    </row>
    <row r="3107" spans="1:21" x14ac:dyDescent="0.3">
      <c r="A3107">
        <v>2025</v>
      </c>
      <c r="B3107">
        <v>8</v>
      </c>
      <c r="C3107" t="s">
        <v>136</v>
      </c>
      <c r="D3107" t="s">
        <v>52</v>
      </c>
      <c r="E3107" t="s">
        <v>53</v>
      </c>
      <c r="F3107" t="s">
        <v>69</v>
      </c>
      <c r="G3107">
        <v>8</v>
      </c>
      <c r="H3107">
        <v>7</v>
      </c>
      <c r="I3107">
        <v>6</v>
      </c>
      <c r="J3107" t="s">
        <v>34</v>
      </c>
      <c r="K3107" t="s">
        <v>994</v>
      </c>
      <c r="L3107">
        <v>77</v>
      </c>
      <c r="M3107">
        <v>75.156999999999996</v>
      </c>
      <c r="N3107">
        <v>77.489390999999998</v>
      </c>
      <c r="O3107">
        <v>19.812999999999999</v>
      </c>
      <c r="P3107">
        <v>35.503</v>
      </c>
      <c r="Q3107">
        <v>19.802</v>
      </c>
      <c r="R3107" t="s">
        <v>1359</v>
      </c>
      <c r="S3107" t="s">
        <v>83</v>
      </c>
      <c r="T3107">
        <f>IF(TRIM(Table1[[#This Row],[PitStopLaps]])="",0,
LEN(Table1[[#This Row],[PitStopLaps]])-LEN(SUBSTITUTE(Table1[[#This Row],[PitStopLaps]],",",""))+1)</f>
        <v>2</v>
      </c>
      <c r="U3107">
        <f>Table1[[#This Row],[StartPosition]]-Table1[[#This Row],[FinishPosition]]</f>
        <v>1</v>
      </c>
    </row>
    <row r="3108" spans="1:21" x14ac:dyDescent="0.3">
      <c r="A3108">
        <v>2025</v>
      </c>
      <c r="B3108">
        <v>8</v>
      </c>
      <c r="C3108" t="s">
        <v>136</v>
      </c>
      <c r="D3108" t="s">
        <v>1092</v>
      </c>
      <c r="E3108" t="s">
        <v>1093</v>
      </c>
      <c r="F3108" t="s">
        <v>1330</v>
      </c>
      <c r="G3108">
        <v>9</v>
      </c>
      <c r="H3108">
        <v>8</v>
      </c>
      <c r="I3108">
        <v>4</v>
      </c>
      <c r="J3108" t="s">
        <v>34</v>
      </c>
      <c r="K3108" t="s">
        <v>994</v>
      </c>
      <c r="L3108">
        <v>77</v>
      </c>
      <c r="M3108">
        <v>75.320999999999998</v>
      </c>
      <c r="N3108">
        <v>77.504608000000005</v>
      </c>
      <c r="O3108">
        <v>19.594999999999999</v>
      </c>
      <c r="P3108">
        <v>35.607999999999997</v>
      </c>
      <c r="Q3108">
        <v>20.010000000000002</v>
      </c>
      <c r="R3108" t="s">
        <v>1360</v>
      </c>
      <c r="S3108" t="s">
        <v>83</v>
      </c>
      <c r="T3108">
        <f>IF(TRIM(Table1[[#This Row],[PitStopLaps]])="",0,
LEN(Table1[[#This Row],[PitStopLaps]])-LEN(SUBSTITUTE(Table1[[#This Row],[PitStopLaps]],",",""))+1)</f>
        <v>2</v>
      </c>
      <c r="U3108">
        <f>Table1[[#This Row],[StartPosition]]-Table1[[#This Row],[FinishPosition]]</f>
        <v>1</v>
      </c>
    </row>
    <row r="3109" spans="1:21" x14ac:dyDescent="0.3">
      <c r="A3109">
        <v>2025</v>
      </c>
      <c r="B3109">
        <v>8</v>
      </c>
      <c r="C3109" t="s">
        <v>136</v>
      </c>
      <c r="D3109" t="s">
        <v>248</v>
      </c>
      <c r="E3109" t="s">
        <v>249</v>
      </c>
      <c r="F3109" t="s">
        <v>60</v>
      </c>
      <c r="G3109">
        <v>10</v>
      </c>
      <c r="H3109">
        <v>9</v>
      </c>
      <c r="I3109">
        <v>2</v>
      </c>
      <c r="J3109" t="s">
        <v>34</v>
      </c>
      <c r="K3109" t="s">
        <v>994</v>
      </c>
      <c r="L3109">
        <v>76</v>
      </c>
      <c r="M3109">
        <v>74.596999999999994</v>
      </c>
      <c r="N3109">
        <v>77.778602000000006</v>
      </c>
      <c r="O3109">
        <v>19.564</v>
      </c>
      <c r="P3109">
        <v>35.332000000000001</v>
      </c>
      <c r="Q3109">
        <v>19.670999999999999</v>
      </c>
      <c r="R3109" t="s">
        <v>1361</v>
      </c>
      <c r="S3109" t="s">
        <v>83</v>
      </c>
      <c r="T3109">
        <f>IF(TRIM(Table1[[#This Row],[PitStopLaps]])="",0,
LEN(Table1[[#This Row],[PitStopLaps]])-LEN(SUBSTITUTE(Table1[[#This Row],[PitStopLaps]],",",""))+1)</f>
        <v>2</v>
      </c>
      <c r="U3109">
        <f>Table1[[#This Row],[StartPosition]]-Table1[[#This Row],[FinishPosition]]</f>
        <v>1</v>
      </c>
    </row>
    <row r="3110" spans="1:21" x14ac:dyDescent="0.3">
      <c r="A3110">
        <v>2025</v>
      </c>
      <c r="B3110">
        <v>8</v>
      </c>
      <c r="C3110" t="s">
        <v>136</v>
      </c>
      <c r="D3110" t="s">
        <v>47</v>
      </c>
      <c r="E3110" t="s">
        <v>48</v>
      </c>
      <c r="F3110" t="s">
        <v>60</v>
      </c>
      <c r="G3110">
        <v>11</v>
      </c>
      <c r="H3110">
        <v>10</v>
      </c>
      <c r="I3110">
        <v>1</v>
      </c>
      <c r="J3110" t="s">
        <v>34</v>
      </c>
      <c r="K3110" t="s">
        <v>994</v>
      </c>
      <c r="L3110">
        <v>76</v>
      </c>
      <c r="M3110">
        <v>73.988</v>
      </c>
      <c r="N3110">
        <v>77.880514000000005</v>
      </c>
      <c r="O3110">
        <v>19.34</v>
      </c>
      <c r="P3110">
        <v>35.165999999999997</v>
      </c>
      <c r="Q3110">
        <v>19.481999999999999</v>
      </c>
      <c r="R3110" t="s">
        <v>1362</v>
      </c>
      <c r="S3110" t="s">
        <v>83</v>
      </c>
      <c r="T3110">
        <f>IF(TRIM(Table1[[#This Row],[PitStopLaps]])="",0,
LEN(Table1[[#This Row],[PitStopLaps]])-LEN(SUBSTITUTE(Table1[[#This Row],[PitStopLaps]],",",""))+1)</f>
        <v>2</v>
      </c>
      <c r="U3110">
        <f>Table1[[#This Row],[StartPosition]]-Table1[[#This Row],[FinishPosition]]</f>
        <v>1</v>
      </c>
    </row>
    <row r="3111" spans="1:21" x14ac:dyDescent="0.3">
      <c r="A3111">
        <v>2025</v>
      </c>
      <c r="B3111">
        <v>8</v>
      </c>
      <c r="C3111" t="s">
        <v>136</v>
      </c>
      <c r="D3111" t="s">
        <v>252</v>
      </c>
      <c r="E3111" t="s">
        <v>253</v>
      </c>
      <c r="F3111" t="s">
        <v>28</v>
      </c>
      <c r="G3111">
        <v>14</v>
      </c>
      <c r="H3111">
        <v>11</v>
      </c>
      <c r="I3111">
        <v>0</v>
      </c>
      <c r="J3111" t="s">
        <v>34</v>
      </c>
      <c r="K3111" t="s">
        <v>994</v>
      </c>
      <c r="L3111">
        <v>76</v>
      </c>
      <c r="M3111">
        <v>73.405000000000001</v>
      </c>
      <c r="N3111">
        <v>77.985409000000004</v>
      </c>
      <c r="O3111">
        <v>19.210999999999999</v>
      </c>
      <c r="P3111">
        <v>34.69</v>
      </c>
      <c r="Q3111">
        <v>19.489999999999998</v>
      </c>
      <c r="R3111" t="s">
        <v>1363</v>
      </c>
      <c r="S3111" t="s">
        <v>83</v>
      </c>
      <c r="T3111">
        <f>IF(TRIM(Table1[[#This Row],[PitStopLaps]])="",0,
LEN(Table1[[#This Row],[PitStopLaps]])-LEN(SUBSTITUTE(Table1[[#This Row],[PitStopLaps]],",",""))+1)</f>
        <v>3</v>
      </c>
      <c r="U3111">
        <f>Table1[[#This Row],[StartPosition]]-Table1[[#This Row],[FinishPosition]]</f>
        <v>3</v>
      </c>
    </row>
    <row r="3112" spans="1:21" x14ac:dyDescent="0.3">
      <c r="A3112">
        <v>2025</v>
      </c>
      <c r="B3112">
        <v>8</v>
      </c>
      <c r="C3112" t="s">
        <v>136</v>
      </c>
      <c r="D3112" t="s">
        <v>1180</v>
      </c>
      <c r="E3112" t="s">
        <v>1181</v>
      </c>
      <c r="F3112" t="s">
        <v>69</v>
      </c>
      <c r="G3112">
        <v>20</v>
      </c>
      <c r="H3112">
        <v>12</v>
      </c>
      <c r="I3112">
        <v>0</v>
      </c>
      <c r="J3112" t="s">
        <v>34</v>
      </c>
      <c r="K3112" t="s">
        <v>994</v>
      </c>
      <c r="L3112">
        <v>76</v>
      </c>
      <c r="M3112">
        <v>74.855000000000004</v>
      </c>
      <c r="N3112">
        <v>78.131384999999995</v>
      </c>
      <c r="O3112">
        <v>19.527999999999999</v>
      </c>
      <c r="P3112">
        <v>35.411999999999999</v>
      </c>
      <c r="Q3112">
        <v>19.724</v>
      </c>
      <c r="R3112" t="s">
        <v>1364</v>
      </c>
      <c r="S3112" t="s">
        <v>83</v>
      </c>
      <c r="T3112">
        <f>IF(TRIM(Table1[[#This Row],[PitStopLaps]])="",0,
LEN(Table1[[#This Row],[PitStopLaps]])-LEN(SUBSTITUTE(Table1[[#This Row],[PitStopLaps]],",",""))+1)</f>
        <v>2</v>
      </c>
      <c r="U3112">
        <f>Table1[[#This Row],[StartPosition]]-Table1[[#This Row],[FinishPosition]]</f>
        <v>8</v>
      </c>
    </row>
    <row r="3113" spans="1:21" x14ac:dyDescent="0.3">
      <c r="A3113">
        <v>2025</v>
      </c>
      <c r="B3113">
        <v>8</v>
      </c>
      <c r="C3113" t="s">
        <v>136</v>
      </c>
      <c r="D3113" t="s">
        <v>1283</v>
      </c>
      <c r="E3113" t="s">
        <v>1284</v>
      </c>
      <c r="F3113" t="s">
        <v>607</v>
      </c>
      <c r="G3113">
        <v>18</v>
      </c>
      <c r="H3113">
        <v>13</v>
      </c>
      <c r="I3113">
        <v>0</v>
      </c>
      <c r="J3113" t="s">
        <v>34</v>
      </c>
      <c r="K3113" t="s">
        <v>994</v>
      </c>
      <c r="L3113">
        <v>76</v>
      </c>
      <c r="M3113">
        <v>75.298000000000002</v>
      </c>
      <c r="N3113">
        <v>78.328073000000003</v>
      </c>
      <c r="O3113">
        <v>19.484999999999999</v>
      </c>
      <c r="P3113">
        <v>35.484000000000002</v>
      </c>
      <c r="Q3113">
        <v>19.914000000000001</v>
      </c>
      <c r="R3113" t="s">
        <v>1365</v>
      </c>
      <c r="S3113" t="s">
        <v>83</v>
      </c>
      <c r="T3113">
        <f>IF(TRIM(Table1[[#This Row],[PitStopLaps]])="",0,
LEN(Table1[[#This Row],[PitStopLaps]])-LEN(SUBSTITUTE(Table1[[#This Row],[PitStopLaps]],",",""))+1)</f>
        <v>2</v>
      </c>
      <c r="U3113">
        <f>Table1[[#This Row],[StartPosition]]-Table1[[#This Row],[FinishPosition]]</f>
        <v>5</v>
      </c>
    </row>
    <row r="3114" spans="1:21" x14ac:dyDescent="0.3">
      <c r="A3114">
        <v>2025</v>
      </c>
      <c r="B3114">
        <v>8</v>
      </c>
      <c r="C3114" t="s">
        <v>136</v>
      </c>
      <c r="D3114" t="s">
        <v>1334</v>
      </c>
      <c r="E3114" t="s">
        <v>1335</v>
      </c>
      <c r="F3114" t="s">
        <v>1175</v>
      </c>
      <c r="G3114">
        <v>16</v>
      </c>
      <c r="H3114">
        <v>14</v>
      </c>
      <c r="I3114">
        <v>0</v>
      </c>
      <c r="J3114" t="s">
        <v>34</v>
      </c>
      <c r="K3114" t="s">
        <v>994</v>
      </c>
      <c r="L3114">
        <v>76</v>
      </c>
      <c r="M3114">
        <v>74.884</v>
      </c>
      <c r="N3114">
        <v>77.996294000000006</v>
      </c>
      <c r="O3114">
        <v>19.617999999999999</v>
      </c>
      <c r="P3114">
        <v>35.188000000000002</v>
      </c>
      <c r="Q3114">
        <v>19.931999999999999</v>
      </c>
      <c r="R3114" t="s">
        <v>1366</v>
      </c>
      <c r="S3114" t="s">
        <v>83</v>
      </c>
      <c r="T3114">
        <f>IF(TRIM(Table1[[#This Row],[PitStopLaps]])="",0,
LEN(Table1[[#This Row],[PitStopLaps]])-LEN(SUBSTITUTE(Table1[[#This Row],[PitStopLaps]],",",""))+1)</f>
        <v>3</v>
      </c>
      <c r="U3114">
        <f>Table1[[#This Row],[StartPosition]]-Table1[[#This Row],[FinishPosition]]</f>
        <v>2</v>
      </c>
    </row>
    <row r="3115" spans="1:21" x14ac:dyDescent="0.3">
      <c r="A3115">
        <v>2025</v>
      </c>
      <c r="B3115">
        <v>8</v>
      </c>
      <c r="C3115" t="s">
        <v>136</v>
      </c>
      <c r="D3115" t="s">
        <v>58</v>
      </c>
      <c r="E3115" t="s">
        <v>59</v>
      </c>
      <c r="F3115" t="s">
        <v>603</v>
      </c>
      <c r="G3115">
        <v>19</v>
      </c>
      <c r="H3115">
        <v>15</v>
      </c>
      <c r="I3115">
        <v>0</v>
      </c>
      <c r="J3115" t="s">
        <v>34</v>
      </c>
      <c r="K3115" t="s">
        <v>994</v>
      </c>
      <c r="L3115">
        <v>76</v>
      </c>
      <c r="M3115">
        <v>74.876999999999995</v>
      </c>
      <c r="N3115">
        <v>78.502926000000002</v>
      </c>
      <c r="O3115">
        <v>19.388999999999999</v>
      </c>
      <c r="P3115">
        <v>35.302999999999997</v>
      </c>
      <c r="Q3115">
        <v>19.922000000000001</v>
      </c>
      <c r="R3115" t="s">
        <v>1367</v>
      </c>
      <c r="S3115" t="s">
        <v>83</v>
      </c>
      <c r="T3115">
        <f>IF(TRIM(Table1[[#This Row],[PitStopLaps]])="",0,
LEN(Table1[[#This Row],[PitStopLaps]])-LEN(SUBSTITUTE(Table1[[#This Row],[PitStopLaps]],",",""))+1)</f>
        <v>2</v>
      </c>
      <c r="U3115">
        <f>Table1[[#This Row],[StartPosition]]-Table1[[#This Row],[FinishPosition]]</f>
        <v>4</v>
      </c>
    </row>
    <row r="3116" spans="1:21" x14ac:dyDescent="0.3">
      <c r="A3116">
        <v>2025</v>
      </c>
      <c r="B3116">
        <v>8</v>
      </c>
      <c r="C3116" t="s">
        <v>136</v>
      </c>
      <c r="D3116" t="s">
        <v>40</v>
      </c>
      <c r="E3116" t="s">
        <v>41</v>
      </c>
      <c r="F3116" t="s">
        <v>1175</v>
      </c>
      <c r="G3116">
        <v>13</v>
      </c>
      <c r="H3116">
        <v>16</v>
      </c>
      <c r="I3116">
        <v>0</v>
      </c>
      <c r="J3116" t="s">
        <v>34</v>
      </c>
      <c r="K3116" t="s">
        <v>994</v>
      </c>
      <c r="L3116">
        <v>76</v>
      </c>
      <c r="M3116">
        <v>75.222999999999999</v>
      </c>
      <c r="N3116">
        <v>78.612881999999999</v>
      </c>
      <c r="O3116">
        <v>19.774999999999999</v>
      </c>
      <c r="P3116">
        <v>35.445</v>
      </c>
      <c r="Q3116">
        <v>19.931000000000001</v>
      </c>
      <c r="R3116" t="s">
        <v>892</v>
      </c>
      <c r="S3116" t="s">
        <v>83</v>
      </c>
      <c r="T3116">
        <f>IF(TRIM(Table1[[#This Row],[PitStopLaps]])="",0,
LEN(Table1[[#This Row],[PitStopLaps]])-LEN(SUBSTITUTE(Table1[[#This Row],[PitStopLaps]],",",""))+1)</f>
        <v>2</v>
      </c>
      <c r="U3116">
        <f>Table1[[#This Row],[StartPosition]]-Table1[[#This Row],[FinishPosition]]</f>
        <v>-3</v>
      </c>
    </row>
    <row r="3117" spans="1:21" x14ac:dyDescent="0.3">
      <c r="A3117">
        <v>2025</v>
      </c>
      <c r="B3117">
        <v>8</v>
      </c>
      <c r="C3117" t="s">
        <v>136</v>
      </c>
      <c r="D3117" t="s">
        <v>601</v>
      </c>
      <c r="E3117" t="s">
        <v>602</v>
      </c>
      <c r="F3117" t="s">
        <v>33</v>
      </c>
      <c r="G3117">
        <v>12</v>
      </c>
      <c r="H3117">
        <v>17</v>
      </c>
      <c r="I3117">
        <v>0</v>
      </c>
      <c r="J3117" t="s">
        <v>34</v>
      </c>
      <c r="K3117" t="s">
        <v>994</v>
      </c>
      <c r="L3117">
        <v>76</v>
      </c>
      <c r="M3117">
        <v>74.912999999999997</v>
      </c>
      <c r="N3117">
        <v>78.761499999999998</v>
      </c>
      <c r="O3117">
        <v>19.262</v>
      </c>
      <c r="P3117">
        <v>35.387999999999998</v>
      </c>
      <c r="Q3117">
        <v>19.901</v>
      </c>
      <c r="R3117" t="s">
        <v>1368</v>
      </c>
      <c r="S3117" t="s">
        <v>83</v>
      </c>
      <c r="T3117">
        <f>IF(TRIM(Table1[[#This Row],[PitStopLaps]])="",0,
LEN(Table1[[#This Row],[PitStopLaps]])-LEN(SUBSTITUTE(Table1[[#This Row],[PitStopLaps]],",",""))+1)</f>
        <v>2</v>
      </c>
      <c r="U3117">
        <f>Table1[[#This Row],[StartPosition]]-Table1[[#This Row],[FinishPosition]]</f>
        <v>-5</v>
      </c>
    </row>
    <row r="3118" spans="1:21" x14ac:dyDescent="0.3">
      <c r="A3118">
        <v>2025</v>
      </c>
      <c r="B3118">
        <v>8</v>
      </c>
      <c r="C3118" t="s">
        <v>136</v>
      </c>
      <c r="D3118" t="s">
        <v>1339</v>
      </c>
      <c r="E3118" t="s">
        <v>1325</v>
      </c>
      <c r="F3118" t="s">
        <v>28</v>
      </c>
      <c r="G3118">
        <v>15</v>
      </c>
      <c r="H3118">
        <v>18</v>
      </c>
      <c r="I3118">
        <v>0</v>
      </c>
      <c r="J3118" t="s">
        <v>34</v>
      </c>
      <c r="K3118" t="s">
        <v>994</v>
      </c>
      <c r="L3118">
        <v>75</v>
      </c>
      <c r="M3118">
        <v>73.518000000000001</v>
      </c>
      <c r="N3118">
        <v>78.903462000000005</v>
      </c>
      <c r="O3118">
        <v>19.187000000000001</v>
      </c>
      <c r="P3118">
        <v>34.832000000000001</v>
      </c>
      <c r="Q3118">
        <v>19.466999999999999</v>
      </c>
      <c r="R3118" t="s">
        <v>1369</v>
      </c>
      <c r="S3118" t="s">
        <v>83</v>
      </c>
      <c r="T3118">
        <f>IF(TRIM(Table1[[#This Row],[PitStopLaps]])="",0,
LEN(Table1[[#This Row],[PitStopLaps]])-LEN(SUBSTITUTE(Table1[[#This Row],[PitStopLaps]],",",""))+1)</f>
        <v>2</v>
      </c>
      <c r="U3118">
        <f>Table1[[#This Row],[StartPosition]]-Table1[[#This Row],[FinishPosition]]</f>
        <v>-3</v>
      </c>
    </row>
    <row r="3119" spans="1:21" x14ac:dyDescent="0.3">
      <c r="A3119">
        <v>2025</v>
      </c>
      <c r="B3119">
        <v>8</v>
      </c>
      <c r="C3119" t="s">
        <v>136</v>
      </c>
      <c r="D3119" t="s">
        <v>35</v>
      </c>
      <c r="E3119" t="s">
        <v>36</v>
      </c>
      <c r="F3119" t="s">
        <v>603</v>
      </c>
      <c r="G3119">
        <v>6</v>
      </c>
      <c r="H3119">
        <v>19</v>
      </c>
      <c r="I3119">
        <v>0</v>
      </c>
      <c r="J3119" t="s">
        <v>34</v>
      </c>
      <c r="K3119" t="s">
        <v>179</v>
      </c>
      <c r="L3119">
        <v>37</v>
      </c>
      <c r="M3119">
        <v>75.593000000000004</v>
      </c>
      <c r="N3119">
        <v>77.612032999999997</v>
      </c>
      <c r="O3119">
        <v>19.826999999999899</v>
      </c>
      <c r="P3119">
        <v>35.664999999999999</v>
      </c>
      <c r="Q3119">
        <v>19.981999999999999</v>
      </c>
      <c r="R3119">
        <v>16</v>
      </c>
      <c r="S3119" t="s">
        <v>83</v>
      </c>
      <c r="T3119">
        <f>IF(TRIM(Table1[[#This Row],[PitStopLaps]])="",0,
LEN(Table1[[#This Row],[PitStopLaps]])-LEN(SUBSTITUTE(Table1[[#This Row],[PitStopLaps]],",",""))+1)</f>
        <v>1</v>
      </c>
      <c r="U3119">
        <f>Table1[[#This Row],[StartPosition]]-Table1[[#This Row],[FinishPosition]]</f>
        <v>-13</v>
      </c>
    </row>
    <row r="3120" spans="1:21" x14ac:dyDescent="0.3">
      <c r="A3120">
        <v>2025</v>
      </c>
      <c r="B3120">
        <v>8</v>
      </c>
      <c r="C3120" t="s">
        <v>136</v>
      </c>
      <c r="D3120" t="s">
        <v>73</v>
      </c>
      <c r="E3120" t="s">
        <v>74</v>
      </c>
      <c r="F3120" t="s">
        <v>607</v>
      </c>
      <c r="G3120">
        <v>17</v>
      </c>
      <c r="H3120">
        <v>20</v>
      </c>
      <c r="I3120">
        <v>0</v>
      </c>
      <c r="J3120" t="s">
        <v>34</v>
      </c>
      <c r="K3120" t="s">
        <v>179</v>
      </c>
      <c r="L3120">
        <v>8</v>
      </c>
      <c r="M3120">
        <v>78.054000000000002</v>
      </c>
      <c r="N3120">
        <v>78.726665999999994</v>
      </c>
      <c r="O3120">
        <v>20.587</v>
      </c>
      <c r="P3120">
        <v>36.798999999999999</v>
      </c>
      <c r="Q3120">
        <v>20.667999999999999</v>
      </c>
      <c r="R3120" t="s">
        <v>1370</v>
      </c>
      <c r="S3120" t="s">
        <v>83</v>
      </c>
      <c r="T3120">
        <f>IF(TRIM(Table1[[#This Row],[PitStopLaps]])="",0,
LEN(Table1[[#This Row],[PitStopLaps]])-LEN(SUBSTITUTE(Table1[[#This Row],[PitStopLaps]],",",""))+1)</f>
        <v>2</v>
      </c>
      <c r="U3120">
        <f>Table1[[#This Row],[StartPosition]]-Table1[[#This Row],[FinishPosition]]</f>
        <v>-3</v>
      </c>
    </row>
    <row r="3121" spans="1:21" x14ac:dyDescent="0.3">
      <c r="A3121">
        <v>2025</v>
      </c>
      <c r="B3121">
        <v>9</v>
      </c>
      <c r="C3121" t="s">
        <v>125</v>
      </c>
      <c r="D3121" t="s">
        <v>1000</v>
      </c>
      <c r="E3121" t="s">
        <v>1001</v>
      </c>
      <c r="F3121" t="s">
        <v>37</v>
      </c>
      <c r="G3121">
        <v>1</v>
      </c>
      <c r="H3121">
        <v>1</v>
      </c>
      <c r="I3121">
        <v>25</v>
      </c>
      <c r="J3121" t="s">
        <v>23</v>
      </c>
      <c r="K3121" t="s">
        <v>24</v>
      </c>
      <c r="L3121">
        <v>66</v>
      </c>
      <c r="M3121">
        <v>75.742999999999995</v>
      </c>
      <c r="N3121">
        <v>79.720854000000003</v>
      </c>
      <c r="O3121">
        <v>22.605</v>
      </c>
      <c r="P3121">
        <v>30.475999999999999</v>
      </c>
      <c r="Q3121">
        <v>22.603000000000002</v>
      </c>
      <c r="R3121" t="s">
        <v>1371</v>
      </c>
      <c r="S3121" t="s">
        <v>83</v>
      </c>
      <c r="T3121">
        <f>IF(TRIM(Table1[[#This Row],[PitStopLaps]])="",0,
LEN(Table1[[#This Row],[PitStopLaps]])-LEN(SUBSTITUTE(Table1[[#This Row],[PitStopLaps]],",",""))+1)</f>
        <v>3</v>
      </c>
      <c r="U3121">
        <f>Table1[[#This Row],[StartPosition]]-Table1[[#This Row],[FinishPosition]]</f>
        <v>0</v>
      </c>
    </row>
    <row r="3122" spans="1:21" x14ac:dyDescent="0.3">
      <c r="A3122">
        <v>2025</v>
      </c>
      <c r="B3122">
        <v>9</v>
      </c>
      <c r="C3122" t="s">
        <v>125</v>
      </c>
      <c r="D3122" t="s">
        <v>246</v>
      </c>
      <c r="E3122" t="s">
        <v>247</v>
      </c>
      <c r="F3122" t="s">
        <v>37</v>
      </c>
      <c r="G3122">
        <v>2</v>
      </c>
      <c r="H3122">
        <v>2</v>
      </c>
      <c r="I3122">
        <v>18</v>
      </c>
      <c r="J3122" t="s">
        <v>23</v>
      </c>
      <c r="K3122" t="s">
        <v>24</v>
      </c>
      <c r="L3122">
        <v>66</v>
      </c>
      <c r="M3122">
        <v>76.186999999999998</v>
      </c>
      <c r="N3122">
        <v>79.781289999999998</v>
      </c>
      <c r="O3122">
        <v>22.5</v>
      </c>
      <c r="P3122">
        <v>30.690999999999999</v>
      </c>
      <c r="Q3122">
        <v>22.567</v>
      </c>
      <c r="R3122" t="s">
        <v>1372</v>
      </c>
      <c r="S3122" t="s">
        <v>83</v>
      </c>
      <c r="T3122">
        <f>IF(TRIM(Table1[[#This Row],[PitStopLaps]])="",0,
LEN(Table1[[#This Row],[PitStopLaps]])-LEN(SUBSTITUTE(Table1[[#This Row],[PitStopLaps]],",",""))+1)</f>
        <v>3</v>
      </c>
      <c r="U3122">
        <f>Table1[[#This Row],[StartPosition]]-Table1[[#This Row],[FinishPosition]]</f>
        <v>0</v>
      </c>
    </row>
    <row r="3123" spans="1:21" x14ac:dyDescent="0.3">
      <c r="A3123">
        <v>2025</v>
      </c>
      <c r="B3123">
        <v>9</v>
      </c>
      <c r="C3123" t="s">
        <v>125</v>
      </c>
      <c r="D3123" t="s">
        <v>54</v>
      </c>
      <c r="E3123" t="s">
        <v>55</v>
      </c>
      <c r="F3123" t="s">
        <v>22</v>
      </c>
      <c r="G3123">
        <v>7</v>
      </c>
      <c r="H3123">
        <v>3</v>
      </c>
      <c r="I3123">
        <v>15</v>
      </c>
      <c r="J3123" t="s">
        <v>23</v>
      </c>
      <c r="K3123" t="s">
        <v>24</v>
      </c>
      <c r="L3123">
        <v>66</v>
      </c>
      <c r="M3123">
        <v>77.259</v>
      </c>
      <c r="N3123">
        <v>80.151544999999999</v>
      </c>
      <c r="O3123">
        <v>22.832999999999998</v>
      </c>
      <c r="P3123">
        <v>31.091999999999999</v>
      </c>
      <c r="Q3123">
        <v>23.099</v>
      </c>
      <c r="R3123" t="s">
        <v>1373</v>
      </c>
      <c r="S3123" t="s">
        <v>83</v>
      </c>
      <c r="T3123">
        <f>IF(TRIM(Table1[[#This Row],[PitStopLaps]])="",0,
LEN(Table1[[#This Row],[PitStopLaps]])-LEN(SUBSTITUTE(Table1[[#This Row],[PitStopLaps]],",",""))+1)</f>
        <v>3</v>
      </c>
      <c r="U3123">
        <f>Table1[[#This Row],[StartPosition]]-Table1[[#This Row],[FinishPosition]]</f>
        <v>4</v>
      </c>
    </row>
    <row r="3124" spans="1:21" x14ac:dyDescent="0.3">
      <c r="A3124">
        <v>2025</v>
      </c>
      <c r="B3124">
        <v>9</v>
      </c>
      <c r="C3124" t="s">
        <v>125</v>
      </c>
      <c r="D3124" t="s">
        <v>252</v>
      </c>
      <c r="E3124" t="s">
        <v>253</v>
      </c>
      <c r="F3124" t="s">
        <v>28</v>
      </c>
      <c r="G3124">
        <v>4</v>
      </c>
      <c r="H3124">
        <v>4</v>
      </c>
      <c r="I3124">
        <v>12</v>
      </c>
      <c r="J3124" t="s">
        <v>34</v>
      </c>
      <c r="K3124" t="s">
        <v>24</v>
      </c>
      <c r="L3124">
        <v>66</v>
      </c>
      <c r="M3124">
        <v>77.244</v>
      </c>
      <c r="N3124">
        <v>80.325980999999999</v>
      </c>
      <c r="O3124">
        <v>22.736999999999998</v>
      </c>
      <c r="P3124">
        <v>31.091999999999999</v>
      </c>
      <c r="Q3124">
        <v>23.164000000000001</v>
      </c>
      <c r="R3124" t="s">
        <v>1374</v>
      </c>
      <c r="S3124" t="s">
        <v>83</v>
      </c>
      <c r="T3124">
        <f>IF(TRIM(Table1[[#This Row],[PitStopLaps]])="",0,
LEN(Table1[[#This Row],[PitStopLaps]])-LEN(SUBSTITUTE(Table1[[#This Row],[PitStopLaps]],",",""))+1)</f>
        <v>3</v>
      </c>
      <c r="U3124">
        <f>Table1[[#This Row],[StartPosition]]-Table1[[#This Row],[FinishPosition]]</f>
        <v>0</v>
      </c>
    </row>
    <row r="3125" spans="1:21" x14ac:dyDescent="0.3">
      <c r="A3125">
        <v>2025</v>
      </c>
      <c r="B3125">
        <v>9</v>
      </c>
      <c r="C3125" t="s">
        <v>125</v>
      </c>
      <c r="D3125" t="s">
        <v>40</v>
      </c>
      <c r="E3125" t="s">
        <v>41</v>
      </c>
      <c r="F3125" t="s">
        <v>1175</v>
      </c>
      <c r="G3125">
        <v>15</v>
      </c>
      <c r="H3125">
        <v>5</v>
      </c>
      <c r="I3125">
        <v>10</v>
      </c>
      <c r="J3125" t="s">
        <v>34</v>
      </c>
      <c r="K3125" t="s">
        <v>24</v>
      </c>
      <c r="L3125">
        <v>66</v>
      </c>
      <c r="M3125">
        <v>77.575000000000003</v>
      </c>
      <c r="N3125">
        <v>81.230407</v>
      </c>
      <c r="O3125">
        <v>22.608000000000001</v>
      </c>
      <c r="P3125">
        <v>31.373000000000001</v>
      </c>
      <c r="Q3125">
        <v>23.428999999999998</v>
      </c>
      <c r="R3125" t="s">
        <v>1375</v>
      </c>
      <c r="S3125" t="s">
        <v>83</v>
      </c>
      <c r="T3125">
        <f>IF(TRIM(Table1[[#This Row],[PitStopLaps]])="",0,
LEN(Table1[[#This Row],[PitStopLaps]])-LEN(SUBSTITUTE(Table1[[#This Row],[PitStopLaps]],",",""))+1)</f>
        <v>3</v>
      </c>
      <c r="U3125">
        <f>Table1[[#This Row],[StartPosition]]-Table1[[#This Row],[FinishPosition]]</f>
        <v>10</v>
      </c>
    </row>
    <row r="3126" spans="1:21" x14ac:dyDescent="0.3">
      <c r="A3126">
        <v>2025</v>
      </c>
      <c r="B3126">
        <v>9</v>
      </c>
      <c r="C3126" t="s">
        <v>125</v>
      </c>
      <c r="D3126" t="s">
        <v>26</v>
      </c>
      <c r="E3126" t="s">
        <v>27</v>
      </c>
      <c r="F3126" t="s">
        <v>22</v>
      </c>
      <c r="G3126">
        <v>5</v>
      </c>
      <c r="H3126">
        <v>6</v>
      </c>
      <c r="I3126">
        <v>8</v>
      </c>
      <c r="J3126" t="s">
        <v>34</v>
      </c>
      <c r="K3126" t="s">
        <v>24</v>
      </c>
      <c r="L3126">
        <v>66</v>
      </c>
      <c r="M3126">
        <v>77.706000000000003</v>
      </c>
      <c r="N3126">
        <v>80.436780999999996</v>
      </c>
      <c r="O3126">
        <v>22.922000000000001</v>
      </c>
      <c r="P3126">
        <v>31.207999999999998</v>
      </c>
      <c r="Q3126">
        <v>23.515999999999998</v>
      </c>
      <c r="R3126" t="s">
        <v>1376</v>
      </c>
      <c r="S3126" t="s">
        <v>83</v>
      </c>
      <c r="T3126">
        <f>IF(TRIM(Table1[[#This Row],[PitStopLaps]])="",0,
LEN(Table1[[#This Row],[PitStopLaps]])-LEN(SUBSTITUTE(Table1[[#This Row],[PitStopLaps]],",",""))+1)</f>
        <v>3</v>
      </c>
      <c r="U3126">
        <f>Table1[[#This Row],[StartPosition]]-Table1[[#This Row],[FinishPosition]]</f>
        <v>-1</v>
      </c>
    </row>
    <row r="3127" spans="1:21" x14ac:dyDescent="0.3">
      <c r="A3127">
        <v>2025</v>
      </c>
      <c r="B3127">
        <v>9</v>
      </c>
      <c r="C3127" t="s">
        <v>125</v>
      </c>
      <c r="D3127" t="s">
        <v>1337</v>
      </c>
      <c r="E3127" t="s">
        <v>1338</v>
      </c>
      <c r="F3127" t="s">
        <v>1330</v>
      </c>
      <c r="G3127">
        <v>9</v>
      </c>
      <c r="H3127">
        <v>7</v>
      </c>
      <c r="I3127">
        <v>6</v>
      </c>
      <c r="J3127" t="s">
        <v>34</v>
      </c>
      <c r="K3127" t="s">
        <v>24</v>
      </c>
      <c r="L3127">
        <v>66</v>
      </c>
      <c r="M3127">
        <v>77.77</v>
      </c>
      <c r="N3127">
        <v>81.051091999999997</v>
      </c>
      <c r="O3127">
        <v>22.861999999999998</v>
      </c>
      <c r="P3127">
        <v>31.417000000000002</v>
      </c>
      <c r="Q3127">
        <v>23.433</v>
      </c>
      <c r="R3127" t="s">
        <v>1377</v>
      </c>
      <c r="S3127" t="s">
        <v>83</v>
      </c>
      <c r="T3127">
        <f>IF(TRIM(Table1[[#This Row],[PitStopLaps]])="",0,
LEN(Table1[[#This Row],[PitStopLaps]])-LEN(SUBSTITUTE(Table1[[#This Row],[PitStopLaps]],",",""))+1)</f>
        <v>3</v>
      </c>
      <c r="U3127">
        <f>Table1[[#This Row],[StartPosition]]-Table1[[#This Row],[FinishPosition]]</f>
        <v>2</v>
      </c>
    </row>
    <row r="3128" spans="1:21" x14ac:dyDescent="0.3">
      <c r="A3128">
        <v>2025</v>
      </c>
      <c r="B3128">
        <v>9</v>
      </c>
      <c r="C3128" t="s">
        <v>125</v>
      </c>
      <c r="D3128" t="s">
        <v>73</v>
      </c>
      <c r="E3128" t="s">
        <v>74</v>
      </c>
      <c r="F3128" t="s">
        <v>607</v>
      </c>
      <c r="G3128">
        <v>8</v>
      </c>
      <c r="H3128">
        <v>8</v>
      </c>
      <c r="I3128">
        <v>4</v>
      </c>
      <c r="J3128" t="s">
        <v>34</v>
      </c>
      <c r="K3128" t="s">
        <v>24</v>
      </c>
      <c r="L3128">
        <v>66</v>
      </c>
      <c r="M3128">
        <v>77.896000000000001</v>
      </c>
      <c r="N3128">
        <v>81.439333000000005</v>
      </c>
      <c r="O3128">
        <v>22.849</v>
      </c>
      <c r="P3128">
        <v>31.475000000000001</v>
      </c>
      <c r="Q3128">
        <v>23.571999999999999</v>
      </c>
      <c r="R3128" t="s">
        <v>1378</v>
      </c>
      <c r="S3128" t="s">
        <v>83</v>
      </c>
      <c r="T3128">
        <f>IF(TRIM(Table1[[#This Row],[PitStopLaps]])="",0,
LEN(Table1[[#This Row],[PitStopLaps]])-LEN(SUBSTITUTE(Table1[[#This Row],[PitStopLaps]],",",""))+1)</f>
        <v>3</v>
      </c>
      <c r="U3128">
        <f>Table1[[#This Row],[StartPosition]]-Table1[[#This Row],[FinishPosition]]</f>
        <v>0</v>
      </c>
    </row>
    <row r="3129" spans="1:21" x14ac:dyDescent="0.3">
      <c r="A3129">
        <v>2025</v>
      </c>
      <c r="B3129">
        <v>9</v>
      </c>
      <c r="C3129" t="s">
        <v>125</v>
      </c>
      <c r="D3129" t="s">
        <v>35</v>
      </c>
      <c r="E3129" t="s">
        <v>36</v>
      </c>
      <c r="F3129" t="s">
        <v>603</v>
      </c>
      <c r="G3129">
        <v>10</v>
      </c>
      <c r="H3129">
        <v>9</v>
      </c>
      <c r="I3129">
        <v>2</v>
      </c>
      <c r="J3129" t="s">
        <v>34</v>
      </c>
      <c r="K3129" t="s">
        <v>24</v>
      </c>
      <c r="L3129">
        <v>66</v>
      </c>
      <c r="M3129">
        <v>78.128</v>
      </c>
      <c r="N3129">
        <v>81.470370000000003</v>
      </c>
      <c r="O3129">
        <v>22.826999999999899</v>
      </c>
      <c r="P3129">
        <v>31.620999999999999</v>
      </c>
      <c r="Q3129">
        <v>23.550999999999998</v>
      </c>
      <c r="R3129" t="s">
        <v>1379</v>
      </c>
      <c r="S3129" t="s">
        <v>83</v>
      </c>
      <c r="T3129">
        <f>IF(TRIM(Table1[[#This Row],[PitStopLaps]])="",0,
LEN(Table1[[#This Row],[PitStopLaps]])-LEN(SUBSTITUTE(Table1[[#This Row],[PitStopLaps]],",",""))+1)</f>
        <v>3</v>
      </c>
      <c r="U3129">
        <f>Table1[[#This Row],[StartPosition]]-Table1[[#This Row],[FinishPosition]]</f>
        <v>1</v>
      </c>
    </row>
    <row r="3130" spans="1:21" x14ac:dyDescent="0.3">
      <c r="A3130">
        <v>2025</v>
      </c>
      <c r="B3130">
        <v>9</v>
      </c>
      <c r="C3130" t="s">
        <v>125</v>
      </c>
      <c r="D3130" t="s">
        <v>38</v>
      </c>
      <c r="E3130" t="s">
        <v>39</v>
      </c>
      <c r="F3130" t="s">
        <v>33</v>
      </c>
      <c r="G3130">
        <v>3</v>
      </c>
      <c r="H3130">
        <v>10</v>
      </c>
      <c r="I3130">
        <v>1</v>
      </c>
      <c r="J3130" t="s">
        <v>34</v>
      </c>
      <c r="K3130" t="s">
        <v>24</v>
      </c>
      <c r="L3130">
        <v>66</v>
      </c>
      <c r="M3130">
        <v>77.019000000000005</v>
      </c>
      <c r="N3130">
        <v>79.654830000000004</v>
      </c>
      <c r="O3130">
        <v>22.562000000000001</v>
      </c>
      <c r="P3130">
        <v>30.995000000000001</v>
      </c>
      <c r="Q3130">
        <v>23.140999999999998</v>
      </c>
      <c r="R3130" t="s">
        <v>1380</v>
      </c>
      <c r="S3130" t="s">
        <v>83</v>
      </c>
      <c r="T3130">
        <f>IF(TRIM(Table1[[#This Row],[PitStopLaps]])="",0,
LEN(Table1[[#This Row],[PitStopLaps]])-LEN(SUBSTITUTE(Table1[[#This Row],[PitStopLaps]],",",""))+1)</f>
        <v>4</v>
      </c>
      <c r="U3130">
        <f>Table1[[#This Row],[StartPosition]]-Table1[[#This Row],[FinishPosition]]</f>
        <v>-7</v>
      </c>
    </row>
    <row r="3131" spans="1:21" x14ac:dyDescent="0.3">
      <c r="A3131">
        <v>2025</v>
      </c>
      <c r="B3131">
        <v>9</v>
      </c>
      <c r="C3131" t="s">
        <v>125</v>
      </c>
      <c r="D3131" t="s">
        <v>1092</v>
      </c>
      <c r="E3131" t="s">
        <v>1093</v>
      </c>
      <c r="F3131" t="s">
        <v>1330</v>
      </c>
      <c r="G3131">
        <v>13</v>
      </c>
      <c r="H3131">
        <v>11</v>
      </c>
      <c r="I3131">
        <v>0</v>
      </c>
      <c r="J3131" t="s">
        <v>34</v>
      </c>
      <c r="K3131" t="s">
        <v>24</v>
      </c>
      <c r="L3131">
        <v>66</v>
      </c>
      <c r="M3131">
        <v>79.424000000000007</v>
      </c>
      <c r="N3131">
        <v>81.528239999999997</v>
      </c>
      <c r="O3131">
        <v>23.448</v>
      </c>
      <c r="P3131">
        <v>32.003</v>
      </c>
      <c r="Q3131">
        <v>23.821999999999999</v>
      </c>
      <c r="R3131" t="s">
        <v>1381</v>
      </c>
      <c r="S3131" t="s">
        <v>83</v>
      </c>
      <c r="T3131">
        <f>IF(TRIM(Table1[[#This Row],[PitStopLaps]])="",0,
LEN(Table1[[#This Row],[PitStopLaps]])-LEN(SUBSTITUTE(Table1[[#This Row],[PitStopLaps]],",",""))+1)</f>
        <v>2</v>
      </c>
      <c r="U3131">
        <f>Table1[[#This Row],[StartPosition]]-Table1[[#This Row],[FinishPosition]]</f>
        <v>2</v>
      </c>
    </row>
    <row r="3132" spans="1:21" x14ac:dyDescent="0.3">
      <c r="A3132">
        <v>2025</v>
      </c>
      <c r="B3132">
        <v>9</v>
      </c>
      <c r="C3132" t="s">
        <v>125</v>
      </c>
      <c r="D3132" t="s">
        <v>1334</v>
      </c>
      <c r="E3132" t="s">
        <v>1335</v>
      </c>
      <c r="F3132" t="s">
        <v>1175</v>
      </c>
      <c r="G3132">
        <v>12</v>
      </c>
      <c r="H3132">
        <v>12</v>
      </c>
      <c r="I3132">
        <v>0</v>
      </c>
      <c r="J3132" t="s">
        <v>34</v>
      </c>
      <c r="K3132" t="s">
        <v>24</v>
      </c>
      <c r="L3132">
        <v>66</v>
      </c>
      <c r="M3132">
        <v>78.296999999999997</v>
      </c>
      <c r="N3132">
        <v>81.752981000000005</v>
      </c>
      <c r="O3132">
        <v>22.875</v>
      </c>
      <c r="P3132">
        <v>31.542000000000002</v>
      </c>
      <c r="Q3132">
        <v>23.776</v>
      </c>
      <c r="R3132" t="s">
        <v>363</v>
      </c>
      <c r="S3132" t="s">
        <v>83</v>
      </c>
      <c r="T3132">
        <f>IF(TRIM(Table1[[#This Row],[PitStopLaps]])="",0,
LEN(Table1[[#This Row],[PitStopLaps]])-LEN(SUBSTITUTE(Table1[[#This Row],[PitStopLaps]],",",""))+1)</f>
        <v>2</v>
      </c>
      <c r="U3132">
        <f>Table1[[#This Row],[StartPosition]]-Table1[[#This Row],[FinishPosition]]</f>
        <v>0</v>
      </c>
    </row>
    <row r="3133" spans="1:21" x14ac:dyDescent="0.3">
      <c r="A3133">
        <v>2025</v>
      </c>
      <c r="B3133">
        <v>9</v>
      </c>
      <c r="C3133" t="s">
        <v>125</v>
      </c>
      <c r="D3133" t="s">
        <v>601</v>
      </c>
      <c r="E3133" t="s">
        <v>602</v>
      </c>
      <c r="F3133" t="s">
        <v>33</v>
      </c>
      <c r="G3133">
        <v>19</v>
      </c>
      <c r="H3133">
        <v>13</v>
      </c>
      <c r="I3133">
        <v>0</v>
      </c>
      <c r="J3133" t="s">
        <v>34</v>
      </c>
      <c r="K3133" t="s">
        <v>24</v>
      </c>
      <c r="L3133">
        <v>66</v>
      </c>
      <c r="M3133">
        <v>77.998000000000005</v>
      </c>
      <c r="N3133">
        <v>81.179096000000001</v>
      </c>
      <c r="O3133">
        <v>23.164000000000001</v>
      </c>
      <c r="P3133">
        <v>31.43</v>
      </c>
      <c r="Q3133">
        <v>23.404</v>
      </c>
      <c r="R3133" t="s">
        <v>1382</v>
      </c>
      <c r="S3133" t="s">
        <v>83</v>
      </c>
      <c r="T3133">
        <f>IF(TRIM(Table1[[#This Row],[PitStopLaps]])="",0,
LEN(Table1[[#This Row],[PitStopLaps]])-LEN(SUBSTITUTE(Table1[[#This Row],[PitStopLaps]],",",""))+1)</f>
        <v>4</v>
      </c>
      <c r="U3133">
        <f>Table1[[#This Row],[StartPosition]]-Table1[[#This Row],[FinishPosition]]</f>
        <v>6</v>
      </c>
    </row>
    <row r="3134" spans="1:21" x14ac:dyDescent="0.3">
      <c r="A3134">
        <v>2025</v>
      </c>
      <c r="B3134">
        <v>9</v>
      </c>
      <c r="C3134" t="s">
        <v>125</v>
      </c>
      <c r="D3134" t="s">
        <v>47</v>
      </c>
      <c r="E3134" t="s">
        <v>48</v>
      </c>
      <c r="F3134" t="s">
        <v>60</v>
      </c>
      <c r="G3134">
        <v>17</v>
      </c>
      <c r="H3134">
        <v>14</v>
      </c>
      <c r="I3134">
        <v>0</v>
      </c>
      <c r="J3134" t="s">
        <v>34</v>
      </c>
      <c r="K3134" t="s">
        <v>24</v>
      </c>
      <c r="L3134">
        <v>66</v>
      </c>
      <c r="M3134">
        <v>79.316999999999993</v>
      </c>
      <c r="N3134">
        <v>81.449202999999997</v>
      </c>
      <c r="O3134">
        <v>23.117000000000001</v>
      </c>
      <c r="P3134">
        <v>32.405000000000001</v>
      </c>
      <c r="Q3134">
        <v>23.652999999999999</v>
      </c>
      <c r="R3134" t="s">
        <v>1383</v>
      </c>
      <c r="S3134" t="s">
        <v>83</v>
      </c>
      <c r="T3134">
        <f>IF(TRIM(Table1[[#This Row],[PitStopLaps]])="",0,
LEN(Table1[[#This Row],[PitStopLaps]])-LEN(SUBSTITUTE(Table1[[#This Row],[PitStopLaps]],",",""))+1)</f>
        <v>3</v>
      </c>
      <c r="U3134">
        <f>Table1[[#This Row],[StartPosition]]-Table1[[#This Row],[FinishPosition]]</f>
        <v>3</v>
      </c>
    </row>
    <row r="3135" spans="1:21" x14ac:dyDescent="0.3">
      <c r="A3135">
        <v>2025</v>
      </c>
      <c r="B3135">
        <v>9</v>
      </c>
      <c r="C3135" t="s">
        <v>125</v>
      </c>
      <c r="D3135" t="s">
        <v>1283</v>
      </c>
      <c r="E3135" t="s">
        <v>1284</v>
      </c>
      <c r="F3135" t="s">
        <v>607</v>
      </c>
      <c r="G3135">
        <v>18</v>
      </c>
      <c r="H3135">
        <v>15</v>
      </c>
      <c r="I3135">
        <v>0</v>
      </c>
      <c r="J3135" t="s">
        <v>34</v>
      </c>
      <c r="K3135" t="s">
        <v>24</v>
      </c>
      <c r="L3135">
        <v>66</v>
      </c>
      <c r="M3135">
        <v>78.352999999999994</v>
      </c>
      <c r="N3135">
        <v>82.122500000000002</v>
      </c>
      <c r="O3135">
        <v>23.135999999999999</v>
      </c>
      <c r="P3135">
        <v>31.672999999999998</v>
      </c>
      <c r="Q3135">
        <v>23.544</v>
      </c>
      <c r="R3135" t="s">
        <v>1384</v>
      </c>
      <c r="S3135" t="s">
        <v>83</v>
      </c>
      <c r="T3135">
        <f>IF(TRIM(Table1[[#This Row],[PitStopLaps]])="",0,
LEN(Table1[[#This Row],[PitStopLaps]])-LEN(SUBSTITUTE(Table1[[#This Row],[PitStopLaps]],",",""))+1)</f>
        <v>3</v>
      </c>
      <c r="U3135">
        <f>Table1[[#This Row],[StartPosition]]-Table1[[#This Row],[FinishPosition]]</f>
        <v>3</v>
      </c>
    </row>
    <row r="3136" spans="1:21" x14ac:dyDescent="0.3">
      <c r="A3136">
        <v>2025</v>
      </c>
      <c r="B3136">
        <v>9</v>
      </c>
      <c r="C3136" t="s">
        <v>125</v>
      </c>
      <c r="D3136" t="s">
        <v>52</v>
      </c>
      <c r="E3136" t="s">
        <v>53</v>
      </c>
      <c r="F3136" t="s">
        <v>69</v>
      </c>
      <c r="G3136">
        <v>16</v>
      </c>
      <c r="H3136">
        <v>16</v>
      </c>
      <c r="I3136">
        <v>0</v>
      </c>
      <c r="J3136" t="s">
        <v>34</v>
      </c>
      <c r="K3136" t="s">
        <v>24</v>
      </c>
      <c r="L3136">
        <v>66</v>
      </c>
      <c r="M3136">
        <v>78.623999999999995</v>
      </c>
      <c r="N3136">
        <v>81.751851000000002</v>
      </c>
      <c r="O3136">
        <v>22.988</v>
      </c>
      <c r="P3136">
        <v>31.884</v>
      </c>
      <c r="Q3136">
        <v>23.751999999999999</v>
      </c>
      <c r="R3136" t="s">
        <v>302</v>
      </c>
      <c r="S3136" t="s">
        <v>83</v>
      </c>
      <c r="T3136">
        <f>IF(TRIM(Table1[[#This Row],[PitStopLaps]])="",0,
LEN(Table1[[#This Row],[PitStopLaps]])-LEN(SUBSTITUTE(Table1[[#This Row],[PitStopLaps]],",",""))+1)</f>
        <v>2</v>
      </c>
      <c r="U3136">
        <f>Table1[[#This Row],[StartPosition]]-Table1[[#This Row],[FinishPosition]]</f>
        <v>0</v>
      </c>
    </row>
    <row r="3137" spans="1:21" x14ac:dyDescent="0.3">
      <c r="A3137">
        <v>2025</v>
      </c>
      <c r="B3137">
        <v>9</v>
      </c>
      <c r="C3137" t="s">
        <v>125</v>
      </c>
      <c r="D3137" t="s">
        <v>1180</v>
      </c>
      <c r="E3137" t="s">
        <v>1181</v>
      </c>
      <c r="F3137" t="s">
        <v>69</v>
      </c>
      <c r="G3137">
        <v>14</v>
      </c>
      <c r="H3137">
        <v>17</v>
      </c>
      <c r="I3137">
        <v>0</v>
      </c>
      <c r="J3137" t="s">
        <v>34</v>
      </c>
      <c r="K3137" t="s">
        <v>24</v>
      </c>
      <c r="L3137">
        <v>66</v>
      </c>
      <c r="M3137">
        <v>78.906999999999996</v>
      </c>
      <c r="N3137">
        <v>81.614407</v>
      </c>
      <c r="O3137">
        <v>22.884</v>
      </c>
      <c r="P3137">
        <v>32.033999999999999</v>
      </c>
      <c r="Q3137">
        <v>23.936</v>
      </c>
      <c r="R3137" t="s">
        <v>1385</v>
      </c>
      <c r="S3137" t="s">
        <v>83</v>
      </c>
      <c r="T3137">
        <f>IF(TRIM(Table1[[#This Row],[PitStopLaps]])="",0,
LEN(Table1[[#This Row],[PitStopLaps]])-LEN(SUBSTITUTE(Table1[[#This Row],[PitStopLaps]],",",""))+1)</f>
        <v>3</v>
      </c>
      <c r="U3137">
        <f>Table1[[#This Row],[StartPosition]]-Table1[[#This Row],[FinishPosition]]</f>
        <v>-3</v>
      </c>
    </row>
    <row r="3138" spans="1:21" x14ac:dyDescent="0.3">
      <c r="A3138">
        <v>2025</v>
      </c>
      <c r="B3138">
        <v>9</v>
      </c>
      <c r="C3138" t="s">
        <v>125</v>
      </c>
      <c r="D3138" t="s">
        <v>1339</v>
      </c>
      <c r="E3138" t="s">
        <v>1325</v>
      </c>
      <c r="F3138" t="s">
        <v>28</v>
      </c>
      <c r="G3138">
        <v>6</v>
      </c>
      <c r="H3138">
        <v>18</v>
      </c>
      <c r="I3138">
        <v>0</v>
      </c>
      <c r="J3138" t="s">
        <v>34</v>
      </c>
      <c r="K3138" t="s">
        <v>179</v>
      </c>
      <c r="L3138">
        <v>54</v>
      </c>
      <c r="M3138">
        <v>78.254999999999995</v>
      </c>
      <c r="N3138">
        <v>81.075270000000003</v>
      </c>
      <c r="O3138">
        <v>23.382000000000001</v>
      </c>
      <c r="P3138">
        <v>31.542000000000002</v>
      </c>
      <c r="Q3138">
        <v>23.331</v>
      </c>
      <c r="R3138" t="s">
        <v>1262</v>
      </c>
      <c r="S3138" t="s">
        <v>83</v>
      </c>
      <c r="T3138">
        <f>IF(TRIM(Table1[[#This Row],[PitStopLaps]])="",0,
LEN(Table1[[#This Row],[PitStopLaps]])-LEN(SUBSTITUTE(Table1[[#This Row],[PitStopLaps]],",",""))+1)</f>
        <v>2</v>
      </c>
      <c r="U3138">
        <f>Table1[[#This Row],[StartPosition]]-Table1[[#This Row],[FinishPosition]]</f>
        <v>-12</v>
      </c>
    </row>
    <row r="3139" spans="1:21" x14ac:dyDescent="0.3">
      <c r="A3139">
        <v>2025</v>
      </c>
      <c r="B3139">
        <v>9</v>
      </c>
      <c r="C3139" t="s">
        <v>125</v>
      </c>
      <c r="D3139" t="s">
        <v>248</v>
      </c>
      <c r="E3139" t="s">
        <v>249</v>
      </c>
      <c r="F3139" t="s">
        <v>60</v>
      </c>
      <c r="G3139">
        <v>11</v>
      </c>
      <c r="H3139">
        <v>19</v>
      </c>
      <c r="I3139">
        <v>0</v>
      </c>
      <c r="J3139" t="s">
        <v>34</v>
      </c>
      <c r="K3139" t="s">
        <v>179</v>
      </c>
      <c r="L3139">
        <v>27</v>
      </c>
      <c r="M3139">
        <v>80.507999999999996</v>
      </c>
      <c r="N3139">
        <v>82.125135999999998</v>
      </c>
      <c r="O3139">
        <v>23.786999999999999</v>
      </c>
      <c r="P3139">
        <v>32.372999999999998</v>
      </c>
      <c r="Q3139">
        <v>24.183</v>
      </c>
      <c r="R3139" t="s">
        <v>1386</v>
      </c>
      <c r="S3139" t="s">
        <v>83</v>
      </c>
      <c r="T3139">
        <f>IF(TRIM(Table1[[#This Row],[PitStopLaps]])="",0,
LEN(Table1[[#This Row],[PitStopLaps]])-LEN(SUBSTITUTE(Table1[[#This Row],[PitStopLaps]],",",""))+1)</f>
        <v>3</v>
      </c>
      <c r="U3139">
        <f>Table1[[#This Row],[StartPosition]]-Table1[[#This Row],[FinishPosition]]</f>
        <v>-8</v>
      </c>
    </row>
    <row r="3140" spans="1:21" x14ac:dyDescent="0.3">
      <c r="A3140">
        <v>2025</v>
      </c>
      <c r="B3140">
        <v>10</v>
      </c>
      <c r="C3140" t="s">
        <v>142</v>
      </c>
      <c r="D3140" t="s">
        <v>252</v>
      </c>
      <c r="E3140" t="s">
        <v>253</v>
      </c>
      <c r="F3140" t="s">
        <v>28</v>
      </c>
      <c r="G3140">
        <v>1</v>
      </c>
      <c r="H3140">
        <v>1</v>
      </c>
      <c r="I3140">
        <v>25</v>
      </c>
      <c r="J3140" t="s">
        <v>23</v>
      </c>
      <c r="K3140" t="s">
        <v>24</v>
      </c>
      <c r="L3140">
        <v>70</v>
      </c>
      <c r="M3140">
        <v>74.119</v>
      </c>
      <c r="N3140">
        <v>75.529131000000007</v>
      </c>
      <c r="O3140">
        <v>20.623999999999999</v>
      </c>
      <c r="P3140">
        <v>23.41</v>
      </c>
      <c r="Q3140">
        <v>30.021999999999998</v>
      </c>
      <c r="R3140" t="s">
        <v>1387</v>
      </c>
      <c r="S3140" t="s">
        <v>25</v>
      </c>
      <c r="T3140">
        <f>IF(TRIM(Table1[[#This Row],[PitStopLaps]])="",0,
LEN(Table1[[#This Row],[PitStopLaps]])-LEN(SUBSTITUTE(Table1[[#This Row],[PitStopLaps]],",",""))+1)</f>
        <v>5</v>
      </c>
      <c r="U3140">
        <f>Table1[[#This Row],[StartPosition]]-Table1[[#This Row],[FinishPosition]]</f>
        <v>0</v>
      </c>
    </row>
    <row r="3141" spans="1:21" x14ac:dyDescent="0.3">
      <c r="A3141">
        <v>2025</v>
      </c>
      <c r="B3141">
        <v>10</v>
      </c>
      <c r="C3141" t="s">
        <v>142</v>
      </c>
      <c r="D3141" t="s">
        <v>38</v>
      </c>
      <c r="E3141" t="s">
        <v>39</v>
      </c>
      <c r="F3141" t="s">
        <v>33</v>
      </c>
      <c r="G3141">
        <v>2</v>
      </c>
      <c r="H3141">
        <v>2</v>
      </c>
      <c r="I3141">
        <v>18</v>
      </c>
      <c r="J3141" t="s">
        <v>23</v>
      </c>
      <c r="K3141" t="s">
        <v>24</v>
      </c>
      <c r="L3141">
        <v>70</v>
      </c>
      <c r="M3141">
        <v>74.287000000000006</v>
      </c>
      <c r="N3141">
        <v>75.547278000000006</v>
      </c>
      <c r="O3141">
        <v>20.699000000000002</v>
      </c>
      <c r="P3141">
        <v>23.494</v>
      </c>
      <c r="Q3141">
        <v>29.739000000000001</v>
      </c>
      <c r="R3141" t="s">
        <v>1388</v>
      </c>
      <c r="S3141" t="s">
        <v>25</v>
      </c>
      <c r="T3141">
        <f>IF(TRIM(Table1[[#This Row],[PitStopLaps]])="",0,
LEN(Table1[[#This Row],[PitStopLaps]])-LEN(SUBSTITUTE(Table1[[#This Row],[PitStopLaps]],",",""))+1)</f>
        <v>5</v>
      </c>
      <c r="U3141">
        <f>Table1[[#This Row],[StartPosition]]-Table1[[#This Row],[FinishPosition]]</f>
        <v>0</v>
      </c>
    </row>
    <row r="3142" spans="1:21" x14ac:dyDescent="0.3">
      <c r="A3142">
        <v>2025</v>
      </c>
      <c r="B3142">
        <v>10</v>
      </c>
      <c r="C3142" t="s">
        <v>142</v>
      </c>
      <c r="D3142" t="s">
        <v>1339</v>
      </c>
      <c r="E3142" t="s">
        <v>1325</v>
      </c>
      <c r="F3142" t="s">
        <v>28</v>
      </c>
      <c r="G3142">
        <v>4</v>
      </c>
      <c r="H3142">
        <v>3</v>
      </c>
      <c r="I3142">
        <v>15</v>
      </c>
      <c r="J3142" t="s">
        <v>23</v>
      </c>
      <c r="K3142" t="s">
        <v>24</v>
      </c>
      <c r="L3142">
        <v>70</v>
      </c>
      <c r="M3142">
        <v>74.454999999999998</v>
      </c>
      <c r="N3142">
        <v>75.570376999999993</v>
      </c>
      <c r="O3142">
        <v>20.736000000000001</v>
      </c>
      <c r="P3142">
        <v>23.513999999999999</v>
      </c>
      <c r="Q3142">
        <v>30.021000000000001</v>
      </c>
      <c r="R3142" t="s">
        <v>1389</v>
      </c>
      <c r="S3142" t="s">
        <v>25</v>
      </c>
      <c r="T3142">
        <f>IF(TRIM(Table1[[#This Row],[PitStopLaps]])="",0,
LEN(Table1[[#This Row],[PitStopLaps]])-LEN(SUBSTITUTE(Table1[[#This Row],[PitStopLaps]],",",""))+1)</f>
        <v>5</v>
      </c>
      <c r="U3142">
        <f>Table1[[#This Row],[StartPosition]]-Table1[[#This Row],[FinishPosition]]</f>
        <v>1</v>
      </c>
    </row>
    <row r="3143" spans="1:21" x14ac:dyDescent="0.3">
      <c r="A3143">
        <v>2025</v>
      </c>
      <c r="B3143">
        <v>10</v>
      </c>
      <c r="C3143" t="s">
        <v>142</v>
      </c>
      <c r="D3143" t="s">
        <v>1000</v>
      </c>
      <c r="E3143" t="s">
        <v>1001</v>
      </c>
      <c r="F3143" t="s">
        <v>37</v>
      </c>
      <c r="G3143">
        <v>3</v>
      </c>
      <c r="H3143">
        <v>4</v>
      </c>
      <c r="I3143">
        <v>12</v>
      </c>
      <c r="J3143" t="s">
        <v>34</v>
      </c>
      <c r="K3143" t="s">
        <v>24</v>
      </c>
      <c r="L3143">
        <v>70</v>
      </c>
      <c r="M3143">
        <v>74.254999999999995</v>
      </c>
      <c r="N3143">
        <v>75.601229000000004</v>
      </c>
      <c r="O3143">
        <v>20.69</v>
      </c>
      <c r="P3143">
        <v>23.515999999999998</v>
      </c>
      <c r="Q3143">
        <v>29.760999999999999</v>
      </c>
      <c r="R3143" t="s">
        <v>1390</v>
      </c>
      <c r="S3143" t="s">
        <v>25</v>
      </c>
      <c r="T3143">
        <f>IF(TRIM(Table1[[#This Row],[PitStopLaps]])="",0,
LEN(Table1[[#This Row],[PitStopLaps]])-LEN(SUBSTITUTE(Table1[[#This Row],[PitStopLaps]],",",""))+1)</f>
        <v>5</v>
      </c>
      <c r="U3143">
        <f>Table1[[#This Row],[StartPosition]]-Table1[[#This Row],[FinishPosition]]</f>
        <v>-1</v>
      </c>
    </row>
    <row r="3144" spans="1:21" x14ac:dyDescent="0.3">
      <c r="A3144">
        <v>2025</v>
      </c>
      <c r="B3144">
        <v>10</v>
      </c>
      <c r="C3144" t="s">
        <v>142</v>
      </c>
      <c r="D3144" t="s">
        <v>54</v>
      </c>
      <c r="E3144" t="s">
        <v>55</v>
      </c>
      <c r="F3144" t="s">
        <v>22</v>
      </c>
      <c r="G3144">
        <v>8</v>
      </c>
      <c r="H3144">
        <v>5</v>
      </c>
      <c r="I3144">
        <v>10</v>
      </c>
      <c r="J3144" t="s">
        <v>34</v>
      </c>
      <c r="K3144" t="s">
        <v>24</v>
      </c>
      <c r="L3144">
        <v>70</v>
      </c>
      <c r="M3144">
        <v>74.260999999999996</v>
      </c>
      <c r="N3144">
        <v>75.859295000000003</v>
      </c>
      <c r="O3144">
        <v>20.651</v>
      </c>
      <c r="P3144">
        <v>23.498000000000001</v>
      </c>
      <c r="Q3144">
        <v>29.986000000000001</v>
      </c>
      <c r="R3144" t="s">
        <v>1391</v>
      </c>
      <c r="S3144" t="s">
        <v>25</v>
      </c>
      <c r="T3144">
        <f>IF(TRIM(Table1[[#This Row],[PitStopLaps]])="",0,
LEN(Table1[[#This Row],[PitStopLaps]])-LEN(SUBSTITUTE(Table1[[#This Row],[PitStopLaps]],",",""))+1)</f>
        <v>5</v>
      </c>
      <c r="U3144">
        <f>Table1[[#This Row],[StartPosition]]-Table1[[#This Row],[FinishPosition]]</f>
        <v>3</v>
      </c>
    </row>
    <row r="3145" spans="1:21" x14ac:dyDescent="0.3">
      <c r="A3145">
        <v>2025</v>
      </c>
      <c r="B3145">
        <v>10</v>
      </c>
      <c r="C3145" t="s">
        <v>142</v>
      </c>
      <c r="D3145" t="s">
        <v>26</v>
      </c>
      <c r="E3145" t="s">
        <v>27</v>
      </c>
      <c r="F3145" t="s">
        <v>22</v>
      </c>
      <c r="G3145">
        <v>5</v>
      </c>
      <c r="H3145">
        <v>6</v>
      </c>
      <c r="I3145">
        <v>8</v>
      </c>
      <c r="J3145" t="s">
        <v>34</v>
      </c>
      <c r="K3145" t="s">
        <v>24</v>
      </c>
      <c r="L3145">
        <v>70</v>
      </c>
      <c r="M3145">
        <v>74.805000000000007</v>
      </c>
      <c r="N3145">
        <v>76.175899999999999</v>
      </c>
      <c r="O3145">
        <v>20.831</v>
      </c>
      <c r="P3145">
        <v>23.632000000000001</v>
      </c>
      <c r="Q3145">
        <v>30.315999999999999</v>
      </c>
      <c r="R3145" t="s">
        <v>1392</v>
      </c>
      <c r="S3145" t="s">
        <v>25</v>
      </c>
      <c r="T3145">
        <f>IF(TRIM(Table1[[#This Row],[PitStopLaps]])="",0,
LEN(Table1[[#This Row],[PitStopLaps]])-LEN(SUBSTITUTE(Table1[[#This Row],[PitStopLaps]],",",""))+1)</f>
        <v>5</v>
      </c>
      <c r="U3145">
        <f>Table1[[#This Row],[StartPosition]]-Table1[[#This Row],[FinishPosition]]</f>
        <v>-1</v>
      </c>
    </row>
    <row r="3146" spans="1:21" x14ac:dyDescent="0.3">
      <c r="A3146">
        <v>2025</v>
      </c>
      <c r="B3146">
        <v>10</v>
      </c>
      <c r="C3146" t="s">
        <v>142</v>
      </c>
      <c r="D3146" t="s">
        <v>35</v>
      </c>
      <c r="E3146" t="s">
        <v>36</v>
      </c>
      <c r="F3146" t="s">
        <v>603</v>
      </c>
      <c r="G3146">
        <v>6</v>
      </c>
      <c r="H3146">
        <v>7</v>
      </c>
      <c r="I3146">
        <v>6</v>
      </c>
      <c r="J3146" t="s">
        <v>34</v>
      </c>
      <c r="K3146" t="s">
        <v>24</v>
      </c>
      <c r="L3146">
        <v>70</v>
      </c>
      <c r="M3146">
        <v>75.024000000000001</v>
      </c>
      <c r="N3146">
        <v>76.594865999999996</v>
      </c>
      <c r="O3146">
        <v>20.814</v>
      </c>
      <c r="P3146">
        <v>23.652999999999999</v>
      </c>
      <c r="Q3146">
        <v>30.052</v>
      </c>
      <c r="R3146" t="s">
        <v>1393</v>
      </c>
      <c r="S3146" t="s">
        <v>25</v>
      </c>
      <c r="T3146">
        <f>IF(TRIM(Table1[[#This Row],[PitStopLaps]])="",0,
LEN(Table1[[#This Row],[PitStopLaps]])-LEN(SUBSTITUTE(Table1[[#This Row],[PitStopLaps]],",",""))+1)</f>
        <v>6</v>
      </c>
      <c r="U3146">
        <f>Table1[[#This Row],[StartPosition]]-Table1[[#This Row],[FinishPosition]]</f>
        <v>-1</v>
      </c>
    </row>
    <row r="3147" spans="1:21" x14ac:dyDescent="0.3">
      <c r="A3147">
        <v>2025</v>
      </c>
      <c r="B3147">
        <v>10</v>
      </c>
      <c r="C3147" t="s">
        <v>142</v>
      </c>
      <c r="D3147" t="s">
        <v>40</v>
      </c>
      <c r="E3147" t="s">
        <v>41</v>
      </c>
      <c r="F3147" t="s">
        <v>1175</v>
      </c>
      <c r="G3147">
        <v>11</v>
      </c>
      <c r="H3147">
        <v>8</v>
      </c>
      <c r="I3147">
        <v>4</v>
      </c>
      <c r="J3147" t="s">
        <v>34</v>
      </c>
      <c r="K3147" t="s">
        <v>24</v>
      </c>
      <c r="L3147">
        <v>70</v>
      </c>
      <c r="M3147">
        <v>75.372</v>
      </c>
      <c r="N3147">
        <v>76.881547999999995</v>
      </c>
      <c r="O3147">
        <v>21.026</v>
      </c>
      <c r="P3147">
        <v>23.797000000000001</v>
      </c>
      <c r="Q3147">
        <v>30.06</v>
      </c>
      <c r="R3147" t="s">
        <v>1394</v>
      </c>
      <c r="S3147" t="s">
        <v>25</v>
      </c>
      <c r="T3147">
        <f>IF(TRIM(Table1[[#This Row],[PitStopLaps]])="",0,
LEN(Table1[[#This Row],[PitStopLaps]])-LEN(SUBSTITUTE(Table1[[#This Row],[PitStopLaps]],",",""))+1)</f>
        <v>5</v>
      </c>
      <c r="U3147">
        <f>Table1[[#This Row],[StartPosition]]-Table1[[#This Row],[FinishPosition]]</f>
        <v>3</v>
      </c>
    </row>
    <row r="3148" spans="1:21" x14ac:dyDescent="0.3">
      <c r="A3148">
        <v>2025</v>
      </c>
      <c r="B3148">
        <v>10</v>
      </c>
      <c r="C3148" t="s">
        <v>142</v>
      </c>
      <c r="D3148" t="s">
        <v>52</v>
      </c>
      <c r="E3148" t="s">
        <v>53</v>
      </c>
      <c r="F3148" t="s">
        <v>69</v>
      </c>
      <c r="G3148">
        <v>14</v>
      </c>
      <c r="H3148">
        <v>9</v>
      </c>
      <c r="I3148">
        <v>2</v>
      </c>
      <c r="J3148" t="s">
        <v>34</v>
      </c>
      <c r="K3148" t="s">
        <v>994</v>
      </c>
      <c r="L3148">
        <v>69</v>
      </c>
      <c r="M3148">
        <v>74.593000000000004</v>
      </c>
      <c r="N3148">
        <v>77.044499999999999</v>
      </c>
      <c r="O3148">
        <v>20.754000000000001</v>
      </c>
      <c r="P3148">
        <v>23.594999999999999</v>
      </c>
      <c r="Q3148">
        <v>30.047000000000001</v>
      </c>
      <c r="R3148" t="s">
        <v>1395</v>
      </c>
      <c r="S3148" t="s">
        <v>25</v>
      </c>
      <c r="T3148">
        <f>IF(TRIM(Table1[[#This Row],[PitStopLaps]])="",0,
LEN(Table1[[#This Row],[PitStopLaps]])-LEN(SUBSTITUTE(Table1[[#This Row],[PitStopLaps]],",",""))+1)</f>
        <v>4</v>
      </c>
      <c r="U3148">
        <f>Table1[[#This Row],[StartPosition]]-Table1[[#This Row],[FinishPosition]]</f>
        <v>5</v>
      </c>
    </row>
    <row r="3149" spans="1:21" x14ac:dyDescent="0.3">
      <c r="A3149">
        <v>2025</v>
      </c>
      <c r="B3149">
        <v>10</v>
      </c>
      <c r="C3149" t="s">
        <v>142</v>
      </c>
      <c r="D3149" t="s">
        <v>47</v>
      </c>
      <c r="E3149" t="s">
        <v>48</v>
      </c>
      <c r="F3149" t="s">
        <v>60</v>
      </c>
      <c r="G3149">
        <v>16</v>
      </c>
      <c r="H3149">
        <v>10</v>
      </c>
      <c r="I3149">
        <v>1</v>
      </c>
      <c r="J3149" t="s">
        <v>34</v>
      </c>
      <c r="K3149" t="s">
        <v>994</v>
      </c>
      <c r="L3149">
        <v>69</v>
      </c>
      <c r="M3149">
        <v>74.388999999999996</v>
      </c>
      <c r="N3149">
        <v>77.091111999999995</v>
      </c>
      <c r="O3149">
        <v>20.712</v>
      </c>
      <c r="P3149">
        <v>23.559000000000001</v>
      </c>
      <c r="Q3149">
        <v>30.009</v>
      </c>
      <c r="R3149" t="s">
        <v>1395</v>
      </c>
      <c r="S3149" t="s">
        <v>25</v>
      </c>
      <c r="T3149">
        <f>IF(TRIM(Table1[[#This Row],[PitStopLaps]])="",0,
LEN(Table1[[#This Row],[PitStopLaps]])-LEN(SUBSTITUTE(Table1[[#This Row],[PitStopLaps]],",",""))+1)</f>
        <v>4</v>
      </c>
      <c r="U3149">
        <f>Table1[[#This Row],[StartPosition]]-Table1[[#This Row],[FinishPosition]]</f>
        <v>6</v>
      </c>
    </row>
    <row r="3150" spans="1:21" x14ac:dyDescent="0.3">
      <c r="A3150">
        <v>2025</v>
      </c>
      <c r="B3150">
        <v>10</v>
      </c>
      <c r="C3150" t="s">
        <v>142</v>
      </c>
      <c r="D3150" t="s">
        <v>1180</v>
      </c>
      <c r="E3150" t="s">
        <v>1181</v>
      </c>
      <c r="F3150" t="s">
        <v>69</v>
      </c>
      <c r="G3150">
        <v>13</v>
      </c>
      <c r="H3150">
        <v>11</v>
      </c>
      <c r="I3150">
        <v>0</v>
      </c>
      <c r="J3150" t="s">
        <v>34</v>
      </c>
      <c r="K3150" t="s">
        <v>994</v>
      </c>
      <c r="L3150">
        <v>69</v>
      </c>
      <c r="M3150">
        <v>75.397000000000006</v>
      </c>
      <c r="N3150">
        <v>77.199532000000005</v>
      </c>
      <c r="O3150">
        <v>20.899000000000001</v>
      </c>
      <c r="P3150">
        <v>23.792000000000002</v>
      </c>
      <c r="Q3150">
        <v>30.481000000000002</v>
      </c>
      <c r="R3150" t="s">
        <v>1396</v>
      </c>
      <c r="S3150" t="s">
        <v>25</v>
      </c>
      <c r="T3150">
        <f>IF(TRIM(Table1[[#This Row],[PitStopLaps]])="",0,
LEN(Table1[[#This Row],[PitStopLaps]])-LEN(SUBSTITUTE(Table1[[#This Row],[PitStopLaps]],",",""))+1)</f>
        <v>4</v>
      </c>
      <c r="U3150">
        <f>Table1[[#This Row],[StartPosition]]-Table1[[#This Row],[FinishPosition]]</f>
        <v>2</v>
      </c>
    </row>
    <row r="3151" spans="1:21" x14ac:dyDescent="0.3">
      <c r="A3151">
        <v>2025</v>
      </c>
      <c r="B3151">
        <v>10</v>
      </c>
      <c r="C3151" t="s">
        <v>142</v>
      </c>
      <c r="D3151" t="s">
        <v>601</v>
      </c>
      <c r="E3151" t="s">
        <v>602</v>
      </c>
      <c r="F3151" t="s">
        <v>33</v>
      </c>
      <c r="G3151">
        <v>18</v>
      </c>
      <c r="H3151">
        <v>12</v>
      </c>
      <c r="I3151">
        <v>0</v>
      </c>
      <c r="J3151" t="s">
        <v>34</v>
      </c>
      <c r="K3151" t="s">
        <v>994</v>
      </c>
      <c r="L3151">
        <v>69</v>
      </c>
      <c r="M3151">
        <v>75.358000000000004</v>
      </c>
      <c r="N3151">
        <v>77.323419000000001</v>
      </c>
      <c r="O3151">
        <v>20.978999999999999</v>
      </c>
      <c r="P3151">
        <v>23.728000000000002</v>
      </c>
      <c r="Q3151">
        <v>30.295000000000002</v>
      </c>
      <c r="R3151" t="s">
        <v>1397</v>
      </c>
      <c r="S3151" t="s">
        <v>25</v>
      </c>
      <c r="T3151">
        <f>IF(TRIM(Table1[[#This Row],[PitStopLaps]])="",0,
LEN(Table1[[#This Row],[PitStopLaps]])-LEN(SUBSTITUTE(Table1[[#This Row],[PitStopLaps]],",",""))+1)</f>
        <v>4</v>
      </c>
      <c r="U3151">
        <f>Table1[[#This Row],[StartPosition]]-Table1[[#This Row],[FinishPosition]]</f>
        <v>6</v>
      </c>
    </row>
    <row r="3152" spans="1:21" x14ac:dyDescent="0.3">
      <c r="A3152">
        <v>2025</v>
      </c>
      <c r="B3152">
        <v>10</v>
      </c>
      <c r="C3152" t="s">
        <v>142</v>
      </c>
      <c r="D3152" t="s">
        <v>1283</v>
      </c>
      <c r="E3152" t="s">
        <v>1284</v>
      </c>
      <c r="F3152" t="s">
        <v>607</v>
      </c>
      <c r="G3152">
        <v>10</v>
      </c>
      <c r="H3152">
        <v>13</v>
      </c>
      <c r="I3152">
        <v>0</v>
      </c>
      <c r="J3152" t="s">
        <v>34</v>
      </c>
      <c r="K3152" t="s">
        <v>994</v>
      </c>
      <c r="L3152">
        <v>69</v>
      </c>
      <c r="M3152">
        <v>76.075999999999993</v>
      </c>
      <c r="N3152">
        <v>77.349902999999998</v>
      </c>
      <c r="O3152">
        <v>21.202999999999999</v>
      </c>
      <c r="P3152">
        <v>23.888999999999999</v>
      </c>
      <c r="Q3152">
        <v>30.498999999999999</v>
      </c>
      <c r="R3152" t="s">
        <v>1398</v>
      </c>
      <c r="S3152" t="s">
        <v>25</v>
      </c>
      <c r="T3152">
        <f>IF(TRIM(Table1[[#This Row],[PitStopLaps]])="",0,
LEN(Table1[[#This Row],[PitStopLaps]])-LEN(SUBSTITUTE(Table1[[#This Row],[PitStopLaps]],",",""))+1)</f>
        <v>4</v>
      </c>
      <c r="U3152">
        <f>Table1[[#This Row],[StartPosition]]-Table1[[#This Row],[FinishPosition]]</f>
        <v>-3</v>
      </c>
    </row>
    <row r="3153" spans="1:21" x14ac:dyDescent="0.3">
      <c r="A3153">
        <v>2025</v>
      </c>
      <c r="B3153">
        <v>10</v>
      </c>
      <c r="C3153" t="s">
        <v>142</v>
      </c>
      <c r="D3153" t="s">
        <v>1334</v>
      </c>
      <c r="E3153" t="s">
        <v>1335</v>
      </c>
      <c r="F3153" t="s">
        <v>1175</v>
      </c>
      <c r="G3153">
        <v>15</v>
      </c>
      <c r="H3153">
        <v>14</v>
      </c>
      <c r="I3153">
        <v>0</v>
      </c>
      <c r="J3153" t="s">
        <v>34</v>
      </c>
      <c r="K3153" t="s">
        <v>994</v>
      </c>
      <c r="L3153">
        <v>69</v>
      </c>
      <c r="M3153">
        <v>75.414000000000001</v>
      </c>
      <c r="N3153">
        <v>77.375450999999998</v>
      </c>
      <c r="O3153">
        <v>21.116</v>
      </c>
      <c r="P3153">
        <v>23.975000000000001</v>
      </c>
      <c r="Q3153">
        <v>30.268000000000001</v>
      </c>
      <c r="R3153" t="s">
        <v>1399</v>
      </c>
      <c r="S3153" t="s">
        <v>25</v>
      </c>
      <c r="T3153">
        <f>IF(TRIM(Table1[[#This Row],[PitStopLaps]])="",0,
LEN(Table1[[#This Row],[PitStopLaps]])-LEN(SUBSTITUTE(Table1[[#This Row],[PitStopLaps]],",",""))+1)</f>
        <v>4</v>
      </c>
      <c r="U3153">
        <f>Table1[[#This Row],[StartPosition]]-Table1[[#This Row],[FinishPosition]]</f>
        <v>1</v>
      </c>
    </row>
    <row r="3154" spans="1:21" x14ac:dyDescent="0.3">
      <c r="A3154">
        <v>2025</v>
      </c>
      <c r="B3154">
        <v>10</v>
      </c>
      <c r="C3154" t="s">
        <v>142</v>
      </c>
      <c r="D3154" t="s">
        <v>73</v>
      </c>
      <c r="E3154" t="s">
        <v>74</v>
      </c>
      <c r="F3154" t="s">
        <v>607</v>
      </c>
      <c r="G3154">
        <v>20</v>
      </c>
      <c r="H3154">
        <v>15</v>
      </c>
      <c r="I3154">
        <v>0</v>
      </c>
      <c r="J3154" t="s">
        <v>34</v>
      </c>
      <c r="K3154" t="s">
        <v>994</v>
      </c>
      <c r="L3154">
        <v>69</v>
      </c>
      <c r="M3154">
        <v>74.992999999999995</v>
      </c>
      <c r="N3154">
        <v>77.360579999999999</v>
      </c>
      <c r="O3154">
        <v>20.89</v>
      </c>
      <c r="P3154">
        <v>23.7</v>
      </c>
      <c r="Q3154">
        <v>30.181000000000001</v>
      </c>
      <c r="R3154" t="s">
        <v>1400</v>
      </c>
      <c r="S3154" t="s">
        <v>25</v>
      </c>
      <c r="T3154">
        <f>IF(TRIM(Table1[[#This Row],[PitStopLaps]])="",0,
LEN(Table1[[#This Row],[PitStopLaps]])-LEN(SUBSTITUTE(Table1[[#This Row],[PitStopLaps]],",",""))+1)</f>
        <v>4</v>
      </c>
      <c r="U3154">
        <f>Table1[[#This Row],[StartPosition]]-Table1[[#This Row],[FinishPosition]]</f>
        <v>5</v>
      </c>
    </row>
    <row r="3155" spans="1:21" x14ac:dyDescent="0.3">
      <c r="A3155">
        <v>2025</v>
      </c>
      <c r="B3155">
        <v>10</v>
      </c>
      <c r="C3155" t="s">
        <v>142</v>
      </c>
      <c r="D3155" t="s">
        <v>1337</v>
      </c>
      <c r="E3155" t="s">
        <v>1338</v>
      </c>
      <c r="F3155" t="s">
        <v>1330</v>
      </c>
      <c r="G3155">
        <v>12</v>
      </c>
      <c r="H3155">
        <v>16</v>
      </c>
      <c r="I3155">
        <v>0</v>
      </c>
      <c r="J3155" t="s">
        <v>34</v>
      </c>
      <c r="K3155" t="s">
        <v>994</v>
      </c>
      <c r="L3155">
        <v>69</v>
      </c>
      <c r="M3155">
        <v>76.292000000000002</v>
      </c>
      <c r="N3155">
        <v>77.388129000000006</v>
      </c>
      <c r="O3155">
        <v>21.391999999999999</v>
      </c>
      <c r="P3155">
        <v>24.157</v>
      </c>
      <c r="Q3155">
        <v>30.419</v>
      </c>
      <c r="R3155" t="s">
        <v>1401</v>
      </c>
      <c r="S3155" t="s">
        <v>25</v>
      </c>
      <c r="T3155">
        <f>IF(TRIM(Table1[[#This Row],[PitStopLaps]])="",0,
LEN(Table1[[#This Row],[PitStopLaps]])-LEN(SUBSTITUTE(Table1[[#This Row],[PitStopLaps]],",",""))+1)</f>
        <v>4</v>
      </c>
      <c r="U3155">
        <f>Table1[[#This Row],[StartPosition]]-Table1[[#This Row],[FinishPosition]]</f>
        <v>-4</v>
      </c>
    </row>
    <row r="3156" spans="1:21" x14ac:dyDescent="0.3">
      <c r="A3156">
        <v>2025</v>
      </c>
      <c r="B3156">
        <v>10</v>
      </c>
      <c r="C3156" t="s">
        <v>142</v>
      </c>
      <c r="D3156" t="s">
        <v>58</v>
      </c>
      <c r="E3156" t="s">
        <v>59</v>
      </c>
      <c r="F3156" t="s">
        <v>603</v>
      </c>
      <c r="G3156">
        <v>17</v>
      </c>
      <c r="H3156">
        <v>17</v>
      </c>
      <c r="I3156">
        <v>0</v>
      </c>
      <c r="J3156" t="s">
        <v>34</v>
      </c>
      <c r="K3156" t="s">
        <v>994</v>
      </c>
      <c r="L3156">
        <v>69</v>
      </c>
      <c r="M3156">
        <v>74.902000000000001</v>
      </c>
      <c r="N3156">
        <v>76.959066000000007</v>
      </c>
      <c r="O3156">
        <v>20.861999999999998</v>
      </c>
      <c r="P3156">
        <v>23.602</v>
      </c>
      <c r="Q3156">
        <v>30.245999999999999</v>
      </c>
      <c r="R3156" t="s">
        <v>1402</v>
      </c>
      <c r="S3156" t="s">
        <v>25</v>
      </c>
      <c r="T3156">
        <f>IF(TRIM(Table1[[#This Row],[PitStopLaps]])="",0,
LEN(Table1[[#This Row],[PitStopLaps]])-LEN(SUBSTITUTE(Table1[[#This Row],[PitStopLaps]],",",""))+1)</f>
        <v>5</v>
      </c>
      <c r="U3156">
        <f>Table1[[#This Row],[StartPosition]]-Table1[[#This Row],[FinishPosition]]</f>
        <v>0</v>
      </c>
    </row>
    <row r="3157" spans="1:21" x14ac:dyDescent="0.3">
      <c r="A3157">
        <v>2025</v>
      </c>
      <c r="B3157">
        <v>10</v>
      </c>
      <c r="C3157" t="s">
        <v>142</v>
      </c>
      <c r="D3157" t="s">
        <v>246</v>
      </c>
      <c r="E3157" t="s">
        <v>247</v>
      </c>
      <c r="F3157" t="s">
        <v>37</v>
      </c>
      <c r="G3157">
        <v>7</v>
      </c>
      <c r="H3157">
        <v>18</v>
      </c>
      <c r="I3157">
        <v>0</v>
      </c>
      <c r="J3157" t="s">
        <v>34</v>
      </c>
      <c r="K3157" t="s">
        <v>179</v>
      </c>
      <c r="L3157">
        <v>67</v>
      </c>
      <c r="M3157">
        <v>74.228999999999999</v>
      </c>
      <c r="N3157">
        <v>75.602491000000001</v>
      </c>
      <c r="O3157">
        <v>20.692</v>
      </c>
      <c r="P3157">
        <v>23.463999999999999</v>
      </c>
      <c r="Q3157">
        <v>29.597999999999999</v>
      </c>
      <c r="R3157" t="s">
        <v>1351</v>
      </c>
      <c r="S3157" t="s">
        <v>25</v>
      </c>
      <c r="T3157">
        <f>IF(TRIM(Table1[[#This Row],[PitStopLaps]])="",0,
LEN(Table1[[#This Row],[PitStopLaps]])-LEN(SUBSTITUTE(Table1[[#This Row],[PitStopLaps]],",",""))+1)</f>
        <v>2</v>
      </c>
      <c r="U3157">
        <f>Table1[[#This Row],[StartPosition]]-Table1[[#This Row],[FinishPosition]]</f>
        <v>-11</v>
      </c>
    </row>
    <row r="3158" spans="1:21" x14ac:dyDescent="0.3">
      <c r="A3158">
        <v>2025</v>
      </c>
      <c r="B3158">
        <v>10</v>
      </c>
      <c r="C3158" t="s">
        <v>142</v>
      </c>
      <c r="D3158" t="s">
        <v>1092</v>
      </c>
      <c r="E3158" t="s">
        <v>1093</v>
      </c>
      <c r="F3158" t="s">
        <v>1330</v>
      </c>
      <c r="G3158">
        <v>19</v>
      </c>
      <c r="H3158">
        <v>19</v>
      </c>
      <c r="I3158">
        <v>0</v>
      </c>
      <c r="J3158" t="s">
        <v>34</v>
      </c>
      <c r="K3158" t="s">
        <v>179</v>
      </c>
      <c r="L3158">
        <v>54</v>
      </c>
      <c r="M3158">
        <v>76.319999999999993</v>
      </c>
      <c r="N3158">
        <v>77.764259999999993</v>
      </c>
      <c r="O3158">
        <v>21.213000000000001</v>
      </c>
      <c r="P3158">
        <v>24.274000000000001</v>
      </c>
      <c r="Q3158">
        <v>30.655999999999999</v>
      </c>
      <c r="R3158" t="s">
        <v>1403</v>
      </c>
      <c r="S3158" t="s">
        <v>25</v>
      </c>
      <c r="T3158">
        <f>IF(TRIM(Table1[[#This Row],[PitStopLaps]])="",0,
LEN(Table1[[#This Row],[PitStopLaps]])-LEN(SUBSTITUTE(Table1[[#This Row],[PitStopLaps]],",",""))+1)</f>
        <v>2</v>
      </c>
      <c r="U3158">
        <f>Table1[[#This Row],[StartPosition]]-Table1[[#This Row],[FinishPosition]]</f>
        <v>0</v>
      </c>
    </row>
    <row r="3159" spans="1:21" x14ac:dyDescent="0.3">
      <c r="A3159">
        <v>2025</v>
      </c>
      <c r="B3159">
        <v>10</v>
      </c>
      <c r="C3159" t="s">
        <v>142</v>
      </c>
      <c r="D3159" t="s">
        <v>248</v>
      </c>
      <c r="E3159" t="s">
        <v>249</v>
      </c>
      <c r="F3159" t="s">
        <v>60</v>
      </c>
      <c r="G3159">
        <v>9</v>
      </c>
      <c r="H3159">
        <v>20</v>
      </c>
      <c r="I3159">
        <v>0</v>
      </c>
      <c r="J3159" t="s">
        <v>34</v>
      </c>
      <c r="K3159" t="s">
        <v>179</v>
      </c>
      <c r="L3159">
        <v>47</v>
      </c>
      <c r="M3159">
        <v>76.197000000000003</v>
      </c>
      <c r="N3159">
        <v>77.571371999999997</v>
      </c>
      <c r="O3159">
        <v>21.221</v>
      </c>
      <c r="P3159">
        <v>24.123999999999999</v>
      </c>
      <c r="Q3159">
        <v>30.696999999999999</v>
      </c>
      <c r="R3159">
        <v>23</v>
      </c>
      <c r="S3159" t="s">
        <v>25</v>
      </c>
      <c r="T3159">
        <f>IF(TRIM(Table1[[#This Row],[PitStopLaps]])="",0,
LEN(Table1[[#This Row],[PitStopLaps]])-LEN(SUBSTITUTE(Table1[[#This Row],[PitStopLaps]],",",""))+1)</f>
        <v>1</v>
      </c>
      <c r="U3159">
        <f>Table1[[#This Row],[StartPosition]]-Table1[[#This Row],[FinishPosition]]</f>
        <v>-11</v>
      </c>
    </row>
    <row r="3160" spans="1:21" x14ac:dyDescent="0.3">
      <c r="A3160">
        <v>2025</v>
      </c>
      <c r="B3160">
        <v>11</v>
      </c>
      <c r="C3160" t="s">
        <v>149</v>
      </c>
      <c r="D3160" t="s">
        <v>246</v>
      </c>
      <c r="E3160" t="s">
        <v>247</v>
      </c>
      <c r="F3160" t="s">
        <v>37</v>
      </c>
      <c r="G3160">
        <v>1</v>
      </c>
      <c r="H3160">
        <v>1</v>
      </c>
      <c r="I3160">
        <v>25</v>
      </c>
      <c r="J3160" t="s">
        <v>23</v>
      </c>
      <c r="K3160" t="s">
        <v>24</v>
      </c>
      <c r="L3160">
        <v>70</v>
      </c>
      <c r="M3160">
        <v>68.272000000000006</v>
      </c>
      <c r="N3160">
        <v>69.674761000000004</v>
      </c>
      <c r="O3160">
        <v>17.266999999999999</v>
      </c>
      <c r="P3160">
        <v>30.356999999999999</v>
      </c>
      <c r="Q3160">
        <v>20.542999999999999</v>
      </c>
      <c r="R3160" t="s">
        <v>1404</v>
      </c>
      <c r="S3160" t="s">
        <v>83</v>
      </c>
      <c r="T3160">
        <f>IF(TRIM(Table1[[#This Row],[PitStopLaps]])="",0,
LEN(Table1[[#This Row],[PitStopLaps]])-LEN(SUBSTITUTE(Table1[[#This Row],[PitStopLaps]],",",""))+1)</f>
        <v>2</v>
      </c>
      <c r="U3160">
        <f>Table1[[#This Row],[StartPosition]]-Table1[[#This Row],[FinishPosition]]</f>
        <v>0</v>
      </c>
    </row>
    <row r="3161" spans="1:21" x14ac:dyDescent="0.3">
      <c r="A3161">
        <v>2025</v>
      </c>
      <c r="B3161">
        <v>11</v>
      </c>
      <c r="C3161" t="s">
        <v>149</v>
      </c>
      <c r="D3161" t="s">
        <v>1000</v>
      </c>
      <c r="E3161" t="s">
        <v>1001</v>
      </c>
      <c r="F3161" t="s">
        <v>37</v>
      </c>
      <c r="G3161">
        <v>3</v>
      </c>
      <c r="H3161">
        <v>2</v>
      </c>
      <c r="I3161">
        <v>18</v>
      </c>
      <c r="J3161" t="s">
        <v>23</v>
      </c>
      <c r="K3161" t="s">
        <v>24</v>
      </c>
      <c r="L3161">
        <v>70</v>
      </c>
      <c r="M3161">
        <v>67.924000000000007</v>
      </c>
      <c r="N3161">
        <v>69.700554999999994</v>
      </c>
      <c r="O3161">
        <v>17.082000000000001</v>
      </c>
      <c r="P3161">
        <v>30.283999999999999</v>
      </c>
      <c r="Q3161">
        <v>20.440999999999999</v>
      </c>
      <c r="R3161" t="s">
        <v>1405</v>
      </c>
      <c r="S3161" t="s">
        <v>83</v>
      </c>
      <c r="T3161">
        <f>IF(TRIM(Table1[[#This Row],[PitStopLaps]])="",0,
LEN(Table1[[#This Row],[PitStopLaps]])-LEN(SUBSTITUTE(Table1[[#This Row],[PitStopLaps]],",",""))+1)</f>
        <v>2</v>
      </c>
      <c r="U3161">
        <f>Table1[[#This Row],[StartPosition]]-Table1[[#This Row],[FinishPosition]]</f>
        <v>1</v>
      </c>
    </row>
    <row r="3162" spans="1:21" x14ac:dyDescent="0.3">
      <c r="A3162">
        <v>2025</v>
      </c>
      <c r="B3162">
        <v>11</v>
      </c>
      <c r="C3162" t="s">
        <v>149</v>
      </c>
      <c r="D3162" t="s">
        <v>54</v>
      </c>
      <c r="E3162" t="s">
        <v>55</v>
      </c>
      <c r="F3162" t="s">
        <v>22</v>
      </c>
      <c r="G3162">
        <v>2</v>
      </c>
      <c r="H3162">
        <v>3</v>
      </c>
      <c r="I3162">
        <v>15</v>
      </c>
      <c r="J3162" t="s">
        <v>23</v>
      </c>
      <c r="K3162" t="s">
        <v>24</v>
      </c>
      <c r="L3162">
        <v>70</v>
      </c>
      <c r="M3162">
        <v>68.765000000000001</v>
      </c>
      <c r="N3162">
        <v>69.945158000000006</v>
      </c>
      <c r="O3162">
        <v>17.248999999999999</v>
      </c>
      <c r="P3162">
        <v>30.581</v>
      </c>
      <c r="Q3162">
        <v>20.783000000000001</v>
      </c>
      <c r="R3162" t="s">
        <v>426</v>
      </c>
      <c r="S3162" t="s">
        <v>83</v>
      </c>
      <c r="T3162">
        <f>IF(TRIM(Table1[[#This Row],[PitStopLaps]])="",0,
LEN(Table1[[#This Row],[PitStopLaps]])-LEN(SUBSTITUTE(Table1[[#This Row],[PitStopLaps]],",",""))+1)</f>
        <v>2</v>
      </c>
      <c r="U3162">
        <f>Table1[[#This Row],[StartPosition]]-Table1[[#This Row],[FinishPosition]]</f>
        <v>-1</v>
      </c>
    </row>
    <row r="3163" spans="1:21" x14ac:dyDescent="0.3">
      <c r="A3163">
        <v>2025</v>
      </c>
      <c r="B3163">
        <v>11</v>
      </c>
      <c r="C3163" t="s">
        <v>149</v>
      </c>
      <c r="D3163" t="s">
        <v>26</v>
      </c>
      <c r="E3163" t="s">
        <v>27</v>
      </c>
      <c r="F3163" t="s">
        <v>22</v>
      </c>
      <c r="G3163">
        <v>4</v>
      </c>
      <c r="H3163">
        <v>4</v>
      </c>
      <c r="I3163">
        <v>12</v>
      </c>
      <c r="J3163" t="s">
        <v>34</v>
      </c>
      <c r="K3163" t="s">
        <v>24</v>
      </c>
      <c r="L3163">
        <v>70</v>
      </c>
      <c r="M3163">
        <v>68.628</v>
      </c>
      <c r="N3163">
        <v>70.122253000000001</v>
      </c>
      <c r="O3163">
        <v>17.309999999999999</v>
      </c>
      <c r="P3163">
        <v>30.474</v>
      </c>
      <c r="Q3163">
        <v>20.806999999999999</v>
      </c>
      <c r="R3163" t="s">
        <v>719</v>
      </c>
      <c r="S3163" t="s">
        <v>83</v>
      </c>
      <c r="T3163">
        <f>IF(TRIM(Table1[[#This Row],[PitStopLaps]])="",0,
LEN(Table1[[#This Row],[PitStopLaps]])-LEN(SUBSTITUTE(Table1[[#This Row],[PitStopLaps]],",",""))+1)</f>
        <v>2</v>
      </c>
      <c r="U3163">
        <f>Table1[[#This Row],[StartPosition]]-Table1[[#This Row],[FinishPosition]]</f>
        <v>0</v>
      </c>
    </row>
    <row r="3164" spans="1:21" x14ac:dyDescent="0.3">
      <c r="A3164">
        <v>2025</v>
      </c>
      <c r="B3164">
        <v>11</v>
      </c>
      <c r="C3164" t="s">
        <v>149</v>
      </c>
      <c r="D3164" t="s">
        <v>252</v>
      </c>
      <c r="E3164" t="s">
        <v>253</v>
      </c>
      <c r="F3164" t="s">
        <v>28</v>
      </c>
      <c r="G3164">
        <v>5</v>
      </c>
      <c r="H3164">
        <v>5</v>
      </c>
      <c r="I3164">
        <v>10</v>
      </c>
      <c r="J3164" t="s">
        <v>34</v>
      </c>
      <c r="K3164" t="s">
        <v>24</v>
      </c>
      <c r="L3164">
        <v>70</v>
      </c>
      <c r="M3164">
        <v>69.372</v>
      </c>
      <c r="N3164">
        <v>70.598840999999993</v>
      </c>
      <c r="O3164">
        <v>17.119</v>
      </c>
      <c r="P3164">
        <v>30.821999999999999</v>
      </c>
      <c r="Q3164">
        <v>21.032</v>
      </c>
      <c r="R3164" t="s">
        <v>242</v>
      </c>
      <c r="S3164" t="s">
        <v>83</v>
      </c>
      <c r="T3164">
        <f>IF(TRIM(Table1[[#This Row],[PitStopLaps]])="",0,
LEN(Table1[[#This Row],[PitStopLaps]])-LEN(SUBSTITUTE(Table1[[#This Row],[PitStopLaps]],",",""))+1)</f>
        <v>2</v>
      </c>
      <c r="U3164">
        <f>Table1[[#This Row],[StartPosition]]-Table1[[#This Row],[FinishPosition]]</f>
        <v>0</v>
      </c>
    </row>
    <row r="3165" spans="1:21" x14ac:dyDescent="0.3">
      <c r="A3165">
        <v>2025</v>
      </c>
      <c r="B3165">
        <v>11</v>
      </c>
      <c r="C3165" t="s">
        <v>149</v>
      </c>
      <c r="D3165" t="s">
        <v>1092</v>
      </c>
      <c r="E3165" t="s">
        <v>1093</v>
      </c>
      <c r="F3165" t="s">
        <v>1330</v>
      </c>
      <c r="G3165">
        <v>6</v>
      </c>
      <c r="H3165">
        <v>6</v>
      </c>
      <c r="I3165">
        <v>8</v>
      </c>
      <c r="J3165" t="s">
        <v>34</v>
      </c>
      <c r="K3165" t="s">
        <v>24</v>
      </c>
      <c r="L3165">
        <v>70</v>
      </c>
      <c r="M3165">
        <v>69.977000000000004</v>
      </c>
      <c r="N3165">
        <v>70.942092000000002</v>
      </c>
      <c r="O3165">
        <v>17.228999999999999</v>
      </c>
      <c r="P3165">
        <v>31.143000000000001</v>
      </c>
      <c r="Q3165">
        <v>21.084</v>
      </c>
      <c r="R3165">
        <v>32</v>
      </c>
      <c r="S3165" t="s">
        <v>83</v>
      </c>
      <c r="T3165">
        <f>IF(TRIM(Table1[[#This Row],[PitStopLaps]])="",0,
LEN(Table1[[#This Row],[PitStopLaps]])-LEN(SUBSTITUTE(Table1[[#This Row],[PitStopLaps]],",",""))+1)</f>
        <v>1</v>
      </c>
      <c r="U3165">
        <f>Table1[[#This Row],[StartPosition]]-Table1[[#This Row],[FinishPosition]]</f>
        <v>0</v>
      </c>
    </row>
    <row r="3166" spans="1:21" x14ac:dyDescent="0.3">
      <c r="A3166">
        <v>2025</v>
      </c>
      <c r="B3166">
        <v>11</v>
      </c>
      <c r="C3166" t="s">
        <v>149</v>
      </c>
      <c r="D3166" t="s">
        <v>35</v>
      </c>
      <c r="E3166" t="s">
        <v>36</v>
      </c>
      <c r="F3166" t="s">
        <v>603</v>
      </c>
      <c r="G3166">
        <v>11</v>
      </c>
      <c r="H3166">
        <v>7</v>
      </c>
      <c r="I3166">
        <v>6</v>
      </c>
      <c r="J3166" t="s">
        <v>34</v>
      </c>
      <c r="K3166" t="s">
        <v>994</v>
      </c>
      <c r="L3166">
        <v>69</v>
      </c>
      <c r="M3166">
        <v>69.935000000000002</v>
      </c>
      <c r="N3166">
        <v>71.018015000000005</v>
      </c>
      <c r="O3166">
        <v>17.254000000000001</v>
      </c>
      <c r="P3166">
        <v>31.202999999999999</v>
      </c>
      <c r="Q3166">
        <v>21.26</v>
      </c>
      <c r="R3166">
        <v>33</v>
      </c>
      <c r="S3166" t="s">
        <v>83</v>
      </c>
      <c r="T3166">
        <f>IF(TRIM(Table1[[#This Row],[PitStopLaps]])="",0,
LEN(Table1[[#This Row],[PitStopLaps]])-LEN(SUBSTITUTE(Table1[[#This Row],[PitStopLaps]],",",""))+1)</f>
        <v>1</v>
      </c>
      <c r="U3166">
        <f>Table1[[#This Row],[StartPosition]]-Table1[[#This Row],[FinishPosition]]</f>
        <v>4</v>
      </c>
    </row>
    <row r="3167" spans="1:21" x14ac:dyDescent="0.3">
      <c r="A3167">
        <v>2025</v>
      </c>
      <c r="B3167">
        <v>11</v>
      </c>
      <c r="C3167" t="s">
        <v>149</v>
      </c>
      <c r="D3167" t="s">
        <v>1334</v>
      </c>
      <c r="E3167" t="s">
        <v>1335</v>
      </c>
      <c r="F3167" t="s">
        <v>1175</v>
      </c>
      <c r="G3167">
        <v>8</v>
      </c>
      <c r="H3167">
        <v>8</v>
      </c>
      <c r="I3167">
        <v>4</v>
      </c>
      <c r="J3167" t="s">
        <v>34</v>
      </c>
      <c r="K3167" t="s">
        <v>994</v>
      </c>
      <c r="L3167">
        <v>69</v>
      </c>
      <c r="M3167">
        <v>69.247</v>
      </c>
      <c r="N3167">
        <v>70.685596000000004</v>
      </c>
      <c r="O3167">
        <v>17.277000000000001</v>
      </c>
      <c r="P3167">
        <v>30.798999999999999</v>
      </c>
      <c r="Q3167">
        <v>20.771000000000001</v>
      </c>
      <c r="R3167" t="s">
        <v>1262</v>
      </c>
      <c r="S3167" t="s">
        <v>83</v>
      </c>
      <c r="T3167">
        <f>IF(TRIM(Table1[[#This Row],[PitStopLaps]])="",0,
LEN(Table1[[#This Row],[PitStopLaps]])-LEN(SUBSTITUTE(Table1[[#This Row],[PitStopLaps]],",",""))+1)</f>
        <v>2</v>
      </c>
      <c r="U3167">
        <f>Table1[[#This Row],[StartPosition]]-Table1[[#This Row],[FinishPosition]]</f>
        <v>0</v>
      </c>
    </row>
    <row r="3168" spans="1:21" x14ac:dyDescent="0.3">
      <c r="A3168">
        <v>2025</v>
      </c>
      <c r="B3168">
        <v>11</v>
      </c>
      <c r="C3168" t="s">
        <v>149</v>
      </c>
      <c r="D3168" t="s">
        <v>40</v>
      </c>
      <c r="E3168" t="s">
        <v>41</v>
      </c>
      <c r="F3168" t="s">
        <v>1175</v>
      </c>
      <c r="G3168">
        <v>20</v>
      </c>
      <c r="H3168">
        <v>9</v>
      </c>
      <c r="I3168">
        <v>2</v>
      </c>
      <c r="J3168" t="s">
        <v>34</v>
      </c>
      <c r="K3168" t="s">
        <v>994</v>
      </c>
      <c r="L3168">
        <v>69</v>
      </c>
      <c r="M3168">
        <v>69.459000000000003</v>
      </c>
      <c r="N3168">
        <v>70.780887000000007</v>
      </c>
      <c r="O3168">
        <v>17.244</v>
      </c>
      <c r="P3168">
        <v>30.946999999999999</v>
      </c>
      <c r="Q3168">
        <v>20.928000000000001</v>
      </c>
      <c r="R3168" t="s">
        <v>1037</v>
      </c>
      <c r="S3168" t="s">
        <v>83</v>
      </c>
      <c r="T3168">
        <f>IF(TRIM(Table1[[#This Row],[PitStopLaps]])="",0,
LEN(Table1[[#This Row],[PitStopLaps]])-LEN(SUBSTITUTE(Table1[[#This Row],[PitStopLaps]],",",""))+1)</f>
        <v>2</v>
      </c>
      <c r="U3168">
        <f>Table1[[#This Row],[StartPosition]]-Table1[[#This Row],[FinishPosition]]</f>
        <v>11</v>
      </c>
    </row>
    <row r="3169" spans="1:21" x14ac:dyDescent="0.3">
      <c r="A3169">
        <v>2025</v>
      </c>
      <c r="B3169">
        <v>11</v>
      </c>
      <c r="C3169" t="s">
        <v>149</v>
      </c>
      <c r="D3169" t="s">
        <v>52</v>
      </c>
      <c r="E3169" t="s">
        <v>53</v>
      </c>
      <c r="F3169" t="s">
        <v>69</v>
      </c>
      <c r="G3169">
        <v>17</v>
      </c>
      <c r="H3169">
        <v>10</v>
      </c>
      <c r="I3169">
        <v>1</v>
      </c>
      <c r="J3169" t="s">
        <v>34</v>
      </c>
      <c r="K3169" t="s">
        <v>994</v>
      </c>
      <c r="L3169">
        <v>69</v>
      </c>
      <c r="M3169">
        <v>69.55</v>
      </c>
      <c r="N3169">
        <v>70.790822000000006</v>
      </c>
      <c r="O3169">
        <v>17.248999999999999</v>
      </c>
      <c r="P3169">
        <v>30.882999999999999</v>
      </c>
      <c r="Q3169">
        <v>21.055</v>
      </c>
      <c r="R3169" t="s">
        <v>1355</v>
      </c>
      <c r="S3169" t="s">
        <v>83</v>
      </c>
      <c r="T3169">
        <f>IF(TRIM(Table1[[#This Row],[PitStopLaps]])="",0,
LEN(Table1[[#This Row],[PitStopLaps]])-LEN(SUBSTITUTE(Table1[[#This Row],[PitStopLaps]],",",""))+1)</f>
        <v>2</v>
      </c>
      <c r="U3169">
        <f>Table1[[#This Row],[StartPosition]]-Table1[[#This Row],[FinishPosition]]</f>
        <v>7</v>
      </c>
    </row>
    <row r="3170" spans="1:21" x14ac:dyDescent="0.3">
      <c r="A3170">
        <v>2025</v>
      </c>
      <c r="B3170">
        <v>11</v>
      </c>
      <c r="C3170" t="s">
        <v>149</v>
      </c>
      <c r="D3170" t="s">
        <v>1180</v>
      </c>
      <c r="E3170" t="s">
        <v>1181</v>
      </c>
      <c r="F3170" t="s">
        <v>69</v>
      </c>
      <c r="G3170">
        <v>15</v>
      </c>
      <c r="H3170">
        <v>11</v>
      </c>
      <c r="I3170">
        <v>0</v>
      </c>
      <c r="J3170" t="s">
        <v>34</v>
      </c>
      <c r="K3170" t="s">
        <v>994</v>
      </c>
      <c r="L3170">
        <v>69</v>
      </c>
      <c r="M3170">
        <v>69.959999999999994</v>
      </c>
      <c r="N3170">
        <v>71.076386999999997</v>
      </c>
      <c r="O3170">
        <v>17.256</v>
      </c>
      <c r="P3170">
        <v>31.06</v>
      </c>
      <c r="Q3170">
        <v>21.233000000000001</v>
      </c>
      <c r="R3170" t="s">
        <v>1246</v>
      </c>
      <c r="S3170" t="s">
        <v>83</v>
      </c>
      <c r="T3170">
        <f>IF(TRIM(Table1[[#This Row],[PitStopLaps]])="",0,
LEN(Table1[[#This Row],[PitStopLaps]])-LEN(SUBSTITUTE(Table1[[#This Row],[PitStopLaps]],",",""))+1)</f>
        <v>2</v>
      </c>
      <c r="U3170">
        <f>Table1[[#This Row],[StartPosition]]-Table1[[#This Row],[FinishPosition]]</f>
        <v>4</v>
      </c>
    </row>
    <row r="3171" spans="1:21" x14ac:dyDescent="0.3">
      <c r="A3171">
        <v>2025</v>
      </c>
      <c r="B3171">
        <v>11</v>
      </c>
      <c r="C3171" t="s">
        <v>149</v>
      </c>
      <c r="D3171" t="s">
        <v>1337</v>
      </c>
      <c r="E3171" t="s">
        <v>1338</v>
      </c>
      <c r="F3171" t="s">
        <v>1330</v>
      </c>
      <c r="G3171">
        <v>13</v>
      </c>
      <c r="H3171">
        <v>12</v>
      </c>
      <c r="I3171">
        <v>0</v>
      </c>
      <c r="J3171" t="s">
        <v>34</v>
      </c>
      <c r="K3171" t="s">
        <v>994</v>
      </c>
      <c r="L3171">
        <v>69</v>
      </c>
      <c r="M3171">
        <v>70.203999999999994</v>
      </c>
      <c r="N3171">
        <v>71.392796000000004</v>
      </c>
      <c r="O3171">
        <v>17.292000000000002</v>
      </c>
      <c r="P3171">
        <v>31.273</v>
      </c>
      <c r="Q3171">
        <v>21.257000000000001</v>
      </c>
      <c r="R3171" t="s">
        <v>682</v>
      </c>
      <c r="S3171" t="s">
        <v>83</v>
      </c>
      <c r="T3171">
        <f>IF(TRIM(Table1[[#This Row],[PitStopLaps]])="",0,
LEN(Table1[[#This Row],[PitStopLaps]])-LEN(SUBSTITUTE(Table1[[#This Row],[PitStopLaps]],",",""))+1)</f>
        <v>2</v>
      </c>
      <c r="U3171">
        <f>Table1[[#This Row],[StartPosition]]-Table1[[#This Row],[FinishPosition]]</f>
        <v>1</v>
      </c>
    </row>
    <row r="3172" spans="1:21" x14ac:dyDescent="0.3">
      <c r="A3172">
        <v>2025</v>
      </c>
      <c r="B3172">
        <v>11</v>
      </c>
      <c r="C3172" t="s">
        <v>149</v>
      </c>
      <c r="D3172" t="s">
        <v>73</v>
      </c>
      <c r="E3172" t="s">
        <v>74</v>
      </c>
      <c r="F3172" t="s">
        <v>607</v>
      </c>
      <c r="G3172">
        <v>10</v>
      </c>
      <c r="H3172">
        <v>13</v>
      </c>
      <c r="I3172">
        <v>0</v>
      </c>
      <c r="J3172" t="s">
        <v>34</v>
      </c>
      <c r="K3172" t="s">
        <v>994</v>
      </c>
      <c r="L3172">
        <v>69</v>
      </c>
      <c r="M3172">
        <v>70.150999999999996</v>
      </c>
      <c r="N3172">
        <v>71.175548000000006</v>
      </c>
      <c r="O3172">
        <v>17.308</v>
      </c>
      <c r="P3172">
        <v>31.111000000000001</v>
      </c>
      <c r="Q3172">
        <v>21.256</v>
      </c>
      <c r="R3172" t="s">
        <v>270</v>
      </c>
      <c r="S3172" t="s">
        <v>83</v>
      </c>
      <c r="T3172">
        <f>IF(TRIM(Table1[[#This Row],[PitStopLaps]])="",0,
LEN(Table1[[#This Row],[PitStopLaps]])-LEN(SUBSTITUTE(Table1[[#This Row],[PitStopLaps]],",",""))+1)</f>
        <v>2</v>
      </c>
      <c r="U3172">
        <f>Table1[[#This Row],[StartPosition]]-Table1[[#This Row],[FinishPosition]]</f>
        <v>-3</v>
      </c>
    </row>
    <row r="3173" spans="1:21" x14ac:dyDescent="0.3">
      <c r="A3173">
        <v>2025</v>
      </c>
      <c r="B3173">
        <v>11</v>
      </c>
      <c r="C3173" t="s">
        <v>149</v>
      </c>
      <c r="D3173" t="s">
        <v>58</v>
      </c>
      <c r="E3173" t="s">
        <v>59</v>
      </c>
      <c r="F3173" t="s">
        <v>603</v>
      </c>
      <c r="G3173">
        <v>16</v>
      </c>
      <c r="H3173">
        <v>14</v>
      </c>
      <c r="I3173">
        <v>0</v>
      </c>
      <c r="J3173" t="s">
        <v>34</v>
      </c>
      <c r="K3173" t="s">
        <v>994</v>
      </c>
      <c r="L3173">
        <v>69</v>
      </c>
      <c r="M3173">
        <v>69.213999999999999</v>
      </c>
      <c r="N3173">
        <v>71.135531999999998</v>
      </c>
      <c r="O3173">
        <v>17.158999999999999</v>
      </c>
      <c r="P3173">
        <v>30.626999999999999</v>
      </c>
      <c r="Q3173">
        <v>21.026</v>
      </c>
      <c r="R3173" t="s">
        <v>1406</v>
      </c>
      <c r="S3173" t="s">
        <v>83</v>
      </c>
      <c r="T3173">
        <f>IF(TRIM(Table1[[#This Row],[PitStopLaps]])="",0,
LEN(Table1[[#This Row],[PitStopLaps]])-LEN(SUBSTITUTE(Table1[[#This Row],[PitStopLaps]],",",""))+1)</f>
        <v>2</v>
      </c>
      <c r="U3173">
        <f>Table1[[#This Row],[StartPosition]]-Table1[[#This Row],[FinishPosition]]</f>
        <v>2</v>
      </c>
    </row>
    <row r="3174" spans="1:21" x14ac:dyDescent="0.3">
      <c r="A3174">
        <v>2025</v>
      </c>
      <c r="B3174">
        <v>11</v>
      </c>
      <c r="C3174" t="s">
        <v>149</v>
      </c>
      <c r="D3174" t="s">
        <v>1283</v>
      </c>
      <c r="E3174" t="s">
        <v>1284</v>
      </c>
      <c r="F3174" t="s">
        <v>607</v>
      </c>
      <c r="G3174">
        <v>14</v>
      </c>
      <c r="H3174">
        <v>15</v>
      </c>
      <c r="I3174">
        <v>0</v>
      </c>
      <c r="J3174" t="s">
        <v>34</v>
      </c>
      <c r="K3174" t="s">
        <v>994</v>
      </c>
      <c r="L3174">
        <v>69</v>
      </c>
      <c r="M3174">
        <v>69.620999999999995</v>
      </c>
      <c r="N3174">
        <v>71.218725000000006</v>
      </c>
      <c r="O3174">
        <v>17.317</v>
      </c>
      <c r="P3174">
        <v>30.956</v>
      </c>
      <c r="Q3174">
        <v>21.007999999999999</v>
      </c>
      <c r="R3174" t="s">
        <v>335</v>
      </c>
      <c r="S3174" t="s">
        <v>83</v>
      </c>
      <c r="T3174">
        <f>IF(TRIM(Table1[[#This Row],[PitStopLaps]])="",0,
LEN(Table1[[#This Row],[PitStopLaps]])-LEN(SUBSTITUTE(Table1[[#This Row],[PitStopLaps]],",",""))+1)</f>
        <v>2</v>
      </c>
      <c r="U3174">
        <f>Table1[[#This Row],[StartPosition]]-Table1[[#This Row],[FinishPosition]]</f>
        <v>-1</v>
      </c>
    </row>
    <row r="3175" spans="1:21" x14ac:dyDescent="0.3">
      <c r="A3175">
        <v>2025</v>
      </c>
      <c r="B3175">
        <v>11</v>
      </c>
      <c r="C3175" t="s">
        <v>149</v>
      </c>
      <c r="D3175" t="s">
        <v>601</v>
      </c>
      <c r="E3175" t="s">
        <v>602</v>
      </c>
      <c r="F3175" t="s">
        <v>33</v>
      </c>
      <c r="G3175">
        <v>18</v>
      </c>
      <c r="H3175">
        <v>16</v>
      </c>
      <c r="I3175">
        <v>0</v>
      </c>
      <c r="J3175" t="s">
        <v>34</v>
      </c>
      <c r="K3175" t="s">
        <v>994</v>
      </c>
      <c r="L3175">
        <v>68</v>
      </c>
      <c r="M3175">
        <v>69.802000000000007</v>
      </c>
      <c r="N3175">
        <v>71.092236999999997</v>
      </c>
      <c r="O3175">
        <v>17.135000000000002</v>
      </c>
      <c r="P3175">
        <v>30.940999999999999</v>
      </c>
      <c r="Q3175">
        <v>21.273</v>
      </c>
      <c r="R3175" t="s">
        <v>1407</v>
      </c>
      <c r="S3175" t="s">
        <v>83</v>
      </c>
      <c r="T3175">
        <f>IF(TRIM(Table1[[#This Row],[PitStopLaps]])="",0,
LEN(Table1[[#This Row],[PitStopLaps]])-LEN(SUBSTITUTE(Table1[[#This Row],[PitStopLaps]],",",""))+1)</f>
        <v>3</v>
      </c>
      <c r="U3175">
        <f>Table1[[#This Row],[StartPosition]]-Table1[[#This Row],[FinishPosition]]</f>
        <v>2</v>
      </c>
    </row>
    <row r="3176" spans="1:21" x14ac:dyDescent="0.3">
      <c r="A3176">
        <v>2025</v>
      </c>
      <c r="B3176">
        <v>11</v>
      </c>
      <c r="C3176" t="s">
        <v>149</v>
      </c>
      <c r="D3176" t="s">
        <v>248</v>
      </c>
      <c r="E3176" t="s">
        <v>249</v>
      </c>
      <c r="F3176" t="s">
        <v>60</v>
      </c>
      <c r="G3176">
        <v>12</v>
      </c>
      <c r="H3176">
        <v>17</v>
      </c>
      <c r="I3176">
        <v>0</v>
      </c>
      <c r="J3176" t="s">
        <v>34</v>
      </c>
      <c r="K3176" t="s">
        <v>179</v>
      </c>
      <c r="L3176">
        <v>15</v>
      </c>
      <c r="M3176">
        <v>70.641000000000005</v>
      </c>
      <c r="N3176">
        <v>71.197444000000004</v>
      </c>
      <c r="O3176">
        <v>17.279</v>
      </c>
      <c r="P3176">
        <v>31.466999999999999</v>
      </c>
      <c r="Q3176">
        <v>21.74</v>
      </c>
      <c r="R3176" t="s">
        <v>768</v>
      </c>
      <c r="S3176" t="s">
        <v>83</v>
      </c>
      <c r="T3176">
        <f>IF(TRIM(Table1[[#This Row],[PitStopLaps]])="",0,
LEN(Table1[[#This Row],[PitStopLaps]])-LEN(SUBSTITUTE(Table1[[#This Row],[PitStopLaps]],",",""))+1)</f>
        <v>2</v>
      </c>
      <c r="U3176">
        <f>Table1[[#This Row],[StartPosition]]-Table1[[#This Row],[FinishPosition]]</f>
        <v>-5</v>
      </c>
    </row>
    <row r="3177" spans="1:21" x14ac:dyDescent="0.3">
      <c r="A3177">
        <v>2025</v>
      </c>
      <c r="B3177">
        <v>11</v>
      </c>
      <c r="C3177" t="s">
        <v>149</v>
      </c>
      <c r="D3177" t="s">
        <v>38</v>
      </c>
      <c r="E3177" t="s">
        <v>39</v>
      </c>
      <c r="F3177" t="s">
        <v>33</v>
      </c>
      <c r="G3177">
        <v>7</v>
      </c>
      <c r="H3177">
        <v>18</v>
      </c>
      <c r="I3177">
        <v>0</v>
      </c>
      <c r="J3177" t="s">
        <v>34</v>
      </c>
      <c r="K3177" t="s">
        <v>179</v>
      </c>
      <c r="L3177">
        <v>1</v>
      </c>
      <c r="S3177" t="s">
        <v>83</v>
      </c>
      <c r="T3177">
        <f>IF(TRIM(Table1[[#This Row],[PitStopLaps]])="",0,
LEN(Table1[[#This Row],[PitStopLaps]])-LEN(SUBSTITUTE(Table1[[#This Row],[PitStopLaps]],",",""))+1)</f>
        <v>0</v>
      </c>
      <c r="U3177">
        <f>Table1[[#This Row],[StartPosition]]-Table1[[#This Row],[FinishPosition]]</f>
        <v>-11</v>
      </c>
    </row>
    <row r="3178" spans="1:21" x14ac:dyDescent="0.3">
      <c r="A3178">
        <v>2025</v>
      </c>
      <c r="B3178">
        <v>11</v>
      </c>
      <c r="C3178" t="s">
        <v>149</v>
      </c>
      <c r="D3178" t="s">
        <v>1339</v>
      </c>
      <c r="E3178" t="s">
        <v>1325</v>
      </c>
      <c r="F3178" t="s">
        <v>28</v>
      </c>
      <c r="G3178">
        <v>9</v>
      </c>
      <c r="H3178">
        <v>19</v>
      </c>
      <c r="I3178">
        <v>0</v>
      </c>
      <c r="J3178" t="s">
        <v>34</v>
      </c>
      <c r="K3178" t="s">
        <v>179</v>
      </c>
      <c r="L3178">
        <v>1</v>
      </c>
      <c r="S3178" t="s">
        <v>83</v>
      </c>
      <c r="T3178">
        <f>IF(TRIM(Table1[[#This Row],[PitStopLaps]])="",0,
LEN(Table1[[#This Row],[PitStopLaps]])-LEN(SUBSTITUTE(Table1[[#This Row],[PitStopLaps]],",",""))+1)</f>
        <v>0</v>
      </c>
      <c r="U3178">
        <f>Table1[[#This Row],[StartPosition]]-Table1[[#This Row],[FinishPosition]]</f>
        <v>-10</v>
      </c>
    </row>
    <row r="3179" spans="1:21" x14ac:dyDescent="0.3">
      <c r="A3179">
        <v>2025</v>
      </c>
      <c r="B3179">
        <v>11</v>
      </c>
      <c r="C3179" t="s">
        <v>149</v>
      </c>
      <c r="D3179" t="s">
        <v>47</v>
      </c>
      <c r="E3179" t="s">
        <v>48</v>
      </c>
      <c r="F3179" t="s">
        <v>60</v>
      </c>
      <c r="G3179">
        <v>19</v>
      </c>
      <c r="H3179">
        <v>20</v>
      </c>
      <c r="I3179">
        <v>0</v>
      </c>
      <c r="J3179" t="s">
        <v>34</v>
      </c>
      <c r="K3179" t="s">
        <v>1104</v>
      </c>
      <c r="S3179" t="s">
        <v>83</v>
      </c>
      <c r="T3179">
        <f>IF(TRIM(Table1[[#This Row],[PitStopLaps]])="",0,
LEN(Table1[[#This Row],[PitStopLaps]])-LEN(SUBSTITUTE(Table1[[#This Row],[PitStopLaps]],",",""))+1)</f>
        <v>0</v>
      </c>
      <c r="U3179">
        <f>Table1[[#This Row],[StartPosition]]-Table1[[#This Row],[FinishPosition]]</f>
        <v>-1</v>
      </c>
    </row>
    <row r="3180" spans="1:21" x14ac:dyDescent="0.3">
      <c r="A3180">
        <v>2025</v>
      </c>
      <c r="B3180">
        <v>12</v>
      </c>
      <c r="C3180" t="s">
        <v>157</v>
      </c>
      <c r="D3180" t="s">
        <v>246</v>
      </c>
      <c r="E3180" t="s">
        <v>247</v>
      </c>
      <c r="F3180" t="s">
        <v>37</v>
      </c>
      <c r="G3180">
        <v>3</v>
      </c>
      <c r="H3180">
        <v>1</v>
      </c>
      <c r="I3180">
        <v>25</v>
      </c>
      <c r="J3180" t="s">
        <v>23</v>
      </c>
      <c r="K3180" t="s">
        <v>24</v>
      </c>
      <c r="L3180">
        <v>52</v>
      </c>
      <c r="M3180">
        <v>89.733999999999995</v>
      </c>
      <c r="N3180">
        <v>99.588424000000003</v>
      </c>
      <c r="O3180">
        <v>28.701000000000001</v>
      </c>
      <c r="P3180">
        <v>36.673999999999999</v>
      </c>
      <c r="Q3180">
        <v>24.312000000000001</v>
      </c>
      <c r="R3180" t="s">
        <v>1408</v>
      </c>
      <c r="S3180" t="s">
        <v>25</v>
      </c>
      <c r="T3180">
        <f>IF(TRIM(Table1[[#This Row],[PitStopLaps]])="",0,
LEN(Table1[[#This Row],[PitStopLaps]])-LEN(SUBSTITUTE(Table1[[#This Row],[PitStopLaps]],",",""))+1)</f>
        <v>2</v>
      </c>
      <c r="U3180">
        <f>Table1[[#This Row],[StartPosition]]-Table1[[#This Row],[FinishPosition]]</f>
        <v>2</v>
      </c>
    </row>
    <row r="3181" spans="1:21" x14ac:dyDescent="0.3">
      <c r="A3181">
        <v>2025</v>
      </c>
      <c r="B3181">
        <v>12</v>
      </c>
      <c r="C3181" t="s">
        <v>157</v>
      </c>
      <c r="D3181" t="s">
        <v>1000</v>
      </c>
      <c r="E3181" t="s">
        <v>1001</v>
      </c>
      <c r="F3181" t="s">
        <v>37</v>
      </c>
      <c r="G3181">
        <v>2</v>
      </c>
      <c r="H3181">
        <v>2</v>
      </c>
      <c r="I3181">
        <v>18</v>
      </c>
      <c r="J3181" t="s">
        <v>23</v>
      </c>
      <c r="K3181" t="s">
        <v>24</v>
      </c>
      <c r="L3181">
        <v>52</v>
      </c>
      <c r="M3181">
        <v>89.337000000000003</v>
      </c>
      <c r="N3181">
        <v>99.408665999999997</v>
      </c>
      <c r="O3181">
        <v>28.704999999999998</v>
      </c>
      <c r="P3181">
        <v>36.332999999999998</v>
      </c>
      <c r="Q3181">
        <v>24.298999999999999</v>
      </c>
      <c r="R3181" t="s">
        <v>1409</v>
      </c>
      <c r="S3181" t="s">
        <v>25</v>
      </c>
      <c r="T3181">
        <f>IF(TRIM(Table1[[#This Row],[PitStopLaps]])="",0,
LEN(Table1[[#This Row],[PitStopLaps]])-LEN(SUBSTITUTE(Table1[[#This Row],[PitStopLaps]],",",""))+1)</f>
        <v>2</v>
      </c>
      <c r="U3181">
        <f>Table1[[#This Row],[StartPosition]]-Table1[[#This Row],[FinishPosition]]</f>
        <v>0</v>
      </c>
    </row>
    <row r="3182" spans="1:21" x14ac:dyDescent="0.3">
      <c r="A3182">
        <v>2025</v>
      </c>
      <c r="B3182">
        <v>12</v>
      </c>
      <c r="C3182" t="s">
        <v>157</v>
      </c>
      <c r="D3182" t="s">
        <v>40</v>
      </c>
      <c r="E3182" t="s">
        <v>41</v>
      </c>
      <c r="F3182" t="s">
        <v>1175</v>
      </c>
      <c r="G3182">
        <v>19</v>
      </c>
      <c r="H3182">
        <v>3</v>
      </c>
      <c r="I3182">
        <v>15</v>
      </c>
      <c r="J3182" t="s">
        <v>23</v>
      </c>
      <c r="K3182" t="s">
        <v>24</v>
      </c>
      <c r="L3182">
        <v>52</v>
      </c>
      <c r="M3182">
        <v>90.933000000000007</v>
      </c>
      <c r="N3182">
        <v>100.30993700000001</v>
      </c>
      <c r="O3182">
        <v>29.120999999999999</v>
      </c>
      <c r="P3182">
        <v>36.82</v>
      </c>
      <c r="Q3182">
        <v>24.643000000000001</v>
      </c>
      <c r="R3182" t="s">
        <v>1410</v>
      </c>
      <c r="S3182" t="s">
        <v>25</v>
      </c>
      <c r="T3182">
        <f>IF(TRIM(Table1[[#This Row],[PitStopLaps]])="",0,
LEN(Table1[[#This Row],[PitStopLaps]])-LEN(SUBSTITUTE(Table1[[#This Row],[PitStopLaps]],",",""))+1)</f>
        <v>2</v>
      </c>
      <c r="U3182">
        <f>Table1[[#This Row],[StartPosition]]-Table1[[#This Row],[FinishPosition]]</f>
        <v>16</v>
      </c>
    </row>
    <row r="3183" spans="1:21" x14ac:dyDescent="0.3">
      <c r="A3183">
        <v>2025</v>
      </c>
      <c r="B3183">
        <v>12</v>
      </c>
      <c r="C3183" t="s">
        <v>157</v>
      </c>
      <c r="D3183" t="s">
        <v>26</v>
      </c>
      <c r="E3183" t="s">
        <v>27</v>
      </c>
      <c r="F3183" t="s">
        <v>22</v>
      </c>
      <c r="G3183">
        <v>5</v>
      </c>
      <c r="H3183">
        <v>4</v>
      </c>
      <c r="I3183">
        <v>12</v>
      </c>
      <c r="J3183" t="s">
        <v>34</v>
      </c>
      <c r="K3183" t="s">
        <v>24</v>
      </c>
      <c r="L3183">
        <v>52</v>
      </c>
      <c r="M3183">
        <v>90.016000000000005</v>
      </c>
      <c r="N3183">
        <v>100.236</v>
      </c>
      <c r="O3183">
        <v>28.908999999999999</v>
      </c>
      <c r="P3183">
        <v>36.74</v>
      </c>
      <c r="Q3183">
        <v>24.367000000000001</v>
      </c>
      <c r="R3183" t="s">
        <v>524</v>
      </c>
      <c r="S3183" t="s">
        <v>25</v>
      </c>
      <c r="T3183">
        <f>IF(TRIM(Table1[[#This Row],[PitStopLaps]])="",0,
LEN(Table1[[#This Row],[PitStopLaps]])-LEN(SUBSTITUTE(Table1[[#This Row],[PitStopLaps]],",",""))+1)</f>
        <v>2</v>
      </c>
      <c r="U3183">
        <f>Table1[[#This Row],[StartPosition]]-Table1[[#This Row],[FinishPosition]]</f>
        <v>1</v>
      </c>
    </row>
    <row r="3184" spans="1:21" x14ac:dyDescent="0.3">
      <c r="A3184">
        <v>2025</v>
      </c>
      <c r="B3184">
        <v>12</v>
      </c>
      <c r="C3184" t="s">
        <v>157</v>
      </c>
      <c r="D3184" t="s">
        <v>38</v>
      </c>
      <c r="E3184" t="s">
        <v>39</v>
      </c>
      <c r="F3184" t="s">
        <v>33</v>
      </c>
      <c r="G3184">
        <v>1</v>
      </c>
      <c r="H3184">
        <v>5</v>
      </c>
      <c r="I3184">
        <v>10</v>
      </c>
      <c r="J3184" t="s">
        <v>34</v>
      </c>
      <c r="K3184" t="s">
        <v>24</v>
      </c>
      <c r="L3184">
        <v>52</v>
      </c>
      <c r="M3184">
        <v>90.179000000000002</v>
      </c>
      <c r="N3184">
        <v>100.95005999999999</v>
      </c>
      <c r="O3184">
        <v>28.94</v>
      </c>
      <c r="P3184">
        <v>36.728000000000002</v>
      </c>
      <c r="Q3184">
        <v>24.393000000000001</v>
      </c>
      <c r="R3184" t="s">
        <v>524</v>
      </c>
      <c r="S3184" t="s">
        <v>25</v>
      </c>
      <c r="T3184">
        <f>IF(TRIM(Table1[[#This Row],[PitStopLaps]])="",0,
LEN(Table1[[#This Row],[PitStopLaps]])-LEN(SUBSTITUTE(Table1[[#This Row],[PitStopLaps]],",",""))+1)</f>
        <v>2</v>
      </c>
      <c r="U3184">
        <f>Table1[[#This Row],[StartPosition]]-Table1[[#This Row],[FinishPosition]]</f>
        <v>-4</v>
      </c>
    </row>
    <row r="3185" spans="1:21" x14ac:dyDescent="0.3">
      <c r="A3185">
        <v>2025</v>
      </c>
      <c r="B3185">
        <v>12</v>
      </c>
      <c r="C3185" t="s">
        <v>157</v>
      </c>
      <c r="D3185" t="s">
        <v>73</v>
      </c>
      <c r="E3185" t="s">
        <v>74</v>
      </c>
      <c r="F3185" t="s">
        <v>607</v>
      </c>
      <c r="G3185">
        <v>8</v>
      </c>
      <c r="H3185">
        <v>6</v>
      </c>
      <c r="I3185">
        <v>8</v>
      </c>
      <c r="J3185" t="s">
        <v>34</v>
      </c>
      <c r="K3185" t="s">
        <v>24</v>
      </c>
      <c r="L3185">
        <v>52</v>
      </c>
      <c r="M3185">
        <v>90.751000000000005</v>
      </c>
      <c r="N3185">
        <v>100.917968</v>
      </c>
      <c r="O3185">
        <v>29.149000000000001</v>
      </c>
      <c r="P3185">
        <v>36.777999999999999</v>
      </c>
      <c r="Q3185">
        <v>24.62</v>
      </c>
      <c r="R3185" t="s">
        <v>524</v>
      </c>
      <c r="S3185" t="s">
        <v>25</v>
      </c>
      <c r="T3185">
        <f>IF(TRIM(Table1[[#This Row],[PitStopLaps]])="",0,
LEN(Table1[[#This Row],[PitStopLaps]])-LEN(SUBSTITUTE(Table1[[#This Row],[PitStopLaps]],",",""))+1)</f>
        <v>2</v>
      </c>
      <c r="U3185">
        <f>Table1[[#This Row],[StartPosition]]-Table1[[#This Row],[FinishPosition]]</f>
        <v>2</v>
      </c>
    </row>
    <row r="3186" spans="1:21" x14ac:dyDescent="0.3">
      <c r="A3186">
        <v>2025</v>
      </c>
      <c r="B3186">
        <v>12</v>
      </c>
      <c r="C3186" t="s">
        <v>157</v>
      </c>
      <c r="D3186" t="s">
        <v>58</v>
      </c>
      <c r="E3186" t="s">
        <v>59</v>
      </c>
      <c r="F3186" t="s">
        <v>603</v>
      </c>
      <c r="G3186">
        <v>17</v>
      </c>
      <c r="H3186">
        <v>7</v>
      </c>
      <c r="I3186">
        <v>6</v>
      </c>
      <c r="J3186" t="s">
        <v>34</v>
      </c>
      <c r="K3186" t="s">
        <v>24</v>
      </c>
      <c r="L3186">
        <v>52</v>
      </c>
      <c r="M3186">
        <v>92.087999999999994</v>
      </c>
      <c r="N3186">
        <v>100.845843</v>
      </c>
      <c r="O3186">
        <v>29.103000000000002</v>
      </c>
      <c r="P3186">
        <v>37.555999999999997</v>
      </c>
      <c r="Q3186">
        <v>24.853999999999999</v>
      </c>
      <c r="R3186" t="s">
        <v>1411</v>
      </c>
      <c r="S3186" t="s">
        <v>25</v>
      </c>
      <c r="T3186">
        <f>IF(TRIM(Table1[[#This Row],[PitStopLaps]])="",0,
LEN(Table1[[#This Row],[PitStopLaps]])-LEN(SUBSTITUTE(Table1[[#This Row],[PitStopLaps]],",",""))+1)</f>
        <v>3</v>
      </c>
      <c r="U3186">
        <f>Table1[[#This Row],[StartPosition]]-Table1[[#This Row],[FinishPosition]]</f>
        <v>10</v>
      </c>
    </row>
    <row r="3187" spans="1:21" x14ac:dyDescent="0.3">
      <c r="A3187">
        <v>2025</v>
      </c>
      <c r="B3187">
        <v>12</v>
      </c>
      <c r="C3187" t="s">
        <v>157</v>
      </c>
      <c r="D3187" t="s">
        <v>248</v>
      </c>
      <c r="E3187" t="s">
        <v>249</v>
      </c>
      <c r="F3187" t="s">
        <v>60</v>
      </c>
      <c r="G3187">
        <v>13</v>
      </c>
      <c r="H3187">
        <v>8</v>
      </c>
      <c r="I3187">
        <v>4</v>
      </c>
      <c r="J3187" t="s">
        <v>34</v>
      </c>
      <c r="K3187" t="s">
        <v>24</v>
      </c>
      <c r="L3187">
        <v>52</v>
      </c>
      <c r="M3187">
        <v>90.046999999999997</v>
      </c>
      <c r="N3187">
        <v>101.483666</v>
      </c>
      <c r="O3187">
        <v>28.742000000000001</v>
      </c>
      <c r="P3187">
        <v>36.685000000000002</v>
      </c>
      <c r="Q3187">
        <v>24.3</v>
      </c>
      <c r="R3187" t="s">
        <v>1037</v>
      </c>
      <c r="S3187" t="s">
        <v>25</v>
      </c>
      <c r="T3187">
        <f>IF(TRIM(Table1[[#This Row],[PitStopLaps]])="",0,
LEN(Table1[[#This Row],[PitStopLaps]])-LEN(SUBSTITUTE(Table1[[#This Row],[PitStopLaps]],",",""))+1)</f>
        <v>2</v>
      </c>
      <c r="U3187">
        <f>Table1[[#This Row],[StartPosition]]-Table1[[#This Row],[FinishPosition]]</f>
        <v>5</v>
      </c>
    </row>
    <row r="3188" spans="1:21" x14ac:dyDescent="0.3">
      <c r="A3188">
        <v>2025</v>
      </c>
      <c r="B3188">
        <v>12</v>
      </c>
      <c r="C3188" t="s">
        <v>157</v>
      </c>
      <c r="D3188" t="s">
        <v>35</v>
      </c>
      <c r="E3188" t="s">
        <v>36</v>
      </c>
      <c r="F3188" t="s">
        <v>603</v>
      </c>
      <c r="G3188">
        <v>7</v>
      </c>
      <c r="H3188">
        <v>9</v>
      </c>
      <c r="I3188">
        <v>2</v>
      </c>
      <c r="J3188" t="s">
        <v>34</v>
      </c>
      <c r="K3188" t="s">
        <v>24</v>
      </c>
      <c r="L3188">
        <v>52</v>
      </c>
      <c r="M3188">
        <v>90.352999999999994</v>
      </c>
      <c r="N3188">
        <v>100.790656</v>
      </c>
      <c r="O3188">
        <v>29.047000000000001</v>
      </c>
      <c r="P3188">
        <v>36.637999999999998</v>
      </c>
      <c r="Q3188">
        <v>24.587</v>
      </c>
      <c r="R3188" t="s">
        <v>206</v>
      </c>
      <c r="S3188" t="s">
        <v>25</v>
      </c>
      <c r="T3188">
        <f>IF(TRIM(Table1[[#This Row],[PitStopLaps]])="",0,
LEN(Table1[[#This Row],[PitStopLaps]])-LEN(SUBSTITUTE(Table1[[#This Row],[PitStopLaps]],",",""))+1)</f>
        <v>2</v>
      </c>
      <c r="U3188">
        <f>Table1[[#This Row],[StartPosition]]-Table1[[#This Row],[FinishPosition]]</f>
        <v>-2</v>
      </c>
    </row>
    <row r="3189" spans="1:21" x14ac:dyDescent="0.3">
      <c r="A3189">
        <v>2025</v>
      </c>
      <c r="B3189">
        <v>12</v>
      </c>
      <c r="C3189" t="s">
        <v>157</v>
      </c>
      <c r="D3189" t="s">
        <v>252</v>
      </c>
      <c r="E3189" t="s">
        <v>253</v>
      </c>
      <c r="F3189" t="s">
        <v>28</v>
      </c>
      <c r="G3189">
        <v>4</v>
      </c>
      <c r="H3189">
        <v>10</v>
      </c>
      <c r="I3189">
        <v>1</v>
      </c>
      <c r="J3189" t="s">
        <v>34</v>
      </c>
      <c r="K3189" t="s">
        <v>24</v>
      </c>
      <c r="L3189">
        <v>52</v>
      </c>
      <c r="M3189">
        <v>90.869</v>
      </c>
      <c r="N3189">
        <v>100.84699999999999</v>
      </c>
      <c r="O3189">
        <v>28.998000000000001</v>
      </c>
      <c r="P3189">
        <v>36.896000000000001</v>
      </c>
      <c r="Q3189">
        <v>24.803999999999998</v>
      </c>
      <c r="R3189" t="s">
        <v>271</v>
      </c>
      <c r="S3189" t="s">
        <v>25</v>
      </c>
      <c r="T3189">
        <f>IF(TRIM(Table1[[#This Row],[PitStopLaps]])="",0,
LEN(Table1[[#This Row],[PitStopLaps]])-LEN(SUBSTITUTE(Table1[[#This Row],[PitStopLaps]],",",""))+1)</f>
        <v>2</v>
      </c>
      <c r="U3189">
        <f>Table1[[#This Row],[StartPosition]]-Table1[[#This Row],[FinishPosition]]</f>
        <v>-6</v>
      </c>
    </row>
    <row r="3190" spans="1:21" x14ac:dyDescent="0.3">
      <c r="A3190">
        <v>2025</v>
      </c>
      <c r="B3190">
        <v>12</v>
      </c>
      <c r="C3190" t="s">
        <v>157</v>
      </c>
      <c r="D3190" t="s">
        <v>1180</v>
      </c>
      <c r="E3190" t="s">
        <v>1181</v>
      </c>
      <c r="F3190" t="s">
        <v>69</v>
      </c>
      <c r="G3190">
        <v>18</v>
      </c>
      <c r="H3190">
        <v>11</v>
      </c>
      <c r="I3190">
        <v>0</v>
      </c>
      <c r="J3190" t="s">
        <v>34</v>
      </c>
      <c r="K3190" t="s">
        <v>24</v>
      </c>
      <c r="L3190">
        <v>52</v>
      </c>
      <c r="M3190">
        <v>90.921000000000006</v>
      </c>
      <c r="N3190">
        <v>101.345636</v>
      </c>
      <c r="O3190">
        <v>29.012</v>
      </c>
      <c r="P3190">
        <v>36.99</v>
      </c>
      <c r="Q3190">
        <v>24.734999999999999</v>
      </c>
      <c r="R3190" t="s">
        <v>1412</v>
      </c>
      <c r="S3190" t="s">
        <v>25</v>
      </c>
      <c r="T3190">
        <f>IF(TRIM(Table1[[#This Row],[PitStopLaps]])="",0,
LEN(Table1[[#This Row],[PitStopLaps]])-LEN(SUBSTITUTE(Table1[[#This Row],[PitStopLaps]],",",""))+1)</f>
        <v>2</v>
      </c>
      <c r="U3190">
        <f>Table1[[#This Row],[StartPosition]]-Table1[[#This Row],[FinishPosition]]</f>
        <v>7</v>
      </c>
    </row>
    <row r="3191" spans="1:21" x14ac:dyDescent="0.3">
      <c r="A3191">
        <v>2025</v>
      </c>
      <c r="B3191">
        <v>12</v>
      </c>
      <c r="C3191" t="s">
        <v>157</v>
      </c>
      <c r="D3191" t="s">
        <v>47</v>
      </c>
      <c r="E3191" t="s">
        <v>48</v>
      </c>
      <c r="F3191" t="s">
        <v>60</v>
      </c>
      <c r="G3191">
        <v>9</v>
      </c>
      <c r="H3191">
        <v>12</v>
      </c>
      <c r="I3191">
        <v>0</v>
      </c>
      <c r="J3191" t="s">
        <v>34</v>
      </c>
      <c r="K3191" t="s">
        <v>24</v>
      </c>
      <c r="L3191">
        <v>52</v>
      </c>
      <c r="M3191">
        <v>90.644999999999996</v>
      </c>
      <c r="N3191">
        <v>101.482406</v>
      </c>
      <c r="O3191">
        <v>28.927</v>
      </c>
      <c r="P3191">
        <v>36.975999999999999</v>
      </c>
      <c r="Q3191">
        <v>24.623000000000001</v>
      </c>
      <c r="R3191" t="s">
        <v>524</v>
      </c>
      <c r="S3191" t="s">
        <v>25</v>
      </c>
      <c r="T3191">
        <f>IF(TRIM(Table1[[#This Row],[PitStopLaps]])="",0,
LEN(Table1[[#This Row],[PitStopLaps]])-LEN(SUBSTITUTE(Table1[[#This Row],[PitStopLaps]],",",""))+1)</f>
        <v>2</v>
      </c>
      <c r="U3191">
        <f>Table1[[#This Row],[StartPosition]]-Table1[[#This Row],[FinishPosition]]</f>
        <v>-3</v>
      </c>
    </row>
    <row r="3192" spans="1:21" x14ac:dyDescent="0.3">
      <c r="A3192">
        <v>2025</v>
      </c>
      <c r="B3192">
        <v>12</v>
      </c>
      <c r="C3192" t="s">
        <v>157</v>
      </c>
      <c r="D3192" t="s">
        <v>52</v>
      </c>
      <c r="E3192" t="s">
        <v>53</v>
      </c>
      <c r="F3192" t="s">
        <v>69</v>
      </c>
      <c r="G3192">
        <v>14</v>
      </c>
      <c r="H3192">
        <v>13</v>
      </c>
      <c r="I3192">
        <v>0</v>
      </c>
      <c r="J3192" t="s">
        <v>34</v>
      </c>
      <c r="K3192" t="s">
        <v>24</v>
      </c>
      <c r="L3192">
        <v>52</v>
      </c>
      <c r="M3192">
        <v>90.817999999999998</v>
      </c>
      <c r="N3192">
        <v>101.886117</v>
      </c>
      <c r="O3192">
        <v>28.864000000000001</v>
      </c>
      <c r="P3192">
        <v>36.941000000000003</v>
      </c>
      <c r="Q3192">
        <v>24.817</v>
      </c>
      <c r="R3192" t="s">
        <v>516</v>
      </c>
      <c r="S3192" t="s">
        <v>25</v>
      </c>
      <c r="T3192">
        <f>IF(TRIM(Table1[[#This Row],[PitStopLaps]])="",0,
LEN(Table1[[#This Row],[PitStopLaps]])-LEN(SUBSTITUTE(Table1[[#This Row],[PitStopLaps]],",",""))+1)</f>
        <v>2</v>
      </c>
      <c r="U3192">
        <f>Table1[[#This Row],[StartPosition]]-Table1[[#This Row],[FinishPosition]]</f>
        <v>1</v>
      </c>
    </row>
    <row r="3193" spans="1:21" x14ac:dyDescent="0.3">
      <c r="A3193">
        <v>2025</v>
      </c>
      <c r="B3193">
        <v>12</v>
      </c>
      <c r="C3193" t="s">
        <v>157</v>
      </c>
      <c r="D3193" t="s">
        <v>54</v>
      </c>
      <c r="E3193" t="s">
        <v>55</v>
      </c>
      <c r="F3193" t="s">
        <v>22</v>
      </c>
      <c r="G3193">
        <v>6</v>
      </c>
      <c r="H3193">
        <v>14</v>
      </c>
      <c r="I3193">
        <v>0</v>
      </c>
      <c r="J3193" t="s">
        <v>34</v>
      </c>
      <c r="K3193" t="s">
        <v>24</v>
      </c>
      <c r="L3193">
        <v>52</v>
      </c>
      <c r="M3193">
        <v>90.819000000000003</v>
      </c>
      <c r="N3193">
        <v>101.16357499999999</v>
      </c>
      <c r="O3193">
        <v>29.096</v>
      </c>
      <c r="P3193">
        <v>37.067</v>
      </c>
      <c r="Q3193">
        <v>24.655999999999999</v>
      </c>
      <c r="R3193" t="s">
        <v>1413</v>
      </c>
      <c r="S3193" t="s">
        <v>25</v>
      </c>
      <c r="T3193">
        <f>IF(TRIM(Table1[[#This Row],[PitStopLaps]])="",0,
LEN(Table1[[#This Row],[PitStopLaps]])-LEN(SUBSTITUTE(Table1[[#This Row],[PitStopLaps]],",",""))+1)</f>
        <v>2</v>
      </c>
      <c r="U3193">
        <f>Table1[[#This Row],[StartPosition]]-Table1[[#This Row],[FinishPosition]]</f>
        <v>-8</v>
      </c>
    </row>
    <row r="3194" spans="1:21" x14ac:dyDescent="0.3">
      <c r="A3194">
        <v>2025</v>
      </c>
      <c r="B3194">
        <v>12</v>
      </c>
      <c r="C3194" t="s">
        <v>157</v>
      </c>
      <c r="D3194" t="s">
        <v>601</v>
      </c>
      <c r="E3194" t="s">
        <v>602</v>
      </c>
      <c r="F3194" t="s">
        <v>33</v>
      </c>
      <c r="G3194">
        <v>11</v>
      </c>
      <c r="H3194">
        <v>15</v>
      </c>
      <c r="I3194">
        <v>0</v>
      </c>
      <c r="J3194" t="s">
        <v>34</v>
      </c>
      <c r="K3194" t="s">
        <v>994</v>
      </c>
      <c r="L3194">
        <v>51</v>
      </c>
      <c r="M3194">
        <v>90.873000000000005</v>
      </c>
      <c r="N3194">
        <v>102.637322</v>
      </c>
      <c r="O3194">
        <v>28.841000000000001</v>
      </c>
      <c r="P3194">
        <v>37.311</v>
      </c>
      <c r="Q3194">
        <v>24.721</v>
      </c>
      <c r="R3194" t="s">
        <v>524</v>
      </c>
      <c r="S3194" t="s">
        <v>25</v>
      </c>
      <c r="T3194">
        <f>IF(TRIM(Table1[[#This Row],[PitStopLaps]])="",0,
LEN(Table1[[#This Row],[PitStopLaps]])-LEN(SUBSTITUTE(Table1[[#This Row],[PitStopLaps]],",",""))+1)</f>
        <v>2</v>
      </c>
      <c r="U3194">
        <f>Table1[[#This Row],[StartPosition]]-Table1[[#This Row],[FinishPosition]]</f>
        <v>-4</v>
      </c>
    </row>
    <row r="3195" spans="1:21" x14ac:dyDescent="0.3">
      <c r="A3195">
        <v>2025</v>
      </c>
      <c r="B3195">
        <v>12</v>
      </c>
      <c r="C3195" t="s">
        <v>157</v>
      </c>
      <c r="D3195" t="s">
        <v>1339</v>
      </c>
      <c r="E3195" t="s">
        <v>1325</v>
      </c>
      <c r="F3195" t="s">
        <v>28</v>
      </c>
      <c r="G3195">
        <v>10</v>
      </c>
      <c r="H3195">
        <v>16</v>
      </c>
      <c r="I3195">
        <v>0</v>
      </c>
      <c r="J3195" t="s">
        <v>34</v>
      </c>
      <c r="K3195" t="s">
        <v>179</v>
      </c>
      <c r="L3195">
        <v>23</v>
      </c>
      <c r="M3195">
        <v>105.57599999999999</v>
      </c>
      <c r="N3195">
        <v>109.13124999999999</v>
      </c>
      <c r="O3195">
        <v>33.207000000000001</v>
      </c>
      <c r="P3195">
        <v>39.634</v>
      </c>
      <c r="Q3195">
        <v>29.681000000000001</v>
      </c>
      <c r="R3195" t="s">
        <v>1414</v>
      </c>
      <c r="S3195" t="s">
        <v>25</v>
      </c>
      <c r="T3195">
        <f>IF(TRIM(Table1[[#This Row],[PitStopLaps]])="",0,
LEN(Table1[[#This Row],[PitStopLaps]])-LEN(SUBSTITUTE(Table1[[#This Row],[PitStopLaps]],",",""))+1)</f>
        <v>4</v>
      </c>
      <c r="U3195">
        <f>Table1[[#This Row],[StartPosition]]-Table1[[#This Row],[FinishPosition]]</f>
        <v>-6</v>
      </c>
    </row>
    <row r="3196" spans="1:21" x14ac:dyDescent="0.3">
      <c r="A3196">
        <v>2025</v>
      </c>
      <c r="B3196">
        <v>12</v>
      </c>
      <c r="C3196" t="s">
        <v>157</v>
      </c>
      <c r="D3196" t="s">
        <v>1337</v>
      </c>
      <c r="E3196" t="s">
        <v>1338</v>
      </c>
      <c r="F3196" t="s">
        <v>1330</v>
      </c>
      <c r="G3196">
        <v>12</v>
      </c>
      <c r="H3196">
        <v>17</v>
      </c>
      <c r="I3196">
        <v>0</v>
      </c>
      <c r="J3196" t="s">
        <v>34</v>
      </c>
      <c r="K3196" t="s">
        <v>179</v>
      </c>
      <c r="L3196">
        <v>18</v>
      </c>
      <c r="M3196">
        <v>101.705</v>
      </c>
      <c r="N3196">
        <v>106.83625000000001</v>
      </c>
      <c r="O3196">
        <v>32.709000000000003</v>
      </c>
      <c r="P3196">
        <v>38.545000000000002</v>
      </c>
      <c r="Q3196">
        <v>30.178999999999998</v>
      </c>
      <c r="R3196">
        <v>10</v>
      </c>
      <c r="S3196" t="s">
        <v>25</v>
      </c>
      <c r="T3196">
        <f>IF(TRIM(Table1[[#This Row],[PitStopLaps]])="",0,
LEN(Table1[[#This Row],[PitStopLaps]])-LEN(SUBSTITUTE(Table1[[#This Row],[PitStopLaps]],",",""))+1)</f>
        <v>1</v>
      </c>
      <c r="U3196">
        <f>Table1[[#This Row],[StartPosition]]-Table1[[#This Row],[FinishPosition]]</f>
        <v>-5</v>
      </c>
    </row>
    <row r="3197" spans="1:21" x14ac:dyDescent="0.3">
      <c r="A3197">
        <v>2025</v>
      </c>
      <c r="B3197">
        <v>12</v>
      </c>
      <c r="C3197" t="s">
        <v>157</v>
      </c>
      <c r="D3197" t="s">
        <v>1334</v>
      </c>
      <c r="E3197" t="s">
        <v>1335</v>
      </c>
      <c r="F3197" t="s">
        <v>1175</v>
      </c>
      <c r="G3197">
        <v>16</v>
      </c>
      <c r="H3197">
        <v>18</v>
      </c>
      <c r="I3197">
        <v>0</v>
      </c>
      <c r="J3197" t="s">
        <v>34</v>
      </c>
      <c r="K3197" t="s">
        <v>179</v>
      </c>
      <c r="L3197">
        <v>4</v>
      </c>
      <c r="S3197" t="s">
        <v>25</v>
      </c>
      <c r="T3197">
        <f>IF(TRIM(Table1[[#This Row],[PitStopLaps]])="",0,
LEN(Table1[[#This Row],[PitStopLaps]])-LEN(SUBSTITUTE(Table1[[#This Row],[PitStopLaps]],",",""))+1)</f>
        <v>0</v>
      </c>
      <c r="U3197">
        <f>Table1[[#This Row],[StartPosition]]-Table1[[#This Row],[FinishPosition]]</f>
        <v>-2</v>
      </c>
    </row>
    <row r="3198" spans="1:21" x14ac:dyDescent="0.3">
      <c r="A3198">
        <v>2025</v>
      </c>
      <c r="B3198">
        <v>12</v>
      </c>
      <c r="C3198" t="s">
        <v>157</v>
      </c>
      <c r="D3198" t="s">
        <v>1092</v>
      </c>
      <c r="E3198" t="s">
        <v>1093</v>
      </c>
      <c r="F3198" t="s">
        <v>1330</v>
      </c>
      <c r="G3198">
        <v>15</v>
      </c>
      <c r="H3198">
        <v>19</v>
      </c>
      <c r="I3198">
        <v>0</v>
      </c>
      <c r="J3198" t="s">
        <v>34</v>
      </c>
      <c r="K3198" t="s">
        <v>179</v>
      </c>
      <c r="L3198">
        <v>1</v>
      </c>
      <c r="S3198" t="s">
        <v>25</v>
      </c>
      <c r="T3198">
        <f>IF(TRIM(Table1[[#This Row],[PitStopLaps]])="",0,
LEN(Table1[[#This Row],[PitStopLaps]])-LEN(SUBSTITUTE(Table1[[#This Row],[PitStopLaps]],",",""))+1)</f>
        <v>0</v>
      </c>
      <c r="U3198">
        <f>Table1[[#This Row],[StartPosition]]-Table1[[#This Row],[FinishPosition]]</f>
        <v>-4</v>
      </c>
    </row>
    <row r="3199" spans="1:21" x14ac:dyDescent="0.3">
      <c r="A3199">
        <v>2025</v>
      </c>
      <c r="B3199">
        <v>12</v>
      </c>
      <c r="C3199" t="s">
        <v>157</v>
      </c>
      <c r="D3199" t="s">
        <v>1283</v>
      </c>
      <c r="E3199" t="s">
        <v>1284</v>
      </c>
      <c r="F3199" t="s">
        <v>607</v>
      </c>
      <c r="G3199">
        <v>20</v>
      </c>
      <c r="H3199">
        <v>20</v>
      </c>
      <c r="I3199">
        <v>0</v>
      </c>
      <c r="J3199" t="s">
        <v>34</v>
      </c>
      <c r="K3199" t="s">
        <v>1104</v>
      </c>
      <c r="S3199" t="s">
        <v>25</v>
      </c>
      <c r="T3199">
        <f>IF(TRIM(Table1[[#This Row],[PitStopLaps]])="",0,
LEN(Table1[[#This Row],[PitStopLaps]])-LEN(SUBSTITUTE(Table1[[#This Row],[PitStopLaps]],",",""))+1)</f>
        <v>0</v>
      </c>
      <c r="U3199">
        <f>Table1[[#This Row],[StartPosition]]-Table1[[#This Row],[FinishPosition]]</f>
        <v>0</v>
      </c>
    </row>
    <row r="3200" spans="1:21" x14ac:dyDescent="0.3">
      <c r="A3200">
        <v>2025</v>
      </c>
      <c r="B3200">
        <v>13</v>
      </c>
      <c r="C3200" t="s">
        <v>188</v>
      </c>
      <c r="D3200" t="s">
        <v>1000</v>
      </c>
      <c r="E3200" t="s">
        <v>1001</v>
      </c>
      <c r="F3200" t="s">
        <v>37</v>
      </c>
      <c r="G3200">
        <v>2</v>
      </c>
      <c r="H3200">
        <v>1</v>
      </c>
      <c r="I3200">
        <v>25</v>
      </c>
      <c r="J3200" t="s">
        <v>23</v>
      </c>
      <c r="K3200" t="s">
        <v>24</v>
      </c>
      <c r="L3200">
        <v>44</v>
      </c>
      <c r="M3200">
        <v>105.706</v>
      </c>
      <c r="N3200">
        <v>109.28060499999999</v>
      </c>
      <c r="O3200">
        <v>30.905000000000001</v>
      </c>
      <c r="P3200">
        <v>46.28</v>
      </c>
      <c r="Q3200">
        <v>28.513999999999999</v>
      </c>
      <c r="R3200">
        <v>12</v>
      </c>
      <c r="S3200" t="s">
        <v>25</v>
      </c>
      <c r="T3200">
        <f>IF(TRIM(Table1[[#This Row],[PitStopLaps]])="",0,
LEN(Table1[[#This Row],[PitStopLaps]])-LEN(SUBSTITUTE(Table1[[#This Row],[PitStopLaps]],",",""))+1)</f>
        <v>1</v>
      </c>
      <c r="U3200">
        <f>Table1[[#This Row],[StartPosition]]-Table1[[#This Row],[FinishPosition]]</f>
        <v>1</v>
      </c>
    </row>
    <row r="3201" spans="1:21" x14ac:dyDescent="0.3">
      <c r="A3201">
        <v>2025</v>
      </c>
      <c r="B3201">
        <v>13</v>
      </c>
      <c r="C3201" t="s">
        <v>188</v>
      </c>
      <c r="D3201" t="s">
        <v>246</v>
      </c>
      <c r="E3201" t="s">
        <v>247</v>
      </c>
      <c r="F3201" t="s">
        <v>37</v>
      </c>
      <c r="G3201">
        <v>1</v>
      </c>
      <c r="H3201">
        <v>2</v>
      </c>
      <c r="I3201">
        <v>18</v>
      </c>
      <c r="J3201" t="s">
        <v>23</v>
      </c>
      <c r="K3201" t="s">
        <v>24</v>
      </c>
      <c r="L3201">
        <v>44</v>
      </c>
      <c r="M3201">
        <v>105.25700000000001</v>
      </c>
      <c r="N3201">
        <v>109.444552</v>
      </c>
      <c r="O3201">
        <v>30.811</v>
      </c>
      <c r="P3201">
        <v>45.929000000000002</v>
      </c>
      <c r="Q3201">
        <v>28.408999999999999</v>
      </c>
      <c r="R3201">
        <v>13</v>
      </c>
      <c r="S3201" t="s">
        <v>25</v>
      </c>
      <c r="T3201">
        <f>IF(TRIM(Table1[[#This Row],[PitStopLaps]])="",0,
LEN(Table1[[#This Row],[PitStopLaps]])-LEN(SUBSTITUTE(Table1[[#This Row],[PitStopLaps]],",",""))+1)</f>
        <v>1</v>
      </c>
      <c r="U3201">
        <f>Table1[[#This Row],[StartPosition]]-Table1[[#This Row],[FinishPosition]]</f>
        <v>-1</v>
      </c>
    </row>
    <row r="3202" spans="1:21" x14ac:dyDescent="0.3">
      <c r="A3202">
        <v>2025</v>
      </c>
      <c r="B3202">
        <v>13</v>
      </c>
      <c r="C3202" t="s">
        <v>188</v>
      </c>
      <c r="D3202" t="s">
        <v>54</v>
      </c>
      <c r="E3202" t="s">
        <v>55</v>
      </c>
      <c r="F3202" t="s">
        <v>22</v>
      </c>
      <c r="G3202">
        <v>3</v>
      </c>
      <c r="H3202">
        <v>3</v>
      </c>
      <c r="I3202">
        <v>15</v>
      </c>
      <c r="J3202" t="s">
        <v>23</v>
      </c>
      <c r="K3202" t="s">
        <v>24</v>
      </c>
      <c r="L3202">
        <v>44</v>
      </c>
      <c r="M3202">
        <v>106.17400000000001</v>
      </c>
      <c r="N3202">
        <v>109.633</v>
      </c>
      <c r="O3202">
        <v>30.873999999999999</v>
      </c>
      <c r="P3202">
        <v>46.646999999999998</v>
      </c>
      <c r="Q3202">
        <v>28.524000000000001</v>
      </c>
      <c r="R3202">
        <v>12</v>
      </c>
      <c r="S3202" t="s">
        <v>25</v>
      </c>
      <c r="T3202">
        <f>IF(TRIM(Table1[[#This Row],[PitStopLaps]])="",0,
LEN(Table1[[#This Row],[PitStopLaps]])-LEN(SUBSTITUTE(Table1[[#This Row],[PitStopLaps]],",",""))+1)</f>
        <v>1</v>
      </c>
      <c r="U3202">
        <f>Table1[[#This Row],[StartPosition]]-Table1[[#This Row],[FinishPosition]]</f>
        <v>0</v>
      </c>
    </row>
    <row r="3203" spans="1:21" x14ac:dyDescent="0.3">
      <c r="A3203">
        <v>2025</v>
      </c>
      <c r="B3203">
        <v>13</v>
      </c>
      <c r="C3203" t="s">
        <v>188</v>
      </c>
      <c r="D3203" t="s">
        <v>38</v>
      </c>
      <c r="E3203" t="s">
        <v>39</v>
      </c>
      <c r="F3203" t="s">
        <v>33</v>
      </c>
      <c r="G3203">
        <v>4</v>
      </c>
      <c r="H3203">
        <v>4</v>
      </c>
      <c r="I3203">
        <v>12</v>
      </c>
      <c r="J3203" t="s">
        <v>34</v>
      </c>
      <c r="K3203" t="s">
        <v>24</v>
      </c>
      <c r="L3203">
        <v>44</v>
      </c>
      <c r="M3203">
        <v>106.096</v>
      </c>
      <c r="N3203">
        <v>109.66271</v>
      </c>
      <c r="O3203">
        <v>30.943000000000001</v>
      </c>
      <c r="P3203">
        <v>46.512</v>
      </c>
      <c r="Q3203">
        <v>28.562999999999999</v>
      </c>
      <c r="R3203">
        <v>12</v>
      </c>
      <c r="S3203" t="s">
        <v>25</v>
      </c>
      <c r="T3203">
        <f>IF(TRIM(Table1[[#This Row],[PitStopLaps]])="",0,
LEN(Table1[[#This Row],[PitStopLaps]])-LEN(SUBSTITUTE(Table1[[#This Row],[PitStopLaps]],",",""))+1)</f>
        <v>1</v>
      </c>
      <c r="U3203">
        <f>Table1[[#This Row],[StartPosition]]-Table1[[#This Row],[FinishPosition]]</f>
        <v>0</v>
      </c>
    </row>
    <row r="3204" spans="1:21" x14ac:dyDescent="0.3">
      <c r="A3204">
        <v>2025</v>
      </c>
      <c r="B3204">
        <v>13</v>
      </c>
      <c r="C3204" t="s">
        <v>188</v>
      </c>
      <c r="D3204" t="s">
        <v>252</v>
      </c>
      <c r="E3204" t="s">
        <v>253</v>
      </c>
      <c r="F3204" t="s">
        <v>28</v>
      </c>
      <c r="G3204">
        <v>6</v>
      </c>
      <c r="H3204">
        <v>5</v>
      </c>
      <c r="I3204">
        <v>10</v>
      </c>
      <c r="J3204" t="s">
        <v>34</v>
      </c>
      <c r="K3204" t="s">
        <v>24</v>
      </c>
      <c r="L3204">
        <v>44</v>
      </c>
      <c r="M3204">
        <v>106.566</v>
      </c>
      <c r="N3204">
        <v>110.04470999999999</v>
      </c>
      <c r="O3204">
        <v>30.765000000000001</v>
      </c>
      <c r="P3204">
        <v>47.104999999999997</v>
      </c>
      <c r="Q3204">
        <v>28.542999999999999</v>
      </c>
      <c r="R3204">
        <v>12</v>
      </c>
      <c r="S3204" t="s">
        <v>25</v>
      </c>
      <c r="T3204">
        <f>IF(TRIM(Table1[[#This Row],[PitStopLaps]])="",0,
LEN(Table1[[#This Row],[PitStopLaps]])-LEN(SUBSTITUTE(Table1[[#This Row],[PitStopLaps]],",",""))+1)</f>
        <v>1</v>
      </c>
      <c r="U3204">
        <f>Table1[[#This Row],[StartPosition]]-Table1[[#This Row],[FinishPosition]]</f>
        <v>1</v>
      </c>
    </row>
    <row r="3205" spans="1:21" x14ac:dyDescent="0.3">
      <c r="A3205">
        <v>2025</v>
      </c>
      <c r="B3205">
        <v>13</v>
      </c>
      <c r="C3205" t="s">
        <v>188</v>
      </c>
      <c r="D3205" t="s">
        <v>248</v>
      </c>
      <c r="E3205" t="s">
        <v>249</v>
      </c>
      <c r="F3205" t="s">
        <v>60</v>
      </c>
      <c r="G3205">
        <v>5</v>
      </c>
      <c r="H3205">
        <v>6</v>
      </c>
      <c r="I3205">
        <v>8</v>
      </c>
      <c r="J3205" t="s">
        <v>34</v>
      </c>
      <c r="K3205" t="s">
        <v>24</v>
      </c>
      <c r="L3205">
        <v>44</v>
      </c>
      <c r="M3205">
        <v>106.813</v>
      </c>
      <c r="N3205">
        <v>110.198973</v>
      </c>
      <c r="O3205">
        <v>30.88</v>
      </c>
      <c r="P3205">
        <v>47.161000000000001</v>
      </c>
      <c r="Q3205">
        <v>28.620999999999999</v>
      </c>
      <c r="R3205">
        <v>12</v>
      </c>
      <c r="S3205" t="s">
        <v>25</v>
      </c>
      <c r="T3205">
        <f>IF(TRIM(Table1[[#This Row],[PitStopLaps]])="",0,
LEN(Table1[[#This Row],[PitStopLaps]])-LEN(SUBSTITUTE(Table1[[#This Row],[PitStopLaps]],",",""))+1)</f>
        <v>1</v>
      </c>
      <c r="U3205">
        <f>Table1[[#This Row],[StartPosition]]-Table1[[#This Row],[FinishPosition]]</f>
        <v>-1</v>
      </c>
    </row>
    <row r="3206" spans="1:21" x14ac:dyDescent="0.3">
      <c r="A3206">
        <v>2025</v>
      </c>
      <c r="B3206">
        <v>13</v>
      </c>
      <c r="C3206" t="s">
        <v>188</v>
      </c>
      <c r="D3206" t="s">
        <v>26</v>
      </c>
      <c r="E3206" t="s">
        <v>27</v>
      </c>
      <c r="F3206" t="s">
        <v>22</v>
      </c>
      <c r="G3206">
        <v>18</v>
      </c>
      <c r="H3206">
        <v>7</v>
      </c>
      <c r="I3206">
        <v>6</v>
      </c>
      <c r="J3206" t="s">
        <v>34</v>
      </c>
      <c r="K3206" t="s">
        <v>24</v>
      </c>
      <c r="L3206">
        <v>44</v>
      </c>
      <c r="M3206">
        <v>106.53400000000001</v>
      </c>
      <c r="N3206">
        <v>109.933026</v>
      </c>
      <c r="O3206">
        <v>30.651</v>
      </c>
      <c r="P3206">
        <v>46.817999999999998</v>
      </c>
      <c r="Q3206">
        <v>28.640999999999998</v>
      </c>
      <c r="R3206">
        <v>11</v>
      </c>
      <c r="S3206" t="s">
        <v>25</v>
      </c>
      <c r="T3206">
        <f>IF(TRIM(Table1[[#This Row],[PitStopLaps]])="",0,
LEN(Table1[[#This Row],[PitStopLaps]])-LEN(SUBSTITUTE(Table1[[#This Row],[PitStopLaps]],",",""))+1)</f>
        <v>1</v>
      </c>
      <c r="U3206">
        <f>Table1[[#This Row],[StartPosition]]-Table1[[#This Row],[FinishPosition]]</f>
        <v>11</v>
      </c>
    </row>
    <row r="3207" spans="1:21" x14ac:dyDescent="0.3">
      <c r="A3207">
        <v>2025</v>
      </c>
      <c r="B3207">
        <v>13</v>
      </c>
      <c r="C3207" t="s">
        <v>188</v>
      </c>
      <c r="D3207" t="s">
        <v>1092</v>
      </c>
      <c r="E3207" t="s">
        <v>1093</v>
      </c>
      <c r="F3207" t="s">
        <v>1330</v>
      </c>
      <c r="G3207">
        <v>9</v>
      </c>
      <c r="H3207">
        <v>8</v>
      </c>
      <c r="I3207">
        <v>4</v>
      </c>
      <c r="J3207" t="s">
        <v>34</v>
      </c>
      <c r="K3207" t="s">
        <v>24</v>
      </c>
      <c r="L3207">
        <v>44</v>
      </c>
      <c r="M3207">
        <v>106.649</v>
      </c>
      <c r="N3207">
        <v>110.418736</v>
      </c>
      <c r="O3207">
        <v>31.116</v>
      </c>
      <c r="P3207">
        <v>46.866</v>
      </c>
      <c r="Q3207">
        <v>28.626000000000001</v>
      </c>
      <c r="R3207">
        <v>12</v>
      </c>
      <c r="S3207" t="s">
        <v>25</v>
      </c>
      <c r="T3207">
        <f>IF(TRIM(Table1[[#This Row],[PitStopLaps]])="",0,
LEN(Table1[[#This Row],[PitStopLaps]])-LEN(SUBSTITUTE(Table1[[#This Row],[PitStopLaps]],",",""))+1)</f>
        <v>1</v>
      </c>
      <c r="U3207">
        <f>Table1[[#This Row],[StartPosition]]-Table1[[#This Row],[FinishPosition]]</f>
        <v>1</v>
      </c>
    </row>
    <row r="3208" spans="1:21" x14ac:dyDescent="0.3">
      <c r="A3208">
        <v>2025</v>
      </c>
      <c r="B3208">
        <v>13</v>
      </c>
      <c r="C3208" t="s">
        <v>188</v>
      </c>
      <c r="D3208" t="s">
        <v>1334</v>
      </c>
      <c r="E3208" t="s">
        <v>1335</v>
      </c>
      <c r="F3208" t="s">
        <v>1175</v>
      </c>
      <c r="G3208">
        <v>10</v>
      </c>
      <c r="H3208">
        <v>9</v>
      </c>
      <c r="I3208">
        <v>2</v>
      </c>
      <c r="J3208" t="s">
        <v>34</v>
      </c>
      <c r="K3208" t="s">
        <v>24</v>
      </c>
      <c r="L3208">
        <v>44</v>
      </c>
      <c r="M3208">
        <v>106.96599999999999</v>
      </c>
      <c r="N3208">
        <v>110.535394</v>
      </c>
      <c r="O3208">
        <v>31.12</v>
      </c>
      <c r="P3208">
        <v>46.932000000000002</v>
      </c>
      <c r="Q3208">
        <v>28.72</v>
      </c>
      <c r="R3208">
        <v>12</v>
      </c>
      <c r="S3208" t="s">
        <v>25</v>
      </c>
      <c r="T3208">
        <f>IF(TRIM(Table1[[#This Row],[PitStopLaps]])="",0,
LEN(Table1[[#This Row],[PitStopLaps]])-LEN(SUBSTITUTE(Table1[[#This Row],[PitStopLaps]],",",""))+1)</f>
        <v>1</v>
      </c>
      <c r="U3208">
        <f>Table1[[#This Row],[StartPosition]]-Table1[[#This Row],[FinishPosition]]</f>
        <v>1</v>
      </c>
    </row>
    <row r="3209" spans="1:21" x14ac:dyDescent="0.3">
      <c r="A3209">
        <v>2025</v>
      </c>
      <c r="B3209">
        <v>13</v>
      </c>
      <c r="C3209" t="s">
        <v>188</v>
      </c>
      <c r="D3209" t="s">
        <v>73</v>
      </c>
      <c r="E3209" t="s">
        <v>74</v>
      </c>
      <c r="F3209" t="s">
        <v>607</v>
      </c>
      <c r="G3209">
        <v>13</v>
      </c>
      <c r="H3209">
        <v>10</v>
      </c>
      <c r="I3209">
        <v>1</v>
      </c>
      <c r="J3209" t="s">
        <v>34</v>
      </c>
      <c r="K3209" t="s">
        <v>24</v>
      </c>
      <c r="L3209">
        <v>44</v>
      </c>
      <c r="M3209">
        <v>107.17700000000001</v>
      </c>
      <c r="N3209">
        <v>110.784184</v>
      </c>
      <c r="O3209">
        <v>30.885000000000002</v>
      </c>
      <c r="P3209">
        <v>47.529000000000003</v>
      </c>
      <c r="Q3209">
        <v>28.667000000000002</v>
      </c>
      <c r="R3209">
        <v>11</v>
      </c>
      <c r="S3209" t="s">
        <v>25</v>
      </c>
      <c r="T3209">
        <f>IF(TRIM(Table1[[#This Row],[PitStopLaps]])="",0,
LEN(Table1[[#This Row],[PitStopLaps]])-LEN(SUBSTITUTE(Table1[[#This Row],[PitStopLaps]],",",""))+1)</f>
        <v>1</v>
      </c>
      <c r="U3209">
        <f>Table1[[#This Row],[StartPosition]]-Table1[[#This Row],[FinishPosition]]</f>
        <v>3</v>
      </c>
    </row>
    <row r="3210" spans="1:21" x14ac:dyDescent="0.3">
      <c r="A3210">
        <v>2025</v>
      </c>
      <c r="B3210">
        <v>13</v>
      </c>
      <c r="C3210" t="s">
        <v>188</v>
      </c>
      <c r="D3210" t="s">
        <v>1180</v>
      </c>
      <c r="E3210" t="s">
        <v>1181</v>
      </c>
      <c r="F3210" t="s">
        <v>69</v>
      </c>
      <c r="G3210">
        <v>12</v>
      </c>
      <c r="H3210">
        <v>11</v>
      </c>
      <c r="I3210">
        <v>0</v>
      </c>
      <c r="J3210" t="s">
        <v>34</v>
      </c>
      <c r="K3210" t="s">
        <v>24</v>
      </c>
      <c r="L3210">
        <v>44</v>
      </c>
      <c r="M3210">
        <v>106.709</v>
      </c>
      <c r="N3210">
        <v>110.93323599999999</v>
      </c>
      <c r="O3210">
        <v>30.513000000000002</v>
      </c>
      <c r="P3210">
        <v>47.146000000000001</v>
      </c>
      <c r="Q3210">
        <v>28.692</v>
      </c>
      <c r="R3210">
        <v>12</v>
      </c>
      <c r="S3210" t="s">
        <v>25</v>
      </c>
      <c r="T3210">
        <f>IF(TRIM(Table1[[#This Row],[PitStopLaps]])="",0,
LEN(Table1[[#This Row],[PitStopLaps]])-LEN(SUBSTITUTE(Table1[[#This Row],[PitStopLaps]],",",""))+1)</f>
        <v>1</v>
      </c>
      <c r="U3210">
        <f>Table1[[#This Row],[StartPosition]]-Table1[[#This Row],[FinishPosition]]</f>
        <v>1</v>
      </c>
    </row>
    <row r="3211" spans="1:21" x14ac:dyDescent="0.3">
      <c r="A3211">
        <v>2025</v>
      </c>
      <c r="B3211">
        <v>13</v>
      </c>
      <c r="C3211" t="s">
        <v>188</v>
      </c>
      <c r="D3211" t="s">
        <v>40</v>
      </c>
      <c r="E3211" t="s">
        <v>41</v>
      </c>
      <c r="F3211" t="s">
        <v>1175</v>
      </c>
      <c r="G3211">
        <v>14</v>
      </c>
      <c r="H3211">
        <v>12</v>
      </c>
      <c r="I3211">
        <v>0</v>
      </c>
      <c r="J3211" t="s">
        <v>34</v>
      </c>
      <c r="K3211" t="s">
        <v>24</v>
      </c>
      <c r="L3211">
        <v>44</v>
      </c>
      <c r="M3211">
        <v>105.068</v>
      </c>
      <c r="N3211">
        <v>110.518833</v>
      </c>
      <c r="O3211">
        <v>30.463000000000001</v>
      </c>
      <c r="P3211">
        <v>45.893999999999998</v>
      </c>
      <c r="Q3211">
        <v>28.591000000000001</v>
      </c>
      <c r="R3211" t="s">
        <v>263</v>
      </c>
      <c r="S3211" t="s">
        <v>25</v>
      </c>
      <c r="T3211">
        <f>IF(TRIM(Table1[[#This Row],[PitStopLaps]])="",0,
LEN(Table1[[#This Row],[PitStopLaps]])-LEN(SUBSTITUTE(Table1[[#This Row],[PitStopLaps]],",",""))+1)</f>
        <v>2</v>
      </c>
      <c r="U3211">
        <f>Table1[[#This Row],[StartPosition]]-Table1[[#This Row],[FinishPosition]]</f>
        <v>2</v>
      </c>
    </row>
    <row r="3212" spans="1:21" x14ac:dyDescent="0.3">
      <c r="A3212">
        <v>2025</v>
      </c>
      <c r="B3212">
        <v>13</v>
      </c>
      <c r="C3212" t="s">
        <v>188</v>
      </c>
      <c r="D3212" t="s">
        <v>601</v>
      </c>
      <c r="E3212" t="s">
        <v>602</v>
      </c>
      <c r="F3212" t="s">
        <v>33</v>
      </c>
      <c r="G3212">
        <v>7</v>
      </c>
      <c r="H3212">
        <v>13</v>
      </c>
      <c r="I3212">
        <v>0</v>
      </c>
      <c r="J3212" t="s">
        <v>34</v>
      </c>
      <c r="K3212" t="s">
        <v>24</v>
      </c>
      <c r="L3212">
        <v>44</v>
      </c>
      <c r="M3212">
        <v>107.241</v>
      </c>
      <c r="N3212">
        <v>111.138789</v>
      </c>
      <c r="O3212">
        <v>30.74</v>
      </c>
      <c r="P3212">
        <v>47.524000000000001</v>
      </c>
      <c r="Q3212">
        <v>28.748000000000001</v>
      </c>
      <c r="R3212">
        <v>13</v>
      </c>
      <c r="S3212" t="s">
        <v>25</v>
      </c>
      <c r="T3212">
        <f>IF(TRIM(Table1[[#This Row],[PitStopLaps]])="",0,
LEN(Table1[[#This Row],[PitStopLaps]])-LEN(SUBSTITUTE(Table1[[#This Row],[PitStopLaps]],",",""))+1)</f>
        <v>1</v>
      </c>
      <c r="U3212">
        <f>Table1[[#This Row],[StartPosition]]-Table1[[#This Row],[FinishPosition]]</f>
        <v>-6</v>
      </c>
    </row>
    <row r="3213" spans="1:21" x14ac:dyDescent="0.3">
      <c r="A3213">
        <v>2025</v>
      </c>
      <c r="B3213">
        <v>13</v>
      </c>
      <c r="C3213" t="s">
        <v>188</v>
      </c>
      <c r="D3213" t="s">
        <v>58</v>
      </c>
      <c r="E3213" t="s">
        <v>59</v>
      </c>
      <c r="F3213" t="s">
        <v>603</v>
      </c>
      <c r="G3213">
        <v>16</v>
      </c>
      <c r="H3213">
        <v>14</v>
      </c>
      <c r="I3213">
        <v>0</v>
      </c>
      <c r="J3213" t="s">
        <v>34</v>
      </c>
      <c r="K3213" t="s">
        <v>24</v>
      </c>
      <c r="L3213">
        <v>44</v>
      </c>
      <c r="M3213">
        <v>107.212</v>
      </c>
      <c r="N3213">
        <v>111.105947</v>
      </c>
      <c r="O3213">
        <v>30.893999999999998</v>
      </c>
      <c r="P3213">
        <v>47.393999999999998</v>
      </c>
      <c r="Q3213">
        <v>28.683</v>
      </c>
      <c r="R3213">
        <v>12</v>
      </c>
      <c r="S3213" t="s">
        <v>25</v>
      </c>
      <c r="T3213">
        <f>IF(TRIM(Table1[[#This Row],[PitStopLaps]])="",0,
LEN(Table1[[#This Row],[PitStopLaps]])-LEN(SUBSTITUTE(Table1[[#This Row],[PitStopLaps]],",",""))+1)</f>
        <v>1</v>
      </c>
      <c r="U3213">
        <f>Table1[[#This Row],[StartPosition]]-Table1[[#This Row],[FinishPosition]]</f>
        <v>2</v>
      </c>
    </row>
    <row r="3214" spans="1:21" x14ac:dyDescent="0.3">
      <c r="A3214">
        <v>2025</v>
      </c>
      <c r="B3214">
        <v>13</v>
      </c>
      <c r="C3214" t="s">
        <v>188</v>
      </c>
      <c r="D3214" t="s">
        <v>52</v>
      </c>
      <c r="E3214" t="s">
        <v>53</v>
      </c>
      <c r="F3214" t="s">
        <v>69</v>
      </c>
      <c r="G3214">
        <v>11</v>
      </c>
      <c r="H3214">
        <v>15</v>
      </c>
      <c r="I3214">
        <v>0</v>
      </c>
      <c r="J3214" t="s">
        <v>34</v>
      </c>
      <c r="K3214" t="s">
        <v>24</v>
      </c>
      <c r="L3214">
        <v>44</v>
      </c>
      <c r="M3214">
        <v>106.744</v>
      </c>
      <c r="N3214">
        <v>111.268078</v>
      </c>
      <c r="O3214">
        <v>30.481000000000002</v>
      </c>
      <c r="P3214">
        <v>47.526000000000003</v>
      </c>
      <c r="Q3214">
        <v>28.460999999999999</v>
      </c>
      <c r="R3214">
        <v>13</v>
      </c>
      <c r="S3214" t="s">
        <v>25</v>
      </c>
      <c r="T3214">
        <f>IF(TRIM(Table1[[#This Row],[PitStopLaps]])="",0,
LEN(Table1[[#This Row],[PitStopLaps]])-LEN(SUBSTITUTE(Table1[[#This Row],[PitStopLaps]],",",""))+1)</f>
        <v>1</v>
      </c>
      <c r="U3214">
        <f>Table1[[#This Row],[StartPosition]]-Table1[[#This Row],[FinishPosition]]</f>
        <v>-4</v>
      </c>
    </row>
    <row r="3215" spans="1:21" x14ac:dyDescent="0.3">
      <c r="A3215">
        <v>2025</v>
      </c>
      <c r="B3215">
        <v>13</v>
      </c>
      <c r="C3215" t="s">
        <v>188</v>
      </c>
      <c r="D3215" t="s">
        <v>1339</v>
      </c>
      <c r="E3215" t="s">
        <v>1325</v>
      </c>
      <c r="F3215" t="s">
        <v>28</v>
      </c>
      <c r="G3215">
        <v>19</v>
      </c>
      <c r="H3215">
        <v>16</v>
      </c>
      <c r="I3215">
        <v>0</v>
      </c>
      <c r="J3215" t="s">
        <v>34</v>
      </c>
      <c r="K3215" t="s">
        <v>24</v>
      </c>
      <c r="L3215">
        <v>44</v>
      </c>
      <c r="M3215">
        <v>104.861</v>
      </c>
      <c r="N3215">
        <v>110.93077700000001</v>
      </c>
      <c r="O3215">
        <v>30.420999999999999</v>
      </c>
      <c r="P3215">
        <v>45.439</v>
      </c>
      <c r="Q3215">
        <v>28.579000000000001</v>
      </c>
      <c r="R3215" t="s">
        <v>606</v>
      </c>
      <c r="S3215" t="s">
        <v>25</v>
      </c>
      <c r="T3215">
        <f>IF(TRIM(Table1[[#This Row],[PitStopLaps]])="",0,
LEN(Table1[[#This Row],[PitStopLaps]])-LEN(SUBSTITUTE(Table1[[#This Row],[PitStopLaps]],",",""))+1)</f>
        <v>2</v>
      </c>
      <c r="U3215">
        <f>Table1[[#This Row],[StartPosition]]-Table1[[#This Row],[FinishPosition]]</f>
        <v>3</v>
      </c>
    </row>
    <row r="3216" spans="1:21" x14ac:dyDescent="0.3">
      <c r="A3216">
        <v>2025</v>
      </c>
      <c r="B3216">
        <v>13</v>
      </c>
      <c r="C3216" t="s">
        <v>188</v>
      </c>
      <c r="D3216" t="s">
        <v>35</v>
      </c>
      <c r="E3216" t="s">
        <v>36</v>
      </c>
      <c r="F3216" t="s">
        <v>603</v>
      </c>
      <c r="G3216">
        <v>20</v>
      </c>
      <c r="H3216">
        <v>17</v>
      </c>
      <c r="I3216">
        <v>0</v>
      </c>
      <c r="J3216" t="s">
        <v>34</v>
      </c>
      <c r="K3216" t="s">
        <v>24</v>
      </c>
      <c r="L3216">
        <v>44</v>
      </c>
      <c r="M3216">
        <v>105.849</v>
      </c>
      <c r="N3216">
        <v>110.782833</v>
      </c>
      <c r="O3216">
        <v>30.759</v>
      </c>
      <c r="P3216">
        <v>46.149000000000001</v>
      </c>
      <c r="Q3216">
        <v>28.547000000000001</v>
      </c>
      <c r="R3216" t="s">
        <v>727</v>
      </c>
      <c r="S3216" t="s">
        <v>25</v>
      </c>
      <c r="T3216">
        <f>IF(TRIM(Table1[[#This Row],[PitStopLaps]])="",0,
LEN(Table1[[#This Row],[PitStopLaps]])-LEN(SUBSTITUTE(Table1[[#This Row],[PitStopLaps]],",",""))+1)</f>
        <v>2</v>
      </c>
      <c r="U3216">
        <f>Table1[[#This Row],[StartPosition]]-Table1[[#This Row],[FinishPosition]]</f>
        <v>3</v>
      </c>
    </row>
    <row r="3217" spans="1:21" x14ac:dyDescent="0.3">
      <c r="A3217">
        <v>2025</v>
      </c>
      <c r="B3217">
        <v>13</v>
      </c>
      <c r="C3217" t="s">
        <v>188</v>
      </c>
      <c r="D3217" t="s">
        <v>47</v>
      </c>
      <c r="E3217" t="s">
        <v>48</v>
      </c>
      <c r="F3217" t="s">
        <v>60</v>
      </c>
      <c r="G3217">
        <v>17</v>
      </c>
      <c r="H3217">
        <v>18</v>
      </c>
      <c r="I3217">
        <v>0</v>
      </c>
      <c r="J3217" t="s">
        <v>34</v>
      </c>
      <c r="K3217" t="s">
        <v>24</v>
      </c>
      <c r="L3217">
        <v>44</v>
      </c>
      <c r="M3217">
        <v>106.07299999999999</v>
      </c>
      <c r="N3217">
        <v>110.898027</v>
      </c>
      <c r="O3217">
        <v>31.006</v>
      </c>
      <c r="P3217">
        <v>45.918999999999997</v>
      </c>
      <c r="Q3217">
        <v>28.891999999999999</v>
      </c>
      <c r="R3217" t="s">
        <v>272</v>
      </c>
      <c r="S3217" t="s">
        <v>25</v>
      </c>
      <c r="T3217">
        <f>IF(TRIM(Table1[[#This Row],[PitStopLaps]])="",0,
LEN(Table1[[#This Row],[PitStopLaps]])-LEN(SUBSTITUTE(Table1[[#This Row],[PitStopLaps]],",",""))+1)</f>
        <v>2</v>
      </c>
      <c r="U3217">
        <f>Table1[[#This Row],[StartPosition]]-Table1[[#This Row],[FinishPosition]]</f>
        <v>-1</v>
      </c>
    </row>
    <row r="3218" spans="1:21" x14ac:dyDescent="0.3">
      <c r="A3218">
        <v>2025</v>
      </c>
      <c r="B3218">
        <v>13</v>
      </c>
      <c r="C3218" t="s">
        <v>188</v>
      </c>
      <c r="D3218" t="s">
        <v>1283</v>
      </c>
      <c r="E3218" t="s">
        <v>1284</v>
      </c>
      <c r="F3218" t="s">
        <v>607</v>
      </c>
      <c r="G3218">
        <v>15</v>
      </c>
      <c r="H3218">
        <v>19</v>
      </c>
      <c r="I3218">
        <v>0</v>
      </c>
      <c r="J3218" t="s">
        <v>34</v>
      </c>
      <c r="K3218" t="s">
        <v>24</v>
      </c>
      <c r="L3218">
        <v>44</v>
      </c>
      <c r="M3218">
        <v>106.104</v>
      </c>
      <c r="N3218">
        <v>111.216666</v>
      </c>
      <c r="O3218">
        <v>30.602</v>
      </c>
      <c r="P3218">
        <v>46.914999999999999</v>
      </c>
      <c r="Q3218">
        <v>28.436</v>
      </c>
      <c r="R3218" t="s">
        <v>604</v>
      </c>
      <c r="S3218" t="s">
        <v>25</v>
      </c>
      <c r="T3218">
        <f>IF(TRIM(Table1[[#This Row],[PitStopLaps]])="",0,
LEN(Table1[[#This Row],[PitStopLaps]])-LEN(SUBSTITUTE(Table1[[#This Row],[PitStopLaps]],",",""))+1)</f>
        <v>2</v>
      </c>
      <c r="U3218">
        <f>Table1[[#This Row],[StartPosition]]-Table1[[#This Row],[FinishPosition]]</f>
        <v>-4</v>
      </c>
    </row>
    <row r="3219" spans="1:21" x14ac:dyDescent="0.3">
      <c r="A3219">
        <v>2025</v>
      </c>
      <c r="B3219">
        <v>13</v>
      </c>
      <c r="C3219" t="s">
        <v>188</v>
      </c>
      <c r="D3219" t="s">
        <v>1337</v>
      </c>
      <c r="E3219" t="s">
        <v>1338</v>
      </c>
      <c r="F3219" t="s">
        <v>1330</v>
      </c>
      <c r="G3219">
        <v>8</v>
      </c>
      <c r="H3219">
        <v>20</v>
      </c>
      <c r="I3219">
        <v>0</v>
      </c>
      <c r="J3219" t="s">
        <v>34</v>
      </c>
      <c r="K3219" t="s">
        <v>994</v>
      </c>
      <c r="L3219">
        <v>43</v>
      </c>
      <c r="M3219">
        <v>107.667</v>
      </c>
      <c r="N3219">
        <v>112.001514</v>
      </c>
      <c r="O3219">
        <v>31.385000000000002</v>
      </c>
      <c r="P3219">
        <v>47.061999999999998</v>
      </c>
      <c r="Q3219">
        <v>28.928000000000001</v>
      </c>
      <c r="R3219" t="s">
        <v>331</v>
      </c>
      <c r="S3219" t="s">
        <v>25</v>
      </c>
      <c r="T3219">
        <f>IF(TRIM(Table1[[#This Row],[PitStopLaps]])="",0,
LEN(Table1[[#This Row],[PitStopLaps]])-LEN(SUBSTITUTE(Table1[[#This Row],[PitStopLaps]],",",""))+1)</f>
        <v>2</v>
      </c>
      <c r="U3219">
        <f>Table1[[#This Row],[StartPosition]]-Table1[[#This Row],[FinishPosition]]</f>
        <v>-12</v>
      </c>
    </row>
    <row r="3220" spans="1:21" x14ac:dyDescent="0.3">
      <c r="A3220">
        <v>2025</v>
      </c>
      <c r="B3220">
        <v>14</v>
      </c>
      <c r="C3220" t="s">
        <v>183</v>
      </c>
      <c r="D3220" t="s">
        <v>246</v>
      </c>
      <c r="E3220" t="s">
        <v>247</v>
      </c>
      <c r="F3220" t="s">
        <v>37</v>
      </c>
      <c r="G3220">
        <v>3</v>
      </c>
      <c r="H3220">
        <v>1</v>
      </c>
      <c r="I3220">
        <v>25</v>
      </c>
      <c r="J3220" t="s">
        <v>23</v>
      </c>
      <c r="K3220" t="s">
        <v>24</v>
      </c>
      <c r="L3220">
        <v>70</v>
      </c>
      <c r="M3220">
        <v>79.918000000000006</v>
      </c>
      <c r="N3220">
        <v>81.277388000000002</v>
      </c>
      <c r="O3220">
        <v>28.951000000000001</v>
      </c>
      <c r="P3220">
        <v>28.213999999999999</v>
      </c>
      <c r="Q3220">
        <v>22.556000000000001</v>
      </c>
      <c r="R3220">
        <v>31</v>
      </c>
      <c r="S3220" t="s">
        <v>83</v>
      </c>
      <c r="T3220">
        <f>IF(TRIM(Table1[[#This Row],[PitStopLaps]])="",0,
LEN(Table1[[#This Row],[PitStopLaps]])-LEN(SUBSTITUTE(Table1[[#This Row],[PitStopLaps]],",",""))+1)</f>
        <v>1</v>
      </c>
      <c r="U3220">
        <f>Table1[[#This Row],[StartPosition]]-Table1[[#This Row],[FinishPosition]]</f>
        <v>2</v>
      </c>
    </row>
    <row r="3221" spans="1:21" x14ac:dyDescent="0.3">
      <c r="A3221">
        <v>2025</v>
      </c>
      <c r="B3221">
        <v>14</v>
      </c>
      <c r="C3221" t="s">
        <v>183</v>
      </c>
      <c r="D3221" t="s">
        <v>1000</v>
      </c>
      <c r="E3221" t="s">
        <v>1001</v>
      </c>
      <c r="F3221" t="s">
        <v>37</v>
      </c>
      <c r="G3221">
        <v>2</v>
      </c>
      <c r="H3221">
        <v>2</v>
      </c>
      <c r="I3221">
        <v>18</v>
      </c>
      <c r="J3221" t="s">
        <v>23</v>
      </c>
      <c r="K3221" t="s">
        <v>24</v>
      </c>
      <c r="L3221">
        <v>70</v>
      </c>
      <c r="M3221">
        <v>79.412000000000006</v>
      </c>
      <c r="N3221">
        <v>81.052953000000002</v>
      </c>
      <c r="O3221">
        <v>28.556999999999999</v>
      </c>
      <c r="P3221">
        <v>27.94</v>
      </c>
      <c r="Q3221">
        <v>22.273</v>
      </c>
      <c r="R3221" t="s">
        <v>242</v>
      </c>
      <c r="S3221" t="s">
        <v>83</v>
      </c>
      <c r="T3221">
        <f>IF(TRIM(Table1[[#This Row],[PitStopLaps]])="",0,
LEN(Table1[[#This Row],[PitStopLaps]])-LEN(SUBSTITUTE(Table1[[#This Row],[PitStopLaps]],",",""))+1)</f>
        <v>2</v>
      </c>
      <c r="U3221">
        <f>Table1[[#This Row],[StartPosition]]-Table1[[#This Row],[FinishPosition]]</f>
        <v>0</v>
      </c>
    </row>
    <row r="3222" spans="1:21" x14ac:dyDescent="0.3">
      <c r="A3222">
        <v>2025</v>
      </c>
      <c r="B3222">
        <v>14</v>
      </c>
      <c r="C3222" t="s">
        <v>183</v>
      </c>
      <c r="D3222" t="s">
        <v>252</v>
      </c>
      <c r="E3222" t="s">
        <v>253</v>
      </c>
      <c r="F3222" t="s">
        <v>28</v>
      </c>
      <c r="G3222">
        <v>4</v>
      </c>
      <c r="H3222">
        <v>3</v>
      </c>
      <c r="I3222">
        <v>15</v>
      </c>
      <c r="J3222" t="s">
        <v>23</v>
      </c>
      <c r="K3222" t="s">
        <v>24</v>
      </c>
      <c r="L3222">
        <v>70</v>
      </c>
      <c r="M3222">
        <v>79.409000000000006</v>
      </c>
      <c r="N3222">
        <v>81.343446</v>
      </c>
      <c r="O3222">
        <v>28.834</v>
      </c>
      <c r="P3222">
        <v>28.135999999999999</v>
      </c>
      <c r="Q3222">
        <v>22.305</v>
      </c>
      <c r="R3222" t="s">
        <v>1105</v>
      </c>
      <c r="S3222" t="s">
        <v>83</v>
      </c>
      <c r="T3222">
        <f>IF(TRIM(Table1[[#This Row],[PitStopLaps]])="",0,
LEN(Table1[[#This Row],[PitStopLaps]])-LEN(SUBSTITUTE(Table1[[#This Row],[PitStopLaps]],",",""))+1)</f>
        <v>2</v>
      </c>
      <c r="U3222">
        <f>Table1[[#This Row],[StartPosition]]-Table1[[#This Row],[FinishPosition]]</f>
        <v>1</v>
      </c>
    </row>
    <row r="3223" spans="1:21" x14ac:dyDescent="0.3">
      <c r="A3223">
        <v>2025</v>
      </c>
      <c r="B3223">
        <v>14</v>
      </c>
      <c r="C3223" t="s">
        <v>183</v>
      </c>
      <c r="D3223" t="s">
        <v>54</v>
      </c>
      <c r="E3223" t="s">
        <v>55</v>
      </c>
      <c r="F3223" t="s">
        <v>22</v>
      </c>
      <c r="G3223">
        <v>1</v>
      </c>
      <c r="H3223">
        <v>4</v>
      </c>
      <c r="I3223">
        <v>12</v>
      </c>
      <c r="J3223" t="s">
        <v>34</v>
      </c>
      <c r="K3223" t="s">
        <v>24</v>
      </c>
      <c r="L3223">
        <v>70</v>
      </c>
      <c r="M3223">
        <v>80.44</v>
      </c>
      <c r="N3223">
        <v>81.627060999999998</v>
      </c>
      <c r="O3223">
        <v>29.099</v>
      </c>
      <c r="P3223">
        <v>28.463999999999999</v>
      </c>
      <c r="Q3223">
        <v>22.760999999999999</v>
      </c>
      <c r="R3223" t="s">
        <v>303</v>
      </c>
      <c r="S3223" t="s">
        <v>83</v>
      </c>
      <c r="T3223">
        <f>IF(TRIM(Table1[[#This Row],[PitStopLaps]])="",0,
LEN(Table1[[#This Row],[PitStopLaps]])-LEN(SUBSTITUTE(Table1[[#This Row],[PitStopLaps]],",",""))+1)</f>
        <v>2</v>
      </c>
      <c r="U3223">
        <f>Table1[[#This Row],[StartPosition]]-Table1[[#This Row],[FinishPosition]]</f>
        <v>-3</v>
      </c>
    </row>
    <row r="3224" spans="1:21" x14ac:dyDescent="0.3">
      <c r="A3224">
        <v>2025</v>
      </c>
      <c r="B3224">
        <v>14</v>
      </c>
      <c r="C3224" t="s">
        <v>183</v>
      </c>
      <c r="D3224" t="s">
        <v>35</v>
      </c>
      <c r="E3224" t="s">
        <v>36</v>
      </c>
      <c r="F3224" t="s">
        <v>603</v>
      </c>
      <c r="G3224">
        <v>5</v>
      </c>
      <c r="H3224">
        <v>5</v>
      </c>
      <c r="I3224">
        <v>10</v>
      </c>
      <c r="J3224" t="s">
        <v>34</v>
      </c>
      <c r="K3224" t="s">
        <v>24</v>
      </c>
      <c r="L3224">
        <v>70</v>
      </c>
      <c r="M3224">
        <v>80.113</v>
      </c>
      <c r="N3224">
        <v>82.128253000000001</v>
      </c>
      <c r="O3224">
        <v>29.071000000000002</v>
      </c>
      <c r="P3224">
        <v>28.297999999999998</v>
      </c>
      <c r="Q3224">
        <v>22.559000000000001</v>
      </c>
      <c r="R3224">
        <v>39</v>
      </c>
      <c r="S3224" t="s">
        <v>83</v>
      </c>
      <c r="T3224">
        <f>IF(TRIM(Table1[[#This Row],[PitStopLaps]])="",0,
LEN(Table1[[#This Row],[PitStopLaps]])-LEN(SUBSTITUTE(Table1[[#This Row],[PitStopLaps]],",",""))+1)</f>
        <v>1</v>
      </c>
      <c r="U3224">
        <f>Table1[[#This Row],[StartPosition]]-Table1[[#This Row],[FinishPosition]]</f>
        <v>0</v>
      </c>
    </row>
    <row r="3225" spans="1:21" x14ac:dyDescent="0.3">
      <c r="A3225">
        <v>2025</v>
      </c>
      <c r="B3225">
        <v>14</v>
      </c>
      <c r="C3225" t="s">
        <v>183</v>
      </c>
      <c r="D3225" t="s">
        <v>1334</v>
      </c>
      <c r="E3225" t="s">
        <v>1335</v>
      </c>
      <c r="F3225" t="s">
        <v>1175</v>
      </c>
      <c r="G3225">
        <v>7</v>
      </c>
      <c r="H3225">
        <v>6</v>
      </c>
      <c r="I3225">
        <v>8</v>
      </c>
      <c r="J3225" t="s">
        <v>34</v>
      </c>
      <c r="K3225" t="s">
        <v>24</v>
      </c>
      <c r="L3225">
        <v>70</v>
      </c>
      <c r="M3225">
        <v>80.704999999999998</v>
      </c>
      <c r="N3225">
        <v>82.257148999999998</v>
      </c>
      <c r="O3225">
        <v>29.061</v>
      </c>
      <c r="P3225">
        <v>28.649000000000001</v>
      </c>
      <c r="Q3225">
        <v>22.706</v>
      </c>
      <c r="R3225">
        <v>40</v>
      </c>
      <c r="S3225" t="s">
        <v>83</v>
      </c>
      <c r="T3225">
        <f>IF(TRIM(Table1[[#This Row],[PitStopLaps]])="",0,
LEN(Table1[[#This Row],[PitStopLaps]])-LEN(SUBSTITUTE(Table1[[#This Row],[PitStopLaps]],",",""))+1)</f>
        <v>1</v>
      </c>
      <c r="U3225">
        <f>Table1[[#This Row],[StartPosition]]-Table1[[#This Row],[FinishPosition]]</f>
        <v>1</v>
      </c>
    </row>
    <row r="3226" spans="1:21" x14ac:dyDescent="0.3">
      <c r="A3226">
        <v>2025</v>
      </c>
      <c r="B3226">
        <v>14</v>
      </c>
      <c r="C3226" t="s">
        <v>183</v>
      </c>
      <c r="D3226" t="s">
        <v>58</v>
      </c>
      <c r="E3226" t="s">
        <v>59</v>
      </c>
      <c r="F3226" t="s">
        <v>603</v>
      </c>
      <c r="G3226">
        <v>6</v>
      </c>
      <c r="H3226">
        <v>7</v>
      </c>
      <c r="I3226">
        <v>6</v>
      </c>
      <c r="J3226" t="s">
        <v>34</v>
      </c>
      <c r="K3226" t="s">
        <v>24</v>
      </c>
      <c r="L3226">
        <v>70</v>
      </c>
      <c r="M3226">
        <v>80.707999999999998</v>
      </c>
      <c r="N3226">
        <v>82.268955000000005</v>
      </c>
      <c r="O3226">
        <v>29.146999999999998</v>
      </c>
      <c r="P3226">
        <v>28.667000000000002</v>
      </c>
      <c r="Q3226">
        <v>22.699000000000002</v>
      </c>
      <c r="R3226">
        <v>36</v>
      </c>
      <c r="S3226" t="s">
        <v>83</v>
      </c>
      <c r="T3226">
        <f>IF(TRIM(Table1[[#This Row],[PitStopLaps]])="",0,
LEN(Table1[[#This Row],[PitStopLaps]])-LEN(SUBSTITUTE(Table1[[#This Row],[PitStopLaps]],",",""))+1)</f>
        <v>1</v>
      </c>
      <c r="U3226">
        <f>Table1[[#This Row],[StartPosition]]-Table1[[#This Row],[FinishPosition]]</f>
        <v>-1</v>
      </c>
    </row>
    <row r="3227" spans="1:21" x14ac:dyDescent="0.3">
      <c r="A3227">
        <v>2025</v>
      </c>
      <c r="B3227">
        <v>14</v>
      </c>
      <c r="C3227" t="s">
        <v>183</v>
      </c>
      <c r="D3227" t="s">
        <v>1092</v>
      </c>
      <c r="E3227" t="s">
        <v>1093</v>
      </c>
      <c r="F3227" t="s">
        <v>1330</v>
      </c>
      <c r="G3227">
        <v>9</v>
      </c>
      <c r="H3227">
        <v>8</v>
      </c>
      <c r="I3227">
        <v>4</v>
      </c>
      <c r="J3227" t="s">
        <v>34</v>
      </c>
      <c r="K3227" t="s">
        <v>24</v>
      </c>
      <c r="L3227">
        <v>70</v>
      </c>
      <c r="M3227">
        <v>80.456999999999994</v>
      </c>
      <c r="N3227">
        <v>82.275775999999993</v>
      </c>
      <c r="O3227">
        <v>29.094000000000001</v>
      </c>
      <c r="P3227">
        <v>28.635999999999999</v>
      </c>
      <c r="Q3227">
        <v>22.637</v>
      </c>
      <c r="R3227">
        <v>40</v>
      </c>
      <c r="S3227" t="s">
        <v>83</v>
      </c>
      <c r="T3227">
        <f>IF(TRIM(Table1[[#This Row],[PitStopLaps]])="",0,
LEN(Table1[[#This Row],[PitStopLaps]])-LEN(SUBSTITUTE(Table1[[#This Row],[PitStopLaps]],",",""))+1)</f>
        <v>1</v>
      </c>
      <c r="U3227">
        <f>Table1[[#This Row],[StartPosition]]-Table1[[#This Row],[FinishPosition]]</f>
        <v>1</v>
      </c>
    </row>
    <row r="3228" spans="1:21" x14ac:dyDescent="0.3">
      <c r="A3228">
        <v>2025</v>
      </c>
      <c r="B3228">
        <v>14</v>
      </c>
      <c r="C3228" t="s">
        <v>183</v>
      </c>
      <c r="D3228" t="s">
        <v>38</v>
      </c>
      <c r="E3228" t="s">
        <v>39</v>
      </c>
      <c r="F3228" t="s">
        <v>33</v>
      </c>
      <c r="G3228">
        <v>8</v>
      </c>
      <c r="H3228">
        <v>9</v>
      </c>
      <c r="I3228">
        <v>2</v>
      </c>
      <c r="J3228" t="s">
        <v>34</v>
      </c>
      <c r="K3228" t="s">
        <v>24</v>
      </c>
      <c r="L3228">
        <v>70</v>
      </c>
      <c r="M3228">
        <v>79.575999999999993</v>
      </c>
      <c r="N3228">
        <v>82.065307000000004</v>
      </c>
      <c r="O3228">
        <v>28.773</v>
      </c>
      <c r="P3228">
        <v>28.166</v>
      </c>
      <c r="Q3228">
        <v>22.388000000000002</v>
      </c>
      <c r="R3228" t="s">
        <v>778</v>
      </c>
      <c r="S3228" t="s">
        <v>83</v>
      </c>
      <c r="T3228">
        <f>IF(TRIM(Table1[[#This Row],[PitStopLaps]])="",0,
LEN(Table1[[#This Row],[PitStopLaps]])-LEN(SUBSTITUTE(Table1[[#This Row],[PitStopLaps]],",",""))+1)</f>
        <v>2</v>
      </c>
      <c r="U3228">
        <f>Table1[[#This Row],[StartPosition]]-Table1[[#This Row],[FinishPosition]]</f>
        <v>-1</v>
      </c>
    </row>
    <row r="3229" spans="1:21" x14ac:dyDescent="0.3">
      <c r="A3229">
        <v>2025</v>
      </c>
      <c r="B3229">
        <v>14</v>
      </c>
      <c r="C3229" t="s">
        <v>183</v>
      </c>
      <c r="D3229" t="s">
        <v>1339</v>
      </c>
      <c r="E3229" t="s">
        <v>1325</v>
      </c>
      <c r="F3229" t="s">
        <v>28</v>
      </c>
      <c r="G3229">
        <v>15</v>
      </c>
      <c r="H3229">
        <v>10</v>
      </c>
      <c r="I3229">
        <v>1</v>
      </c>
      <c r="J3229" t="s">
        <v>34</v>
      </c>
      <c r="K3229" t="s">
        <v>994</v>
      </c>
      <c r="L3229">
        <v>69</v>
      </c>
      <c r="M3229">
        <v>80.745000000000005</v>
      </c>
      <c r="N3229">
        <v>82.498559999999998</v>
      </c>
      <c r="O3229">
        <v>29.186</v>
      </c>
      <c r="P3229">
        <v>28.654</v>
      </c>
      <c r="Q3229">
        <v>22.753</v>
      </c>
      <c r="R3229">
        <v>21</v>
      </c>
      <c r="S3229" t="s">
        <v>83</v>
      </c>
      <c r="T3229">
        <f>IF(TRIM(Table1[[#This Row],[PitStopLaps]])="",0,
LEN(Table1[[#This Row],[PitStopLaps]])-LEN(SUBSTITUTE(Table1[[#This Row],[PitStopLaps]],",",""))+1)</f>
        <v>1</v>
      </c>
      <c r="U3229">
        <f>Table1[[#This Row],[StartPosition]]-Table1[[#This Row],[FinishPosition]]</f>
        <v>5</v>
      </c>
    </row>
    <row r="3230" spans="1:21" x14ac:dyDescent="0.3">
      <c r="A3230">
        <v>2025</v>
      </c>
      <c r="B3230">
        <v>14</v>
      </c>
      <c r="C3230" t="s">
        <v>183</v>
      </c>
      <c r="D3230" t="s">
        <v>1337</v>
      </c>
      <c r="E3230" t="s">
        <v>1338</v>
      </c>
      <c r="F3230" t="s">
        <v>1330</v>
      </c>
      <c r="G3230">
        <v>10</v>
      </c>
      <c r="H3230">
        <v>11</v>
      </c>
      <c r="I3230">
        <v>0</v>
      </c>
      <c r="J3230" t="s">
        <v>34</v>
      </c>
      <c r="K3230" t="s">
        <v>994</v>
      </c>
      <c r="L3230">
        <v>69</v>
      </c>
      <c r="M3230">
        <v>80.802000000000007</v>
      </c>
      <c r="N3230">
        <v>82.591847999999999</v>
      </c>
      <c r="O3230">
        <v>29.085999999999999</v>
      </c>
      <c r="P3230">
        <v>28.686</v>
      </c>
      <c r="Q3230">
        <v>22.734999999999999</v>
      </c>
      <c r="R3230">
        <v>33</v>
      </c>
      <c r="S3230" t="s">
        <v>83</v>
      </c>
      <c r="T3230">
        <f>IF(TRIM(Table1[[#This Row],[PitStopLaps]])="",0,
LEN(Table1[[#This Row],[PitStopLaps]])-LEN(SUBSTITUTE(Table1[[#This Row],[PitStopLaps]],",",""))+1)</f>
        <v>1</v>
      </c>
      <c r="U3230">
        <f>Table1[[#This Row],[StartPosition]]-Table1[[#This Row],[FinishPosition]]</f>
        <v>-1</v>
      </c>
    </row>
    <row r="3231" spans="1:21" x14ac:dyDescent="0.3">
      <c r="A3231">
        <v>2025</v>
      </c>
      <c r="B3231">
        <v>14</v>
      </c>
      <c r="C3231" t="s">
        <v>183</v>
      </c>
      <c r="D3231" t="s">
        <v>26</v>
      </c>
      <c r="E3231" t="s">
        <v>27</v>
      </c>
      <c r="F3231" t="s">
        <v>22</v>
      </c>
      <c r="G3231">
        <v>12</v>
      </c>
      <c r="H3231">
        <v>12</v>
      </c>
      <c r="I3231">
        <v>0</v>
      </c>
      <c r="J3231" t="s">
        <v>34</v>
      </c>
      <c r="K3231" t="s">
        <v>994</v>
      </c>
      <c r="L3231">
        <v>69</v>
      </c>
      <c r="M3231">
        <v>80.022000000000006</v>
      </c>
      <c r="N3231">
        <v>82.554000000000002</v>
      </c>
      <c r="O3231">
        <v>28.747</v>
      </c>
      <c r="P3231">
        <v>28.419</v>
      </c>
      <c r="Q3231">
        <v>22.573</v>
      </c>
      <c r="R3231">
        <v>42</v>
      </c>
      <c r="S3231" t="s">
        <v>83</v>
      </c>
      <c r="T3231">
        <f>IF(TRIM(Table1[[#This Row],[PitStopLaps]])="",0,
LEN(Table1[[#This Row],[PitStopLaps]])-LEN(SUBSTITUTE(Table1[[#This Row],[PitStopLaps]],",",""))+1)</f>
        <v>1</v>
      </c>
      <c r="U3231">
        <f>Table1[[#This Row],[StartPosition]]-Table1[[#This Row],[FinishPosition]]</f>
        <v>0</v>
      </c>
    </row>
    <row r="3232" spans="1:21" x14ac:dyDescent="0.3">
      <c r="A3232">
        <v>2025</v>
      </c>
      <c r="B3232">
        <v>14</v>
      </c>
      <c r="C3232" t="s">
        <v>183</v>
      </c>
      <c r="D3232" t="s">
        <v>40</v>
      </c>
      <c r="E3232" t="s">
        <v>41</v>
      </c>
      <c r="F3232" t="s">
        <v>1175</v>
      </c>
      <c r="G3232">
        <v>18</v>
      </c>
      <c r="H3232">
        <v>13</v>
      </c>
      <c r="I3232">
        <v>0</v>
      </c>
      <c r="J3232" t="s">
        <v>34</v>
      </c>
      <c r="K3232" t="s">
        <v>994</v>
      </c>
      <c r="L3232">
        <v>69</v>
      </c>
      <c r="M3232">
        <v>80.013000000000005</v>
      </c>
      <c r="N3232">
        <v>82.406828000000004</v>
      </c>
      <c r="O3232">
        <v>28.77</v>
      </c>
      <c r="P3232">
        <v>28.58</v>
      </c>
      <c r="Q3232">
        <v>22.573</v>
      </c>
      <c r="R3232" t="s">
        <v>1415</v>
      </c>
      <c r="S3232" t="s">
        <v>83</v>
      </c>
      <c r="T3232">
        <f>IF(TRIM(Table1[[#This Row],[PitStopLaps]])="",0,
LEN(Table1[[#This Row],[PitStopLaps]])-LEN(SUBSTITUTE(Table1[[#This Row],[PitStopLaps]],",",""))+1)</f>
        <v>2</v>
      </c>
      <c r="U3232">
        <f>Table1[[#This Row],[StartPosition]]-Table1[[#This Row],[FinishPosition]]</f>
        <v>5</v>
      </c>
    </row>
    <row r="3233" spans="1:21" x14ac:dyDescent="0.3">
      <c r="A3233">
        <v>2025</v>
      </c>
      <c r="B3233">
        <v>14</v>
      </c>
      <c r="C3233" t="s">
        <v>183</v>
      </c>
      <c r="D3233" t="s">
        <v>47</v>
      </c>
      <c r="E3233" t="s">
        <v>48</v>
      </c>
      <c r="F3233" t="s">
        <v>60</v>
      </c>
      <c r="G3233">
        <v>13</v>
      </c>
      <c r="H3233">
        <v>14</v>
      </c>
      <c r="I3233">
        <v>0</v>
      </c>
      <c r="J3233" t="s">
        <v>34</v>
      </c>
      <c r="K3233" t="s">
        <v>994</v>
      </c>
      <c r="L3233">
        <v>69</v>
      </c>
      <c r="M3233">
        <v>79.790000000000006</v>
      </c>
      <c r="N3233">
        <v>82.661467999999999</v>
      </c>
      <c r="O3233">
        <v>28.716000000000001</v>
      </c>
      <c r="P3233">
        <v>28.588999999999999</v>
      </c>
      <c r="Q3233">
        <v>22.484999999999999</v>
      </c>
      <c r="R3233" t="s">
        <v>1416</v>
      </c>
      <c r="S3233" t="s">
        <v>83</v>
      </c>
      <c r="T3233">
        <f>IF(TRIM(Table1[[#This Row],[PitStopLaps]])="",0,
LEN(Table1[[#This Row],[PitStopLaps]])-LEN(SUBSTITUTE(Table1[[#This Row],[PitStopLaps]],",",""))+1)</f>
        <v>2</v>
      </c>
      <c r="U3233">
        <f>Table1[[#This Row],[StartPosition]]-Table1[[#This Row],[FinishPosition]]</f>
        <v>-1</v>
      </c>
    </row>
    <row r="3234" spans="1:21" x14ac:dyDescent="0.3">
      <c r="A3234">
        <v>2025</v>
      </c>
      <c r="B3234">
        <v>14</v>
      </c>
      <c r="C3234" t="s">
        <v>183</v>
      </c>
      <c r="D3234" t="s">
        <v>248</v>
      </c>
      <c r="E3234" t="s">
        <v>249</v>
      </c>
      <c r="F3234" t="s">
        <v>60</v>
      </c>
      <c r="G3234">
        <v>19</v>
      </c>
      <c r="H3234">
        <v>15</v>
      </c>
      <c r="I3234">
        <v>0</v>
      </c>
      <c r="J3234" t="s">
        <v>34</v>
      </c>
      <c r="K3234" t="s">
        <v>994</v>
      </c>
      <c r="L3234">
        <v>69</v>
      </c>
      <c r="M3234">
        <v>80.778999999999996</v>
      </c>
      <c r="N3234">
        <v>82.654859000000002</v>
      </c>
      <c r="O3234">
        <v>28.863</v>
      </c>
      <c r="P3234">
        <v>28.896000000000001</v>
      </c>
      <c r="Q3234">
        <v>22.7</v>
      </c>
      <c r="R3234" t="s">
        <v>184</v>
      </c>
      <c r="S3234" t="s">
        <v>83</v>
      </c>
      <c r="T3234">
        <f>IF(TRIM(Table1[[#This Row],[PitStopLaps]])="",0,
LEN(Table1[[#This Row],[PitStopLaps]])-LEN(SUBSTITUTE(Table1[[#This Row],[PitStopLaps]],",",""))+1)</f>
        <v>2</v>
      </c>
      <c r="U3234">
        <f>Table1[[#This Row],[StartPosition]]-Table1[[#This Row],[FinishPosition]]</f>
        <v>4</v>
      </c>
    </row>
    <row r="3235" spans="1:21" x14ac:dyDescent="0.3">
      <c r="A3235">
        <v>2025</v>
      </c>
      <c r="B3235">
        <v>14</v>
      </c>
      <c r="C3235" t="s">
        <v>183</v>
      </c>
      <c r="D3235" t="s">
        <v>52</v>
      </c>
      <c r="E3235" t="s">
        <v>53</v>
      </c>
      <c r="F3235" t="s">
        <v>69</v>
      </c>
      <c r="G3235">
        <v>17</v>
      </c>
      <c r="H3235">
        <v>16</v>
      </c>
      <c r="I3235">
        <v>0</v>
      </c>
      <c r="J3235" t="s">
        <v>34</v>
      </c>
      <c r="K3235" t="s">
        <v>994</v>
      </c>
      <c r="L3235">
        <v>69</v>
      </c>
      <c r="M3235">
        <v>81.915999999999997</v>
      </c>
      <c r="N3235">
        <v>83.068241999999998</v>
      </c>
      <c r="O3235">
        <v>29.423999999999999</v>
      </c>
      <c r="P3235">
        <v>29.236000000000001</v>
      </c>
      <c r="Q3235">
        <v>23.032</v>
      </c>
      <c r="R3235">
        <v>14</v>
      </c>
      <c r="S3235" t="s">
        <v>83</v>
      </c>
      <c r="T3235">
        <f>IF(TRIM(Table1[[#This Row],[PitStopLaps]])="",0,
LEN(Table1[[#This Row],[PitStopLaps]])-LEN(SUBSTITUTE(Table1[[#This Row],[PitStopLaps]],",",""))+1)</f>
        <v>1</v>
      </c>
      <c r="U3235">
        <f>Table1[[#This Row],[StartPosition]]-Table1[[#This Row],[FinishPosition]]</f>
        <v>1</v>
      </c>
    </row>
    <row r="3236" spans="1:21" x14ac:dyDescent="0.3">
      <c r="A3236">
        <v>2025</v>
      </c>
      <c r="B3236">
        <v>14</v>
      </c>
      <c r="C3236" t="s">
        <v>183</v>
      </c>
      <c r="D3236" t="s">
        <v>601</v>
      </c>
      <c r="E3236" t="s">
        <v>602</v>
      </c>
      <c r="F3236" t="s">
        <v>33</v>
      </c>
      <c r="G3236">
        <v>20</v>
      </c>
      <c r="H3236">
        <v>17</v>
      </c>
      <c r="I3236">
        <v>0</v>
      </c>
      <c r="J3236" t="s">
        <v>34</v>
      </c>
      <c r="K3236" t="s">
        <v>994</v>
      </c>
      <c r="L3236">
        <v>69</v>
      </c>
      <c r="M3236">
        <v>81.180000000000007</v>
      </c>
      <c r="N3236">
        <v>82.743577999999999</v>
      </c>
      <c r="O3236">
        <v>29.297000000000001</v>
      </c>
      <c r="P3236">
        <v>28.937000000000001</v>
      </c>
      <c r="Q3236">
        <v>22.832000000000001</v>
      </c>
      <c r="R3236" t="s">
        <v>1417</v>
      </c>
      <c r="S3236" t="s">
        <v>83</v>
      </c>
      <c r="T3236">
        <f>IF(TRIM(Table1[[#This Row],[PitStopLaps]])="",0,
LEN(Table1[[#This Row],[PitStopLaps]])-LEN(SUBSTITUTE(Table1[[#This Row],[PitStopLaps]],",",""))+1)</f>
        <v>2</v>
      </c>
      <c r="U3236">
        <f>Table1[[#This Row],[StartPosition]]-Table1[[#This Row],[FinishPosition]]</f>
        <v>3</v>
      </c>
    </row>
    <row r="3237" spans="1:21" x14ac:dyDescent="0.3">
      <c r="A3237">
        <v>2025</v>
      </c>
      <c r="B3237">
        <v>14</v>
      </c>
      <c r="C3237" t="s">
        <v>183</v>
      </c>
      <c r="D3237" t="s">
        <v>1283</v>
      </c>
      <c r="E3237" t="s">
        <v>1284</v>
      </c>
      <c r="F3237" t="s">
        <v>607</v>
      </c>
      <c r="G3237">
        <v>14</v>
      </c>
      <c r="H3237">
        <v>18</v>
      </c>
      <c r="I3237">
        <v>0</v>
      </c>
      <c r="J3237" t="s">
        <v>34</v>
      </c>
      <c r="K3237" t="s">
        <v>994</v>
      </c>
      <c r="L3237">
        <v>69</v>
      </c>
      <c r="M3237">
        <v>80.826999999999998</v>
      </c>
      <c r="N3237">
        <v>82.569968000000003</v>
      </c>
      <c r="O3237">
        <v>29.225000000000001</v>
      </c>
      <c r="P3237">
        <v>28.765000000000001</v>
      </c>
      <c r="Q3237">
        <v>22.776</v>
      </c>
      <c r="R3237" t="s">
        <v>334</v>
      </c>
      <c r="S3237" t="s">
        <v>83</v>
      </c>
      <c r="T3237">
        <f>IF(TRIM(Table1[[#This Row],[PitStopLaps]])="",0,
LEN(Table1[[#This Row],[PitStopLaps]])-LEN(SUBSTITUTE(Table1[[#This Row],[PitStopLaps]],",",""))+1)</f>
        <v>2</v>
      </c>
      <c r="U3237">
        <f>Table1[[#This Row],[StartPosition]]-Table1[[#This Row],[FinishPosition]]</f>
        <v>-4</v>
      </c>
    </row>
    <row r="3238" spans="1:21" x14ac:dyDescent="0.3">
      <c r="A3238">
        <v>2025</v>
      </c>
      <c r="B3238">
        <v>14</v>
      </c>
      <c r="C3238" t="s">
        <v>183</v>
      </c>
      <c r="D3238" t="s">
        <v>73</v>
      </c>
      <c r="E3238" t="s">
        <v>74</v>
      </c>
      <c r="F3238" t="s">
        <v>607</v>
      </c>
      <c r="G3238">
        <v>16</v>
      </c>
      <c r="H3238">
        <v>19</v>
      </c>
      <c r="I3238">
        <v>0</v>
      </c>
      <c r="J3238" t="s">
        <v>34</v>
      </c>
      <c r="K3238" t="s">
        <v>994</v>
      </c>
      <c r="L3238">
        <v>69</v>
      </c>
      <c r="M3238">
        <v>81.433000000000007</v>
      </c>
      <c r="N3238">
        <v>83.091363000000001</v>
      </c>
      <c r="O3238">
        <v>29.271999999999998</v>
      </c>
      <c r="P3238">
        <v>29.181999999999999</v>
      </c>
      <c r="Q3238">
        <v>22.923999999999999</v>
      </c>
      <c r="R3238">
        <v>32</v>
      </c>
      <c r="S3238" t="s">
        <v>83</v>
      </c>
      <c r="T3238">
        <f>IF(TRIM(Table1[[#This Row],[PitStopLaps]])="",0,
LEN(Table1[[#This Row],[PitStopLaps]])-LEN(SUBSTITUTE(Table1[[#This Row],[PitStopLaps]],",",""))+1)</f>
        <v>1</v>
      </c>
      <c r="U3238">
        <f>Table1[[#This Row],[StartPosition]]-Table1[[#This Row],[FinishPosition]]</f>
        <v>-3</v>
      </c>
    </row>
    <row r="3239" spans="1:21" x14ac:dyDescent="0.3">
      <c r="A3239">
        <v>2025</v>
      </c>
      <c r="B3239">
        <v>14</v>
      </c>
      <c r="C3239" t="s">
        <v>183</v>
      </c>
      <c r="D3239" t="s">
        <v>1180</v>
      </c>
      <c r="E3239" t="s">
        <v>1181</v>
      </c>
      <c r="F3239" t="s">
        <v>69</v>
      </c>
      <c r="G3239">
        <v>11</v>
      </c>
      <c r="H3239">
        <v>20</v>
      </c>
      <c r="I3239">
        <v>0</v>
      </c>
      <c r="J3239" t="s">
        <v>34</v>
      </c>
      <c r="K3239" t="s">
        <v>179</v>
      </c>
      <c r="L3239">
        <v>48</v>
      </c>
      <c r="M3239">
        <v>81.989000000000004</v>
      </c>
      <c r="N3239">
        <v>83.416658999999996</v>
      </c>
      <c r="O3239">
        <v>29.539000000000001</v>
      </c>
      <c r="P3239">
        <v>29.236000000000001</v>
      </c>
      <c r="Q3239">
        <v>23.091000000000001</v>
      </c>
      <c r="R3239" t="s">
        <v>1418</v>
      </c>
      <c r="S3239" t="s">
        <v>83</v>
      </c>
      <c r="T3239">
        <f>IF(TRIM(Table1[[#This Row],[PitStopLaps]])="",0,
LEN(Table1[[#This Row],[PitStopLaps]])-LEN(SUBSTITUTE(Table1[[#This Row],[PitStopLaps]],",",""))+1)</f>
        <v>2</v>
      </c>
      <c r="U3239">
        <f>Table1[[#This Row],[StartPosition]]-Table1[[#This Row],[FinishPosition]]</f>
        <v>-9</v>
      </c>
    </row>
    <row r="3240" spans="1:21" x14ac:dyDescent="0.3">
      <c r="A3240">
        <v>2025</v>
      </c>
      <c r="B3240">
        <v>15</v>
      </c>
      <c r="C3240" t="s">
        <v>702</v>
      </c>
      <c r="D3240" t="s">
        <v>1000</v>
      </c>
      <c r="E3240" t="s">
        <v>1001</v>
      </c>
      <c r="F3240" t="s">
        <v>37</v>
      </c>
      <c r="G3240">
        <v>1</v>
      </c>
      <c r="H3240">
        <v>1</v>
      </c>
      <c r="I3240">
        <v>25</v>
      </c>
      <c r="J3240" t="s">
        <v>23</v>
      </c>
      <c r="K3240" t="s">
        <v>24</v>
      </c>
      <c r="L3240">
        <v>72</v>
      </c>
      <c r="M3240">
        <v>72.271000000000001</v>
      </c>
      <c r="N3240">
        <v>74.481660000000005</v>
      </c>
      <c r="O3240">
        <v>24.661000000000001</v>
      </c>
      <c r="P3240">
        <v>25.567</v>
      </c>
      <c r="Q3240">
        <v>21.946000000000002</v>
      </c>
      <c r="R3240" t="s">
        <v>642</v>
      </c>
      <c r="S3240" t="s">
        <v>83</v>
      </c>
      <c r="T3240">
        <f>IF(TRIM(Table1[[#This Row],[PitStopLaps]])="",0,
LEN(Table1[[#This Row],[PitStopLaps]])-LEN(SUBSTITUTE(Table1[[#This Row],[PitStopLaps]],",",""))+1)</f>
        <v>2</v>
      </c>
      <c r="U3240">
        <f>Table1[[#This Row],[StartPosition]]-Table1[[#This Row],[FinishPosition]]</f>
        <v>0</v>
      </c>
    </row>
    <row r="3241" spans="1:21" x14ac:dyDescent="0.3">
      <c r="A3241">
        <v>2025</v>
      </c>
      <c r="B3241">
        <v>15</v>
      </c>
      <c r="C3241" t="s">
        <v>702</v>
      </c>
      <c r="D3241" t="s">
        <v>38</v>
      </c>
      <c r="E3241" t="s">
        <v>39</v>
      </c>
      <c r="F3241" t="s">
        <v>33</v>
      </c>
      <c r="G3241">
        <v>3</v>
      </c>
      <c r="H3241">
        <v>2</v>
      </c>
      <c r="I3241">
        <v>18</v>
      </c>
      <c r="J3241" t="s">
        <v>23</v>
      </c>
      <c r="K3241" t="s">
        <v>24</v>
      </c>
      <c r="L3241">
        <v>72</v>
      </c>
      <c r="M3241">
        <v>72.921000000000006</v>
      </c>
      <c r="N3241">
        <v>75.104875000000007</v>
      </c>
      <c r="O3241">
        <v>24.768999999999998</v>
      </c>
      <c r="P3241">
        <v>25.94</v>
      </c>
      <c r="Q3241">
        <v>22.058</v>
      </c>
      <c r="R3241" t="s">
        <v>642</v>
      </c>
      <c r="S3241" t="s">
        <v>83</v>
      </c>
      <c r="T3241">
        <f>IF(TRIM(Table1[[#This Row],[PitStopLaps]])="",0,
LEN(Table1[[#This Row],[PitStopLaps]])-LEN(SUBSTITUTE(Table1[[#This Row],[PitStopLaps]],",",""))+1)</f>
        <v>2</v>
      </c>
      <c r="U3241">
        <f>Table1[[#This Row],[StartPosition]]-Table1[[#This Row],[FinishPosition]]</f>
        <v>1</v>
      </c>
    </row>
    <row r="3242" spans="1:21" x14ac:dyDescent="0.3">
      <c r="A3242">
        <v>2025</v>
      </c>
      <c r="B3242">
        <v>15</v>
      </c>
      <c r="C3242" t="s">
        <v>702</v>
      </c>
      <c r="D3242" t="s">
        <v>1337</v>
      </c>
      <c r="E3242" t="s">
        <v>1338</v>
      </c>
      <c r="F3242" t="s">
        <v>1330</v>
      </c>
      <c r="G3242">
        <v>4</v>
      </c>
      <c r="H3242">
        <v>3</v>
      </c>
      <c r="I3242">
        <v>15</v>
      </c>
      <c r="J3242" t="s">
        <v>23</v>
      </c>
      <c r="K3242" t="s">
        <v>24</v>
      </c>
      <c r="L3242">
        <v>72</v>
      </c>
      <c r="M3242">
        <v>73.326999999999998</v>
      </c>
      <c r="N3242">
        <v>75.201927999999995</v>
      </c>
      <c r="O3242">
        <v>24.774000000000001</v>
      </c>
      <c r="P3242">
        <v>26.103000000000002</v>
      </c>
      <c r="Q3242">
        <v>22.167000000000002</v>
      </c>
      <c r="R3242" t="s">
        <v>642</v>
      </c>
      <c r="S3242" t="s">
        <v>83</v>
      </c>
      <c r="T3242">
        <f>IF(TRIM(Table1[[#This Row],[PitStopLaps]])="",0,
LEN(Table1[[#This Row],[PitStopLaps]])-LEN(SUBSTITUTE(Table1[[#This Row],[PitStopLaps]],",",""))+1)</f>
        <v>2</v>
      </c>
      <c r="U3242">
        <f>Table1[[#This Row],[StartPosition]]-Table1[[#This Row],[FinishPosition]]</f>
        <v>1</v>
      </c>
    </row>
    <row r="3243" spans="1:21" x14ac:dyDescent="0.3">
      <c r="A3243">
        <v>2025</v>
      </c>
      <c r="B3243">
        <v>15</v>
      </c>
      <c r="C3243" t="s">
        <v>702</v>
      </c>
      <c r="D3243" t="s">
        <v>252</v>
      </c>
      <c r="E3243" t="s">
        <v>253</v>
      </c>
      <c r="F3243" t="s">
        <v>28</v>
      </c>
      <c r="G3243">
        <v>5</v>
      </c>
      <c r="H3243">
        <v>4</v>
      </c>
      <c r="I3243">
        <v>12</v>
      </c>
      <c r="J3243" t="s">
        <v>34</v>
      </c>
      <c r="K3243" t="s">
        <v>24</v>
      </c>
      <c r="L3243">
        <v>72</v>
      </c>
      <c r="M3243">
        <v>73.727999999999994</v>
      </c>
      <c r="N3243">
        <v>75.559910000000002</v>
      </c>
      <c r="O3243">
        <v>25.021999999999998</v>
      </c>
      <c r="P3243">
        <v>26.401</v>
      </c>
      <c r="Q3243">
        <v>22.099</v>
      </c>
      <c r="R3243" t="s">
        <v>642</v>
      </c>
      <c r="S3243" t="s">
        <v>83</v>
      </c>
      <c r="T3243">
        <f>IF(TRIM(Table1[[#This Row],[PitStopLaps]])="",0,
LEN(Table1[[#This Row],[PitStopLaps]])-LEN(SUBSTITUTE(Table1[[#This Row],[PitStopLaps]],",",""))+1)</f>
        <v>2</v>
      </c>
      <c r="U3243">
        <f>Table1[[#This Row],[StartPosition]]-Table1[[#This Row],[FinishPosition]]</f>
        <v>1</v>
      </c>
    </row>
    <row r="3244" spans="1:21" x14ac:dyDescent="0.3">
      <c r="A3244">
        <v>2025</v>
      </c>
      <c r="B3244">
        <v>15</v>
      </c>
      <c r="C3244" t="s">
        <v>702</v>
      </c>
      <c r="D3244" t="s">
        <v>248</v>
      </c>
      <c r="E3244" t="s">
        <v>249</v>
      </c>
      <c r="F3244" t="s">
        <v>60</v>
      </c>
      <c r="G3244">
        <v>15</v>
      </c>
      <c r="H3244">
        <v>5</v>
      </c>
      <c r="I3244">
        <v>10</v>
      </c>
      <c r="J3244" t="s">
        <v>34</v>
      </c>
      <c r="K3244" t="s">
        <v>24</v>
      </c>
      <c r="L3244">
        <v>72</v>
      </c>
      <c r="M3244">
        <v>73.686999999999998</v>
      </c>
      <c r="N3244">
        <v>75.758285000000001</v>
      </c>
      <c r="O3244">
        <v>24.885000000000002</v>
      </c>
      <c r="P3244">
        <v>26.466999999999999</v>
      </c>
      <c r="Q3244">
        <v>21.959</v>
      </c>
      <c r="R3244" t="s">
        <v>642</v>
      </c>
      <c r="S3244" t="s">
        <v>83</v>
      </c>
      <c r="T3244">
        <f>IF(TRIM(Table1[[#This Row],[PitStopLaps]])="",0,
LEN(Table1[[#This Row],[PitStopLaps]])-LEN(SUBSTITUTE(Table1[[#This Row],[PitStopLaps]],",",""))+1)</f>
        <v>2</v>
      </c>
      <c r="U3244">
        <f>Table1[[#This Row],[StartPosition]]-Table1[[#This Row],[FinishPosition]]</f>
        <v>10</v>
      </c>
    </row>
    <row r="3245" spans="1:21" x14ac:dyDescent="0.3">
      <c r="A3245">
        <v>2025</v>
      </c>
      <c r="B3245">
        <v>15</v>
      </c>
      <c r="C3245" t="s">
        <v>702</v>
      </c>
      <c r="D3245" t="s">
        <v>1180</v>
      </c>
      <c r="E3245" t="s">
        <v>1181</v>
      </c>
      <c r="F3245" t="s">
        <v>69</v>
      </c>
      <c r="G3245">
        <v>20</v>
      </c>
      <c r="H3245">
        <v>6</v>
      </c>
      <c r="I3245">
        <v>8</v>
      </c>
      <c r="J3245" t="s">
        <v>34</v>
      </c>
      <c r="K3245" t="s">
        <v>24</v>
      </c>
      <c r="L3245">
        <v>72</v>
      </c>
      <c r="M3245">
        <v>73.95</v>
      </c>
      <c r="N3245">
        <v>76.447500000000005</v>
      </c>
      <c r="O3245">
        <v>25.161000000000001</v>
      </c>
      <c r="P3245">
        <v>26.344999999999999</v>
      </c>
      <c r="Q3245">
        <v>22.361999999999998</v>
      </c>
      <c r="R3245">
        <v>53</v>
      </c>
      <c r="S3245" t="s">
        <v>83</v>
      </c>
      <c r="T3245">
        <f>IF(TRIM(Table1[[#This Row],[PitStopLaps]])="",0,
LEN(Table1[[#This Row],[PitStopLaps]])-LEN(SUBSTITUTE(Table1[[#This Row],[PitStopLaps]],",",""))+1)</f>
        <v>1</v>
      </c>
      <c r="U3245">
        <f>Table1[[#This Row],[StartPosition]]-Table1[[#This Row],[FinishPosition]]</f>
        <v>14</v>
      </c>
    </row>
    <row r="3246" spans="1:21" x14ac:dyDescent="0.3">
      <c r="A3246">
        <v>2025</v>
      </c>
      <c r="B3246">
        <v>15</v>
      </c>
      <c r="C3246" t="s">
        <v>702</v>
      </c>
      <c r="D3246" t="s">
        <v>58</v>
      </c>
      <c r="E3246" t="s">
        <v>59</v>
      </c>
      <c r="F3246" t="s">
        <v>603</v>
      </c>
      <c r="G3246">
        <v>19</v>
      </c>
      <c r="H3246">
        <v>7</v>
      </c>
      <c r="I3246">
        <v>6</v>
      </c>
      <c r="J3246" t="s">
        <v>34</v>
      </c>
      <c r="K3246" t="s">
        <v>24</v>
      </c>
      <c r="L3246">
        <v>72</v>
      </c>
      <c r="M3246">
        <v>73.822000000000003</v>
      </c>
      <c r="N3246">
        <v>76.148584</v>
      </c>
      <c r="O3246">
        <v>25.440999999999999</v>
      </c>
      <c r="P3246">
        <v>26.169</v>
      </c>
      <c r="Q3246">
        <v>22.125</v>
      </c>
      <c r="R3246" t="s">
        <v>1419</v>
      </c>
      <c r="S3246" t="s">
        <v>83</v>
      </c>
      <c r="T3246">
        <f>IF(TRIM(Table1[[#This Row],[PitStopLaps]])="",0,
LEN(Table1[[#This Row],[PitStopLaps]])-LEN(SUBSTITUTE(Table1[[#This Row],[PitStopLaps]],",",""))+1)</f>
        <v>2</v>
      </c>
      <c r="U3246">
        <f>Table1[[#This Row],[StartPosition]]-Table1[[#This Row],[FinishPosition]]</f>
        <v>12</v>
      </c>
    </row>
    <row r="3247" spans="1:21" x14ac:dyDescent="0.3">
      <c r="A3247">
        <v>2025</v>
      </c>
      <c r="B3247">
        <v>15</v>
      </c>
      <c r="C3247" t="s">
        <v>702</v>
      </c>
      <c r="D3247" t="s">
        <v>35</v>
      </c>
      <c r="E3247" t="s">
        <v>36</v>
      </c>
      <c r="F3247" t="s">
        <v>603</v>
      </c>
      <c r="G3247">
        <v>10</v>
      </c>
      <c r="H3247">
        <v>8</v>
      </c>
      <c r="I3247">
        <v>4</v>
      </c>
      <c r="J3247" t="s">
        <v>34</v>
      </c>
      <c r="K3247" t="s">
        <v>24</v>
      </c>
      <c r="L3247">
        <v>72</v>
      </c>
      <c r="M3247">
        <v>73.718999999999994</v>
      </c>
      <c r="N3247">
        <v>76.107673000000005</v>
      </c>
      <c r="O3247">
        <v>25.125</v>
      </c>
      <c r="P3247">
        <v>26.195</v>
      </c>
      <c r="Q3247">
        <v>22.399000000000001</v>
      </c>
      <c r="R3247" t="s">
        <v>408</v>
      </c>
      <c r="S3247" t="s">
        <v>83</v>
      </c>
      <c r="T3247">
        <f>IF(TRIM(Table1[[#This Row],[PitStopLaps]])="",0,
LEN(Table1[[#This Row],[PitStopLaps]])-LEN(SUBSTITUTE(Table1[[#This Row],[PitStopLaps]],",",""))+1)</f>
        <v>2</v>
      </c>
      <c r="U3247">
        <f>Table1[[#This Row],[StartPosition]]-Table1[[#This Row],[FinishPosition]]</f>
        <v>2</v>
      </c>
    </row>
    <row r="3248" spans="1:21" x14ac:dyDescent="0.3">
      <c r="A3248">
        <v>2025</v>
      </c>
      <c r="B3248">
        <v>15</v>
      </c>
      <c r="C3248" t="s">
        <v>702</v>
      </c>
      <c r="D3248" t="s">
        <v>601</v>
      </c>
      <c r="E3248" t="s">
        <v>602</v>
      </c>
      <c r="F3248" t="s">
        <v>33</v>
      </c>
      <c r="G3248">
        <v>12</v>
      </c>
      <c r="H3248">
        <v>9</v>
      </c>
      <c r="I3248">
        <v>2</v>
      </c>
      <c r="J3248" t="s">
        <v>34</v>
      </c>
      <c r="K3248" t="s">
        <v>24</v>
      </c>
      <c r="L3248">
        <v>72</v>
      </c>
      <c r="M3248">
        <v>74.353999999999999</v>
      </c>
      <c r="N3248">
        <v>76.378259</v>
      </c>
      <c r="O3248">
        <v>25.238</v>
      </c>
      <c r="P3248">
        <v>26.71</v>
      </c>
      <c r="Q3248">
        <v>22.405999999999999</v>
      </c>
      <c r="R3248" t="s">
        <v>1420</v>
      </c>
      <c r="S3248" t="s">
        <v>83</v>
      </c>
      <c r="T3248">
        <f>IF(TRIM(Table1[[#This Row],[PitStopLaps]])="",0,
LEN(Table1[[#This Row],[PitStopLaps]])-LEN(SUBSTITUTE(Table1[[#This Row],[PitStopLaps]],",",""))+1)</f>
        <v>2</v>
      </c>
      <c r="U3248">
        <f>Table1[[#This Row],[StartPosition]]-Table1[[#This Row],[FinishPosition]]</f>
        <v>3</v>
      </c>
    </row>
    <row r="3249" spans="1:21" x14ac:dyDescent="0.3">
      <c r="A3249">
        <v>2025</v>
      </c>
      <c r="B3249">
        <v>15</v>
      </c>
      <c r="C3249" t="s">
        <v>702</v>
      </c>
      <c r="D3249" t="s">
        <v>52</v>
      </c>
      <c r="E3249" t="s">
        <v>53</v>
      </c>
      <c r="F3249" t="s">
        <v>69</v>
      </c>
      <c r="G3249">
        <v>18</v>
      </c>
      <c r="H3249">
        <v>10</v>
      </c>
      <c r="I3249">
        <v>1</v>
      </c>
      <c r="J3249" t="s">
        <v>34</v>
      </c>
      <c r="K3249" t="s">
        <v>24</v>
      </c>
      <c r="L3249">
        <v>72</v>
      </c>
      <c r="M3249">
        <v>73.986000000000004</v>
      </c>
      <c r="N3249">
        <v>76.607326999999998</v>
      </c>
      <c r="O3249">
        <v>25.152000000000001</v>
      </c>
      <c r="P3249">
        <v>26.521000000000001</v>
      </c>
      <c r="Q3249">
        <v>22.312999999999999</v>
      </c>
      <c r="R3249">
        <v>52</v>
      </c>
      <c r="S3249" t="s">
        <v>83</v>
      </c>
      <c r="T3249">
        <f>IF(TRIM(Table1[[#This Row],[PitStopLaps]])="",0,
LEN(Table1[[#This Row],[PitStopLaps]])-LEN(SUBSTITUTE(Table1[[#This Row],[PitStopLaps]],",",""))+1)</f>
        <v>1</v>
      </c>
      <c r="U3249">
        <f>Table1[[#This Row],[StartPosition]]-Table1[[#This Row],[FinishPosition]]</f>
        <v>8</v>
      </c>
    </row>
    <row r="3250" spans="1:21" x14ac:dyDescent="0.3">
      <c r="A3250">
        <v>2025</v>
      </c>
      <c r="B3250">
        <v>15</v>
      </c>
      <c r="C3250" t="s">
        <v>702</v>
      </c>
      <c r="D3250" t="s">
        <v>1283</v>
      </c>
      <c r="E3250" t="s">
        <v>1284</v>
      </c>
      <c r="F3250" t="s">
        <v>607</v>
      </c>
      <c r="G3250">
        <v>16</v>
      </c>
      <c r="H3250">
        <v>11</v>
      </c>
      <c r="I3250">
        <v>0</v>
      </c>
      <c r="J3250" t="s">
        <v>34</v>
      </c>
      <c r="K3250" t="s">
        <v>24</v>
      </c>
      <c r="L3250">
        <v>72</v>
      </c>
      <c r="M3250">
        <v>73.049000000000007</v>
      </c>
      <c r="N3250">
        <v>76.469074000000006</v>
      </c>
      <c r="O3250">
        <v>24.969000000000001</v>
      </c>
      <c r="P3250">
        <v>26.048999999999999</v>
      </c>
      <c r="Q3250">
        <v>22.016999999999999</v>
      </c>
      <c r="R3250" t="s">
        <v>1421</v>
      </c>
      <c r="S3250" t="s">
        <v>83</v>
      </c>
      <c r="T3250">
        <f>IF(TRIM(Table1[[#This Row],[PitStopLaps]])="",0,
LEN(Table1[[#This Row],[PitStopLaps]])-LEN(SUBSTITUTE(Table1[[#This Row],[PitStopLaps]],",",""))+1)</f>
        <v>3</v>
      </c>
      <c r="U3250">
        <f>Table1[[#This Row],[StartPosition]]-Table1[[#This Row],[FinishPosition]]</f>
        <v>5</v>
      </c>
    </row>
    <row r="3251" spans="1:21" x14ac:dyDescent="0.3">
      <c r="A3251">
        <v>2025</v>
      </c>
      <c r="B3251">
        <v>15</v>
      </c>
      <c r="C3251" t="s">
        <v>702</v>
      </c>
      <c r="D3251" t="s">
        <v>1092</v>
      </c>
      <c r="E3251" t="s">
        <v>1093</v>
      </c>
      <c r="F3251" t="s">
        <v>1330</v>
      </c>
      <c r="G3251">
        <v>8</v>
      </c>
      <c r="H3251">
        <v>12</v>
      </c>
      <c r="I3251">
        <v>0</v>
      </c>
      <c r="J3251" t="s">
        <v>34</v>
      </c>
      <c r="K3251" t="s">
        <v>24</v>
      </c>
      <c r="L3251">
        <v>72</v>
      </c>
      <c r="M3251">
        <v>73.879000000000005</v>
      </c>
      <c r="N3251">
        <v>75.942660000000004</v>
      </c>
      <c r="O3251">
        <v>25.119</v>
      </c>
      <c r="P3251">
        <v>26.303999999999998</v>
      </c>
      <c r="Q3251">
        <v>22.292000000000002</v>
      </c>
      <c r="R3251" t="s">
        <v>1422</v>
      </c>
      <c r="S3251" t="s">
        <v>83</v>
      </c>
      <c r="T3251">
        <f>IF(TRIM(Table1[[#This Row],[PitStopLaps]])="",0,
LEN(Table1[[#This Row],[PitStopLaps]])-LEN(SUBSTITUTE(Table1[[#This Row],[PitStopLaps]],",",""))+1)</f>
        <v>3</v>
      </c>
      <c r="U3251">
        <f>Table1[[#This Row],[StartPosition]]-Table1[[#This Row],[FinishPosition]]</f>
        <v>-4</v>
      </c>
    </row>
    <row r="3252" spans="1:21" x14ac:dyDescent="0.3">
      <c r="A3252">
        <v>2025</v>
      </c>
      <c r="B3252">
        <v>15</v>
      </c>
      <c r="C3252" t="s">
        <v>702</v>
      </c>
      <c r="D3252" t="s">
        <v>47</v>
      </c>
      <c r="E3252" t="s">
        <v>48</v>
      </c>
      <c r="F3252" t="s">
        <v>60</v>
      </c>
      <c r="G3252">
        <v>9</v>
      </c>
      <c r="H3252">
        <v>13</v>
      </c>
      <c r="I3252">
        <v>0</v>
      </c>
      <c r="J3252" t="s">
        <v>34</v>
      </c>
      <c r="K3252" t="s">
        <v>24</v>
      </c>
      <c r="L3252">
        <v>72</v>
      </c>
      <c r="M3252">
        <v>73.808000000000007</v>
      </c>
      <c r="N3252">
        <v>75.917152999999999</v>
      </c>
      <c r="O3252">
        <v>24.956</v>
      </c>
      <c r="P3252">
        <v>26.463999999999999</v>
      </c>
      <c r="Q3252">
        <v>22.265000000000001</v>
      </c>
      <c r="R3252" t="s">
        <v>1423</v>
      </c>
      <c r="S3252" t="s">
        <v>83</v>
      </c>
      <c r="T3252">
        <f>IF(TRIM(Table1[[#This Row],[PitStopLaps]])="",0,
LEN(Table1[[#This Row],[PitStopLaps]])-LEN(SUBSTITUTE(Table1[[#This Row],[PitStopLaps]],",",""))+1)</f>
        <v>4</v>
      </c>
      <c r="U3252">
        <f>Table1[[#This Row],[StartPosition]]-Table1[[#This Row],[FinishPosition]]</f>
        <v>-4</v>
      </c>
    </row>
    <row r="3253" spans="1:21" x14ac:dyDescent="0.3">
      <c r="A3253">
        <v>2025</v>
      </c>
      <c r="B3253">
        <v>15</v>
      </c>
      <c r="C3253" t="s">
        <v>702</v>
      </c>
      <c r="D3253" t="s">
        <v>40</v>
      </c>
      <c r="E3253" t="s">
        <v>41</v>
      </c>
      <c r="F3253" t="s">
        <v>1175</v>
      </c>
      <c r="G3253">
        <v>17</v>
      </c>
      <c r="H3253">
        <v>14</v>
      </c>
      <c r="I3253">
        <v>0</v>
      </c>
      <c r="J3253" t="s">
        <v>34</v>
      </c>
      <c r="K3253" t="s">
        <v>24</v>
      </c>
      <c r="L3253">
        <v>72</v>
      </c>
      <c r="M3253">
        <v>74.912000000000006</v>
      </c>
      <c r="N3253">
        <v>76.598415000000003</v>
      </c>
      <c r="O3253">
        <v>25.344000000000001</v>
      </c>
      <c r="P3253">
        <v>26.613</v>
      </c>
      <c r="Q3253">
        <v>22.361999999999998</v>
      </c>
      <c r="R3253" t="s">
        <v>1420</v>
      </c>
      <c r="S3253" t="s">
        <v>83</v>
      </c>
      <c r="T3253">
        <f>IF(TRIM(Table1[[#This Row],[PitStopLaps]])="",0,
LEN(Table1[[#This Row],[PitStopLaps]])-LEN(SUBSTITUTE(Table1[[#This Row],[PitStopLaps]],",",""))+1)</f>
        <v>2</v>
      </c>
      <c r="U3253">
        <f>Table1[[#This Row],[StartPosition]]-Table1[[#This Row],[FinishPosition]]</f>
        <v>3</v>
      </c>
    </row>
    <row r="3254" spans="1:21" x14ac:dyDescent="0.3">
      <c r="A3254">
        <v>2025</v>
      </c>
      <c r="B3254">
        <v>15</v>
      </c>
      <c r="C3254" t="s">
        <v>702</v>
      </c>
      <c r="D3254" t="s">
        <v>1334</v>
      </c>
      <c r="E3254" t="s">
        <v>1335</v>
      </c>
      <c r="F3254" t="s">
        <v>1175</v>
      </c>
      <c r="G3254">
        <v>13</v>
      </c>
      <c r="H3254">
        <v>15</v>
      </c>
      <c r="I3254">
        <v>0</v>
      </c>
      <c r="J3254" t="s">
        <v>34</v>
      </c>
      <c r="K3254" t="s">
        <v>24</v>
      </c>
      <c r="L3254">
        <v>72</v>
      </c>
      <c r="M3254">
        <v>74.307000000000002</v>
      </c>
      <c r="N3254">
        <v>76.759735000000006</v>
      </c>
      <c r="O3254">
        <v>25.396999999999998</v>
      </c>
      <c r="P3254">
        <v>26.344000000000001</v>
      </c>
      <c r="Q3254">
        <v>22.457000000000001</v>
      </c>
      <c r="R3254" t="s">
        <v>1424</v>
      </c>
      <c r="S3254" t="s">
        <v>83</v>
      </c>
      <c r="T3254">
        <f>IF(TRIM(Table1[[#This Row],[PitStopLaps]])="",0,
LEN(Table1[[#This Row],[PitStopLaps]])-LEN(SUBSTITUTE(Table1[[#This Row],[PitStopLaps]],",",""))+1)</f>
        <v>2</v>
      </c>
      <c r="U3254">
        <f>Table1[[#This Row],[StartPosition]]-Table1[[#This Row],[FinishPosition]]</f>
        <v>-2</v>
      </c>
    </row>
    <row r="3255" spans="1:21" x14ac:dyDescent="0.3">
      <c r="A3255">
        <v>2025</v>
      </c>
      <c r="B3255">
        <v>15</v>
      </c>
      <c r="C3255" t="s">
        <v>702</v>
      </c>
      <c r="D3255" t="s">
        <v>1339</v>
      </c>
      <c r="E3255" t="s">
        <v>1325</v>
      </c>
      <c r="F3255" t="s">
        <v>28</v>
      </c>
      <c r="G3255">
        <v>11</v>
      </c>
      <c r="H3255">
        <v>16</v>
      </c>
      <c r="I3255">
        <v>0</v>
      </c>
      <c r="J3255" t="s">
        <v>34</v>
      </c>
      <c r="K3255" t="s">
        <v>24</v>
      </c>
      <c r="L3255">
        <v>72</v>
      </c>
      <c r="M3255">
        <v>73.48</v>
      </c>
      <c r="N3255">
        <v>75.635259000000005</v>
      </c>
      <c r="O3255">
        <v>24.821000000000002</v>
      </c>
      <c r="P3255">
        <v>26.315999999999999</v>
      </c>
      <c r="Q3255">
        <v>22.027999999999999</v>
      </c>
      <c r="R3255" t="s">
        <v>1425</v>
      </c>
      <c r="S3255" t="s">
        <v>83</v>
      </c>
      <c r="T3255">
        <f>IF(TRIM(Table1[[#This Row],[PitStopLaps]])="",0,
LEN(Table1[[#This Row],[PitStopLaps]])-LEN(SUBSTITUTE(Table1[[#This Row],[PitStopLaps]],",",""))+1)</f>
        <v>3</v>
      </c>
      <c r="U3255">
        <f>Table1[[#This Row],[StartPosition]]-Table1[[#This Row],[FinishPosition]]</f>
        <v>-5</v>
      </c>
    </row>
    <row r="3256" spans="1:21" x14ac:dyDescent="0.3">
      <c r="A3256">
        <v>2025</v>
      </c>
      <c r="B3256">
        <v>15</v>
      </c>
      <c r="C3256" t="s">
        <v>702</v>
      </c>
      <c r="D3256" t="s">
        <v>73</v>
      </c>
      <c r="E3256" t="s">
        <v>74</v>
      </c>
      <c r="F3256" t="s">
        <v>607</v>
      </c>
      <c r="G3256">
        <v>14</v>
      </c>
      <c r="H3256">
        <v>17</v>
      </c>
      <c r="I3256">
        <v>0</v>
      </c>
      <c r="J3256" t="s">
        <v>34</v>
      </c>
      <c r="K3256" t="s">
        <v>24</v>
      </c>
      <c r="L3256">
        <v>72</v>
      </c>
      <c r="M3256">
        <v>75.248000000000005</v>
      </c>
      <c r="N3256">
        <v>76.733535000000003</v>
      </c>
      <c r="O3256">
        <v>25.623000000000001</v>
      </c>
      <c r="P3256">
        <v>26.888000000000002</v>
      </c>
      <c r="Q3256">
        <v>22.588999999999999</v>
      </c>
      <c r="R3256">
        <v>23</v>
      </c>
      <c r="S3256" t="s">
        <v>83</v>
      </c>
      <c r="T3256">
        <f>IF(TRIM(Table1[[#This Row],[PitStopLaps]])="",0,
LEN(Table1[[#This Row],[PitStopLaps]])-LEN(SUBSTITUTE(Table1[[#This Row],[PitStopLaps]],",",""))+1)</f>
        <v>1</v>
      </c>
      <c r="U3256">
        <f>Table1[[#This Row],[StartPosition]]-Table1[[#This Row],[FinishPosition]]</f>
        <v>-3</v>
      </c>
    </row>
    <row r="3257" spans="1:21" x14ac:dyDescent="0.3">
      <c r="A3257">
        <v>2025</v>
      </c>
      <c r="B3257">
        <v>15</v>
      </c>
      <c r="C3257" t="s">
        <v>702</v>
      </c>
      <c r="D3257" t="s">
        <v>246</v>
      </c>
      <c r="E3257" t="s">
        <v>247</v>
      </c>
      <c r="F3257" t="s">
        <v>37</v>
      </c>
      <c r="G3257">
        <v>2</v>
      </c>
      <c r="H3257">
        <v>18</v>
      </c>
      <c r="I3257">
        <v>0</v>
      </c>
      <c r="J3257" t="s">
        <v>34</v>
      </c>
      <c r="K3257" t="s">
        <v>179</v>
      </c>
      <c r="L3257">
        <v>65</v>
      </c>
      <c r="M3257">
        <v>72.379000000000005</v>
      </c>
      <c r="N3257">
        <v>74.665288000000004</v>
      </c>
      <c r="O3257">
        <v>24.701999999999899</v>
      </c>
      <c r="P3257">
        <v>25.626000000000001</v>
      </c>
      <c r="Q3257">
        <v>21.76</v>
      </c>
      <c r="R3257" t="s">
        <v>642</v>
      </c>
      <c r="S3257" t="s">
        <v>83</v>
      </c>
      <c r="T3257">
        <f>IF(TRIM(Table1[[#This Row],[PitStopLaps]])="",0,
LEN(Table1[[#This Row],[PitStopLaps]])-LEN(SUBSTITUTE(Table1[[#This Row],[PitStopLaps]],",",""))+1)</f>
        <v>2</v>
      </c>
      <c r="U3257">
        <f>Table1[[#This Row],[StartPosition]]-Table1[[#This Row],[FinishPosition]]</f>
        <v>-16</v>
      </c>
    </row>
    <row r="3258" spans="1:21" x14ac:dyDescent="0.3">
      <c r="A3258">
        <v>2025</v>
      </c>
      <c r="B3258">
        <v>15</v>
      </c>
      <c r="C3258" t="s">
        <v>702</v>
      </c>
      <c r="D3258" t="s">
        <v>54</v>
      </c>
      <c r="E3258" t="s">
        <v>55</v>
      </c>
      <c r="F3258" t="s">
        <v>22</v>
      </c>
      <c r="G3258">
        <v>6</v>
      </c>
      <c r="H3258">
        <v>19</v>
      </c>
      <c r="I3258">
        <v>0</v>
      </c>
      <c r="J3258" t="s">
        <v>34</v>
      </c>
      <c r="K3258" t="s">
        <v>179</v>
      </c>
      <c r="L3258">
        <v>52</v>
      </c>
      <c r="M3258">
        <v>74.557000000000002</v>
      </c>
      <c r="N3258">
        <v>75.645255000000006</v>
      </c>
      <c r="O3258">
        <v>25.417999999999999</v>
      </c>
      <c r="P3258">
        <v>26.606000000000002</v>
      </c>
      <c r="Q3258">
        <v>22.184999999999999</v>
      </c>
      <c r="R3258" t="s">
        <v>434</v>
      </c>
      <c r="S3258" t="s">
        <v>83</v>
      </c>
      <c r="T3258">
        <f>IF(TRIM(Table1[[#This Row],[PitStopLaps]])="",0,
LEN(Table1[[#This Row],[PitStopLaps]])-LEN(SUBSTITUTE(Table1[[#This Row],[PitStopLaps]],",",""))+1)</f>
        <v>2</v>
      </c>
      <c r="U3258">
        <f>Table1[[#This Row],[StartPosition]]-Table1[[#This Row],[FinishPosition]]</f>
        <v>-13</v>
      </c>
    </row>
    <row r="3259" spans="1:21" x14ac:dyDescent="0.3">
      <c r="A3259">
        <v>2025</v>
      </c>
      <c r="B3259">
        <v>15</v>
      </c>
      <c r="C3259" t="s">
        <v>702</v>
      </c>
      <c r="D3259" t="s">
        <v>26</v>
      </c>
      <c r="E3259" t="s">
        <v>27</v>
      </c>
      <c r="F3259" t="s">
        <v>22</v>
      </c>
      <c r="G3259">
        <v>7</v>
      </c>
      <c r="H3259">
        <v>20</v>
      </c>
      <c r="I3259">
        <v>0</v>
      </c>
      <c r="J3259" t="s">
        <v>34</v>
      </c>
      <c r="K3259" t="s">
        <v>179</v>
      </c>
      <c r="L3259">
        <v>23</v>
      </c>
      <c r="M3259">
        <v>75.683999999999997</v>
      </c>
      <c r="N3259">
        <v>76.306713999999999</v>
      </c>
      <c r="O3259">
        <v>25.706</v>
      </c>
      <c r="P3259">
        <v>27.151</v>
      </c>
      <c r="Q3259">
        <v>22.584</v>
      </c>
      <c r="S3259" t="s">
        <v>83</v>
      </c>
      <c r="T3259">
        <f>IF(TRIM(Table1[[#This Row],[PitStopLaps]])="",0,
LEN(Table1[[#This Row],[PitStopLaps]])-LEN(SUBSTITUTE(Table1[[#This Row],[PitStopLaps]],",",""))+1)</f>
        <v>0</v>
      </c>
      <c r="U3259">
        <f>Table1[[#This Row],[StartPosition]]-Table1[[#This Row],[FinishPosition]]</f>
        <v>-13</v>
      </c>
    </row>
    <row r="3260" spans="1:21" x14ac:dyDescent="0.3">
      <c r="A3260">
        <v>2025</v>
      </c>
      <c r="B3260">
        <v>16</v>
      </c>
      <c r="C3260" t="s">
        <v>367</v>
      </c>
      <c r="D3260" t="s">
        <v>38</v>
      </c>
      <c r="E3260" t="s">
        <v>39</v>
      </c>
      <c r="F3260" t="s">
        <v>33</v>
      </c>
      <c r="G3260">
        <v>1</v>
      </c>
      <c r="H3260">
        <v>1</v>
      </c>
      <c r="I3260">
        <v>25</v>
      </c>
      <c r="J3260" t="s">
        <v>23</v>
      </c>
      <c r="K3260" t="s">
        <v>24</v>
      </c>
      <c r="L3260">
        <v>53</v>
      </c>
      <c r="M3260">
        <v>81.003</v>
      </c>
      <c r="N3260">
        <v>82.547700000000006</v>
      </c>
      <c r="O3260">
        <v>26.898</v>
      </c>
      <c r="P3260">
        <v>27.512</v>
      </c>
      <c r="Q3260">
        <v>26.564</v>
      </c>
      <c r="R3260">
        <v>37</v>
      </c>
      <c r="S3260" t="s">
        <v>83</v>
      </c>
      <c r="T3260">
        <f>IF(TRIM(Table1[[#This Row],[PitStopLaps]])="",0,
LEN(Table1[[#This Row],[PitStopLaps]])-LEN(SUBSTITUTE(Table1[[#This Row],[PitStopLaps]],",",""))+1)</f>
        <v>1</v>
      </c>
      <c r="U3260">
        <f>Table1[[#This Row],[StartPosition]]-Table1[[#This Row],[FinishPosition]]</f>
        <v>0</v>
      </c>
    </row>
    <row r="3261" spans="1:21" x14ac:dyDescent="0.3">
      <c r="A3261">
        <v>2025</v>
      </c>
      <c r="B3261">
        <v>16</v>
      </c>
      <c r="C3261" t="s">
        <v>367</v>
      </c>
      <c r="D3261" t="s">
        <v>246</v>
      </c>
      <c r="E3261" t="s">
        <v>247</v>
      </c>
      <c r="F3261" t="s">
        <v>37</v>
      </c>
      <c r="G3261">
        <v>2</v>
      </c>
      <c r="H3261">
        <v>2</v>
      </c>
      <c r="I3261">
        <v>18</v>
      </c>
      <c r="J3261" t="s">
        <v>23</v>
      </c>
      <c r="K3261" t="s">
        <v>24</v>
      </c>
      <c r="L3261">
        <v>53</v>
      </c>
      <c r="M3261">
        <v>80.900999999999996</v>
      </c>
      <c r="N3261">
        <v>82.876580000000004</v>
      </c>
      <c r="O3261">
        <v>26.81</v>
      </c>
      <c r="P3261">
        <v>27.251999999999999</v>
      </c>
      <c r="Q3261">
        <v>26.71</v>
      </c>
      <c r="R3261">
        <v>46</v>
      </c>
      <c r="S3261" t="s">
        <v>83</v>
      </c>
      <c r="T3261">
        <f>IF(TRIM(Table1[[#This Row],[PitStopLaps]])="",0,
LEN(Table1[[#This Row],[PitStopLaps]])-LEN(SUBSTITUTE(Table1[[#This Row],[PitStopLaps]],",",""))+1)</f>
        <v>1</v>
      </c>
      <c r="U3261">
        <f>Table1[[#This Row],[StartPosition]]-Table1[[#This Row],[FinishPosition]]</f>
        <v>0</v>
      </c>
    </row>
    <row r="3262" spans="1:21" x14ac:dyDescent="0.3">
      <c r="A3262">
        <v>2025</v>
      </c>
      <c r="B3262">
        <v>16</v>
      </c>
      <c r="C3262" t="s">
        <v>367</v>
      </c>
      <c r="D3262" t="s">
        <v>1000</v>
      </c>
      <c r="E3262" t="s">
        <v>1001</v>
      </c>
      <c r="F3262" t="s">
        <v>37</v>
      </c>
      <c r="G3262">
        <v>3</v>
      </c>
      <c r="H3262">
        <v>3</v>
      </c>
      <c r="I3262">
        <v>15</v>
      </c>
      <c r="J3262" t="s">
        <v>23</v>
      </c>
      <c r="K3262" t="s">
        <v>24</v>
      </c>
      <c r="L3262">
        <v>53</v>
      </c>
      <c r="M3262">
        <v>81.245000000000005</v>
      </c>
      <c r="N3262">
        <v>82.993459999999999</v>
      </c>
      <c r="O3262">
        <v>26.867000000000001</v>
      </c>
      <c r="P3262">
        <v>27.402000000000001</v>
      </c>
      <c r="Q3262">
        <v>26.873999999999999</v>
      </c>
      <c r="R3262">
        <v>45</v>
      </c>
      <c r="S3262" t="s">
        <v>83</v>
      </c>
      <c r="T3262">
        <f>IF(TRIM(Table1[[#This Row],[PitStopLaps]])="",0,
LEN(Table1[[#This Row],[PitStopLaps]])-LEN(SUBSTITUTE(Table1[[#This Row],[PitStopLaps]],",",""))+1)</f>
        <v>1</v>
      </c>
      <c r="U3262">
        <f>Table1[[#This Row],[StartPosition]]-Table1[[#This Row],[FinishPosition]]</f>
        <v>0</v>
      </c>
    </row>
    <row r="3263" spans="1:21" x14ac:dyDescent="0.3">
      <c r="A3263">
        <v>2025</v>
      </c>
      <c r="B3263">
        <v>16</v>
      </c>
      <c r="C3263" t="s">
        <v>367</v>
      </c>
      <c r="D3263" t="s">
        <v>54</v>
      </c>
      <c r="E3263" t="s">
        <v>55</v>
      </c>
      <c r="F3263" t="s">
        <v>22</v>
      </c>
      <c r="G3263">
        <v>4</v>
      </c>
      <c r="H3263">
        <v>4</v>
      </c>
      <c r="I3263">
        <v>12</v>
      </c>
      <c r="J3263" t="s">
        <v>34</v>
      </c>
      <c r="K3263" t="s">
        <v>24</v>
      </c>
      <c r="L3263">
        <v>53</v>
      </c>
      <c r="M3263">
        <v>81.293999999999997</v>
      </c>
      <c r="N3263">
        <v>83.033540000000002</v>
      </c>
      <c r="O3263">
        <v>26.838999999999999</v>
      </c>
      <c r="P3263">
        <v>27.545999999999999</v>
      </c>
      <c r="Q3263">
        <v>26.908999999999999</v>
      </c>
      <c r="R3263">
        <v>33</v>
      </c>
      <c r="S3263" t="s">
        <v>83</v>
      </c>
      <c r="T3263">
        <f>IF(TRIM(Table1[[#This Row],[PitStopLaps]])="",0,
LEN(Table1[[#This Row],[PitStopLaps]])-LEN(SUBSTITUTE(Table1[[#This Row],[PitStopLaps]],",",""))+1)</f>
        <v>1</v>
      </c>
      <c r="U3263">
        <f>Table1[[#This Row],[StartPosition]]-Table1[[#This Row],[FinishPosition]]</f>
        <v>0</v>
      </c>
    </row>
    <row r="3264" spans="1:21" x14ac:dyDescent="0.3">
      <c r="A3264">
        <v>2025</v>
      </c>
      <c r="B3264">
        <v>16</v>
      </c>
      <c r="C3264" t="s">
        <v>367</v>
      </c>
      <c r="D3264" t="s">
        <v>252</v>
      </c>
      <c r="E3264" t="s">
        <v>253</v>
      </c>
      <c r="F3264" t="s">
        <v>28</v>
      </c>
      <c r="G3264">
        <v>5</v>
      </c>
      <c r="H3264">
        <v>5</v>
      </c>
      <c r="I3264">
        <v>10</v>
      </c>
      <c r="J3264" t="s">
        <v>34</v>
      </c>
      <c r="K3264" t="s">
        <v>24</v>
      </c>
      <c r="L3264">
        <v>53</v>
      </c>
      <c r="M3264">
        <v>81.8</v>
      </c>
      <c r="N3264">
        <v>83.123159999999999</v>
      </c>
      <c r="O3264">
        <v>26.963000000000001</v>
      </c>
      <c r="P3264">
        <v>27.649000000000001</v>
      </c>
      <c r="Q3264">
        <v>26.978000000000002</v>
      </c>
      <c r="R3264">
        <v>27</v>
      </c>
      <c r="S3264" t="s">
        <v>83</v>
      </c>
      <c r="T3264">
        <f>IF(TRIM(Table1[[#This Row],[PitStopLaps]])="",0,
LEN(Table1[[#This Row],[PitStopLaps]])-LEN(SUBSTITUTE(Table1[[#This Row],[PitStopLaps]],",",""))+1)</f>
        <v>1</v>
      </c>
      <c r="U3264">
        <f>Table1[[#This Row],[StartPosition]]-Table1[[#This Row],[FinishPosition]]</f>
        <v>0</v>
      </c>
    </row>
    <row r="3265" spans="1:21" x14ac:dyDescent="0.3">
      <c r="A3265">
        <v>2025</v>
      </c>
      <c r="B3265">
        <v>16</v>
      </c>
      <c r="C3265" t="s">
        <v>367</v>
      </c>
      <c r="D3265" t="s">
        <v>26</v>
      </c>
      <c r="E3265" t="s">
        <v>27</v>
      </c>
      <c r="F3265" t="s">
        <v>22</v>
      </c>
      <c r="G3265">
        <v>10</v>
      </c>
      <c r="H3265">
        <v>6</v>
      </c>
      <c r="I3265">
        <v>8</v>
      </c>
      <c r="J3265" t="s">
        <v>34</v>
      </c>
      <c r="K3265" t="s">
        <v>24</v>
      </c>
      <c r="L3265">
        <v>53</v>
      </c>
      <c r="M3265">
        <v>81.546000000000006</v>
      </c>
      <c r="N3265">
        <v>83.226560000000006</v>
      </c>
      <c r="O3265">
        <v>26.794</v>
      </c>
      <c r="P3265">
        <v>27.585000000000001</v>
      </c>
      <c r="Q3265">
        <v>26.951000000000001</v>
      </c>
      <c r="R3265">
        <v>38</v>
      </c>
      <c r="S3265" t="s">
        <v>83</v>
      </c>
      <c r="T3265">
        <f>IF(TRIM(Table1[[#This Row],[PitStopLaps]])="",0,
LEN(Table1[[#This Row],[PitStopLaps]])-LEN(SUBSTITUTE(Table1[[#This Row],[PitStopLaps]],",",""))+1)</f>
        <v>1</v>
      </c>
      <c r="U3265">
        <f>Table1[[#This Row],[StartPosition]]-Table1[[#This Row],[FinishPosition]]</f>
        <v>4</v>
      </c>
    </row>
    <row r="3266" spans="1:21" x14ac:dyDescent="0.3">
      <c r="A3266">
        <v>2025</v>
      </c>
      <c r="B3266">
        <v>16</v>
      </c>
      <c r="C3266" t="s">
        <v>367</v>
      </c>
      <c r="D3266" t="s">
        <v>248</v>
      </c>
      <c r="E3266" t="s">
        <v>249</v>
      </c>
      <c r="F3266" t="s">
        <v>60</v>
      </c>
      <c r="G3266">
        <v>14</v>
      </c>
      <c r="H3266">
        <v>7</v>
      </c>
      <c r="I3266">
        <v>6</v>
      </c>
      <c r="J3266" t="s">
        <v>34</v>
      </c>
      <c r="K3266" t="s">
        <v>24</v>
      </c>
      <c r="L3266">
        <v>53</v>
      </c>
      <c r="M3266">
        <v>81.367999999999995</v>
      </c>
      <c r="N3266">
        <v>83.458320000000001</v>
      </c>
      <c r="O3266">
        <v>26.8</v>
      </c>
      <c r="P3266">
        <v>27.648</v>
      </c>
      <c r="Q3266">
        <v>26.826999999999899</v>
      </c>
      <c r="R3266">
        <v>41</v>
      </c>
      <c r="S3266" t="s">
        <v>83</v>
      </c>
      <c r="T3266">
        <f>IF(TRIM(Table1[[#This Row],[PitStopLaps]])="",0,
LEN(Table1[[#This Row],[PitStopLaps]])-LEN(SUBSTITUTE(Table1[[#This Row],[PitStopLaps]],",",""))+1)</f>
        <v>1</v>
      </c>
      <c r="U3266">
        <f>Table1[[#This Row],[StartPosition]]-Table1[[#This Row],[FinishPosition]]</f>
        <v>7</v>
      </c>
    </row>
    <row r="3267" spans="1:21" x14ac:dyDescent="0.3">
      <c r="A3267">
        <v>2025</v>
      </c>
      <c r="B3267">
        <v>16</v>
      </c>
      <c r="C3267" t="s">
        <v>367</v>
      </c>
      <c r="D3267" t="s">
        <v>1334</v>
      </c>
      <c r="E3267" t="s">
        <v>1335</v>
      </c>
      <c r="F3267" t="s">
        <v>1175</v>
      </c>
      <c r="G3267">
        <v>7</v>
      </c>
      <c r="H3267">
        <v>8</v>
      </c>
      <c r="I3267">
        <v>4</v>
      </c>
      <c r="J3267" t="s">
        <v>34</v>
      </c>
      <c r="K3267" t="s">
        <v>24</v>
      </c>
      <c r="L3267">
        <v>53</v>
      </c>
      <c r="M3267">
        <v>82.138999999999996</v>
      </c>
      <c r="N3267">
        <v>83.543880000000001</v>
      </c>
      <c r="O3267">
        <v>26.995999999999999</v>
      </c>
      <c r="P3267">
        <v>27.89</v>
      </c>
      <c r="Q3267">
        <v>27.143999999999998</v>
      </c>
      <c r="R3267">
        <v>20</v>
      </c>
      <c r="S3267" t="s">
        <v>83</v>
      </c>
      <c r="T3267">
        <f>IF(TRIM(Table1[[#This Row],[PitStopLaps]])="",0,
LEN(Table1[[#This Row],[PitStopLaps]])-LEN(SUBSTITUTE(Table1[[#This Row],[PitStopLaps]],",",""))+1)</f>
        <v>1</v>
      </c>
      <c r="U3267">
        <f>Table1[[#This Row],[StartPosition]]-Table1[[#This Row],[FinishPosition]]</f>
        <v>-1</v>
      </c>
    </row>
    <row r="3268" spans="1:21" x14ac:dyDescent="0.3">
      <c r="A3268">
        <v>2025</v>
      </c>
      <c r="B3268">
        <v>16</v>
      </c>
      <c r="C3268" t="s">
        <v>367</v>
      </c>
      <c r="D3268" t="s">
        <v>1339</v>
      </c>
      <c r="E3268" t="s">
        <v>1325</v>
      </c>
      <c r="F3268" t="s">
        <v>28</v>
      </c>
      <c r="G3268">
        <v>6</v>
      </c>
      <c r="H3268">
        <v>9</v>
      </c>
      <c r="I3268">
        <v>2</v>
      </c>
      <c r="J3268" t="s">
        <v>34</v>
      </c>
      <c r="K3268" t="s">
        <v>24</v>
      </c>
      <c r="L3268">
        <v>53</v>
      </c>
      <c r="M3268">
        <v>81.968000000000004</v>
      </c>
      <c r="N3268">
        <v>83.514120000000005</v>
      </c>
      <c r="O3268">
        <v>27.04</v>
      </c>
      <c r="P3268">
        <v>27.841000000000001</v>
      </c>
      <c r="Q3268">
        <v>26.995999999999999</v>
      </c>
      <c r="R3268">
        <v>28</v>
      </c>
      <c r="S3268" t="s">
        <v>83</v>
      </c>
      <c r="T3268">
        <f>IF(TRIM(Table1[[#This Row],[PitStopLaps]])="",0,
LEN(Table1[[#This Row],[PitStopLaps]])-LEN(SUBSTITUTE(Table1[[#This Row],[PitStopLaps]],",",""))+1)</f>
        <v>1</v>
      </c>
      <c r="U3268">
        <f>Table1[[#This Row],[StartPosition]]-Table1[[#This Row],[FinishPosition]]</f>
        <v>-3</v>
      </c>
    </row>
    <row r="3269" spans="1:21" x14ac:dyDescent="0.3">
      <c r="A3269">
        <v>2025</v>
      </c>
      <c r="B3269">
        <v>16</v>
      </c>
      <c r="C3269" t="s">
        <v>367</v>
      </c>
      <c r="D3269" t="s">
        <v>1337</v>
      </c>
      <c r="E3269" t="s">
        <v>1338</v>
      </c>
      <c r="F3269" t="s">
        <v>1330</v>
      </c>
      <c r="G3269">
        <v>19</v>
      </c>
      <c r="H3269">
        <v>10</v>
      </c>
      <c r="I3269">
        <v>1</v>
      </c>
      <c r="J3269" t="s">
        <v>34</v>
      </c>
      <c r="K3269" t="s">
        <v>24</v>
      </c>
      <c r="L3269">
        <v>53</v>
      </c>
      <c r="M3269">
        <v>82.132999999999996</v>
      </c>
      <c r="N3269">
        <v>83.640079999999998</v>
      </c>
      <c r="O3269">
        <v>27.123000000000001</v>
      </c>
      <c r="P3269">
        <v>27.853999999999999</v>
      </c>
      <c r="Q3269">
        <v>27.071000000000002</v>
      </c>
      <c r="R3269">
        <v>32</v>
      </c>
      <c r="S3269" t="s">
        <v>83</v>
      </c>
      <c r="T3269">
        <f>IF(TRIM(Table1[[#This Row],[PitStopLaps]])="",0,
LEN(Table1[[#This Row],[PitStopLaps]])-LEN(SUBSTITUTE(Table1[[#This Row],[PitStopLaps]],",",""))+1)</f>
        <v>1</v>
      </c>
      <c r="U3269">
        <f>Table1[[#This Row],[StartPosition]]-Table1[[#This Row],[FinishPosition]]</f>
        <v>9</v>
      </c>
    </row>
    <row r="3270" spans="1:21" x14ac:dyDescent="0.3">
      <c r="A3270">
        <v>2025</v>
      </c>
      <c r="B3270">
        <v>16</v>
      </c>
      <c r="C3270" t="s">
        <v>367</v>
      </c>
      <c r="D3270" t="s">
        <v>47</v>
      </c>
      <c r="E3270" t="s">
        <v>48</v>
      </c>
      <c r="F3270" t="s">
        <v>60</v>
      </c>
      <c r="G3270">
        <v>13</v>
      </c>
      <c r="H3270">
        <v>11</v>
      </c>
      <c r="I3270">
        <v>0</v>
      </c>
      <c r="J3270" t="s">
        <v>34</v>
      </c>
      <c r="K3270" t="s">
        <v>24</v>
      </c>
      <c r="L3270">
        <v>53</v>
      </c>
      <c r="M3270">
        <v>81.739999999999995</v>
      </c>
      <c r="N3270">
        <v>83.69426</v>
      </c>
      <c r="O3270">
        <v>26.997</v>
      </c>
      <c r="P3270">
        <v>27.591000000000001</v>
      </c>
      <c r="Q3270">
        <v>27.062000000000001</v>
      </c>
      <c r="R3270">
        <v>30</v>
      </c>
      <c r="S3270" t="s">
        <v>83</v>
      </c>
      <c r="T3270">
        <f>IF(TRIM(Table1[[#This Row],[PitStopLaps]])="",0,
LEN(Table1[[#This Row],[PitStopLaps]])-LEN(SUBSTITUTE(Table1[[#This Row],[PitStopLaps]],",",""))+1)</f>
        <v>1</v>
      </c>
      <c r="U3270">
        <f>Table1[[#This Row],[StartPosition]]-Table1[[#This Row],[FinishPosition]]</f>
        <v>2</v>
      </c>
    </row>
    <row r="3271" spans="1:21" x14ac:dyDescent="0.3">
      <c r="A3271">
        <v>2025</v>
      </c>
      <c r="B3271">
        <v>16</v>
      </c>
      <c r="C3271" t="s">
        <v>367</v>
      </c>
      <c r="D3271" t="s">
        <v>1180</v>
      </c>
      <c r="E3271" t="s">
        <v>1181</v>
      </c>
      <c r="F3271" t="s">
        <v>69</v>
      </c>
      <c r="G3271">
        <v>11</v>
      </c>
      <c r="H3271">
        <v>12</v>
      </c>
      <c r="I3271">
        <v>0</v>
      </c>
      <c r="J3271" t="s">
        <v>34</v>
      </c>
      <c r="K3271" t="s">
        <v>24</v>
      </c>
      <c r="L3271">
        <v>53</v>
      </c>
      <c r="M3271">
        <v>81.819999999999993</v>
      </c>
      <c r="N3271">
        <v>83.749939999999995</v>
      </c>
      <c r="O3271">
        <v>27.055</v>
      </c>
      <c r="P3271">
        <v>27.738</v>
      </c>
      <c r="Q3271">
        <v>26.969000000000001</v>
      </c>
      <c r="R3271">
        <v>18</v>
      </c>
      <c r="S3271" t="s">
        <v>83</v>
      </c>
      <c r="T3271">
        <f>IF(TRIM(Table1[[#This Row],[PitStopLaps]])="",0,
LEN(Table1[[#This Row],[PitStopLaps]])-LEN(SUBSTITUTE(Table1[[#This Row],[PitStopLaps]],",",""))+1)</f>
        <v>1</v>
      </c>
      <c r="U3271">
        <f>Table1[[#This Row],[StartPosition]]-Table1[[#This Row],[FinishPosition]]</f>
        <v>-1</v>
      </c>
    </row>
    <row r="3272" spans="1:21" x14ac:dyDescent="0.3">
      <c r="A3272">
        <v>2025</v>
      </c>
      <c r="B3272">
        <v>16</v>
      </c>
      <c r="C3272" t="s">
        <v>367</v>
      </c>
      <c r="D3272" t="s">
        <v>601</v>
      </c>
      <c r="E3272" t="s">
        <v>602</v>
      </c>
      <c r="F3272" t="s">
        <v>33</v>
      </c>
      <c r="G3272">
        <v>9</v>
      </c>
      <c r="H3272">
        <v>13</v>
      </c>
      <c r="I3272">
        <v>0</v>
      </c>
      <c r="J3272" t="s">
        <v>34</v>
      </c>
      <c r="K3272" t="s">
        <v>24</v>
      </c>
      <c r="L3272">
        <v>53</v>
      </c>
      <c r="M3272">
        <v>82.712000000000003</v>
      </c>
      <c r="N3272">
        <v>83.993560000000002</v>
      </c>
      <c r="O3272">
        <v>27.3</v>
      </c>
      <c r="P3272">
        <v>28.073</v>
      </c>
      <c r="Q3272">
        <v>27.323</v>
      </c>
      <c r="R3272">
        <v>19</v>
      </c>
      <c r="S3272" t="s">
        <v>83</v>
      </c>
      <c r="T3272">
        <f>IF(TRIM(Table1[[#This Row],[PitStopLaps]])="",0,
LEN(Table1[[#This Row],[PitStopLaps]])-LEN(SUBSTITUTE(Table1[[#This Row],[PitStopLaps]],",",""))+1)</f>
        <v>1</v>
      </c>
      <c r="U3272">
        <f>Table1[[#This Row],[StartPosition]]-Table1[[#This Row],[FinishPosition]]</f>
        <v>-4</v>
      </c>
    </row>
    <row r="3273" spans="1:21" x14ac:dyDescent="0.3">
      <c r="A3273">
        <v>2025</v>
      </c>
      <c r="B3273">
        <v>16</v>
      </c>
      <c r="C3273" t="s">
        <v>367</v>
      </c>
      <c r="D3273" t="s">
        <v>1092</v>
      </c>
      <c r="E3273" t="s">
        <v>1093</v>
      </c>
      <c r="F3273" t="s">
        <v>1330</v>
      </c>
      <c r="G3273">
        <v>18</v>
      </c>
      <c r="H3273">
        <v>14</v>
      </c>
      <c r="I3273">
        <v>0</v>
      </c>
      <c r="J3273" t="s">
        <v>34</v>
      </c>
      <c r="K3273" t="s">
        <v>24</v>
      </c>
      <c r="L3273">
        <v>53</v>
      </c>
      <c r="M3273">
        <v>82.777000000000001</v>
      </c>
      <c r="N3273">
        <v>83.983000000000004</v>
      </c>
      <c r="O3273">
        <v>27.14</v>
      </c>
      <c r="P3273">
        <v>28.234999999999999</v>
      </c>
      <c r="Q3273">
        <v>27.329000000000001</v>
      </c>
      <c r="R3273">
        <v>9</v>
      </c>
      <c r="S3273" t="s">
        <v>83</v>
      </c>
      <c r="T3273">
        <f>IF(TRIM(Table1[[#This Row],[PitStopLaps]])="",0,
LEN(Table1[[#This Row],[PitStopLaps]])-LEN(SUBSTITUTE(Table1[[#This Row],[PitStopLaps]],",",""))+1)</f>
        <v>1</v>
      </c>
      <c r="U3273">
        <f>Table1[[#This Row],[StartPosition]]-Table1[[#This Row],[FinishPosition]]</f>
        <v>4</v>
      </c>
    </row>
    <row r="3274" spans="1:21" x14ac:dyDescent="0.3">
      <c r="A3274">
        <v>2025</v>
      </c>
      <c r="B3274">
        <v>16</v>
      </c>
      <c r="C3274" t="s">
        <v>367</v>
      </c>
      <c r="D3274" t="s">
        <v>52</v>
      </c>
      <c r="E3274" t="s">
        <v>53</v>
      </c>
      <c r="F3274" t="s">
        <v>69</v>
      </c>
      <c r="G3274">
        <v>15</v>
      </c>
      <c r="H3274">
        <v>15</v>
      </c>
      <c r="I3274">
        <v>0</v>
      </c>
      <c r="J3274" t="s">
        <v>34</v>
      </c>
      <c r="K3274" t="s">
        <v>994</v>
      </c>
      <c r="L3274">
        <v>52</v>
      </c>
      <c r="M3274">
        <v>82.891999999999996</v>
      </c>
      <c r="N3274">
        <v>83.976815999999999</v>
      </c>
      <c r="O3274">
        <v>27.25</v>
      </c>
      <c r="P3274">
        <v>28.062000000000001</v>
      </c>
      <c r="Q3274">
        <v>27.34</v>
      </c>
      <c r="R3274">
        <v>51</v>
      </c>
      <c r="S3274" t="s">
        <v>83</v>
      </c>
      <c r="T3274">
        <f>IF(TRIM(Table1[[#This Row],[PitStopLaps]])="",0,
LEN(Table1[[#This Row],[PitStopLaps]])-LEN(SUBSTITUTE(Table1[[#This Row],[PitStopLaps]],",",""))+1)</f>
        <v>1</v>
      </c>
      <c r="U3274">
        <f>Table1[[#This Row],[StartPosition]]-Table1[[#This Row],[FinishPosition]]</f>
        <v>0</v>
      </c>
    </row>
    <row r="3275" spans="1:21" x14ac:dyDescent="0.3">
      <c r="A3275">
        <v>2025</v>
      </c>
      <c r="B3275">
        <v>16</v>
      </c>
      <c r="C3275" t="s">
        <v>367</v>
      </c>
      <c r="D3275" t="s">
        <v>73</v>
      </c>
      <c r="E3275" t="s">
        <v>74</v>
      </c>
      <c r="F3275" t="s">
        <v>607</v>
      </c>
      <c r="G3275">
        <v>20</v>
      </c>
      <c r="H3275">
        <v>16</v>
      </c>
      <c r="I3275">
        <v>0</v>
      </c>
      <c r="J3275" t="s">
        <v>34</v>
      </c>
      <c r="K3275" t="s">
        <v>994</v>
      </c>
      <c r="L3275">
        <v>52</v>
      </c>
      <c r="M3275">
        <v>82.185000000000002</v>
      </c>
      <c r="N3275">
        <v>84.154652999999996</v>
      </c>
      <c r="O3275">
        <v>27.013000000000002</v>
      </c>
      <c r="P3275">
        <v>27.771000000000001</v>
      </c>
      <c r="Q3275">
        <v>27.120999999999999</v>
      </c>
      <c r="R3275">
        <v>49</v>
      </c>
      <c r="S3275" t="s">
        <v>83</v>
      </c>
      <c r="T3275">
        <f>IF(TRIM(Table1[[#This Row],[PitStopLaps]])="",0,
LEN(Table1[[#This Row],[PitStopLaps]])-LEN(SUBSTITUTE(Table1[[#This Row],[PitStopLaps]],",",""))+1)</f>
        <v>1</v>
      </c>
      <c r="U3275">
        <f>Table1[[#This Row],[StartPosition]]-Table1[[#This Row],[FinishPosition]]</f>
        <v>4</v>
      </c>
    </row>
    <row r="3276" spans="1:21" x14ac:dyDescent="0.3">
      <c r="A3276">
        <v>2025</v>
      </c>
      <c r="B3276">
        <v>16</v>
      </c>
      <c r="C3276" t="s">
        <v>367</v>
      </c>
      <c r="D3276" t="s">
        <v>1283</v>
      </c>
      <c r="E3276" t="s">
        <v>1284</v>
      </c>
      <c r="F3276" t="s">
        <v>607</v>
      </c>
      <c r="G3276">
        <v>17</v>
      </c>
      <c r="H3276">
        <v>17</v>
      </c>
      <c r="I3276">
        <v>0</v>
      </c>
      <c r="J3276" t="s">
        <v>34</v>
      </c>
      <c r="K3276" t="s">
        <v>994</v>
      </c>
      <c r="L3276">
        <v>52</v>
      </c>
      <c r="M3276">
        <v>82.239000000000004</v>
      </c>
      <c r="N3276">
        <v>84.166387</v>
      </c>
      <c r="O3276">
        <v>27.204000000000001</v>
      </c>
      <c r="P3276">
        <v>27.925000000000001</v>
      </c>
      <c r="Q3276">
        <v>26.959</v>
      </c>
      <c r="R3276">
        <v>33</v>
      </c>
      <c r="S3276" t="s">
        <v>83</v>
      </c>
      <c r="T3276">
        <f>IF(TRIM(Table1[[#This Row],[PitStopLaps]])="",0,
LEN(Table1[[#This Row],[PitStopLaps]])-LEN(SUBSTITUTE(Table1[[#This Row],[PitStopLaps]],",",""))+1)</f>
        <v>1</v>
      </c>
      <c r="U3276">
        <f>Table1[[#This Row],[StartPosition]]-Table1[[#This Row],[FinishPosition]]</f>
        <v>0</v>
      </c>
    </row>
    <row r="3277" spans="1:21" x14ac:dyDescent="0.3">
      <c r="A3277">
        <v>2025</v>
      </c>
      <c r="B3277">
        <v>16</v>
      </c>
      <c r="C3277" t="s">
        <v>367</v>
      </c>
      <c r="D3277" t="s">
        <v>58</v>
      </c>
      <c r="E3277" t="s">
        <v>59</v>
      </c>
      <c r="F3277" t="s">
        <v>603</v>
      </c>
      <c r="G3277">
        <v>16</v>
      </c>
      <c r="H3277">
        <v>18</v>
      </c>
      <c r="I3277">
        <v>0</v>
      </c>
      <c r="J3277" t="s">
        <v>34</v>
      </c>
      <c r="K3277" t="s">
        <v>994</v>
      </c>
      <c r="L3277">
        <v>52</v>
      </c>
      <c r="M3277">
        <v>82.164000000000001</v>
      </c>
      <c r="N3277">
        <v>83.971611999999993</v>
      </c>
      <c r="O3277">
        <v>27.07</v>
      </c>
      <c r="P3277">
        <v>27.768000000000001</v>
      </c>
      <c r="Q3277">
        <v>27.227</v>
      </c>
      <c r="R3277">
        <v>49</v>
      </c>
      <c r="S3277" t="s">
        <v>83</v>
      </c>
      <c r="T3277">
        <f>IF(TRIM(Table1[[#This Row],[PitStopLaps]])="",0,
LEN(Table1[[#This Row],[PitStopLaps]])-LEN(SUBSTITUTE(Table1[[#This Row],[PitStopLaps]],",",""))+1)</f>
        <v>1</v>
      </c>
      <c r="U3277">
        <f>Table1[[#This Row],[StartPosition]]-Table1[[#This Row],[FinishPosition]]</f>
        <v>-2</v>
      </c>
    </row>
    <row r="3278" spans="1:21" x14ac:dyDescent="0.3">
      <c r="A3278">
        <v>2025</v>
      </c>
      <c r="B3278">
        <v>16</v>
      </c>
      <c r="C3278" t="s">
        <v>367</v>
      </c>
      <c r="D3278" t="s">
        <v>35</v>
      </c>
      <c r="E3278" t="s">
        <v>36</v>
      </c>
      <c r="F3278" t="s">
        <v>603</v>
      </c>
      <c r="G3278">
        <v>8</v>
      </c>
      <c r="H3278">
        <v>19</v>
      </c>
      <c r="I3278">
        <v>0</v>
      </c>
      <c r="J3278" t="s">
        <v>34</v>
      </c>
      <c r="K3278" t="s">
        <v>179</v>
      </c>
      <c r="L3278">
        <v>24</v>
      </c>
      <c r="M3278">
        <v>83.757000000000005</v>
      </c>
      <c r="N3278">
        <v>84.539100000000005</v>
      </c>
      <c r="O3278">
        <v>27.286999999999999</v>
      </c>
      <c r="P3278">
        <v>28.504000000000001</v>
      </c>
      <c r="Q3278">
        <v>27.695</v>
      </c>
      <c r="R3278" t="s">
        <v>1426</v>
      </c>
      <c r="S3278" t="s">
        <v>83</v>
      </c>
      <c r="T3278">
        <f>IF(TRIM(Table1[[#This Row],[PitStopLaps]])="",0,
LEN(Table1[[#This Row],[PitStopLaps]])-LEN(SUBSTITUTE(Table1[[#This Row],[PitStopLaps]],",",""))+1)</f>
        <v>2</v>
      </c>
      <c r="U3278">
        <f>Table1[[#This Row],[StartPosition]]-Table1[[#This Row],[FinishPosition]]</f>
        <v>-11</v>
      </c>
    </row>
    <row r="3279" spans="1:21" x14ac:dyDescent="0.3">
      <c r="A3279">
        <v>2025</v>
      </c>
      <c r="B3279">
        <v>16</v>
      </c>
      <c r="C3279" t="s">
        <v>367</v>
      </c>
      <c r="D3279" t="s">
        <v>40</v>
      </c>
      <c r="E3279" t="s">
        <v>41</v>
      </c>
      <c r="F3279" t="s">
        <v>1175</v>
      </c>
      <c r="G3279">
        <v>12</v>
      </c>
      <c r="H3279">
        <v>20</v>
      </c>
      <c r="I3279">
        <v>0</v>
      </c>
      <c r="J3279" t="s">
        <v>34</v>
      </c>
      <c r="K3279" t="s">
        <v>1104</v>
      </c>
      <c r="S3279" t="s">
        <v>83</v>
      </c>
      <c r="T3279">
        <f>IF(TRIM(Table1[[#This Row],[PitStopLaps]])="",0,
LEN(Table1[[#This Row],[PitStopLaps]])-LEN(SUBSTITUTE(Table1[[#This Row],[PitStopLaps]],",",""))+1)</f>
        <v>0</v>
      </c>
      <c r="U3279">
        <f>Table1[[#This Row],[StartPosition]]-Table1[[#This Row],[FinishPosition]]</f>
        <v>-8</v>
      </c>
    </row>
    <row r="3280" spans="1:21" x14ac:dyDescent="0.3">
      <c r="A3280">
        <v>2025</v>
      </c>
      <c r="B3280">
        <v>17</v>
      </c>
      <c r="C3280" t="s">
        <v>111</v>
      </c>
      <c r="D3280" t="s">
        <v>38</v>
      </c>
      <c r="E3280" t="s">
        <v>39</v>
      </c>
      <c r="F3280" t="s">
        <v>33</v>
      </c>
      <c r="G3280">
        <v>1</v>
      </c>
      <c r="H3280">
        <v>1</v>
      </c>
      <c r="I3280">
        <v>25</v>
      </c>
      <c r="J3280" t="s">
        <v>23</v>
      </c>
      <c r="K3280" t="s">
        <v>24</v>
      </c>
      <c r="L3280">
        <v>51</v>
      </c>
      <c r="M3280">
        <v>103.38800000000001</v>
      </c>
      <c r="N3280">
        <v>105.152466</v>
      </c>
      <c r="O3280">
        <v>36.445999999999998</v>
      </c>
      <c r="P3280">
        <v>41.637999999999998</v>
      </c>
      <c r="Q3280">
        <v>25.096</v>
      </c>
      <c r="R3280">
        <v>40</v>
      </c>
      <c r="S3280" t="s">
        <v>83</v>
      </c>
      <c r="T3280">
        <f>IF(TRIM(Table1[[#This Row],[PitStopLaps]])="",0,
LEN(Table1[[#This Row],[PitStopLaps]])-LEN(SUBSTITUTE(Table1[[#This Row],[PitStopLaps]],",",""))+1)</f>
        <v>1</v>
      </c>
      <c r="U3280">
        <f>Table1[[#This Row],[StartPosition]]-Table1[[#This Row],[FinishPosition]]</f>
        <v>0</v>
      </c>
    </row>
    <row r="3281" spans="1:21" x14ac:dyDescent="0.3">
      <c r="A3281">
        <v>2025</v>
      </c>
      <c r="B3281">
        <v>17</v>
      </c>
      <c r="C3281" t="s">
        <v>111</v>
      </c>
      <c r="D3281" t="s">
        <v>252</v>
      </c>
      <c r="E3281" t="s">
        <v>253</v>
      </c>
      <c r="F3281" t="s">
        <v>28</v>
      </c>
      <c r="G3281">
        <v>5</v>
      </c>
      <c r="H3281">
        <v>2</v>
      </c>
      <c r="I3281">
        <v>18</v>
      </c>
      <c r="J3281" t="s">
        <v>23</v>
      </c>
      <c r="K3281" t="s">
        <v>24</v>
      </c>
      <c r="L3281">
        <v>51</v>
      </c>
      <c r="M3281">
        <v>103.754</v>
      </c>
      <c r="N3281">
        <v>105.491</v>
      </c>
      <c r="O3281">
        <v>36.726999999999997</v>
      </c>
      <c r="P3281">
        <v>41.759</v>
      </c>
      <c r="Q3281">
        <v>24.989000000000001</v>
      </c>
      <c r="R3281">
        <v>39</v>
      </c>
      <c r="S3281" t="s">
        <v>83</v>
      </c>
      <c r="T3281">
        <f>IF(TRIM(Table1[[#This Row],[PitStopLaps]])="",0,
LEN(Table1[[#This Row],[PitStopLaps]])-LEN(SUBSTITUTE(Table1[[#This Row],[PitStopLaps]],",",""))+1)</f>
        <v>1</v>
      </c>
      <c r="U3281">
        <f>Table1[[#This Row],[StartPosition]]-Table1[[#This Row],[FinishPosition]]</f>
        <v>3</v>
      </c>
    </row>
    <row r="3282" spans="1:21" x14ac:dyDescent="0.3">
      <c r="A3282">
        <v>2025</v>
      </c>
      <c r="B3282">
        <v>17</v>
      </c>
      <c r="C3282" t="s">
        <v>111</v>
      </c>
      <c r="D3282" t="s">
        <v>47</v>
      </c>
      <c r="E3282" t="s">
        <v>48</v>
      </c>
      <c r="F3282" t="s">
        <v>60</v>
      </c>
      <c r="G3282">
        <v>2</v>
      </c>
      <c r="H3282">
        <v>3</v>
      </c>
      <c r="I3282">
        <v>15</v>
      </c>
      <c r="J3282" t="s">
        <v>23</v>
      </c>
      <c r="K3282" t="s">
        <v>24</v>
      </c>
      <c r="L3282">
        <v>51</v>
      </c>
      <c r="M3282">
        <v>103.97199999999999</v>
      </c>
      <c r="N3282">
        <v>105.523444</v>
      </c>
      <c r="O3282">
        <v>36.619999999999997</v>
      </c>
      <c r="P3282">
        <v>41.926000000000002</v>
      </c>
      <c r="Q3282">
        <v>25.315999999999999</v>
      </c>
      <c r="R3282">
        <v>27</v>
      </c>
      <c r="S3282" t="s">
        <v>83</v>
      </c>
      <c r="T3282">
        <f>IF(TRIM(Table1[[#This Row],[PitStopLaps]])="",0,
LEN(Table1[[#This Row],[PitStopLaps]])-LEN(SUBSTITUTE(Table1[[#This Row],[PitStopLaps]],",",""))+1)</f>
        <v>1</v>
      </c>
      <c r="U3282">
        <f>Table1[[#This Row],[StartPosition]]-Table1[[#This Row],[FinishPosition]]</f>
        <v>-1</v>
      </c>
    </row>
    <row r="3283" spans="1:21" x14ac:dyDescent="0.3">
      <c r="A3283">
        <v>2025</v>
      </c>
      <c r="B3283">
        <v>17</v>
      </c>
      <c r="C3283" t="s">
        <v>111</v>
      </c>
      <c r="D3283" t="s">
        <v>1339</v>
      </c>
      <c r="E3283" t="s">
        <v>1325</v>
      </c>
      <c r="F3283" t="s">
        <v>28</v>
      </c>
      <c r="G3283">
        <v>4</v>
      </c>
      <c r="H3283">
        <v>4</v>
      </c>
      <c r="I3283">
        <v>12</v>
      </c>
      <c r="J3283" t="s">
        <v>34</v>
      </c>
      <c r="K3283" t="s">
        <v>24</v>
      </c>
      <c r="L3283">
        <v>51</v>
      </c>
      <c r="M3283">
        <v>104.09099999999999</v>
      </c>
      <c r="N3283">
        <v>105.54595500000001</v>
      </c>
      <c r="O3283">
        <v>36.621000000000002</v>
      </c>
      <c r="P3283">
        <v>42.176000000000002</v>
      </c>
      <c r="Q3283">
        <v>24.946000000000002</v>
      </c>
      <c r="R3283">
        <v>18</v>
      </c>
      <c r="S3283" t="s">
        <v>83</v>
      </c>
      <c r="T3283">
        <f>IF(TRIM(Table1[[#This Row],[PitStopLaps]])="",0,
LEN(Table1[[#This Row],[PitStopLaps]])-LEN(SUBSTITUTE(Table1[[#This Row],[PitStopLaps]],",",""))+1)</f>
        <v>1</v>
      </c>
      <c r="U3283">
        <f>Table1[[#This Row],[StartPosition]]-Table1[[#This Row],[FinishPosition]]</f>
        <v>0</v>
      </c>
    </row>
    <row r="3284" spans="1:21" x14ac:dyDescent="0.3">
      <c r="A3284">
        <v>2025</v>
      </c>
      <c r="B3284">
        <v>17</v>
      </c>
      <c r="C3284" t="s">
        <v>111</v>
      </c>
      <c r="D3284" t="s">
        <v>1092</v>
      </c>
      <c r="E3284" t="s">
        <v>1093</v>
      </c>
      <c r="F3284" t="s">
        <v>1330</v>
      </c>
      <c r="G3284">
        <v>3</v>
      </c>
      <c r="H3284">
        <v>5</v>
      </c>
      <c r="I3284">
        <v>10</v>
      </c>
      <c r="J3284" t="s">
        <v>34</v>
      </c>
      <c r="K3284" t="s">
        <v>24</v>
      </c>
      <c r="L3284">
        <v>51</v>
      </c>
      <c r="M3284">
        <v>104.53100000000001</v>
      </c>
      <c r="N3284">
        <v>105.81059999999999</v>
      </c>
      <c r="O3284">
        <v>36.875</v>
      </c>
      <c r="P3284">
        <v>42.177</v>
      </c>
      <c r="Q3284">
        <v>25.015999999999998</v>
      </c>
      <c r="R3284">
        <v>20</v>
      </c>
      <c r="S3284" t="s">
        <v>83</v>
      </c>
      <c r="T3284">
        <f>IF(TRIM(Table1[[#This Row],[PitStopLaps]])="",0,
LEN(Table1[[#This Row],[PitStopLaps]])-LEN(SUBSTITUTE(Table1[[#This Row],[PitStopLaps]],",",""))+1)</f>
        <v>1</v>
      </c>
      <c r="U3284">
        <f>Table1[[#This Row],[StartPosition]]-Table1[[#This Row],[FinishPosition]]</f>
        <v>-2</v>
      </c>
    </row>
    <row r="3285" spans="1:21" x14ac:dyDescent="0.3">
      <c r="A3285">
        <v>2025</v>
      </c>
      <c r="B3285">
        <v>17</v>
      </c>
      <c r="C3285" t="s">
        <v>111</v>
      </c>
      <c r="D3285" t="s">
        <v>601</v>
      </c>
      <c r="E3285" t="s">
        <v>602</v>
      </c>
      <c r="F3285" t="s">
        <v>33</v>
      </c>
      <c r="G3285">
        <v>6</v>
      </c>
      <c r="H3285">
        <v>6</v>
      </c>
      <c r="I3285">
        <v>8</v>
      </c>
      <c r="J3285" t="s">
        <v>34</v>
      </c>
      <c r="K3285" t="s">
        <v>24</v>
      </c>
      <c r="L3285">
        <v>51</v>
      </c>
      <c r="M3285">
        <v>104.434</v>
      </c>
      <c r="N3285">
        <v>105.834333</v>
      </c>
      <c r="O3285">
        <v>36.908000000000001</v>
      </c>
      <c r="P3285">
        <v>42.264000000000003</v>
      </c>
      <c r="Q3285">
        <v>24.93</v>
      </c>
      <c r="R3285">
        <v>38</v>
      </c>
      <c r="S3285" t="s">
        <v>83</v>
      </c>
      <c r="T3285">
        <f>IF(TRIM(Table1[[#This Row],[PitStopLaps]])="",0,
LEN(Table1[[#This Row],[PitStopLaps]])-LEN(SUBSTITUTE(Table1[[#This Row],[PitStopLaps]],",",""))+1)</f>
        <v>1</v>
      </c>
      <c r="U3285">
        <f>Table1[[#This Row],[StartPosition]]-Table1[[#This Row],[FinishPosition]]</f>
        <v>0</v>
      </c>
    </row>
    <row r="3286" spans="1:21" x14ac:dyDescent="0.3">
      <c r="A3286">
        <v>2025</v>
      </c>
      <c r="B3286">
        <v>17</v>
      </c>
      <c r="C3286" t="s">
        <v>111</v>
      </c>
      <c r="D3286" t="s">
        <v>246</v>
      </c>
      <c r="E3286" t="s">
        <v>247</v>
      </c>
      <c r="F3286" t="s">
        <v>37</v>
      </c>
      <c r="G3286">
        <v>7</v>
      </c>
      <c r="H3286">
        <v>7</v>
      </c>
      <c r="I3286">
        <v>6</v>
      </c>
      <c r="J3286" t="s">
        <v>34</v>
      </c>
      <c r="K3286" t="s">
        <v>24</v>
      </c>
      <c r="L3286">
        <v>51</v>
      </c>
      <c r="M3286">
        <v>104.155</v>
      </c>
      <c r="N3286">
        <v>105.8458</v>
      </c>
      <c r="O3286">
        <v>36.954999999999998</v>
      </c>
      <c r="P3286">
        <v>42.246000000000002</v>
      </c>
      <c r="Q3286">
        <v>24.655000000000001</v>
      </c>
      <c r="R3286">
        <v>37</v>
      </c>
      <c r="S3286" t="s">
        <v>83</v>
      </c>
      <c r="T3286">
        <f>IF(TRIM(Table1[[#This Row],[PitStopLaps]])="",0,
LEN(Table1[[#This Row],[PitStopLaps]])-LEN(SUBSTITUTE(Table1[[#This Row],[PitStopLaps]],",",""))+1)</f>
        <v>1</v>
      </c>
      <c r="U3286">
        <f>Table1[[#This Row],[StartPosition]]-Table1[[#This Row],[FinishPosition]]</f>
        <v>0</v>
      </c>
    </row>
    <row r="3287" spans="1:21" x14ac:dyDescent="0.3">
      <c r="A3287">
        <v>2025</v>
      </c>
      <c r="B3287">
        <v>17</v>
      </c>
      <c r="C3287" t="s">
        <v>111</v>
      </c>
      <c r="D3287" t="s">
        <v>26</v>
      </c>
      <c r="E3287" t="s">
        <v>27</v>
      </c>
      <c r="F3287" t="s">
        <v>22</v>
      </c>
      <c r="G3287">
        <v>12</v>
      </c>
      <c r="H3287">
        <v>8</v>
      </c>
      <c r="I3287">
        <v>4</v>
      </c>
      <c r="J3287" t="s">
        <v>34</v>
      </c>
      <c r="K3287" t="s">
        <v>24</v>
      </c>
      <c r="L3287">
        <v>51</v>
      </c>
      <c r="M3287">
        <v>103.977</v>
      </c>
      <c r="N3287">
        <v>105.90424400000001</v>
      </c>
      <c r="O3287">
        <v>36.802</v>
      </c>
      <c r="P3287">
        <v>41.872</v>
      </c>
      <c r="Q3287">
        <v>24.747</v>
      </c>
      <c r="R3287">
        <v>36</v>
      </c>
      <c r="S3287" t="s">
        <v>83</v>
      </c>
      <c r="T3287">
        <f>IF(TRIM(Table1[[#This Row],[PitStopLaps]])="",0,
LEN(Table1[[#This Row],[PitStopLaps]])-LEN(SUBSTITUTE(Table1[[#This Row],[PitStopLaps]],",",""))+1)</f>
        <v>1</v>
      </c>
      <c r="U3287">
        <f>Table1[[#This Row],[StartPosition]]-Table1[[#This Row],[FinishPosition]]</f>
        <v>4</v>
      </c>
    </row>
    <row r="3288" spans="1:21" x14ac:dyDescent="0.3">
      <c r="A3288">
        <v>2025</v>
      </c>
      <c r="B3288">
        <v>17</v>
      </c>
      <c r="C3288" t="s">
        <v>111</v>
      </c>
      <c r="D3288" t="s">
        <v>54</v>
      </c>
      <c r="E3288" t="s">
        <v>55</v>
      </c>
      <c r="F3288" t="s">
        <v>22</v>
      </c>
      <c r="G3288">
        <v>10</v>
      </c>
      <c r="H3288">
        <v>9</v>
      </c>
      <c r="I3288">
        <v>2</v>
      </c>
      <c r="J3288" t="s">
        <v>34</v>
      </c>
      <c r="K3288" t="s">
        <v>24</v>
      </c>
      <c r="L3288">
        <v>51</v>
      </c>
      <c r="M3288">
        <v>104.274</v>
      </c>
      <c r="N3288">
        <v>105.861</v>
      </c>
      <c r="O3288">
        <v>36.744</v>
      </c>
      <c r="P3288">
        <v>42.408999999999999</v>
      </c>
      <c r="Q3288">
        <v>25.039000000000001</v>
      </c>
      <c r="R3288">
        <v>19</v>
      </c>
      <c r="S3288" t="s">
        <v>83</v>
      </c>
      <c r="T3288">
        <f>IF(TRIM(Table1[[#This Row],[PitStopLaps]])="",0,
LEN(Table1[[#This Row],[PitStopLaps]])-LEN(SUBSTITUTE(Table1[[#This Row],[PitStopLaps]],",",""))+1)</f>
        <v>1</v>
      </c>
      <c r="U3288">
        <f>Table1[[#This Row],[StartPosition]]-Table1[[#This Row],[FinishPosition]]</f>
        <v>1</v>
      </c>
    </row>
    <row r="3289" spans="1:21" x14ac:dyDescent="0.3">
      <c r="A3289">
        <v>2025</v>
      </c>
      <c r="B3289">
        <v>17</v>
      </c>
      <c r="C3289" t="s">
        <v>111</v>
      </c>
      <c r="D3289" t="s">
        <v>1337</v>
      </c>
      <c r="E3289" t="s">
        <v>1338</v>
      </c>
      <c r="F3289" t="s">
        <v>1330</v>
      </c>
      <c r="G3289">
        <v>8</v>
      </c>
      <c r="H3289">
        <v>10</v>
      </c>
      <c r="I3289">
        <v>1</v>
      </c>
      <c r="J3289" t="s">
        <v>34</v>
      </c>
      <c r="K3289" t="s">
        <v>24</v>
      </c>
      <c r="L3289">
        <v>51</v>
      </c>
      <c r="M3289">
        <v>103.884</v>
      </c>
      <c r="N3289">
        <v>105.945266</v>
      </c>
      <c r="O3289">
        <v>36.692</v>
      </c>
      <c r="P3289">
        <v>41.920999999999999</v>
      </c>
      <c r="Q3289">
        <v>25.19</v>
      </c>
      <c r="R3289">
        <v>29</v>
      </c>
      <c r="S3289" t="s">
        <v>83</v>
      </c>
      <c r="T3289">
        <f>IF(TRIM(Table1[[#This Row],[PitStopLaps]])="",0,
LEN(Table1[[#This Row],[PitStopLaps]])-LEN(SUBSTITUTE(Table1[[#This Row],[PitStopLaps]],",",""))+1)</f>
        <v>1</v>
      </c>
      <c r="U3289">
        <f>Table1[[#This Row],[StartPosition]]-Table1[[#This Row],[FinishPosition]]</f>
        <v>-2</v>
      </c>
    </row>
    <row r="3290" spans="1:21" x14ac:dyDescent="0.3">
      <c r="A3290">
        <v>2025</v>
      </c>
      <c r="B3290">
        <v>17</v>
      </c>
      <c r="C3290" t="s">
        <v>111</v>
      </c>
      <c r="D3290" t="s">
        <v>1334</v>
      </c>
      <c r="E3290" t="s">
        <v>1335</v>
      </c>
      <c r="F3290" t="s">
        <v>1175</v>
      </c>
      <c r="G3290">
        <v>13</v>
      </c>
      <c r="H3290">
        <v>11</v>
      </c>
      <c r="I3290">
        <v>0</v>
      </c>
      <c r="J3290" t="s">
        <v>34</v>
      </c>
      <c r="K3290" t="s">
        <v>24</v>
      </c>
      <c r="L3290">
        <v>51</v>
      </c>
      <c r="M3290">
        <v>104.93</v>
      </c>
      <c r="N3290">
        <v>106.499111</v>
      </c>
      <c r="O3290">
        <v>37.055</v>
      </c>
      <c r="P3290">
        <v>42.274999999999999</v>
      </c>
      <c r="Q3290">
        <v>24.716999999999999</v>
      </c>
      <c r="R3290">
        <v>26</v>
      </c>
      <c r="S3290" t="s">
        <v>83</v>
      </c>
      <c r="T3290">
        <f>IF(TRIM(Table1[[#This Row],[PitStopLaps]])="",0,
LEN(Table1[[#This Row],[PitStopLaps]])-LEN(SUBSTITUTE(Table1[[#This Row],[PitStopLaps]],",",""))+1)</f>
        <v>1</v>
      </c>
      <c r="U3290">
        <f>Table1[[#This Row],[StartPosition]]-Table1[[#This Row],[FinishPosition]]</f>
        <v>2</v>
      </c>
    </row>
    <row r="3291" spans="1:21" x14ac:dyDescent="0.3">
      <c r="A3291">
        <v>2025</v>
      </c>
      <c r="B3291">
        <v>17</v>
      </c>
      <c r="C3291" t="s">
        <v>111</v>
      </c>
      <c r="D3291" t="s">
        <v>1180</v>
      </c>
      <c r="E3291" t="s">
        <v>1181</v>
      </c>
      <c r="F3291" t="s">
        <v>69</v>
      </c>
      <c r="G3291">
        <v>15</v>
      </c>
      <c r="H3291">
        <v>12</v>
      </c>
      <c r="I3291">
        <v>0</v>
      </c>
      <c r="J3291" t="s">
        <v>34</v>
      </c>
      <c r="K3291" t="s">
        <v>24</v>
      </c>
      <c r="L3291">
        <v>51</v>
      </c>
      <c r="M3291">
        <v>104.288</v>
      </c>
      <c r="N3291">
        <v>106.50568800000001</v>
      </c>
      <c r="O3291">
        <v>36.875999999999998</v>
      </c>
      <c r="P3291">
        <v>42.136000000000003</v>
      </c>
      <c r="Q3291">
        <v>24.738</v>
      </c>
      <c r="R3291">
        <v>28</v>
      </c>
      <c r="S3291" t="s">
        <v>83</v>
      </c>
      <c r="T3291">
        <f>IF(TRIM(Table1[[#This Row],[PitStopLaps]])="",0,
LEN(Table1[[#This Row],[PitStopLaps]])-LEN(SUBSTITUTE(Table1[[#This Row],[PitStopLaps]],",",""))+1)</f>
        <v>1</v>
      </c>
      <c r="U3291">
        <f>Table1[[#This Row],[StartPosition]]-Table1[[#This Row],[FinishPosition]]</f>
        <v>3</v>
      </c>
    </row>
    <row r="3292" spans="1:21" x14ac:dyDescent="0.3">
      <c r="A3292">
        <v>2025</v>
      </c>
      <c r="B3292">
        <v>17</v>
      </c>
      <c r="C3292" t="s">
        <v>111</v>
      </c>
      <c r="D3292" t="s">
        <v>248</v>
      </c>
      <c r="E3292" t="s">
        <v>249</v>
      </c>
      <c r="F3292" t="s">
        <v>60</v>
      </c>
      <c r="G3292">
        <v>19</v>
      </c>
      <c r="H3292">
        <v>13</v>
      </c>
      <c r="I3292">
        <v>0</v>
      </c>
      <c r="J3292" t="s">
        <v>34</v>
      </c>
      <c r="K3292" t="s">
        <v>24</v>
      </c>
      <c r="L3292">
        <v>51</v>
      </c>
      <c r="M3292">
        <v>104.152</v>
      </c>
      <c r="N3292">
        <v>106.36831100000001</v>
      </c>
      <c r="O3292">
        <v>36.850999999999999</v>
      </c>
      <c r="P3292">
        <v>42.061999999999998</v>
      </c>
      <c r="Q3292">
        <v>24.687999999999999</v>
      </c>
      <c r="R3292" t="s">
        <v>1223</v>
      </c>
      <c r="S3292" t="s">
        <v>83</v>
      </c>
      <c r="T3292">
        <f>IF(TRIM(Table1[[#This Row],[PitStopLaps]])="",0,
LEN(Table1[[#This Row],[PitStopLaps]])-LEN(SUBSTITUTE(Table1[[#This Row],[PitStopLaps]],",",""))+1)</f>
        <v>2</v>
      </c>
      <c r="U3292">
        <f>Table1[[#This Row],[StartPosition]]-Table1[[#This Row],[FinishPosition]]</f>
        <v>6</v>
      </c>
    </row>
    <row r="3293" spans="1:21" x14ac:dyDescent="0.3">
      <c r="A3293">
        <v>2025</v>
      </c>
      <c r="B3293">
        <v>17</v>
      </c>
      <c r="C3293" t="s">
        <v>111</v>
      </c>
      <c r="D3293" t="s">
        <v>52</v>
      </c>
      <c r="E3293" t="s">
        <v>53</v>
      </c>
      <c r="F3293" t="s">
        <v>69</v>
      </c>
      <c r="G3293">
        <v>20</v>
      </c>
      <c r="H3293">
        <v>14</v>
      </c>
      <c r="I3293">
        <v>0</v>
      </c>
      <c r="J3293" t="s">
        <v>34</v>
      </c>
      <c r="K3293" t="s">
        <v>24</v>
      </c>
      <c r="L3293">
        <v>51</v>
      </c>
      <c r="M3293">
        <v>105.38800000000001</v>
      </c>
      <c r="N3293">
        <v>107.122361</v>
      </c>
      <c r="O3293">
        <v>37.255000000000003</v>
      </c>
      <c r="P3293">
        <v>42.615000000000002</v>
      </c>
      <c r="Q3293">
        <v>25.042999999999999</v>
      </c>
      <c r="R3293" t="s">
        <v>219</v>
      </c>
      <c r="S3293" t="s">
        <v>83</v>
      </c>
      <c r="T3293">
        <f>IF(TRIM(Table1[[#This Row],[PitStopLaps]])="",0,
LEN(Table1[[#This Row],[PitStopLaps]])-LEN(SUBSTITUTE(Table1[[#This Row],[PitStopLaps]],",",""))+1)</f>
        <v>2</v>
      </c>
      <c r="U3293">
        <f>Table1[[#This Row],[StartPosition]]-Table1[[#This Row],[FinishPosition]]</f>
        <v>6</v>
      </c>
    </row>
    <row r="3294" spans="1:21" x14ac:dyDescent="0.3">
      <c r="A3294">
        <v>2025</v>
      </c>
      <c r="B3294">
        <v>17</v>
      </c>
      <c r="C3294" t="s">
        <v>111</v>
      </c>
      <c r="D3294" t="s">
        <v>35</v>
      </c>
      <c r="E3294" t="s">
        <v>36</v>
      </c>
      <c r="F3294" t="s">
        <v>603</v>
      </c>
      <c r="G3294">
        <v>11</v>
      </c>
      <c r="H3294">
        <v>15</v>
      </c>
      <c r="I3294">
        <v>0</v>
      </c>
      <c r="J3294" t="s">
        <v>34</v>
      </c>
      <c r="K3294" t="s">
        <v>24</v>
      </c>
      <c r="L3294">
        <v>51</v>
      </c>
      <c r="M3294">
        <v>105.002</v>
      </c>
      <c r="N3294">
        <v>106.62224399999999</v>
      </c>
      <c r="O3294">
        <v>37.024999999999999</v>
      </c>
      <c r="P3294">
        <v>42.73</v>
      </c>
      <c r="Q3294">
        <v>24.972999999999999</v>
      </c>
      <c r="R3294">
        <v>21</v>
      </c>
      <c r="S3294" t="s">
        <v>83</v>
      </c>
      <c r="T3294">
        <f>IF(TRIM(Table1[[#This Row],[PitStopLaps]])="",0,
LEN(Table1[[#This Row],[PitStopLaps]])-LEN(SUBSTITUTE(Table1[[#This Row],[PitStopLaps]],",",""))+1)</f>
        <v>1</v>
      </c>
      <c r="U3294">
        <f>Table1[[#This Row],[StartPosition]]-Table1[[#This Row],[FinishPosition]]</f>
        <v>-4</v>
      </c>
    </row>
    <row r="3295" spans="1:21" x14ac:dyDescent="0.3">
      <c r="A3295">
        <v>2025</v>
      </c>
      <c r="B3295">
        <v>17</v>
      </c>
      <c r="C3295" t="s">
        <v>111</v>
      </c>
      <c r="D3295" t="s">
        <v>40</v>
      </c>
      <c r="E3295" t="s">
        <v>41</v>
      </c>
      <c r="F3295" t="s">
        <v>1175</v>
      </c>
      <c r="G3295">
        <v>17</v>
      </c>
      <c r="H3295">
        <v>16</v>
      </c>
      <c r="I3295">
        <v>0</v>
      </c>
      <c r="J3295" t="s">
        <v>34</v>
      </c>
      <c r="K3295" t="s">
        <v>24</v>
      </c>
      <c r="L3295">
        <v>51</v>
      </c>
      <c r="M3295">
        <v>104.37</v>
      </c>
      <c r="N3295">
        <v>106.77584400000001</v>
      </c>
      <c r="O3295">
        <v>36.853000000000002</v>
      </c>
      <c r="P3295">
        <v>41.972999999999999</v>
      </c>
      <c r="Q3295">
        <v>25.001999999999999</v>
      </c>
      <c r="R3295">
        <v>36</v>
      </c>
      <c r="S3295" t="s">
        <v>83</v>
      </c>
      <c r="T3295">
        <f>IF(TRIM(Table1[[#This Row],[PitStopLaps]])="",0,
LEN(Table1[[#This Row],[PitStopLaps]])-LEN(SUBSTITUTE(Table1[[#This Row],[PitStopLaps]],",",""))+1)</f>
        <v>1</v>
      </c>
      <c r="U3295">
        <f>Table1[[#This Row],[StartPosition]]-Table1[[#This Row],[FinishPosition]]</f>
        <v>1</v>
      </c>
    </row>
    <row r="3296" spans="1:21" x14ac:dyDescent="0.3">
      <c r="A3296">
        <v>2025</v>
      </c>
      <c r="B3296">
        <v>17</v>
      </c>
      <c r="C3296" t="s">
        <v>111</v>
      </c>
      <c r="D3296" t="s">
        <v>58</v>
      </c>
      <c r="E3296" t="s">
        <v>59</v>
      </c>
      <c r="F3296" t="s">
        <v>603</v>
      </c>
      <c r="G3296">
        <v>14</v>
      </c>
      <c r="H3296">
        <v>17</v>
      </c>
      <c r="I3296">
        <v>0</v>
      </c>
      <c r="J3296" t="s">
        <v>34</v>
      </c>
      <c r="K3296" t="s">
        <v>24</v>
      </c>
      <c r="L3296">
        <v>51</v>
      </c>
      <c r="M3296">
        <v>105.083</v>
      </c>
      <c r="N3296">
        <v>107.075644</v>
      </c>
      <c r="O3296">
        <v>37.302</v>
      </c>
      <c r="P3296">
        <v>42.402000000000001</v>
      </c>
      <c r="Q3296">
        <v>25.135999999999999</v>
      </c>
      <c r="R3296">
        <v>37</v>
      </c>
      <c r="S3296" t="s">
        <v>83</v>
      </c>
      <c r="T3296">
        <f>IF(TRIM(Table1[[#This Row],[PitStopLaps]])="",0,
LEN(Table1[[#This Row],[PitStopLaps]])-LEN(SUBSTITUTE(Table1[[#This Row],[PitStopLaps]],",",""))+1)</f>
        <v>1</v>
      </c>
      <c r="U3296">
        <f>Table1[[#This Row],[StartPosition]]-Table1[[#This Row],[FinishPosition]]</f>
        <v>-3</v>
      </c>
    </row>
    <row r="3297" spans="1:21" x14ac:dyDescent="0.3">
      <c r="A3297">
        <v>2025</v>
      </c>
      <c r="B3297">
        <v>17</v>
      </c>
      <c r="C3297" t="s">
        <v>111</v>
      </c>
      <c r="D3297" t="s">
        <v>73</v>
      </c>
      <c r="E3297" t="s">
        <v>74</v>
      </c>
      <c r="F3297" t="s">
        <v>607</v>
      </c>
      <c r="G3297">
        <v>18</v>
      </c>
      <c r="H3297">
        <v>18</v>
      </c>
      <c r="I3297">
        <v>0</v>
      </c>
      <c r="J3297" t="s">
        <v>34</v>
      </c>
      <c r="K3297" t="s">
        <v>994</v>
      </c>
      <c r="L3297">
        <v>50</v>
      </c>
      <c r="M3297">
        <v>105.492</v>
      </c>
      <c r="N3297">
        <v>107.42449999999999</v>
      </c>
      <c r="O3297">
        <v>37.363999999999997</v>
      </c>
      <c r="P3297">
        <v>42.790999999999997</v>
      </c>
      <c r="Q3297">
        <v>24.922000000000001</v>
      </c>
      <c r="R3297">
        <v>35</v>
      </c>
      <c r="S3297" t="s">
        <v>83</v>
      </c>
      <c r="T3297">
        <f>IF(TRIM(Table1[[#This Row],[PitStopLaps]])="",0,
LEN(Table1[[#This Row],[PitStopLaps]])-LEN(SUBSTITUTE(Table1[[#This Row],[PitStopLaps]],",",""))+1)</f>
        <v>1</v>
      </c>
      <c r="U3297">
        <f>Table1[[#This Row],[StartPosition]]-Table1[[#This Row],[FinishPosition]]</f>
        <v>0</v>
      </c>
    </row>
    <row r="3298" spans="1:21" x14ac:dyDescent="0.3">
      <c r="A3298">
        <v>2025</v>
      </c>
      <c r="B3298">
        <v>17</v>
      </c>
      <c r="C3298" t="s">
        <v>111</v>
      </c>
      <c r="D3298" t="s">
        <v>1283</v>
      </c>
      <c r="E3298" t="s">
        <v>1284</v>
      </c>
      <c r="F3298" t="s">
        <v>607</v>
      </c>
      <c r="G3298">
        <v>16</v>
      </c>
      <c r="H3298">
        <v>19</v>
      </c>
      <c r="I3298">
        <v>0</v>
      </c>
      <c r="J3298" t="s">
        <v>34</v>
      </c>
      <c r="K3298" t="s">
        <v>994</v>
      </c>
      <c r="L3298">
        <v>50</v>
      </c>
      <c r="M3298">
        <v>106.05500000000001</v>
      </c>
      <c r="N3298">
        <v>107.2075</v>
      </c>
      <c r="O3298">
        <v>37.298999999999999</v>
      </c>
      <c r="P3298">
        <v>42.966999999999999</v>
      </c>
      <c r="Q3298">
        <v>25.167999999999999</v>
      </c>
      <c r="R3298">
        <v>16</v>
      </c>
      <c r="S3298" t="s">
        <v>83</v>
      </c>
      <c r="T3298">
        <f>IF(TRIM(Table1[[#This Row],[PitStopLaps]])="",0,
LEN(Table1[[#This Row],[PitStopLaps]])-LEN(SUBSTITUTE(Table1[[#This Row],[PitStopLaps]],",",""))+1)</f>
        <v>1</v>
      </c>
      <c r="U3298">
        <f>Table1[[#This Row],[StartPosition]]-Table1[[#This Row],[FinishPosition]]</f>
        <v>-3</v>
      </c>
    </row>
    <row r="3299" spans="1:21" x14ac:dyDescent="0.3">
      <c r="A3299">
        <v>2025</v>
      </c>
      <c r="B3299">
        <v>17</v>
      </c>
      <c r="C3299" t="s">
        <v>111</v>
      </c>
      <c r="D3299" t="s">
        <v>1000</v>
      </c>
      <c r="E3299" t="s">
        <v>1001</v>
      </c>
      <c r="F3299" t="s">
        <v>37</v>
      </c>
      <c r="G3299">
        <v>9</v>
      </c>
      <c r="H3299">
        <v>20</v>
      </c>
      <c r="I3299">
        <v>0</v>
      </c>
      <c r="J3299" t="s">
        <v>34</v>
      </c>
      <c r="K3299" t="s">
        <v>179</v>
      </c>
      <c r="L3299">
        <v>1</v>
      </c>
      <c r="S3299" t="s">
        <v>83</v>
      </c>
      <c r="T3299">
        <f>IF(TRIM(Table1[[#This Row],[PitStopLaps]])="",0,
LEN(Table1[[#This Row],[PitStopLaps]])-LEN(SUBSTITUTE(Table1[[#This Row],[PitStopLaps]],",",""))+1)</f>
        <v>0</v>
      </c>
      <c r="U3299">
        <f>Table1[[#This Row],[StartPosition]]-Table1[[#This Row],[FinishPosition]]</f>
        <v>-11</v>
      </c>
    </row>
    <row r="3300" spans="1:21" x14ac:dyDescent="0.3">
      <c r="A3300">
        <v>2025</v>
      </c>
      <c r="B3300">
        <v>18</v>
      </c>
      <c r="C3300" t="s">
        <v>200</v>
      </c>
      <c r="D3300" t="s">
        <v>252</v>
      </c>
      <c r="E3300" t="s">
        <v>253</v>
      </c>
      <c r="F3300" t="s">
        <v>28</v>
      </c>
      <c r="G3300">
        <v>1</v>
      </c>
      <c r="H3300">
        <v>1</v>
      </c>
      <c r="I3300">
        <v>25</v>
      </c>
      <c r="J3300" t="s">
        <v>23</v>
      </c>
      <c r="K3300" t="s">
        <v>24</v>
      </c>
      <c r="L3300">
        <v>62</v>
      </c>
      <c r="M3300">
        <v>95.676000000000002</v>
      </c>
      <c r="N3300">
        <v>96.647220000000004</v>
      </c>
      <c r="O3300">
        <v>28.398</v>
      </c>
      <c r="P3300">
        <v>40.311999999999998</v>
      </c>
      <c r="Q3300">
        <v>26.85</v>
      </c>
      <c r="R3300">
        <v>25</v>
      </c>
      <c r="S3300" t="s">
        <v>25</v>
      </c>
      <c r="T3300">
        <f>IF(TRIM(Table1[[#This Row],[PitStopLaps]])="",0,
LEN(Table1[[#This Row],[PitStopLaps]])-LEN(SUBSTITUTE(Table1[[#This Row],[PitStopLaps]],",",""))+1)</f>
        <v>1</v>
      </c>
      <c r="U3300">
        <f>Table1[[#This Row],[StartPosition]]-Table1[[#This Row],[FinishPosition]]</f>
        <v>0</v>
      </c>
    </row>
    <row r="3301" spans="1:21" x14ac:dyDescent="0.3">
      <c r="A3301">
        <v>2025</v>
      </c>
      <c r="B3301">
        <v>18</v>
      </c>
      <c r="C3301" t="s">
        <v>200</v>
      </c>
      <c r="D3301" t="s">
        <v>38</v>
      </c>
      <c r="E3301" t="s">
        <v>39</v>
      </c>
      <c r="F3301" t="s">
        <v>33</v>
      </c>
      <c r="G3301">
        <v>2</v>
      </c>
      <c r="H3301">
        <v>2</v>
      </c>
      <c r="I3301">
        <v>18</v>
      </c>
      <c r="J3301" t="s">
        <v>23</v>
      </c>
      <c r="K3301" t="s">
        <v>24</v>
      </c>
      <c r="L3301">
        <v>62</v>
      </c>
      <c r="M3301">
        <v>95.649000000000001</v>
      </c>
      <c r="N3301">
        <v>96.721812999999997</v>
      </c>
      <c r="O3301">
        <v>28.417999999999999</v>
      </c>
      <c r="P3301">
        <v>40.293999999999997</v>
      </c>
      <c r="Q3301">
        <v>26.832000000000001</v>
      </c>
      <c r="R3301">
        <v>19</v>
      </c>
      <c r="S3301" t="s">
        <v>25</v>
      </c>
      <c r="T3301">
        <f>IF(TRIM(Table1[[#This Row],[PitStopLaps]])="",0,
LEN(Table1[[#This Row],[PitStopLaps]])-LEN(SUBSTITUTE(Table1[[#This Row],[PitStopLaps]],",",""))+1)</f>
        <v>1</v>
      </c>
      <c r="U3301">
        <f>Table1[[#This Row],[StartPosition]]-Table1[[#This Row],[FinishPosition]]</f>
        <v>0</v>
      </c>
    </row>
    <row r="3302" spans="1:21" x14ac:dyDescent="0.3">
      <c r="A3302">
        <v>2025</v>
      </c>
      <c r="B3302">
        <v>18</v>
      </c>
      <c r="C3302" t="s">
        <v>200</v>
      </c>
      <c r="D3302" t="s">
        <v>246</v>
      </c>
      <c r="E3302" t="s">
        <v>247</v>
      </c>
      <c r="F3302" t="s">
        <v>37</v>
      </c>
      <c r="G3302">
        <v>5</v>
      </c>
      <c r="H3302">
        <v>3</v>
      </c>
      <c r="I3302">
        <v>15</v>
      </c>
      <c r="J3302" t="s">
        <v>23</v>
      </c>
      <c r="K3302" t="s">
        <v>24</v>
      </c>
      <c r="L3302">
        <v>62</v>
      </c>
      <c r="M3302">
        <v>95.555000000000007</v>
      </c>
      <c r="N3302">
        <v>96.749422999999993</v>
      </c>
      <c r="O3302">
        <v>28.207999999999998</v>
      </c>
      <c r="P3302">
        <v>40.198</v>
      </c>
      <c r="Q3302">
        <v>26.779</v>
      </c>
      <c r="R3302">
        <v>26</v>
      </c>
      <c r="S3302" t="s">
        <v>25</v>
      </c>
      <c r="T3302">
        <f>IF(TRIM(Table1[[#This Row],[PitStopLaps]])="",0,
LEN(Table1[[#This Row],[PitStopLaps]])-LEN(SUBSTITUTE(Table1[[#This Row],[PitStopLaps]],",",""))+1)</f>
        <v>1</v>
      </c>
      <c r="U3302">
        <f>Table1[[#This Row],[StartPosition]]-Table1[[#This Row],[FinishPosition]]</f>
        <v>2</v>
      </c>
    </row>
    <row r="3303" spans="1:21" x14ac:dyDescent="0.3">
      <c r="A3303">
        <v>2025</v>
      </c>
      <c r="B3303">
        <v>18</v>
      </c>
      <c r="C3303" t="s">
        <v>200</v>
      </c>
      <c r="D3303" t="s">
        <v>1000</v>
      </c>
      <c r="E3303" t="s">
        <v>1001</v>
      </c>
      <c r="F3303" t="s">
        <v>37</v>
      </c>
      <c r="G3303">
        <v>3</v>
      </c>
      <c r="H3303">
        <v>4</v>
      </c>
      <c r="I3303">
        <v>12</v>
      </c>
      <c r="J3303" t="s">
        <v>34</v>
      </c>
      <c r="K3303" t="s">
        <v>24</v>
      </c>
      <c r="L3303">
        <v>62</v>
      </c>
      <c r="M3303">
        <v>95.408000000000001</v>
      </c>
      <c r="N3303">
        <v>96.689117999999993</v>
      </c>
      <c r="O3303">
        <v>28.295000000000002</v>
      </c>
      <c r="P3303">
        <v>40.103000000000002</v>
      </c>
      <c r="Q3303">
        <v>26.637</v>
      </c>
      <c r="R3303">
        <v>27</v>
      </c>
      <c r="S3303" t="s">
        <v>25</v>
      </c>
      <c r="T3303">
        <f>IF(TRIM(Table1[[#This Row],[PitStopLaps]])="",0,
LEN(Table1[[#This Row],[PitStopLaps]])-LEN(SUBSTITUTE(Table1[[#This Row],[PitStopLaps]],",",""))+1)</f>
        <v>1</v>
      </c>
      <c r="U3303">
        <f>Table1[[#This Row],[StartPosition]]-Table1[[#This Row],[FinishPosition]]</f>
        <v>-1</v>
      </c>
    </row>
    <row r="3304" spans="1:21" x14ac:dyDescent="0.3">
      <c r="A3304">
        <v>2025</v>
      </c>
      <c r="B3304">
        <v>18</v>
      </c>
      <c r="C3304" t="s">
        <v>200</v>
      </c>
      <c r="D3304" t="s">
        <v>1339</v>
      </c>
      <c r="E3304" t="s">
        <v>1325</v>
      </c>
      <c r="F3304" t="s">
        <v>28</v>
      </c>
      <c r="G3304">
        <v>4</v>
      </c>
      <c r="H3304">
        <v>5</v>
      </c>
      <c r="I3304">
        <v>10</v>
      </c>
      <c r="J3304" t="s">
        <v>34</v>
      </c>
      <c r="K3304" t="s">
        <v>24</v>
      </c>
      <c r="L3304">
        <v>62</v>
      </c>
      <c r="M3304">
        <v>95.302999999999997</v>
      </c>
      <c r="N3304">
        <v>97.141169000000005</v>
      </c>
      <c r="O3304">
        <v>28.154</v>
      </c>
      <c r="P3304">
        <v>40.090000000000003</v>
      </c>
      <c r="Q3304">
        <v>26.907</v>
      </c>
      <c r="R3304">
        <v>25</v>
      </c>
      <c r="S3304" t="s">
        <v>25</v>
      </c>
      <c r="T3304">
        <f>IF(TRIM(Table1[[#This Row],[PitStopLaps]])="",0,
LEN(Table1[[#This Row],[PitStopLaps]])-LEN(SUBSTITUTE(Table1[[#This Row],[PitStopLaps]],",",""))+1)</f>
        <v>1</v>
      </c>
      <c r="U3304">
        <f>Table1[[#This Row],[StartPosition]]-Table1[[#This Row],[FinishPosition]]</f>
        <v>-1</v>
      </c>
    </row>
    <row r="3305" spans="1:21" x14ac:dyDescent="0.3">
      <c r="A3305">
        <v>2025</v>
      </c>
      <c r="B3305">
        <v>18</v>
      </c>
      <c r="C3305" t="s">
        <v>200</v>
      </c>
      <c r="D3305" t="s">
        <v>54</v>
      </c>
      <c r="E3305" t="s">
        <v>55</v>
      </c>
      <c r="F3305" t="s">
        <v>22</v>
      </c>
      <c r="G3305">
        <v>7</v>
      </c>
      <c r="H3305">
        <v>6</v>
      </c>
      <c r="I3305">
        <v>8</v>
      </c>
      <c r="J3305" t="s">
        <v>34</v>
      </c>
      <c r="K3305" t="s">
        <v>24</v>
      </c>
      <c r="L3305">
        <v>62</v>
      </c>
      <c r="M3305">
        <v>95.983000000000004</v>
      </c>
      <c r="N3305">
        <v>97.343016000000006</v>
      </c>
      <c r="O3305">
        <v>28.395</v>
      </c>
      <c r="P3305">
        <v>40.479999999999997</v>
      </c>
      <c r="Q3305">
        <v>26.977</v>
      </c>
      <c r="R3305">
        <v>21</v>
      </c>
      <c r="S3305" t="s">
        <v>25</v>
      </c>
      <c r="T3305">
        <f>IF(TRIM(Table1[[#This Row],[PitStopLaps]])="",0,
LEN(Table1[[#This Row],[PitStopLaps]])-LEN(SUBSTITUTE(Table1[[#This Row],[PitStopLaps]],",",""))+1)</f>
        <v>1</v>
      </c>
      <c r="U3305">
        <f>Table1[[#This Row],[StartPosition]]-Table1[[#This Row],[FinishPosition]]</f>
        <v>1</v>
      </c>
    </row>
    <row r="3306" spans="1:21" x14ac:dyDescent="0.3">
      <c r="A3306">
        <v>2025</v>
      </c>
      <c r="B3306">
        <v>18</v>
      </c>
      <c r="C3306" t="s">
        <v>200</v>
      </c>
      <c r="D3306" t="s">
        <v>35</v>
      </c>
      <c r="E3306" t="s">
        <v>36</v>
      </c>
      <c r="F3306" t="s">
        <v>603</v>
      </c>
      <c r="G3306">
        <v>10</v>
      </c>
      <c r="H3306">
        <v>7</v>
      </c>
      <c r="I3306">
        <v>6</v>
      </c>
      <c r="J3306" t="s">
        <v>34</v>
      </c>
      <c r="K3306" t="s">
        <v>24</v>
      </c>
      <c r="L3306">
        <v>62</v>
      </c>
      <c r="M3306">
        <v>95.861999999999995</v>
      </c>
      <c r="N3306">
        <v>97.711966000000004</v>
      </c>
      <c r="O3306">
        <v>28.359000000000002</v>
      </c>
      <c r="P3306">
        <v>40.572000000000003</v>
      </c>
      <c r="Q3306">
        <v>26.724</v>
      </c>
      <c r="R3306">
        <v>27</v>
      </c>
      <c r="S3306" t="s">
        <v>25</v>
      </c>
      <c r="T3306">
        <f>IF(TRIM(Table1[[#This Row],[PitStopLaps]])="",0,
LEN(Table1[[#This Row],[PitStopLaps]])-LEN(SUBSTITUTE(Table1[[#This Row],[PitStopLaps]],",",""))+1)</f>
        <v>1</v>
      </c>
      <c r="U3306">
        <f>Table1[[#This Row],[StartPosition]]-Table1[[#This Row],[FinishPosition]]</f>
        <v>3</v>
      </c>
    </row>
    <row r="3307" spans="1:21" x14ac:dyDescent="0.3">
      <c r="A3307">
        <v>2025</v>
      </c>
      <c r="B3307">
        <v>18</v>
      </c>
      <c r="C3307" t="s">
        <v>200</v>
      </c>
      <c r="D3307" t="s">
        <v>26</v>
      </c>
      <c r="E3307" t="s">
        <v>27</v>
      </c>
      <c r="F3307" t="s">
        <v>22</v>
      </c>
      <c r="G3307">
        <v>6</v>
      </c>
      <c r="H3307">
        <v>8</v>
      </c>
      <c r="I3307">
        <v>4</v>
      </c>
      <c r="J3307" t="s">
        <v>34</v>
      </c>
      <c r="K3307" t="s">
        <v>24</v>
      </c>
      <c r="L3307">
        <v>62</v>
      </c>
      <c r="M3307">
        <v>93.808000000000007</v>
      </c>
      <c r="N3307">
        <v>97.604806999999994</v>
      </c>
      <c r="O3307">
        <v>27.992999999999999</v>
      </c>
      <c r="P3307">
        <v>39.392000000000003</v>
      </c>
      <c r="Q3307">
        <v>26.422999999999998</v>
      </c>
      <c r="R3307" t="s">
        <v>307</v>
      </c>
      <c r="S3307" t="s">
        <v>25</v>
      </c>
      <c r="T3307">
        <f>IF(TRIM(Table1[[#This Row],[PitStopLaps]])="",0,
LEN(Table1[[#This Row],[PitStopLaps]])-LEN(SUBSTITUTE(Table1[[#This Row],[PitStopLaps]],",",""))+1)</f>
        <v>2</v>
      </c>
      <c r="U3307">
        <f>Table1[[#This Row],[StartPosition]]-Table1[[#This Row],[FinishPosition]]</f>
        <v>-2</v>
      </c>
    </row>
    <row r="3308" spans="1:21" x14ac:dyDescent="0.3">
      <c r="A3308">
        <v>2025</v>
      </c>
      <c r="B3308">
        <v>18</v>
      </c>
      <c r="C3308" t="s">
        <v>200</v>
      </c>
      <c r="D3308" t="s">
        <v>1180</v>
      </c>
      <c r="E3308" t="s">
        <v>1181</v>
      </c>
      <c r="F3308" t="s">
        <v>69</v>
      </c>
      <c r="G3308">
        <v>9</v>
      </c>
      <c r="H3308">
        <v>9</v>
      </c>
      <c r="I3308">
        <v>2</v>
      </c>
      <c r="J3308" t="s">
        <v>34</v>
      </c>
      <c r="K3308" t="s">
        <v>24</v>
      </c>
      <c r="L3308">
        <v>62</v>
      </c>
      <c r="M3308">
        <v>96.200999999999993</v>
      </c>
      <c r="N3308">
        <v>98.097559000000004</v>
      </c>
      <c r="O3308">
        <v>28.39</v>
      </c>
      <c r="P3308">
        <v>40.591999999999999</v>
      </c>
      <c r="Q3308">
        <v>26.899000000000001</v>
      </c>
      <c r="R3308">
        <v>23</v>
      </c>
      <c r="S3308" t="s">
        <v>25</v>
      </c>
      <c r="T3308">
        <f>IF(TRIM(Table1[[#This Row],[PitStopLaps]])="",0,
LEN(Table1[[#This Row],[PitStopLaps]])-LEN(SUBSTITUTE(Table1[[#This Row],[PitStopLaps]],",",""))+1)</f>
        <v>1</v>
      </c>
      <c r="U3308">
        <f>Table1[[#This Row],[StartPosition]]-Table1[[#This Row],[FinishPosition]]</f>
        <v>0</v>
      </c>
    </row>
    <row r="3309" spans="1:21" x14ac:dyDescent="0.3">
      <c r="A3309">
        <v>2025</v>
      </c>
      <c r="B3309">
        <v>18</v>
      </c>
      <c r="C3309" t="s">
        <v>200</v>
      </c>
      <c r="D3309" t="s">
        <v>47</v>
      </c>
      <c r="E3309" t="s">
        <v>48</v>
      </c>
      <c r="F3309" t="s">
        <v>60</v>
      </c>
      <c r="G3309">
        <v>18</v>
      </c>
      <c r="H3309">
        <v>10</v>
      </c>
      <c r="I3309">
        <v>1</v>
      </c>
      <c r="J3309" t="s">
        <v>34</v>
      </c>
      <c r="K3309" t="s">
        <v>994</v>
      </c>
      <c r="L3309">
        <v>61</v>
      </c>
      <c r="M3309">
        <v>94.962999999999994</v>
      </c>
      <c r="N3309">
        <v>98.272293000000005</v>
      </c>
      <c r="O3309">
        <v>28.076000000000001</v>
      </c>
      <c r="P3309">
        <v>40.073</v>
      </c>
      <c r="Q3309">
        <v>26.588000000000001</v>
      </c>
      <c r="R3309">
        <v>50</v>
      </c>
      <c r="S3309" t="s">
        <v>25</v>
      </c>
      <c r="T3309">
        <f>IF(TRIM(Table1[[#This Row],[PitStopLaps]])="",0,
LEN(Table1[[#This Row],[PitStopLaps]])-LEN(SUBSTITUTE(Table1[[#This Row],[PitStopLaps]],",",""))+1)</f>
        <v>1</v>
      </c>
      <c r="U3309">
        <f>Table1[[#This Row],[StartPosition]]-Table1[[#This Row],[FinishPosition]]</f>
        <v>8</v>
      </c>
    </row>
    <row r="3310" spans="1:21" x14ac:dyDescent="0.3">
      <c r="A3310">
        <v>2025</v>
      </c>
      <c r="B3310">
        <v>18</v>
      </c>
      <c r="C3310" t="s">
        <v>200</v>
      </c>
      <c r="D3310" t="s">
        <v>1337</v>
      </c>
      <c r="E3310" t="s">
        <v>1338</v>
      </c>
      <c r="F3310" t="s">
        <v>1330</v>
      </c>
      <c r="G3310">
        <v>8</v>
      </c>
      <c r="H3310">
        <v>11</v>
      </c>
      <c r="I3310">
        <v>0</v>
      </c>
      <c r="J3310" t="s">
        <v>34</v>
      </c>
      <c r="K3310" t="s">
        <v>994</v>
      </c>
      <c r="L3310">
        <v>61</v>
      </c>
      <c r="M3310">
        <v>96.938000000000002</v>
      </c>
      <c r="N3310">
        <v>98.438740999999993</v>
      </c>
      <c r="O3310">
        <v>28.687000000000001</v>
      </c>
      <c r="P3310">
        <v>40.792999999999999</v>
      </c>
      <c r="Q3310">
        <v>27.210999999999999</v>
      </c>
      <c r="R3310">
        <v>20</v>
      </c>
      <c r="S3310" t="s">
        <v>25</v>
      </c>
      <c r="T3310">
        <f>IF(TRIM(Table1[[#This Row],[PitStopLaps]])="",0,
LEN(Table1[[#This Row],[PitStopLaps]])-LEN(SUBSTITUTE(Table1[[#This Row],[PitStopLaps]],",",""))+1)</f>
        <v>1</v>
      </c>
      <c r="U3310">
        <f>Table1[[#This Row],[StartPosition]]-Table1[[#This Row],[FinishPosition]]</f>
        <v>-3</v>
      </c>
    </row>
    <row r="3311" spans="1:21" x14ac:dyDescent="0.3">
      <c r="A3311">
        <v>2025</v>
      </c>
      <c r="B3311">
        <v>18</v>
      </c>
      <c r="C3311" t="s">
        <v>200</v>
      </c>
      <c r="D3311" t="s">
        <v>601</v>
      </c>
      <c r="E3311" t="s">
        <v>602</v>
      </c>
      <c r="F3311" t="s">
        <v>33</v>
      </c>
      <c r="G3311">
        <v>13</v>
      </c>
      <c r="H3311">
        <v>12</v>
      </c>
      <c r="I3311">
        <v>0</v>
      </c>
      <c r="J3311" t="s">
        <v>34</v>
      </c>
      <c r="K3311" t="s">
        <v>994</v>
      </c>
      <c r="L3311">
        <v>61</v>
      </c>
      <c r="M3311">
        <v>96.831000000000003</v>
      </c>
      <c r="N3311">
        <v>98.350550999999996</v>
      </c>
      <c r="O3311">
        <v>28.611000000000001</v>
      </c>
      <c r="P3311">
        <v>40.786999999999999</v>
      </c>
      <c r="Q3311">
        <v>27.059000000000001</v>
      </c>
      <c r="R3311">
        <v>13</v>
      </c>
      <c r="S3311" t="s">
        <v>25</v>
      </c>
      <c r="T3311">
        <f>IF(TRIM(Table1[[#This Row],[PitStopLaps]])="",0,
LEN(Table1[[#This Row],[PitStopLaps]])-LEN(SUBSTITUTE(Table1[[#This Row],[PitStopLaps]],",",""))+1)</f>
        <v>1</v>
      </c>
      <c r="U3311">
        <f>Table1[[#This Row],[StartPosition]]-Table1[[#This Row],[FinishPosition]]</f>
        <v>1</v>
      </c>
    </row>
    <row r="3312" spans="1:21" x14ac:dyDescent="0.3">
      <c r="A3312">
        <v>2025</v>
      </c>
      <c r="B3312">
        <v>18</v>
      </c>
      <c r="C3312" t="s">
        <v>200</v>
      </c>
      <c r="D3312" t="s">
        <v>58</v>
      </c>
      <c r="E3312" t="s">
        <v>59</v>
      </c>
      <c r="F3312" t="s">
        <v>603</v>
      </c>
      <c r="G3312">
        <v>15</v>
      </c>
      <c r="H3312">
        <v>13</v>
      </c>
      <c r="I3312">
        <v>0</v>
      </c>
      <c r="J3312" t="s">
        <v>34</v>
      </c>
      <c r="K3312" t="s">
        <v>994</v>
      </c>
      <c r="L3312">
        <v>61</v>
      </c>
      <c r="M3312">
        <v>95.850999999999999</v>
      </c>
      <c r="N3312">
        <v>98.498154999999997</v>
      </c>
      <c r="O3312">
        <v>28.341000000000001</v>
      </c>
      <c r="P3312">
        <v>40.442999999999998</v>
      </c>
      <c r="Q3312">
        <v>26.927</v>
      </c>
      <c r="R3312">
        <v>38</v>
      </c>
      <c r="S3312" t="s">
        <v>25</v>
      </c>
      <c r="T3312">
        <f>IF(TRIM(Table1[[#This Row],[PitStopLaps]])="",0,
LEN(Table1[[#This Row],[PitStopLaps]])-LEN(SUBSTITUTE(Table1[[#This Row],[PitStopLaps]],",",""))+1)</f>
        <v>1</v>
      </c>
      <c r="U3312">
        <f>Table1[[#This Row],[StartPosition]]-Table1[[#This Row],[FinishPosition]]</f>
        <v>2</v>
      </c>
    </row>
    <row r="3313" spans="1:21" x14ac:dyDescent="0.3">
      <c r="A3313">
        <v>2025</v>
      </c>
      <c r="B3313">
        <v>18</v>
      </c>
      <c r="C3313" t="s">
        <v>200</v>
      </c>
      <c r="D3313" t="s">
        <v>248</v>
      </c>
      <c r="E3313" t="s">
        <v>249</v>
      </c>
      <c r="F3313" t="s">
        <v>60</v>
      </c>
      <c r="G3313">
        <v>20</v>
      </c>
      <c r="H3313">
        <v>14</v>
      </c>
      <c r="I3313">
        <v>0</v>
      </c>
      <c r="J3313" t="s">
        <v>34</v>
      </c>
      <c r="K3313" t="s">
        <v>994</v>
      </c>
      <c r="L3313">
        <v>61</v>
      </c>
      <c r="M3313">
        <v>95.647999999999996</v>
      </c>
      <c r="N3313">
        <v>98.377758</v>
      </c>
      <c r="O3313">
        <v>28.099</v>
      </c>
      <c r="P3313">
        <v>40.472999999999999</v>
      </c>
      <c r="Q3313">
        <v>26.786000000000001</v>
      </c>
      <c r="R3313">
        <v>42</v>
      </c>
      <c r="S3313" t="s">
        <v>25</v>
      </c>
      <c r="T3313">
        <f>IF(TRIM(Table1[[#This Row],[PitStopLaps]])="",0,
LEN(Table1[[#This Row],[PitStopLaps]])-LEN(SUBSTITUTE(Table1[[#This Row],[PitStopLaps]],",",""))+1)</f>
        <v>1</v>
      </c>
      <c r="U3313">
        <f>Table1[[#This Row],[StartPosition]]-Table1[[#This Row],[FinishPosition]]</f>
        <v>6</v>
      </c>
    </row>
    <row r="3314" spans="1:21" x14ac:dyDescent="0.3">
      <c r="A3314">
        <v>2025</v>
      </c>
      <c r="B3314">
        <v>18</v>
      </c>
      <c r="C3314" t="s">
        <v>200</v>
      </c>
      <c r="D3314" t="s">
        <v>1092</v>
      </c>
      <c r="E3314" t="s">
        <v>1093</v>
      </c>
      <c r="F3314" t="s">
        <v>1330</v>
      </c>
      <c r="G3314">
        <v>12</v>
      </c>
      <c r="H3314">
        <v>15</v>
      </c>
      <c r="I3314">
        <v>0</v>
      </c>
      <c r="J3314" t="s">
        <v>34</v>
      </c>
      <c r="K3314" t="s">
        <v>994</v>
      </c>
      <c r="L3314">
        <v>61</v>
      </c>
      <c r="M3314">
        <v>95.641000000000005</v>
      </c>
      <c r="N3314">
        <v>98.535274999999999</v>
      </c>
      <c r="O3314">
        <v>28.207999999999998</v>
      </c>
      <c r="P3314">
        <v>40.368000000000002</v>
      </c>
      <c r="Q3314">
        <v>26.846</v>
      </c>
      <c r="R3314">
        <v>48</v>
      </c>
      <c r="S3314" t="s">
        <v>25</v>
      </c>
      <c r="T3314">
        <f>IF(TRIM(Table1[[#This Row],[PitStopLaps]])="",0,
LEN(Table1[[#This Row],[PitStopLaps]])-LEN(SUBSTITUTE(Table1[[#This Row],[PitStopLaps]],",",""))+1)</f>
        <v>1</v>
      </c>
      <c r="U3314">
        <f>Table1[[#This Row],[StartPosition]]-Table1[[#This Row],[FinishPosition]]</f>
        <v>-3</v>
      </c>
    </row>
    <row r="3315" spans="1:21" x14ac:dyDescent="0.3">
      <c r="A3315">
        <v>2025</v>
      </c>
      <c r="B3315">
        <v>18</v>
      </c>
      <c r="C3315" t="s">
        <v>200</v>
      </c>
      <c r="D3315" t="s">
        <v>1283</v>
      </c>
      <c r="E3315" t="s">
        <v>1284</v>
      </c>
      <c r="F3315" t="s">
        <v>607</v>
      </c>
      <c r="G3315">
        <v>16</v>
      </c>
      <c r="H3315">
        <v>16</v>
      </c>
      <c r="I3315">
        <v>0</v>
      </c>
      <c r="J3315" t="s">
        <v>34</v>
      </c>
      <c r="K3315" t="s">
        <v>994</v>
      </c>
      <c r="L3315">
        <v>61</v>
      </c>
      <c r="M3315">
        <v>97.182000000000002</v>
      </c>
      <c r="N3315">
        <v>98.863119999999995</v>
      </c>
      <c r="O3315">
        <v>28.643000000000001</v>
      </c>
      <c r="P3315">
        <v>41.128</v>
      </c>
      <c r="Q3315">
        <v>27.257999999999999</v>
      </c>
      <c r="R3315">
        <v>14</v>
      </c>
      <c r="S3315" t="s">
        <v>25</v>
      </c>
      <c r="T3315">
        <f>IF(TRIM(Table1[[#This Row],[PitStopLaps]])="",0,
LEN(Table1[[#This Row],[PitStopLaps]])-LEN(SUBSTITUTE(Table1[[#This Row],[PitStopLaps]],",",""))+1)</f>
        <v>1</v>
      </c>
      <c r="U3315">
        <f>Table1[[#This Row],[StartPosition]]-Table1[[#This Row],[FinishPosition]]</f>
        <v>0</v>
      </c>
    </row>
    <row r="3316" spans="1:21" x14ac:dyDescent="0.3">
      <c r="A3316">
        <v>2025</v>
      </c>
      <c r="B3316">
        <v>18</v>
      </c>
      <c r="C3316" t="s">
        <v>200</v>
      </c>
      <c r="D3316" t="s">
        <v>1334</v>
      </c>
      <c r="E3316" t="s">
        <v>1335</v>
      </c>
      <c r="F3316" t="s">
        <v>1175</v>
      </c>
      <c r="G3316">
        <v>14</v>
      </c>
      <c r="H3316">
        <v>17</v>
      </c>
      <c r="I3316">
        <v>0</v>
      </c>
      <c r="J3316" t="s">
        <v>34</v>
      </c>
      <c r="K3316" t="s">
        <v>994</v>
      </c>
      <c r="L3316">
        <v>61</v>
      </c>
      <c r="M3316">
        <v>97.126000000000005</v>
      </c>
      <c r="N3316">
        <v>98.736327000000003</v>
      </c>
      <c r="O3316">
        <v>28.573</v>
      </c>
      <c r="P3316">
        <v>40.948</v>
      </c>
      <c r="Q3316">
        <v>27.274999999999999</v>
      </c>
      <c r="R3316">
        <v>13</v>
      </c>
      <c r="S3316" t="s">
        <v>25</v>
      </c>
      <c r="T3316">
        <f>IF(TRIM(Table1[[#This Row],[PitStopLaps]])="",0,
LEN(Table1[[#This Row],[PitStopLaps]])-LEN(SUBSTITUTE(Table1[[#This Row],[PitStopLaps]],",",""))+1)</f>
        <v>1</v>
      </c>
      <c r="U3316">
        <f>Table1[[#This Row],[StartPosition]]-Table1[[#This Row],[FinishPosition]]</f>
        <v>-3</v>
      </c>
    </row>
    <row r="3317" spans="1:21" x14ac:dyDescent="0.3">
      <c r="A3317">
        <v>2025</v>
      </c>
      <c r="B3317">
        <v>18</v>
      </c>
      <c r="C3317" t="s">
        <v>200</v>
      </c>
      <c r="D3317" t="s">
        <v>52</v>
      </c>
      <c r="E3317" t="s">
        <v>53</v>
      </c>
      <c r="F3317" t="s">
        <v>69</v>
      </c>
      <c r="G3317">
        <v>17</v>
      </c>
      <c r="H3317">
        <v>18</v>
      </c>
      <c r="I3317">
        <v>0</v>
      </c>
      <c r="J3317" t="s">
        <v>34</v>
      </c>
      <c r="K3317" t="s">
        <v>994</v>
      </c>
      <c r="L3317">
        <v>61</v>
      </c>
      <c r="M3317">
        <v>96.646000000000001</v>
      </c>
      <c r="N3317">
        <v>98.871396000000004</v>
      </c>
      <c r="O3317">
        <v>28.51</v>
      </c>
      <c r="P3317">
        <v>40.654000000000003</v>
      </c>
      <c r="Q3317">
        <v>27.33</v>
      </c>
      <c r="R3317">
        <v>30</v>
      </c>
      <c r="S3317" t="s">
        <v>25</v>
      </c>
      <c r="T3317">
        <f>IF(TRIM(Table1[[#This Row],[PitStopLaps]])="",0,
LEN(Table1[[#This Row],[PitStopLaps]])-LEN(SUBSTITUTE(Table1[[#This Row],[PitStopLaps]],",",""))+1)</f>
        <v>1</v>
      </c>
      <c r="U3317">
        <f>Table1[[#This Row],[StartPosition]]-Table1[[#This Row],[FinishPosition]]</f>
        <v>-1</v>
      </c>
    </row>
    <row r="3318" spans="1:21" x14ac:dyDescent="0.3">
      <c r="A3318">
        <v>2025</v>
      </c>
      <c r="B3318">
        <v>18</v>
      </c>
      <c r="C3318" t="s">
        <v>200</v>
      </c>
      <c r="D3318" t="s">
        <v>73</v>
      </c>
      <c r="E3318" t="s">
        <v>74</v>
      </c>
      <c r="F3318" t="s">
        <v>607</v>
      </c>
      <c r="G3318">
        <v>19</v>
      </c>
      <c r="H3318">
        <v>19</v>
      </c>
      <c r="I3318">
        <v>0</v>
      </c>
      <c r="J3318" t="s">
        <v>34</v>
      </c>
      <c r="K3318" t="s">
        <v>994</v>
      </c>
      <c r="L3318">
        <v>61</v>
      </c>
      <c r="M3318">
        <v>94.572999999999993</v>
      </c>
      <c r="N3318">
        <v>98.458624999999998</v>
      </c>
      <c r="O3318">
        <v>28.111999999999998</v>
      </c>
      <c r="P3318">
        <v>39.838000000000001</v>
      </c>
      <c r="Q3318">
        <v>26.542999999999999</v>
      </c>
      <c r="R3318" t="s">
        <v>1427</v>
      </c>
      <c r="S3318" t="s">
        <v>25</v>
      </c>
      <c r="T3318">
        <f>IF(TRIM(Table1[[#This Row],[PitStopLaps]])="",0,
LEN(Table1[[#This Row],[PitStopLaps]])-LEN(SUBSTITUTE(Table1[[#This Row],[PitStopLaps]],",",""))+1)</f>
        <v>2</v>
      </c>
      <c r="U3318">
        <f>Table1[[#This Row],[StartPosition]]-Table1[[#This Row],[FinishPosition]]</f>
        <v>0</v>
      </c>
    </row>
    <row r="3319" spans="1:21" x14ac:dyDescent="0.3">
      <c r="A3319">
        <v>2025</v>
      </c>
      <c r="B3319">
        <v>18</v>
      </c>
      <c r="C3319" t="s">
        <v>200</v>
      </c>
      <c r="D3319" t="s">
        <v>40</v>
      </c>
      <c r="E3319" t="s">
        <v>41</v>
      </c>
      <c r="F3319" t="s">
        <v>1175</v>
      </c>
      <c r="G3319">
        <v>11</v>
      </c>
      <c r="H3319">
        <v>20</v>
      </c>
      <c r="I3319">
        <v>0</v>
      </c>
      <c r="J3319" t="s">
        <v>34</v>
      </c>
      <c r="K3319" t="s">
        <v>994</v>
      </c>
      <c r="L3319">
        <v>61</v>
      </c>
      <c r="M3319">
        <v>95.403999999999996</v>
      </c>
      <c r="N3319">
        <v>98.156053</v>
      </c>
      <c r="O3319">
        <v>28.327000000000002</v>
      </c>
      <c r="P3319">
        <v>40.226999999999997</v>
      </c>
      <c r="Q3319">
        <v>26.695</v>
      </c>
      <c r="R3319" t="s">
        <v>1230</v>
      </c>
      <c r="S3319" t="s">
        <v>25</v>
      </c>
      <c r="T3319">
        <f>IF(TRIM(Table1[[#This Row],[PitStopLaps]])="",0,
LEN(Table1[[#This Row],[PitStopLaps]])-LEN(SUBSTITUTE(Table1[[#This Row],[PitStopLaps]],",",""))+1)</f>
        <v>2</v>
      </c>
      <c r="U3319">
        <f>Table1[[#This Row],[StartPosition]]-Table1[[#This Row],[FinishPosition]]</f>
        <v>-9</v>
      </c>
    </row>
    <row r="3320" spans="1:21" x14ac:dyDescent="0.3">
      <c r="A3320">
        <v>2025</v>
      </c>
      <c r="B3320">
        <v>19</v>
      </c>
      <c r="C3320" t="s">
        <v>214</v>
      </c>
      <c r="D3320" t="s">
        <v>38</v>
      </c>
      <c r="E3320" t="s">
        <v>39</v>
      </c>
      <c r="F3320" t="s">
        <v>33</v>
      </c>
      <c r="G3320">
        <v>1</v>
      </c>
      <c r="H3320">
        <v>1</v>
      </c>
      <c r="I3320">
        <v>25</v>
      </c>
      <c r="J3320" t="s">
        <v>23</v>
      </c>
      <c r="K3320" t="s">
        <v>24</v>
      </c>
      <c r="L3320">
        <v>56</v>
      </c>
      <c r="M3320">
        <v>97.991</v>
      </c>
      <c r="N3320">
        <v>99.206419999999994</v>
      </c>
      <c r="O3320">
        <v>26.033000000000001</v>
      </c>
      <c r="P3320">
        <v>39.290999999999997</v>
      </c>
      <c r="Q3320">
        <v>32.131</v>
      </c>
      <c r="R3320">
        <v>33</v>
      </c>
      <c r="S3320" t="s">
        <v>83</v>
      </c>
      <c r="T3320">
        <f>IF(TRIM(Table1[[#This Row],[PitStopLaps]])="",0,
LEN(Table1[[#This Row],[PitStopLaps]])-LEN(SUBSTITUTE(Table1[[#This Row],[PitStopLaps]],",",""))+1)</f>
        <v>1</v>
      </c>
      <c r="U3320">
        <f>Table1[[#This Row],[StartPosition]]-Table1[[#This Row],[FinishPosition]]</f>
        <v>0</v>
      </c>
    </row>
    <row r="3321" spans="1:21" x14ac:dyDescent="0.3">
      <c r="A3321">
        <v>2025</v>
      </c>
      <c r="B3321">
        <v>19</v>
      </c>
      <c r="C3321" t="s">
        <v>214</v>
      </c>
      <c r="D3321" t="s">
        <v>246</v>
      </c>
      <c r="E3321" t="s">
        <v>247</v>
      </c>
      <c r="F3321" t="s">
        <v>37</v>
      </c>
      <c r="G3321">
        <v>2</v>
      </c>
      <c r="H3321">
        <v>2</v>
      </c>
      <c r="I3321">
        <v>18</v>
      </c>
      <c r="J3321" t="s">
        <v>23</v>
      </c>
      <c r="K3321" t="s">
        <v>24</v>
      </c>
      <c r="L3321">
        <v>56</v>
      </c>
      <c r="M3321">
        <v>97.62</v>
      </c>
      <c r="N3321">
        <v>99.290940000000006</v>
      </c>
      <c r="O3321">
        <v>25.832000000000001</v>
      </c>
      <c r="P3321">
        <v>38.904000000000003</v>
      </c>
      <c r="Q3321">
        <v>32.363999999999997</v>
      </c>
      <c r="R3321">
        <v>32</v>
      </c>
      <c r="S3321" t="s">
        <v>83</v>
      </c>
      <c r="T3321">
        <f>IF(TRIM(Table1[[#This Row],[PitStopLaps]])="",0,
LEN(Table1[[#This Row],[PitStopLaps]])-LEN(SUBSTITUTE(Table1[[#This Row],[PitStopLaps]],",",""))+1)</f>
        <v>1</v>
      </c>
      <c r="U3321">
        <f>Table1[[#This Row],[StartPosition]]-Table1[[#This Row],[FinishPosition]]</f>
        <v>0</v>
      </c>
    </row>
    <row r="3322" spans="1:21" x14ac:dyDescent="0.3">
      <c r="A3322">
        <v>2025</v>
      </c>
      <c r="B3322">
        <v>19</v>
      </c>
      <c r="C3322" t="s">
        <v>214</v>
      </c>
      <c r="D3322" t="s">
        <v>54</v>
      </c>
      <c r="E3322" t="s">
        <v>55</v>
      </c>
      <c r="F3322" t="s">
        <v>22</v>
      </c>
      <c r="G3322">
        <v>3</v>
      </c>
      <c r="H3322">
        <v>3</v>
      </c>
      <c r="I3322">
        <v>15</v>
      </c>
      <c r="J3322" t="s">
        <v>23</v>
      </c>
      <c r="K3322" t="s">
        <v>24</v>
      </c>
      <c r="L3322">
        <v>56</v>
      </c>
      <c r="M3322">
        <v>98.230999999999995</v>
      </c>
      <c r="N3322">
        <v>99.441379999999995</v>
      </c>
      <c r="O3322">
        <v>25.922999999999998</v>
      </c>
      <c r="P3322">
        <v>39.347999999999999</v>
      </c>
      <c r="Q3322">
        <v>32.685000000000002</v>
      </c>
      <c r="R3322">
        <v>22</v>
      </c>
      <c r="S3322" t="s">
        <v>83</v>
      </c>
      <c r="T3322">
        <f>IF(TRIM(Table1[[#This Row],[PitStopLaps]])="",0,
LEN(Table1[[#This Row],[PitStopLaps]])-LEN(SUBSTITUTE(Table1[[#This Row],[PitStopLaps]],",",""))+1)</f>
        <v>1</v>
      </c>
      <c r="U3322">
        <f>Table1[[#This Row],[StartPosition]]-Table1[[#This Row],[FinishPosition]]</f>
        <v>0</v>
      </c>
    </row>
    <row r="3323" spans="1:21" x14ac:dyDescent="0.3">
      <c r="A3323">
        <v>2025</v>
      </c>
      <c r="B3323">
        <v>19</v>
      </c>
      <c r="C3323" t="s">
        <v>214</v>
      </c>
      <c r="D3323" t="s">
        <v>26</v>
      </c>
      <c r="E3323" t="s">
        <v>27</v>
      </c>
      <c r="F3323" t="s">
        <v>22</v>
      </c>
      <c r="G3323">
        <v>5</v>
      </c>
      <c r="H3323">
        <v>4</v>
      </c>
      <c r="I3323">
        <v>12</v>
      </c>
      <c r="J3323" t="s">
        <v>34</v>
      </c>
      <c r="K3323" t="s">
        <v>24</v>
      </c>
      <c r="L3323">
        <v>56</v>
      </c>
      <c r="M3323">
        <v>98.361000000000004</v>
      </c>
      <c r="N3323">
        <v>99.681200000000004</v>
      </c>
      <c r="O3323">
        <v>25.984999999999999</v>
      </c>
      <c r="P3323">
        <v>39.228000000000002</v>
      </c>
      <c r="Q3323">
        <v>32.744</v>
      </c>
      <c r="R3323">
        <v>31</v>
      </c>
      <c r="S3323" t="s">
        <v>83</v>
      </c>
      <c r="T3323">
        <f>IF(TRIM(Table1[[#This Row],[PitStopLaps]])="",0,
LEN(Table1[[#This Row],[PitStopLaps]])-LEN(SUBSTITUTE(Table1[[#This Row],[PitStopLaps]],",",""))+1)</f>
        <v>1</v>
      </c>
      <c r="U3323">
        <f>Table1[[#This Row],[StartPosition]]-Table1[[#This Row],[FinishPosition]]</f>
        <v>1</v>
      </c>
    </row>
    <row r="3324" spans="1:21" x14ac:dyDescent="0.3">
      <c r="A3324">
        <v>2025</v>
      </c>
      <c r="B3324">
        <v>19</v>
      </c>
      <c r="C3324" t="s">
        <v>214</v>
      </c>
      <c r="D3324" t="s">
        <v>1000</v>
      </c>
      <c r="E3324" t="s">
        <v>1001</v>
      </c>
      <c r="F3324" t="s">
        <v>37</v>
      </c>
      <c r="G3324">
        <v>6</v>
      </c>
      <c r="H3324">
        <v>5</v>
      </c>
      <c r="I3324">
        <v>10</v>
      </c>
      <c r="J3324" t="s">
        <v>34</v>
      </c>
      <c r="K3324" t="s">
        <v>24</v>
      </c>
      <c r="L3324">
        <v>56</v>
      </c>
      <c r="M3324">
        <v>98.563999999999993</v>
      </c>
      <c r="N3324">
        <v>99.695700000000002</v>
      </c>
      <c r="O3324">
        <v>26.126000000000001</v>
      </c>
      <c r="P3324">
        <v>39.231000000000002</v>
      </c>
      <c r="Q3324">
        <v>32.759</v>
      </c>
      <c r="R3324">
        <v>30</v>
      </c>
      <c r="S3324" t="s">
        <v>83</v>
      </c>
      <c r="T3324">
        <f>IF(TRIM(Table1[[#This Row],[PitStopLaps]])="",0,
LEN(Table1[[#This Row],[PitStopLaps]])-LEN(SUBSTITUTE(Table1[[#This Row],[PitStopLaps]],",",""))+1)</f>
        <v>1</v>
      </c>
      <c r="U3324">
        <f>Table1[[#This Row],[StartPosition]]-Table1[[#This Row],[FinishPosition]]</f>
        <v>1</v>
      </c>
    </row>
    <row r="3325" spans="1:21" x14ac:dyDescent="0.3">
      <c r="A3325">
        <v>2025</v>
      </c>
      <c r="B3325">
        <v>19</v>
      </c>
      <c r="C3325" t="s">
        <v>214</v>
      </c>
      <c r="D3325" t="s">
        <v>252</v>
      </c>
      <c r="E3325" t="s">
        <v>253</v>
      </c>
      <c r="F3325" t="s">
        <v>28</v>
      </c>
      <c r="G3325">
        <v>4</v>
      </c>
      <c r="H3325">
        <v>6</v>
      </c>
      <c r="I3325">
        <v>8</v>
      </c>
      <c r="J3325" t="s">
        <v>34</v>
      </c>
      <c r="K3325" t="s">
        <v>24</v>
      </c>
      <c r="L3325">
        <v>56</v>
      </c>
      <c r="M3325">
        <v>98.224000000000004</v>
      </c>
      <c r="N3325">
        <v>99.807430999999994</v>
      </c>
      <c r="O3325">
        <v>26.114000000000001</v>
      </c>
      <c r="P3325">
        <v>39.222999999999999</v>
      </c>
      <c r="Q3325">
        <v>32.637999999999998</v>
      </c>
      <c r="R3325">
        <v>33</v>
      </c>
      <c r="S3325" t="s">
        <v>83</v>
      </c>
      <c r="T3325">
        <f>IF(TRIM(Table1[[#This Row],[PitStopLaps]])="",0,
LEN(Table1[[#This Row],[PitStopLaps]])-LEN(SUBSTITUTE(Table1[[#This Row],[PitStopLaps]],",",""))+1)</f>
        <v>1</v>
      </c>
      <c r="U3325">
        <f>Table1[[#This Row],[StartPosition]]-Table1[[#This Row],[FinishPosition]]</f>
        <v>-2</v>
      </c>
    </row>
    <row r="3326" spans="1:21" x14ac:dyDescent="0.3">
      <c r="A3326">
        <v>2025</v>
      </c>
      <c r="B3326">
        <v>19</v>
      </c>
      <c r="C3326" t="s">
        <v>214</v>
      </c>
      <c r="D3326" t="s">
        <v>601</v>
      </c>
      <c r="E3326" t="s">
        <v>602</v>
      </c>
      <c r="F3326" t="s">
        <v>33</v>
      </c>
      <c r="G3326">
        <v>13</v>
      </c>
      <c r="H3326">
        <v>7</v>
      </c>
      <c r="I3326">
        <v>6</v>
      </c>
      <c r="J3326" t="s">
        <v>34</v>
      </c>
      <c r="K3326" t="s">
        <v>24</v>
      </c>
      <c r="L3326">
        <v>56</v>
      </c>
      <c r="M3326">
        <v>98.802999999999997</v>
      </c>
      <c r="N3326">
        <v>100.076176</v>
      </c>
      <c r="O3326">
        <v>26.335000000000001</v>
      </c>
      <c r="P3326">
        <v>39.491</v>
      </c>
      <c r="Q3326">
        <v>32.83</v>
      </c>
      <c r="R3326">
        <v>29</v>
      </c>
      <c r="S3326" t="s">
        <v>83</v>
      </c>
      <c r="T3326">
        <f>IF(TRIM(Table1[[#This Row],[PitStopLaps]])="",0,
LEN(Table1[[#This Row],[PitStopLaps]])-LEN(SUBSTITUTE(Table1[[#This Row],[PitStopLaps]],",",""))+1)</f>
        <v>1</v>
      </c>
      <c r="U3326">
        <f>Table1[[#This Row],[StartPosition]]-Table1[[#This Row],[FinishPosition]]</f>
        <v>6</v>
      </c>
    </row>
    <row r="3327" spans="1:21" x14ac:dyDescent="0.3">
      <c r="A3327">
        <v>2025</v>
      </c>
      <c r="B3327">
        <v>19</v>
      </c>
      <c r="C3327" t="s">
        <v>214</v>
      </c>
      <c r="D3327" t="s">
        <v>40</v>
      </c>
      <c r="E3327" t="s">
        <v>41</v>
      </c>
      <c r="F3327" t="s">
        <v>1175</v>
      </c>
      <c r="G3327">
        <v>11</v>
      </c>
      <c r="H3327">
        <v>8</v>
      </c>
      <c r="I3327">
        <v>4</v>
      </c>
      <c r="J3327" t="s">
        <v>34</v>
      </c>
      <c r="K3327" t="s">
        <v>24</v>
      </c>
      <c r="L3327">
        <v>56</v>
      </c>
      <c r="M3327">
        <v>98.372</v>
      </c>
      <c r="N3327">
        <v>100.169156</v>
      </c>
      <c r="O3327">
        <v>26.145</v>
      </c>
      <c r="P3327">
        <v>39.335000000000001</v>
      </c>
      <c r="Q3327">
        <v>32.744</v>
      </c>
      <c r="R3327">
        <v>33</v>
      </c>
      <c r="S3327" t="s">
        <v>83</v>
      </c>
      <c r="T3327">
        <f>IF(TRIM(Table1[[#This Row],[PitStopLaps]])="",0,
LEN(Table1[[#This Row],[PitStopLaps]])-LEN(SUBSTITUTE(Table1[[#This Row],[PitStopLaps]],",",""))+1)</f>
        <v>1</v>
      </c>
      <c r="U3327">
        <f>Table1[[#This Row],[StartPosition]]-Table1[[#This Row],[FinishPosition]]</f>
        <v>3</v>
      </c>
    </row>
    <row r="3328" spans="1:21" x14ac:dyDescent="0.3">
      <c r="A3328">
        <v>2025</v>
      </c>
      <c r="B3328">
        <v>19</v>
      </c>
      <c r="C3328" t="s">
        <v>214</v>
      </c>
      <c r="D3328" t="s">
        <v>1180</v>
      </c>
      <c r="E3328" t="s">
        <v>1181</v>
      </c>
      <c r="F3328" t="s">
        <v>69</v>
      </c>
      <c r="G3328">
        <v>8</v>
      </c>
      <c r="H3328">
        <v>9</v>
      </c>
      <c r="I3328">
        <v>2</v>
      </c>
      <c r="J3328" t="s">
        <v>34</v>
      </c>
      <c r="K3328" t="s">
        <v>24</v>
      </c>
      <c r="L3328">
        <v>56</v>
      </c>
      <c r="M3328">
        <v>99.119</v>
      </c>
      <c r="N3328">
        <v>100.390058</v>
      </c>
      <c r="O3328">
        <v>26.177</v>
      </c>
      <c r="P3328">
        <v>39.341000000000001</v>
      </c>
      <c r="Q3328">
        <v>32.951999999999998</v>
      </c>
      <c r="R3328">
        <v>30</v>
      </c>
      <c r="S3328" t="s">
        <v>83</v>
      </c>
      <c r="T3328">
        <f>IF(TRIM(Table1[[#This Row],[PitStopLaps]])="",0,
LEN(Table1[[#This Row],[PitStopLaps]])-LEN(SUBSTITUTE(Table1[[#This Row],[PitStopLaps]],",",""))+1)</f>
        <v>1</v>
      </c>
      <c r="U3328">
        <f>Table1[[#This Row],[StartPosition]]-Table1[[#This Row],[FinishPosition]]</f>
        <v>-1</v>
      </c>
    </row>
    <row r="3329" spans="1:21" x14ac:dyDescent="0.3">
      <c r="A3329">
        <v>2025</v>
      </c>
      <c r="B3329">
        <v>19</v>
      </c>
      <c r="C3329" t="s">
        <v>214</v>
      </c>
      <c r="D3329" t="s">
        <v>35</v>
      </c>
      <c r="E3329" t="s">
        <v>36</v>
      </c>
      <c r="F3329" t="s">
        <v>603</v>
      </c>
      <c r="G3329">
        <v>10</v>
      </c>
      <c r="H3329">
        <v>10</v>
      </c>
      <c r="I3329">
        <v>1</v>
      </c>
      <c r="J3329" t="s">
        <v>34</v>
      </c>
      <c r="K3329" t="s">
        <v>24</v>
      </c>
      <c r="L3329">
        <v>56</v>
      </c>
      <c r="M3329">
        <v>98.789000000000001</v>
      </c>
      <c r="N3329">
        <v>100.37846999999999</v>
      </c>
      <c r="O3329">
        <v>26.268000000000001</v>
      </c>
      <c r="P3329">
        <v>39.515999999999998</v>
      </c>
      <c r="Q3329">
        <v>32.838999999999999</v>
      </c>
      <c r="R3329">
        <v>30</v>
      </c>
      <c r="S3329" t="s">
        <v>83</v>
      </c>
      <c r="T3329">
        <f>IF(TRIM(Table1[[#This Row],[PitStopLaps]])="",0,
LEN(Table1[[#This Row],[PitStopLaps]])-LEN(SUBSTITUTE(Table1[[#This Row],[PitStopLaps]],",",""))+1)</f>
        <v>1</v>
      </c>
      <c r="U3329">
        <f>Table1[[#This Row],[StartPosition]]-Table1[[#This Row],[FinishPosition]]</f>
        <v>0</v>
      </c>
    </row>
    <row r="3330" spans="1:21" x14ac:dyDescent="0.3">
      <c r="A3330">
        <v>2025</v>
      </c>
      <c r="B3330">
        <v>19</v>
      </c>
      <c r="C3330" t="s">
        <v>214</v>
      </c>
      <c r="D3330" t="s">
        <v>1092</v>
      </c>
      <c r="E3330" t="s">
        <v>1093</v>
      </c>
      <c r="F3330" t="s">
        <v>1330</v>
      </c>
      <c r="G3330">
        <v>12</v>
      </c>
      <c r="H3330">
        <v>11</v>
      </c>
      <c r="I3330">
        <v>0</v>
      </c>
      <c r="J3330" t="s">
        <v>34</v>
      </c>
      <c r="K3330" t="s">
        <v>24</v>
      </c>
      <c r="L3330">
        <v>56</v>
      </c>
      <c r="M3330">
        <v>98.983000000000004</v>
      </c>
      <c r="N3330">
        <v>100.461274</v>
      </c>
      <c r="O3330">
        <v>26.16</v>
      </c>
      <c r="P3330">
        <v>39.584000000000003</v>
      </c>
      <c r="Q3330">
        <v>32.981000000000002</v>
      </c>
      <c r="R3330">
        <v>30</v>
      </c>
      <c r="S3330" t="s">
        <v>83</v>
      </c>
      <c r="T3330">
        <f>IF(TRIM(Table1[[#This Row],[PitStopLaps]])="",0,
LEN(Table1[[#This Row],[PitStopLaps]])-LEN(SUBSTITUTE(Table1[[#This Row],[PitStopLaps]],",",""))+1)</f>
        <v>1</v>
      </c>
      <c r="U3330">
        <f>Table1[[#This Row],[StartPosition]]-Table1[[#This Row],[FinishPosition]]</f>
        <v>1</v>
      </c>
    </row>
    <row r="3331" spans="1:21" x14ac:dyDescent="0.3">
      <c r="A3331">
        <v>2025</v>
      </c>
      <c r="B3331">
        <v>19</v>
      </c>
      <c r="C3331" t="s">
        <v>214</v>
      </c>
      <c r="D3331" t="s">
        <v>58</v>
      </c>
      <c r="E3331" t="s">
        <v>59</v>
      </c>
      <c r="F3331" t="s">
        <v>603</v>
      </c>
      <c r="G3331">
        <v>19</v>
      </c>
      <c r="H3331">
        <v>12</v>
      </c>
      <c r="I3331">
        <v>0</v>
      </c>
      <c r="J3331" t="s">
        <v>34</v>
      </c>
      <c r="K3331" t="s">
        <v>24</v>
      </c>
      <c r="L3331">
        <v>56</v>
      </c>
      <c r="M3331">
        <v>99.070999999999998</v>
      </c>
      <c r="N3331">
        <v>100.463098</v>
      </c>
      <c r="O3331">
        <v>26.338000000000001</v>
      </c>
      <c r="P3331">
        <v>39.444000000000003</v>
      </c>
      <c r="Q3331">
        <v>32.831000000000003</v>
      </c>
      <c r="R3331">
        <v>28</v>
      </c>
      <c r="S3331" t="s">
        <v>83</v>
      </c>
      <c r="T3331">
        <f>IF(TRIM(Table1[[#This Row],[PitStopLaps]])="",0,
LEN(Table1[[#This Row],[PitStopLaps]])-LEN(SUBSTITUTE(Table1[[#This Row],[PitStopLaps]],",",""))+1)</f>
        <v>1</v>
      </c>
      <c r="U3331">
        <f>Table1[[#This Row],[StartPosition]]-Table1[[#This Row],[FinishPosition]]</f>
        <v>7</v>
      </c>
    </row>
    <row r="3332" spans="1:21" x14ac:dyDescent="0.3">
      <c r="A3332">
        <v>2025</v>
      </c>
      <c r="B3332">
        <v>19</v>
      </c>
      <c r="C3332" t="s">
        <v>214</v>
      </c>
      <c r="D3332" t="s">
        <v>1339</v>
      </c>
      <c r="E3332" t="s">
        <v>1325</v>
      </c>
      <c r="F3332" t="s">
        <v>28</v>
      </c>
      <c r="G3332">
        <v>7</v>
      </c>
      <c r="H3332">
        <v>13</v>
      </c>
      <c r="I3332">
        <v>0</v>
      </c>
      <c r="J3332" t="s">
        <v>34</v>
      </c>
      <c r="K3332" t="s">
        <v>24</v>
      </c>
      <c r="L3332">
        <v>56</v>
      </c>
      <c r="M3332">
        <v>97.576999999999998</v>
      </c>
      <c r="N3332">
        <v>100.511039</v>
      </c>
      <c r="O3332">
        <v>26.204000000000001</v>
      </c>
      <c r="P3332">
        <v>39.030999999999999</v>
      </c>
      <c r="Q3332">
        <v>32.341999999999999</v>
      </c>
      <c r="R3332">
        <v>31</v>
      </c>
      <c r="S3332" t="s">
        <v>83</v>
      </c>
      <c r="T3332">
        <f>IF(TRIM(Table1[[#This Row],[PitStopLaps]])="",0,
LEN(Table1[[#This Row],[PitStopLaps]])-LEN(SUBSTITUTE(Table1[[#This Row],[PitStopLaps]],",",""))+1)</f>
        <v>1</v>
      </c>
      <c r="U3332">
        <f>Table1[[#This Row],[StartPosition]]-Table1[[#This Row],[FinishPosition]]</f>
        <v>-6</v>
      </c>
    </row>
    <row r="3333" spans="1:21" x14ac:dyDescent="0.3">
      <c r="A3333">
        <v>2025</v>
      </c>
      <c r="B3333">
        <v>19</v>
      </c>
      <c r="C3333" t="s">
        <v>214</v>
      </c>
      <c r="D3333" t="s">
        <v>248</v>
      </c>
      <c r="E3333" t="s">
        <v>249</v>
      </c>
      <c r="F3333" t="s">
        <v>60</v>
      </c>
      <c r="G3333">
        <v>18</v>
      </c>
      <c r="H3333">
        <v>14</v>
      </c>
      <c r="I3333">
        <v>0</v>
      </c>
      <c r="J3333" t="s">
        <v>34</v>
      </c>
      <c r="K3333" t="s">
        <v>24</v>
      </c>
      <c r="L3333">
        <v>56</v>
      </c>
      <c r="M3333">
        <v>98.328000000000003</v>
      </c>
      <c r="N3333">
        <v>100.238803</v>
      </c>
      <c r="O3333">
        <v>26.13</v>
      </c>
      <c r="P3333">
        <v>39.25</v>
      </c>
      <c r="Q3333">
        <v>32.637</v>
      </c>
      <c r="R3333" t="s">
        <v>1271</v>
      </c>
      <c r="S3333" t="s">
        <v>83</v>
      </c>
      <c r="T3333">
        <f>IF(TRIM(Table1[[#This Row],[PitStopLaps]])="",0,
LEN(Table1[[#This Row],[PitStopLaps]])-LEN(SUBSTITUTE(Table1[[#This Row],[PitStopLaps]],",",""))+1)</f>
        <v>2</v>
      </c>
      <c r="U3333">
        <f>Table1[[#This Row],[StartPosition]]-Table1[[#This Row],[FinishPosition]]</f>
        <v>4</v>
      </c>
    </row>
    <row r="3334" spans="1:21" x14ac:dyDescent="0.3">
      <c r="A3334">
        <v>2025</v>
      </c>
      <c r="B3334">
        <v>19</v>
      </c>
      <c r="C3334" t="s">
        <v>214</v>
      </c>
      <c r="D3334" t="s">
        <v>52</v>
      </c>
      <c r="E3334" t="s">
        <v>53</v>
      </c>
      <c r="F3334" t="s">
        <v>69</v>
      </c>
      <c r="G3334">
        <v>17</v>
      </c>
      <c r="H3334">
        <v>15</v>
      </c>
      <c r="I3334">
        <v>0</v>
      </c>
      <c r="J3334" t="s">
        <v>34</v>
      </c>
      <c r="K3334" t="s">
        <v>24</v>
      </c>
      <c r="L3334">
        <v>56</v>
      </c>
      <c r="M3334">
        <v>99.263000000000005</v>
      </c>
      <c r="N3334">
        <v>100.606647</v>
      </c>
      <c r="O3334">
        <v>26.152000000000001</v>
      </c>
      <c r="P3334">
        <v>39.725999999999999</v>
      </c>
      <c r="Q3334">
        <v>32.759</v>
      </c>
      <c r="R3334">
        <v>24</v>
      </c>
      <c r="S3334" t="s">
        <v>83</v>
      </c>
      <c r="T3334">
        <f>IF(TRIM(Table1[[#This Row],[PitStopLaps]])="",0,
LEN(Table1[[#This Row],[PitStopLaps]])-LEN(SUBSTITUTE(Table1[[#This Row],[PitStopLaps]],",",""))+1)</f>
        <v>1</v>
      </c>
      <c r="U3334">
        <f>Table1[[#This Row],[StartPosition]]-Table1[[#This Row],[FinishPosition]]</f>
        <v>2</v>
      </c>
    </row>
    <row r="3335" spans="1:21" x14ac:dyDescent="0.3">
      <c r="A3335">
        <v>2025</v>
      </c>
      <c r="B3335">
        <v>19</v>
      </c>
      <c r="C3335" t="s">
        <v>214</v>
      </c>
      <c r="D3335" t="s">
        <v>1337</v>
      </c>
      <c r="E3335" t="s">
        <v>1338</v>
      </c>
      <c r="F3335" t="s">
        <v>1330</v>
      </c>
      <c r="G3335">
        <v>20</v>
      </c>
      <c r="H3335">
        <v>16</v>
      </c>
      <c r="I3335">
        <v>0</v>
      </c>
      <c r="J3335" t="s">
        <v>34</v>
      </c>
      <c r="K3335" t="s">
        <v>24</v>
      </c>
      <c r="L3335">
        <v>56</v>
      </c>
      <c r="M3335">
        <v>98.724000000000004</v>
      </c>
      <c r="N3335">
        <v>100.78825399999999</v>
      </c>
      <c r="O3335">
        <v>26.113</v>
      </c>
      <c r="P3335">
        <v>39.552999999999997</v>
      </c>
      <c r="Q3335">
        <v>32.768999999999998</v>
      </c>
      <c r="R3335">
        <v>28</v>
      </c>
      <c r="S3335" t="s">
        <v>83</v>
      </c>
      <c r="T3335">
        <f>IF(TRIM(Table1[[#This Row],[PitStopLaps]])="",0,
LEN(Table1[[#This Row],[PitStopLaps]])-LEN(SUBSTITUTE(Table1[[#This Row],[PitStopLaps]],",",""))+1)</f>
        <v>1</v>
      </c>
      <c r="U3335">
        <f>Table1[[#This Row],[StartPosition]]-Table1[[#This Row],[FinishPosition]]</f>
        <v>4</v>
      </c>
    </row>
    <row r="3336" spans="1:21" x14ac:dyDescent="0.3">
      <c r="A3336">
        <v>2025</v>
      </c>
      <c r="B3336">
        <v>19</v>
      </c>
      <c r="C3336" t="s">
        <v>214</v>
      </c>
      <c r="D3336" t="s">
        <v>1283</v>
      </c>
      <c r="E3336" t="s">
        <v>1284</v>
      </c>
      <c r="F3336" t="s">
        <v>607</v>
      </c>
      <c r="G3336">
        <v>15</v>
      </c>
      <c r="H3336">
        <v>17</v>
      </c>
      <c r="I3336">
        <v>0</v>
      </c>
      <c r="J3336" t="s">
        <v>34</v>
      </c>
      <c r="K3336" t="s">
        <v>994</v>
      </c>
      <c r="L3336">
        <v>55</v>
      </c>
      <c r="M3336">
        <v>99.173000000000002</v>
      </c>
      <c r="N3336">
        <v>100.98352</v>
      </c>
      <c r="O3336">
        <v>26.439</v>
      </c>
      <c r="P3336">
        <v>39.582999999999998</v>
      </c>
      <c r="Q3336">
        <v>32.994</v>
      </c>
      <c r="R3336">
        <v>32</v>
      </c>
      <c r="S3336" t="s">
        <v>83</v>
      </c>
      <c r="T3336">
        <f>IF(TRIM(Table1[[#This Row],[PitStopLaps]])="",0,
LEN(Table1[[#This Row],[PitStopLaps]])-LEN(SUBSTITUTE(Table1[[#This Row],[PitStopLaps]],",",""))+1)</f>
        <v>1</v>
      </c>
      <c r="U3336">
        <f>Table1[[#This Row],[StartPosition]]-Table1[[#This Row],[FinishPosition]]</f>
        <v>-2</v>
      </c>
    </row>
    <row r="3337" spans="1:21" x14ac:dyDescent="0.3">
      <c r="A3337">
        <v>2025</v>
      </c>
      <c r="B3337">
        <v>19</v>
      </c>
      <c r="C3337" t="s">
        <v>214</v>
      </c>
      <c r="D3337" t="s">
        <v>1334</v>
      </c>
      <c r="E3337" t="s">
        <v>1335</v>
      </c>
      <c r="F3337" t="s">
        <v>1175</v>
      </c>
      <c r="G3337">
        <v>16</v>
      </c>
      <c r="H3337">
        <v>18</v>
      </c>
      <c r="I3337">
        <v>0</v>
      </c>
      <c r="J3337" t="s">
        <v>34</v>
      </c>
      <c r="K3337" t="s">
        <v>994</v>
      </c>
      <c r="L3337">
        <v>55</v>
      </c>
      <c r="M3337">
        <v>98.275000000000006</v>
      </c>
      <c r="N3337">
        <v>100.633104</v>
      </c>
      <c r="O3337">
        <v>26.32</v>
      </c>
      <c r="P3337">
        <v>39.46</v>
      </c>
      <c r="Q3337">
        <v>32.494999999999997</v>
      </c>
      <c r="R3337" t="s">
        <v>202</v>
      </c>
      <c r="S3337" t="s">
        <v>83</v>
      </c>
      <c r="T3337">
        <f>IF(TRIM(Table1[[#This Row],[PitStopLaps]])="",0,
LEN(Table1[[#This Row],[PitStopLaps]])-LEN(SUBSTITUTE(Table1[[#This Row],[PitStopLaps]],",",""))+1)</f>
        <v>2</v>
      </c>
      <c r="U3337">
        <f>Table1[[#This Row],[StartPosition]]-Table1[[#This Row],[FinishPosition]]</f>
        <v>-2</v>
      </c>
    </row>
    <row r="3338" spans="1:21" x14ac:dyDescent="0.3">
      <c r="A3338">
        <v>2025</v>
      </c>
      <c r="B3338">
        <v>19</v>
      </c>
      <c r="C3338" t="s">
        <v>214</v>
      </c>
      <c r="D3338" t="s">
        <v>73</v>
      </c>
      <c r="E3338" t="s">
        <v>74</v>
      </c>
      <c r="F3338" t="s">
        <v>607</v>
      </c>
      <c r="G3338">
        <v>14</v>
      </c>
      <c r="H3338">
        <v>19</v>
      </c>
      <c r="I3338">
        <v>0</v>
      </c>
      <c r="J3338" t="s">
        <v>34</v>
      </c>
      <c r="K3338" t="s">
        <v>994</v>
      </c>
      <c r="L3338">
        <v>55</v>
      </c>
      <c r="M3338">
        <v>99.27</v>
      </c>
      <c r="N3338">
        <v>101.06001999999999</v>
      </c>
      <c r="O3338">
        <v>26.5</v>
      </c>
      <c r="P3338">
        <v>39.753999999999998</v>
      </c>
      <c r="Q3338">
        <v>32.896000000000001</v>
      </c>
      <c r="R3338">
        <v>27</v>
      </c>
      <c r="S3338" t="s">
        <v>83</v>
      </c>
      <c r="T3338">
        <f>IF(TRIM(Table1[[#This Row],[PitStopLaps]])="",0,
LEN(Table1[[#This Row],[PitStopLaps]])-LEN(SUBSTITUTE(Table1[[#This Row],[PitStopLaps]],",",""))+1)</f>
        <v>1</v>
      </c>
      <c r="U3338">
        <f>Table1[[#This Row],[StartPosition]]-Table1[[#This Row],[FinishPosition]]</f>
        <v>-5</v>
      </c>
    </row>
    <row r="3339" spans="1:21" x14ac:dyDescent="0.3">
      <c r="A3339">
        <v>2025</v>
      </c>
      <c r="B3339">
        <v>19</v>
      </c>
      <c r="C3339" t="s">
        <v>214</v>
      </c>
      <c r="D3339" t="s">
        <v>47</v>
      </c>
      <c r="E3339" t="s">
        <v>48</v>
      </c>
      <c r="F3339" t="s">
        <v>60</v>
      </c>
      <c r="G3339">
        <v>9</v>
      </c>
      <c r="H3339">
        <v>20</v>
      </c>
      <c r="I3339">
        <v>0</v>
      </c>
      <c r="J3339" t="s">
        <v>34</v>
      </c>
      <c r="K3339" t="s">
        <v>179</v>
      </c>
      <c r="L3339">
        <v>6</v>
      </c>
      <c r="M3339">
        <v>100.327</v>
      </c>
      <c r="N3339">
        <v>100.76725</v>
      </c>
      <c r="O3339">
        <v>26.891999999999999</v>
      </c>
      <c r="P3339">
        <v>39.639000000000003</v>
      </c>
      <c r="Q3339">
        <v>33.518000000000001</v>
      </c>
      <c r="S3339" t="s">
        <v>83</v>
      </c>
      <c r="T3339">
        <f>IF(TRIM(Table1[[#This Row],[PitStopLaps]])="",0,
LEN(Table1[[#This Row],[PitStopLaps]])-LEN(SUBSTITUTE(Table1[[#This Row],[PitStopLaps]],",",""))+1)</f>
        <v>0</v>
      </c>
      <c r="U3339">
        <f>Table1[[#This Row],[StartPosition]]-Table1[[#This Row],[FinishPosition]]</f>
        <v>-11</v>
      </c>
    </row>
    <row r="3340" spans="1:21" x14ac:dyDescent="0.3">
      <c r="A3340">
        <v>2025</v>
      </c>
      <c r="B3340">
        <v>20</v>
      </c>
      <c r="C3340" t="s">
        <v>736</v>
      </c>
      <c r="D3340" t="s">
        <v>246</v>
      </c>
      <c r="E3340" t="s">
        <v>247</v>
      </c>
      <c r="F3340" t="s">
        <v>37</v>
      </c>
      <c r="G3340">
        <v>1</v>
      </c>
      <c r="H3340">
        <v>1</v>
      </c>
      <c r="I3340">
        <v>25</v>
      </c>
      <c r="J3340" t="s">
        <v>23</v>
      </c>
      <c r="K3340" t="s">
        <v>24</v>
      </c>
      <c r="L3340">
        <v>71</v>
      </c>
      <c r="M3340">
        <v>80.763999999999996</v>
      </c>
      <c r="N3340">
        <v>82.033545000000004</v>
      </c>
      <c r="O3340">
        <v>28.233000000000001</v>
      </c>
      <c r="P3340">
        <v>31.428000000000001</v>
      </c>
      <c r="Q3340">
        <v>20.872</v>
      </c>
      <c r="R3340">
        <v>34</v>
      </c>
      <c r="S3340" t="s">
        <v>83</v>
      </c>
      <c r="T3340">
        <f>IF(TRIM(Table1[[#This Row],[PitStopLaps]])="",0,
LEN(Table1[[#This Row],[PitStopLaps]])-LEN(SUBSTITUTE(Table1[[#This Row],[PitStopLaps]],",",""))+1)</f>
        <v>1</v>
      </c>
      <c r="U3340">
        <f>Table1[[#This Row],[StartPosition]]-Table1[[#This Row],[FinishPosition]]</f>
        <v>0</v>
      </c>
    </row>
    <row r="3341" spans="1:21" x14ac:dyDescent="0.3">
      <c r="A3341">
        <v>2025</v>
      </c>
      <c r="B3341">
        <v>20</v>
      </c>
      <c r="C3341" t="s">
        <v>736</v>
      </c>
      <c r="D3341" t="s">
        <v>54</v>
      </c>
      <c r="E3341" t="s">
        <v>55</v>
      </c>
      <c r="F3341" t="s">
        <v>22</v>
      </c>
      <c r="G3341">
        <v>2</v>
      </c>
      <c r="H3341">
        <v>2</v>
      </c>
      <c r="I3341">
        <v>18</v>
      </c>
      <c r="J3341" t="s">
        <v>23</v>
      </c>
      <c r="K3341" t="s">
        <v>24</v>
      </c>
      <c r="L3341">
        <v>71</v>
      </c>
      <c r="M3341">
        <v>81.587999999999994</v>
      </c>
      <c r="N3341">
        <v>82.449939000000001</v>
      </c>
      <c r="O3341">
        <v>28.498000000000001</v>
      </c>
      <c r="P3341">
        <v>31.719000000000001</v>
      </c>
      <c r="Q3341">
        <v>21.173999999999999</v>
      </c>
      <c r="R3341">
        <v>31</v>
      </c>
      <c r="S3341" t="s">
        <v>83</v>
      </c>
      <c r="T3341">
        <f>IF(TRIM(Table1[[#This Row],[PitStopLaps]])="",0,
LEN(Table1[[#This Row],[PitStopLaps]])-LEN(SUBSTITUTE(Table1[[#This Row],[PitStopLaps]],",",""))+1)</f>
        <v>1</v>
      </c>
      <c r="U3341">
        <f>Table1[[#This Row],[StartPosition]]-Table1[[#This Row],[FinishPosition]]</f>
        <v>0</v>
      </c>
    </row>
    <row r="3342" spans="1:21" x14ac:dyDescent="0.3">
      <c r="A3342">
        <v>2025</v>
      </c>
      <c r="B3342">
        <v>20</v>
      </c>
      <c r="C3342" t="s">
        <v>736</v>
      </c>
      <c r="D3342" t="s">
        <v>38</v>
      </c>
      <c r="E3342" t="s">
        <v>39</v>
      </c>
      <c r="F3342" t="s">
        <v>33</v>
      </c>
      <c r="G3342">
        <v>5</v>
      </c>
      <c r="H3342">
        <v>3</v>
      </c>
      <c r="I3342">
        <v>15</v>
      </c>
      <c r="J3342" t="s">
        <v>23</v>
      </c>
      <c r="K3342" t="s">
        <v>24</v>
      </c>
      <c r="L3342">
        <v>71</v>
      </c>
      <c r="M3342">
        <v>81.108000000000004</v>
      </c>
      <c r="N3342">
        <v>82.448272000000003</v>
      </c>
      <c r="O3342">
        <v>28.277999999999999</v>
      </c>
      <c r="P3342">
        <v>31.370999999999999</v>
      </c>
      <c r="Q3342">
        <v>20.948</v>
      </c>
      <c r="R3342">
        <v>37</v>
      </c>
      <c r="S3342" t="s">
        <v>83</v>
      </c>
      <c r="T3342">
        <f>IF(TRIM(Table1[[#This Row],[PitStopLaps]])="",0,
LEN(Table1[[#This Row],[PitStopLaps]])-LEN(SUBSTITUTE(Table1[[#This Row],[PitStopLaps]],",",""))+1)</f>
        <v>1</v>
      </c>
      <c r="U3342">
        <f>Table1[[#This Row],[StartPosition]]-Table1[[#This Row],[FinishPosition]]</f>
        <v>2</v>
      </c>
    </row>
    <row r="3343" spans="1:21" x14ac:dyDescent="0.3">
      <c r="A3343">
        <v>2025</v>
      </c>
      <c r="B3343">
        <v>20</v>
      </c>
      <c r="C3343" t="s">
        <v>736</v>
      </c>
      <c r="D3343" t="s">
        <v>1180</v>
      </c>
      <c r="E3343" t="s">
        <v>1181</v>
      </c>
      <c r="F3343" t="s">
        <v>69</v>
      </c>
      <c r="G3343">
        <v>9</v>
      </c>
      <c r="H3343">
        <v>4</v>
      </c>
      <c r="I3343">
        <v>12</v>
      </c>
      <c r="J3343" t="s">
        <v>34</v>
      </c>
      <c r="K3343" t="s">
        <v>24</v>
      </c>
      <c r="L3343">
        <v>71</v>
      </c>
      <c r="M3343">
        <v>80.704999999999998</v>
      </c>
      <c r="N3343">
        <v>82.315093000000005</v>
      </c>
      <c r="O3343">
        <v>28.486000000000001</v>
      </c>
      <c r="P3343">
        <v>31.225999999999999</v>
      </c>
      <c r="Q3343">
        <v>20.777000000000001</v>
      </c>
      <c r="R3343" t="s">
        <v>1428</v>
      </c>
      <c r="S3343" t="s">
        <v>83</v>
      </c>
      <c r="T3343">
        <f>IF(TRIM(Table1[[#This Row],[PitStopLaps]])="",0,
LEN(Table1[[#This Row],[PitStopLaps]])-LEN(SUBSTITUTE(Table1[[#This Row],[PitStopLaps]],",",""))+1)</f>
        <v>2</v>
      </c>
      <c r="U3343">
        <f>Table1[[#This Row],[StartPosition]]-Table1[[#This Row],[FinishPosition]]</f>
        <v>5</v>
      </c>
    </row>
    <row r="3344" spans="1:21" x14ac:dyDescent="0.3">
      <c r="A3344">
        <v>2025</v>
      </c>
      <c r="B3344">
        <v>20</v>
      </c>
      <c r="C3344" t="s">
        <v>736</v>
      </c>
      <c r="D3344" t="s">
        <v>1000</v>
      </c>
      <c r="E3344" t="s">
        <v>1001</v>
      </c>
      <c r="F3344" t="s">
        <v>37</v>
      </c>
      <c r="G3344">
        <v>7</v>
      </c>
      <c r="H3344">
        <v>5</v>
      </c>
      <c r="I3344">
        <v>10</v>
      </c>
      <c r="J3344" t="s">
        <v>34</v>
      </c>
      <c r="K3344" t="s">
        <v>24</v>
      </c>
      <c r="L3344">
        <v>71</v>
      </c>
      <c r="M3344">
        <v>80.421999999999997</v>
      </c>
      <c r="N3344">
        <v>82.291796000000005</v>
      </c>
      <c r="O3344">
        <v>28.036999999999999</v>
      </c>
      <c r="P3344">
        <v>31.1</v>
      </c>
      <c r="Q3344">
        <v>20.71</v>
      </c>
      <c r="R3344" t="s">
        <v>978</v>
      </c>
      <c r="S3344" t="s">
        <v>83</v>
      </c>
      <c r="T3344">
        <f>IF(TRIM(Table1[[#This Row],[PitStopLaps]])="",0,
LEN(Table1[[#This Row],[PitStopLaps]])-LEN(SUBSTITUTE(Table1[[#This Row],[PitStopLaps]],",",""))+1)</f>
        <v>2</v>
      </c>
      <c r="U3344">
        <f>Table1[[#This Row],[StartPosition]]-Table1[[#This Row],[FinishPosition]]</f>
        <v>2</v>
      </c>
    </row>
    <row r="3345" spans="1:21" x14ac:dyDescent="0.3">
      <c r="A3345">
        <v>2025</v>
      </c>
      <c r="B3345">
        <v>20</v>
      </c>
      <c r="C3345" t="s">
        <v>736</v>
      </c>
      <c r="D3345" t="s">
        <v>1339</v>
      </c>
      <c r="E3345" t="s">
        <v>1325</v>
      </c>
      <c r="F3345" t="s">
        <v>28</v>
      </c>
      <c r="G3345">
        <v>6</v>
      </c>
      <c r="H3345">
        <v>6</v>
      </c>
      <c r="I3345">
        <v>8</v>
      </c>
      <c r="J3345" t="s">
        <v>34</v>
      </c>
      <c r="K3345" t="s">
        <v>24</v>
      </c>
      <c r="L3345">
        <v>71</v>
      </c>
      <c r="M3345">
        <v>80.825999999999993</v>
      </c>
      <c r="N3345">
        <v>82.376765000000006</v>
      </c>
      <c r="O3345">
        <v>28.350999999999999</v>
      </c>
      <c r="P3345">
        <v>31.390999999999998</v>
      </c>
      <c r="Q3345">
        <v>20.748999999999999</v>
      </c>
      <c r="R3345" t="s">
        <v>415</v>
      </c>
      <c r="S3345" t="s">
        <v>83</v>
      </c>
      <c r="T3345">
        <f>IF(TRIM(Table1[[#This Row],[PitStopLaps]])="",0,
LEN(Table1[[#This Row],[PitStopLaps]])-LEN(SUBSTITUTE(Table1[[#This Row],[PitStopLaps]],",",""))+1)</f>
        <v>2</v>
      </c>
      <c r="U3345">
        <f>Table1[[#This Row],[StartPosition]]-Table1[[#This Row],[FinishPosition]]</f>
        <v>0</v>
      </c>
    </row>
    <row r="3346" spans="1:21" x14ac:dyDescent="0.3">
      <c r="A3346">
        <v>2025</v>
      </c>
      <c r="B3346">
        <v>20</v>
      </c>
      <c r="C3346" t="s">
        <v>736</v>
      </c>
      <c r="D3346" t="s">
        <v>252</v>
      </c>
      <c r="E3346" t="s">
        <v>253</v>
      </c>
      <c r="F3346" t="s">
        <v>28</v>
      </c>
      <c r="G3346">
        <v>4</v>
      </c>
      <c r="H3346">
        <v>7</v>
      </c>
      <c r="I3346">
        <v>6</v>
      </c>
      <c r="J3346" t="s">
        <v>34</v>
      </c>
      <c r="K3346" t="s">
        <v>24</v>
      </c>
      <c r="L3346">
        <v>71</v>
      </c>
      <c r="M3346">
        <v>80.052000000000007</v>
      </c>
      <c r="N3346">
        <v>82.466967999999994</v>
      </c>
      <c r="O3346">
        <v>28.207999999999998</v>
      </c>
      <c r="P3346">
        <v>31.082000000000001</v>
      </c>
      <c r="Q3346">
        <v>20.587</v>
      </c>
      <c r="R3346" t="s">
        <v>234</v>
      </c>
      <c r="S3346" t="s">
        <v>83</v>
      </c>
      <c r="T3346">
        <f>IF(TRIM(Table1[[#This Row],[PitStopLaps]])="",0,
LEN(Table1[[#This Row],[PitStopLaps]])-LEN(SUBSTITUTE(Table1[[#This Row],[PitStopLaps]],",",""))+1)</f>
        <v>2</v>
      </c>
      <c r="U3346">
        <f>Table1[[#This Row],[StartPosition]]-Table1[[#This Row],[FinishPosition]]</f>
        <v>-3</v>
      </c>
    </row>
    <row r="3347" spans="1:21" x14ac:dyDescent="0.3">
      <c r="A3347">
        <v>2025</v>
      </c>
      <c r="B3347">
        <v>20</v>
      </c>
      <c r="C3347" t="s">
        <v>736</v>
      </c>
      <c r="D3347" t="s">
        <v>26</v>
      </c>
      <c r="E3347" t="s">
        <v>27</v>
      </c>
      <c r="F3347" t="s">
        <v>22</v>
      </c>
      <c r="G3347">
        <v>3</v>
      </c>
      <c r="H3347">
        <v>8</v>
      </c>
      <c r="I3347">
        <v>4</v>
      </c>
      <c r="J3347" t="s">
        <v>34</v>
      </c>
      <c r="K3347" t="s">
        <v>24</v>
      </c>
      <c r="L3347">
        <v>71</v>
      </c>
      <c r="M3347">
        <v>80.600999999999999</v>
      </c>
      <c r="N3347">
        <v>82.308374999999998</v>
      </c>
      <c r="O3347">
        <v>27.934999999999999</v>
      </c>
      <c r="P3347">
        <v>31.375</v>
      </c>
      <c r="Q3347">
        <v>20.902000000000001</v>
      </c>
      <c r="R3347" t="s">
        <v>947</v>
      </c>
      <c r="S3347" t="s">
        <v>83</v>
      </c>
      <c r="T3347">
        <f>IF(TRIM(Table1[[#This Row],[PitStopLaps]])="",0,
LEN(Table1[[#This Row],[PitStopLaps]])-LEN(SUBSTITUTE(Table1[[#This Row],[PitStopLaps]],",",""))+1)</f>
        <v>2</v>
      </c>
      <c r="U3347">
        <f>Table1[[#This Row],[StartPosition]]-Table1[[#This Row],[FinishPosition]]</f>
        <v>-5</v>
      </c>
    </row>
    <row r="3348" spans="1:21" x14ac:dyDescent="0.3">
      <c r="A3348">
        <v>2025</v>
      </c>
      <c r="B3348">
        <v>20</v>
      </c>
      <c r="C3348" t="s">
        <v>736</v>
      </c>
      <c r="D3348" t="s">
        <v>52</v>
      </c>
      <c r="E3348" t="s">
        <v>53</v>
      </c>
      <c r="F3348" t="s">
        <v>69</v>
      </c>
      <c r="G3348">
        <v>11</v>
      </c>
      <c r="H3348">
        <v>9</v>
      </c>
      <c r="I3348">
        <v>2</v>
      </c>
      <c r="J3348" t="s">
        <v>34</v>
      </c>
      <c r="K3348" t="s">
        <v>24</v>
      </c>
      <c r="L3348">
        <v>71</v>
      </c>
      <c r="M3348">
        <v>81.869</v>
      </c>
      <c r="N3348">
        <v>83.065848000000003</v>
      </c>
      <c r="O3348">
        <v>28.606000000000002</v>
      </c>
      <c r="P3348">
        <v>31.835000000000001</v>
      </c>
      <c r="Q3348">
        <v>21.097000000000001</v>
      </c>
      <c r="R3348">
        <v>27</v>
      </c>
      <c r="S3348" t="s">
        <v>83</v>
      </c>
      <c r="T3348">
        <f>IF(TRIM(Table1[[#This Row],[PitStopLaps]])="",0,
LEN(Table1[[#This Row],[PitStopLaps]])-LEN(SUBSTITUTE(Table1[[#This Row],[PitStopLaps]],",",""))+1)</f>
        <v>1</v>
      </c>
      <c r="U3348">
        <f>Table1[[#This Row],[StartPosition]]-Table1[[#This Row],[FinishPosition]]</f>
        <v>2</v>
      </c>
    </row>
    <row r="3349" spans="1:21" x14ac:dyDescent="0.3">
      <c r="A3349">
        <v>2025</v>
      </c>
      <c r="B3349">
        <v>20</v>
      </c>
      <c r="C3349" t="s">
        <v>736</v>
      </c>
      <c r="D3349" t="s">
        <v>1334</v>
      </c>
      <c r="E3349" t="s">
        <v>1335</v>
      </c>
      <c r="F3349" t="s">
        <v>1175</v>
      </c>
      <c r="G3349">
        <v>16</v>
      </c>
      <c r="H3349">
        <v>10</v>
      </c>
      <c r="I3349">
        <v>1</v>
      </c>
      <c r="J3349" t="s">
        <v>34</v>
      </c>
      <c r="K3349" t="s">
        <v>24</v>
      </c>
      <c r="L3349">
        <v>71</v>
      </c>
      <c r="M3349">
        <v>81.120999999999995</v>
      </c>
      <c r="N3349">
        <v>83.113257000000004</v>
      </c>
      <c r="O3349">
        <v>28.44</v>
      </c>
      <c r="P3349">
        <v>31.28</v>
      </c>
      <c r="Q3349">
        <v>20.949000000000002</v>
      </c>
      <c r="R3349">
        <v>37</v>
      </c>
      <c r="S3349" t="s">
        <v>83</v>
      </c>
      <c r="T3349">
        <f>IF(TRIM(Table1[[#This Row],[PitStopLaps]])="",0,
LEN(Table1[[#This Row],[PitStopLaps]])-LEN(SUBSTITUTE(Table1[[#This Row],[PitStopLaps]],",",""))+1)</f>
        <v>1</v>
      </c>
      <c r="U3349">
        <f>Table1[[#This Row],[StartPosition]]-Table1[[#This Row],[FinishPosition]]</f>
        <v>6</v>
      </c>
    </row>
    <row r="3350" spans="1:21" x14ac:dyDescent="0.3">
      <c r="A3350">
        <v>2025</v>
      </c>
      <c r="B3350">
        <v>20</v>
      </c>
      <c r="C3350" t="s">
        <v>736</v>
      </c>
      <c r="D3350" t="s">
        <v>601</v>
      </c>
      <c r="E3350" t="s">
        <v>602</v>
      </c>
      <c r="F3350" t="s">
        <v>33</v>
      </c>
      <c r="G3350">
        <v>10</v>
      </c>
      <c r="H3350">
        <v>11</v>
      </c>
      <c r="I3350">
        <v>0</v>
      </c>
      <c r="J3350" t="s">
        <v>34</v>
      </c>
      <c r="K3350" t="s">
        <v>24</v>
      </c>
      <c r="L3350">
        <v>71</v>
      </c>
      <c r="M3350">
        <v>81.486000000000004</v>
      </c>
      <c r="N3350">
        <v>83.006439</v>
      </c>
      <c r="O3350">
        <v>28.684000000000001</v>
      </c>
      <c r="P3350">
        <v>31.579000000000001</v>
      </c>
      <c r="Q3350">
        <v>21.152000000000001</v>
      </c>
      <c r="R3350">
        <v>36</v>
      </c>
      <c r="S3350" t="s">
        <v>83</v>
      </c>
      <c r="T3350">
        <f>IF(TRIM(Table1[[#This Row],[PitStopLaps]])="",0,
LEN(Table1[[#This Row],[PitStopLaps]])-LEN(SUBSTITUTE(Table1[[#This Row],[PitStopLaps]],",",""))+1)</f>
        <v>1</v>
      </c>
      <c r="U3350">
        <f>Table1[[#This Row],[StartPosition]]-Table1[[#This Row],[FinishPosition]]</f>
        <v>-1</v>
      </c>
    </row>
    <row r="3351" spans="1:21" x14ac:dyDescent="0.3">
      <c r="A3351">
        <v>2025</v>
      </c>
      <c r="B3351">
        <v>20</v>
      </c>
      <c r="C3351" t="s">
        <v>736</v>
      </c>
      <c r="D3351" t="s">
        <v>248</v>
      </c>
      <c r="E3351" t="s">
        <v>249</v>
      </c>
      <c r="F3351" t="s">
        <v>60</v>
      </c>
      <c r="G3351">
        <v>17</v>
      </c>
      <c r="H3351">
        <v>12</v>
      </c>
      <c r="I3351">
        <v>0</v>
      </c>
      <c r="J3351" t="s">
        <v>34</v>
      </c>
      <c r="K3351" t="s">
        <v>994</v>
      </c>
      <c r="L3351">
        <v>70</v>
      </c>
      <c r="M3351">
        <v>80.48</v>
      </c>
      <c r="N3351">
        <v>83.186784000000003</v>
      </c>
      <c r="O3351">
        <v>28.385999999999999</v>
      </c>
      <c r="P3351">
        <v>31.27</v>
      </c>
      <c r="Q3351">
        <v>20.706</v>
      </c>
      <c r="R3351">
        <v>41</v>
      </c>
      <c r="S3351" t="s">
        <v>83</v>
      </c>
      <c r="T3351">
        <f>IF(TRIM(Table1[[#This Row],[PitStopLaps]])="",0,
LEN(Table1[[#This Row],[PitStopLaps]])-LEN(SUBSTITUTE(Table1[[#This Row],[PitStopLaps]],",",""))+1)</f>
        <v>1</v>
      </c>
      <c r="U3351">
        <f>Table1[[#This Row],[StartPosition]]-Table1[[#This Row],[FinishPosition]]</f>
        <v>5</v>
      </c>
    </row>
    <row r="3352" spans="1:21" x14ac:dyDescent="0.3">
      <c r="A3352">
        <v>2025</v>
      </c>
      <c r="B3352">
        <v>20</v>
      </c>
      <c r="C3352" t="s">
        <v>736</v>
      </c>
      <c r="D3352" t="s">
        <v>1337</v>
      </c>
      <c r="E3352" t="s">
        <v>1338</v>
      </c>
      <c r="F3352" t="s">
        <v>1330</v>
      </c>
      <c r="G3352">
        <v>8</v>
      </c>
      <c r="H3352">
        <v>13</v>
      </c>
      <c r="I3352">
        <v>0</v>
      </c>
      <c r="J3352" t="s">
        <v>34</v>
      </c>
      <c r="K3352" t="s">
        <v>994</v>
      </c>
      <c r="L3352">
        <v>70</v>
      </c>
      <c r="M3352">
        <v>81.713999999999999</v>
      </c>
      <c r="N3352">
        <v>83.259260999999995</v>
      </c>
      <c r="O3352">
        <v>28.681000000000001</v>
      </c>
      <c r="P3352">
        <v>31.559000000000001</v>
      </c>
      <c r="Q3352">
        <v>20.978000000000002</v>
      </c>
      <c r="R3352">
        <v>34</v>
      </c>
      <c r="S3352" t="s">
        <v>83</v>
      </c>
      <c r="T3352">
        <f>IF(TRIM(Table1[[#This Row],[PitStopLaps]])="",0,
LEN(Table1[[#This Row],[PitStopLaps]])-LEN(SUBSTITUTE(Table1[[#This Row],[PitStopLaps]],",",""))+1)</f>
        <v>1</v>
      </c>
      <c r="U3352">
        <f>Table1[[#This Row],[StartPosition]]-Table1[[#This Row],[FinishPosition]]</f>
        <v>-5</v>
      </c>
    </row>
    <row r="3353" spans="1:21" x14ac:dyDescent="0.3">
      <c r="A3353">
        <v>2025</v>
      </c>
      <c r="B3353">
        <v>20</v>
      </c>
      <c r="C3353" t="s">
        <v>736</v>
      </c>
      <c r="D3353" t="s">
        <v>58</v>
      </c>
      <c r="E3353" t="s">
        <v>59</v>
      </c>
      <c r="F3353" t="s">
        <v>603</v>
      </c>
      <c r="G3353">
        <v>19</v>
      </c>
      <c r="H3353">
        <v>14</v>
      </c>
      <c r="I3353">
        <v>0</v>
      </c>
      <c r="J3353" t="s">
        <v>34</v>
      </c>
      <c r="K3353" t="s">
        <v>994</v>
      </c>
      <c r="L3353">
        <v>70</v>
      </c>
      <c r="M3353">
        <v>80.593000000000004</v>
      </c>
      <c r="N3353">
        <v>82.857619</v>
      </c>
      <c r="O3353">
        <v>28.175000000000001</v>
      </c>
      <c r="P3353">
        <v>31.506</v>
      </c>
      <c r="Q3353">
        <v>20.911999999999999</v>
      </c>
      <c r="R3353" t="s">
        <v>1231</v>
      </c>
      <c r="S3353" t="s">
        <v>83</v>
      </c>
      <c r="T3353">
        <f>IF(TRIM(Table1[[#This Row],[PitStopLaps]])="",0,
LEN(Table1[[#This Row],[PitStopLaps]])-LEN(SUBSTITUTE(Table1[[#This Row],[PitStopLaps]],",",""))+1)</f>
        <v>2</v>
      </c>
      <c r="U3353">
        <f>Table1[[#This Row],[StartPosition]]-Table1[[#This Row],[FinishPosition]]</f>
        <v>5</v>
      </c>
    </row>
    <row r="3354" spans="1:21" x14ac:dyDescent="0.3">
      <c r="A3354">
        <v>2025</v>
      </c>
      <c r="B3354">
        <v>20</v>
      </c>
      <c r="C3354" t="s">
        <v>736</v>
      </c>
      <c r="D3354" t="s">
        <v>73</v>
      </c>
      <c r="E3354" t="s">
        <v>74</v>
      </c>
      <c r="F3354" t="s">
        <v>607</v>
      </c>
      <c r="G3354">
        <v>18</v>
      </c>
      <c r="H3354">
        <v>15</v>
      </c>
      <c r="I3354">
        <v>0</v>
      </c>
      <c r="J3354" t="s">
        <v>34</v>
      </c>
      <c r="K3354" t="s">
        <v>994</v>
      </c>
      <c r="L3354">
        <v>70</v>
      </c>
      <c r="M3354">
        <v>82.271000000000001</v>
      </c>
      <c r="N3354">
        <v>83.773399999999995</v>
      </c>
      <c r="O3354">
        <v>28.98</v>
      </c>
      <c r="P3354">
        <v>31.882000000000001</v>
      </c>
      <c r="Q3354">
        <v>21.274000000000001</v>
      </c>
      <c r="R3354">
        <v>33</v>
      </c>
      <c r="S3354" t="s">
        <v>83</v>
      </c>
      <c r="T3354">
        <f>IF(TRIM(Table1[[#This Row],[PitStopLaps]])="",0,
LEN(Table1[[#This Row],[PitStopLaps]])-LEN(SUBSTITUTE(Table1[[#This Row],[PitStopLaps]],",",""))+1)</f>
        <v>1</v>
      </c>
      <c r="U3354">
        <f>Table1[[#This Row],[StartPosition]]-Table1[[#This Row],[FinishPosition]]</f>
        <v>3</v>
      </c>
    </row>
    <row r="3355" spans="1:21" x14ac:dyDescent="0.3">
      <c r="A3355">
        <v>2025</v>
      </c>
      <c r="B3355">
        <v>20</v>
      </c>
      <c r="C3355" t="s">
        <v>736</v>
      </c>
      <c r="D3355" t="s">
        <v>1283</v>
      </c>
      <c r="E3355" t="s">
        <v>1284</v>
      </c>
      <c r="F3355" t="s">
        <v>607</v>
      </c>
      <c r="G3355">
        <v>20</v>
      </c>
      <c r="H3355">
        <v>16</v>
      </c>
      <c r="I3355">
        <v>0</v>
      </c>
      <c r="J3355" t="s">
        <v>34</v>
      </c>
      <c r="K3355" t="s">
        <v>994</v>
      </c>
      <c r="L3355">
        <v>70</v>
      </c>
      <c r="M3355">
        <v>81.341999999999999</v>
      </c>
      <c r="N3355">
        <v>83.732506999999998</v>
      </c>
      <c r="O3355">
        <v>28.707999999999998</v>
      </c>
      <c r="P3355">
        <v>31.547999999999998</v>
      </c>
      <c r="Q3355">
        <v>21.038</v>
      </c>
      <c r="R3355">
        <v>48</v>
      </c>
      <c r="S3355" t="s">
        <v>83</v>
      </c>
      <c r="T3355">
        <f>IF(TRIM(Table1[[#This Row],[PitStopLaps]])="",0,
LEN(Table1[[#This Row],[PitStopLaps]])-LEN(SUBSTITUTE(Table1[[#This Row],[PitStopLaps]],",",""))+1)</f>
        <v>1</v>
      </c>
      <c r="U3355">
        <f>Table1[[#This Row],[StartPosition]]-Table1[[#This Row],[FinishPosition]]</f>
        <v>4</v>
      </c>
    </row>
    <row r="3356" spans="1:21" x14ac:dyDescent="0.3">
      <c r="A3356">
        <v>2025</v>
      </c>
      <c r="B3356">
        <v>20</v>
      </c>
      <c r="C3356" t="s">
        <v>736</v>
      </c>
      <c r="D3356" t="s">
        <v>47</v>
      </c>
      <c r="E3356" t="s">
        <v>48</v>
      </c>
      <c r="F3356" t="s">
        <v>60</v>
      </c>
      <c r="G3356">
        <v>12</v>
      </c>
      <c r="H3356">
        <v>17</v>
      </c>
      <c r="I3356">
        <v>0</v>
      </c>
      <c r="J3356" t="s">
        <v>34</v>
      </c>
      <c r="K3356" t="s">
        <v>179</v>
      </c>
      <c r="L3356">
        <v>68</v>
      </c>
      <c r="M3356">
        <v>80.097999999999999</v>
      </c>
      <c r="N3356">
        <v>82.622583000000006</v>
      </c>
      <c r="O3356">
        <v>28.047999999999998</v>
      </c>
      <c r="P3356">
        <v>31.222999999999999</v>
      </c>
      <c r="Q3356">
        <v>20.638000000000002</v>
      </c>
      <c r="R3356" t="s">
        <v>1429</v>
      </c>
      <c r="S3356" t="s">
        <v>83</v>
      </c>
      <c r="T3356">
        <f>IF(TRIM(Table1[[#This Row],[PitStopLaps]])="",0,
LEN(Table1[[#This Row],[PitStopLaps]])-LEN(SUBSTITUTE(Table1[[#This Row],[PitStopLaps]],",",""))+1)</f>
        <v>3</v>
      </c>
      <c r="U3356">
        <f>Table1[[#This Row],[StartPosition]]-Table1[[#This Row],[FinishPosition]]</f>
        <v>-5</v>
      </c>
    </row>
    <row r="3357" spans="1:21" x14ac:dyDescent="0.3">
      <c r="A3357">
        <v>2025</v>
      </c>
      <c r="B3357">
        <v>20</v>
      </c>
      <c r="C3357" t="s">
        <v>736</v>
      </c>
      <c r="D3357" t="s">
        <v>35</v>
      </c>
      <c r="E3357" t="s">
        <v>36</v>
      </c>
      <c r="F3357" t="s">
        <v>603</v>
      </c>
      <c r="G3357">
        <v>14</v>
      </c>
      <c r="H3357">
        <v>18</v>
      </c>
      <c r="I3357">
        <v>0</v>
      </c>
      <c r="J3357" t="s">
        <v>34</v>
      </c>
      <c r="K3357" t="s">
        <v>179</v>
      </c>
      <c r="L3357">
        <v>34</v>
      </c>
      <c r="M3357">
        <v>81.707999999999998</v>
      </c>
      <c r="N3357">
        <v>83.481233000000003</v>
      </c>
      <c r="O3357">
        <v>28.699000000000002</v>
      </c>
      <c r="P3357">
        <v>31.652999999999999</v>
      </c>
      <c r="Q3357">
        <v>21.085999999999999</v>
      </c>
      <c r="R3357" t="s">
        <v>1430</v>
      </c>
      <c r="S3357" t="s">
        <v>83</v>
      </c>
      <c r="T3357">
        <f>IF(TRIM(Table1[[#This Row],[PitStopLaps]])="",0,
LEN(Table1[[#This Row],[PitStopLaps]])-LEN(SUBSTITUTE(Table1[[#This Row],[PitStopLaps]],",",""))+1)</f>
        <v>2</v>
      </c>
      <c r="U3357">
        <f>Table1[[#This Row],[StartPosition]]-Table1[[#This Row],[FinishPosition]]</f>
        <v>-4</v>
      </c>
    </row>
    <row r="3358" spans="1:21" x14ac:dyDescent="0.3">
      <c r="A3358">
        <v>2025</v>
      </c>
      <c r="B3358">
        <v>20</v>
      </c>
      <c r="C3358" t="s">
        <v>736</v>
      </c>
      <c r="D3358" t="s">
        <v>40</v>
      </c>
      <c r="E3358" t="s">
        <v>41</v>
      </c>
      <c r="F3358" t="s">
        <v>1175</v>
      </c>
      <c r="G3358">
        <v>13</v>
      </c>
      <c r="H3358">
        <v>19</v>
      </c>
      <c r="I3358">
        <v>0</v>
      </c>
      <c r="J3358" t="s">
        <v>34</v>
      </c>
      <c r="K3358" t="s">
        <v>179</v>
      </c>
      <c r="L3358">
        <v>25</v>
      </c>
      <c r="M3358">
        <v>83.090999999999994</v>
      </c>
      <c r="N3358">
        <v>84.407391000000004</v>
      </c>
      <c r="O3358">
        <v>28.817</v>
      </c>
      <c r="P3358">
        <v>32.18</v>
      </c>
      <c r="Q3358">
        <v>21.388000000000002</v>
      </c>
      <c r="R3358">
        <v>25</v>
      </c>
      <c r="S3358" t="s">
        <v>83</v>
      </c>
      <c r="T3358">
        <f>IF(TRIM(Table1[[#This Row],[PitStopLaps]])="",0,
LEN(Table1[[#This Row],[PitStopLaps]])-LEN(SUBSTITUTE(Table1[[#This Row],[PitStopLaps]],",",""))+1)</f>
        <v>1</v>
      </c>
      <c r="U3358">
        <f>Table1[[#This Row],[StartPosition]]-Table1[[#This Row],[FinishPosition]]</f>
        <v>-6</v>
      </c>
    </row>
    <row r="3359" spans="1:21" x14ac:dyDescent="0.3">
      <c r="A3359">
        <v>2025</v>
      </c>
      <c r="B3359">
        <v>20</v>
      </c>
      <c r="C3359" t="s">
        <v>736</v>
      </c>
      <c r="D3359" t="s">
        <v>1092</v>
      </c>
      <c r="E3359" t="s">
        <v>1093</v>
      </c>
      <c r="F3359" t="s">
        <v>1330</v>
      </c>
      <c r="G3359">
        <v>15</v>
      </c>
      <c r="H3359">
        <v>20</v>
      </c>
      <c r="I3359">
        <v>0</v>
      </c>
      <c r="J3359" t="s">
        <v>34</v>
      </c>
      <c r="K3359" t="s">
        <v>179</v>
      </c>
      <c r="L3359">
        <v>5</v>
      </c>
      <c r="M3359">
        <v>85.123999999999995</v>
      </c>
      <c r="N3359">
        <v>85.123999999999995</v>
      </c>
      <c r="O3359">
        <v>29.989000000000001</v>
      </c>
      <c r="P3359">
        <v>33.155999999999999</v>
      </c>
      <c r="Q3359">
        <v>21.978999999999999</v>
      </c>
      <c r="R3359" t="s">
        <v>959</v>
      </c>
      <c r="S3359" t="s">
        <v>83</v>
      </c>
      <c r="T3359">
        <f>IF(TRIM(Table1[[#This Row],[PitStopLaps]])="",0,
LEN(Table1[[#This Row],[PitStopLaps]])-LEN(SUBSTITUTE(Table1[[#This Row],[PitStopLaps]],",",""))+1)</f>
        <v>2</v>
      </c>
      <c r="U3359">
        <f>Table1[[#This Row],[StartPosition]]-Table1[[#This Row],[FinishPosition]]</f>
        <v>-5</v>
      </c>
    </row>
    <row r="3360" spans="1:21" x14ac:dyDescent="0.3">
      <c r="A3360">
        <v>2025</v>
      </c>
      <c r="B3360">
        <v>21</v>
      </c>
      <c r="C3360" t="s">
        <v>741</v>
      </c>
      <c r="D3360" t="s">
        <v>246</v>
      </c>
      <c r="E3360" t="s">
        <v>247</v>
      </c>
      <c r="F3360" t="s">
        <v>37</v>
      </c>
      <c r="G3360">
        <v>1</v>
      </c>
      <c r="H3360">
        <v>1</v>
      </c>
      <c r="I3360">
        <v>25</v>
      </c>
      <c r="J3360" t="s">
        <v>23</v>
      </c>
      <c r="K3360" t="s">
        <v>24</v>
      </c>
      <c r="L3360">
        <v>71</v>
      </c>
      <c r="M3360">
        <v>73.040000000000006</v>
      </c>
      <c r="N3360">
        <v>74.145332999999994</v>
      </c>
      <c r="O3360">
        <v>18.72</v>
      </c>
      <c r="P3360">
        <v>37.302999999999997</v>
      </c>
      <c r="Q3360">
        <v>16.806999999999999</v>
      </c>
      <c r="R3360" t="s">
        <v>1431</v>
      </c>
      <c r="S3360" t="s">
        <v>83</v>
      </c>
      <c r="T3360">
        <f>IF(TRIM(Table1[[#This Row],[PitStopLaps]])="",0,
LEN(Table1[[#This Row],[PitStopLaps]])-LEN(SUBSTITUTE(Table1[[#This Row],[PitStopLaps]],",",""))+1)</f>
        <v>2</v>
      </c>
      <c r="U3360">
        <f>Table1[[#This Row],[StartPosition]]-Table1[[#This Row],[FinishPosition]]</f>
        <v>0</v>
      </c>
    </row>
    <row r="3361" spans="1:21" x14ac:dyDescent="0.3">
      <c r="A3361">
        <v>2025</v>
      </c>
      <c r="B3361">
        <v>21</v>
      </c>
      <c r="C3361" t="s">
        <v>741</v>
      </c>
      <c r="D3361" t="s">
        <v>1339</v>
      </c>
      <c r="E3361" t="s">
        <v>1325</v>
      </c>
      <c r="F3361" t="s">
        <v>28</v>
      </c>
      <c r="G3361">
        <v>2</v>
      </c>
      <c r="H3361">
        <v>2</v>
      </c>
      <c r="I3361">
        <v>18</v>
      </c>
      <c r="J3361" t="s">
        <v>23</v>
      </c>
      <c r="K3361" t="s">
        <v>24</v>
      </c>
      <c r="L3361">
        <v>71</v>
      </c>
      <c r="M3361">
        <v>73.123000000000005</v>
      </c>
      <c r="N3361">
        <v>74.287165999999999</v>
      </c>
      <c r="O3361">
        <v>18.734999999999999</v>
      </c>
      <c r="P3361">
        <v>37.459000000000003</v>
      </c>
      <c r="Q3361">
        <v>16.798999999999999</v>
      </c>
      <c r="R3361" t="s">
        <v>416</v>
      </c>
      <c r="S3361" t="s">
        <v>83</v>
      </c>
      <c r="T3361">
        <f>IF(TRIM(Table1[[#This Row],[PitStopLaps]])="",0,
LEN(Table1[[#This Row],[PitStopLaps]])-LEN(SUBSTITUTE(Table1[[#This Row],[PitStopLaps]],",",""))+1)</f>
        <v>2</v>
      </c>
      <c r="U3361">
        <f>Table1[[#This Row],[StartPosition]]-Table1[[#This Row],[FinishPosition]]</f>
        <v>0</v>
      </c>
    </row>
    <row r="3362" spans="1:21" x14ac:dyDescent="0.3">
      <c r="A3362">
        <v>2025</v>
      </c>
      <c r="B3362">
        <v>21</v>
      </c>
      <c r="C3362" t="s">
        <v>741</v>
      </c>
      <c r="D3362" t="s">
        <v>38</v>
      </c>
      <c r="E3362" t="s">
        <v>39</v>
      </c>
      <c r="F3362" t="s">
        <v>33</v>
      </c>
      <c r="G3362">
        <v>19</v>
      </c>
      <c r="H3362">
        <v>3</v>
      </c>
      <c r="I3362">
        <v>15</v>
      </c>
      <c r="J3362" t="s">
        <v>23</v>
      </c>
      <c r="K3362" t="s">
        <v>24</v>
      </c>
      <c r="L3362">
        <v>71</v>
      </c>
      <c r="M3362">
        <v>72.447000000000003</v>
      </c>
      <c r="N3362">
        <v>74.181749999999994</v>
      </c>
      <c r="O3362">
        <v>18.492000000000001</v>
      </c>
      <c r="P3362">
        <v>37.231999999999999</v>
      </c>
      <c r="Q3362">
        <v>16.603999999999999</v>
      </c>
      <c r="R3362" t="s">
        <v>1432</v>
      </c>
      <c r="S3362" t="s">
        <v>83</v>
      </c>
      <c r="T3362">
        <f>IF(TRIM(Table1[[#This Row],[PitStopLaps]])="",0,
LEN(Table1[[#This Row],[PitStopLaps]])-LEN(SUBSTITUTE(Table1[[#This Row],[PitStopLaps]],",",""))+1)</f>
        <v>3</v>
      </c>
      <c r="U3362">
        <f>Table1[[#This Row],[StartPosition]]-Table1[[#This Row],[FinishPosition]]</f>
        <v>16</v>
      </c>
    </row>
    <row r="3363" spans="1:21" x14ac:dyDescent="0.3">
      <c r="A3363">
        <v>2025</v>
      </c>
      <c r="B3363">
        <v>21</v>
      </c>
      <c r="C3363" t="s">
        <v>741</v>
      </c>
      <c r="D3363" t="s">
        <v>252</v>
      </c>
      <c r="E3363" t="s">
        <v>253</v>
      </c>
      <c r="F3363" t="s">
        <v>28</v>
      </c>
      <c r="G3363">
        <v>6</v>
      </c>
      <c r="H3363">
        <v>4</v>
      </c>
      <c r="I3363">
        <v>12</v>
      </c>
      <c r="J3363" t="s">
        <v>34</v>
      </c>
      <c r="K3363" t="s">
        <v>24</v>
      </c>
      <c r="L3363">
        <v>71</v>
      </c>
      <c r="M3363">
        <v>73.096999999999994</v>
      </c>
      <c r="N3363">
        <v>74.425415999999998</v>
      </c>
      <c r="O3363">
        <v>18.684999999999999</v>
      </c>
      <c r="P3363">
        <v>37.625999999999998</v>
      </c>
      <c r="Q3363">
        <v>16.536000000000001</v>
      </c>
      <c r="R3363" t="s">
        <v>1433</v>
      </c>
      <c r="S3363" t="s">
        <v>83</v>
      </c>
      <c r="T3363">
        <f>IF(TRIM(Table1[[#This Row],[PitStopLaps]])="",0,
LEN(Table1[[#This Row],[PitStopLaps]])-LEN(SUBSTITUTE(Table1[[#This Row],[PitStopLaps]],",",""))+1)</f>
        <v>2</v>
      </c>
      <c r="U3363">
        <f>Table1[[#This Row],[StartPosition]]-Table1[[#This Row],[FinishPosition]]</f>
        <v>2</v>
      </c>
    </row>
    <row r="3364" spans="1:21" x14ac:dyDescent="0.3">
      <c r="A3364">
        <v>2025</v>
      </c>
      <c r="B3364">
        <v>21</v>
      </c>
      <c r="C3364" t="s">
        <v>741</v>
      </c>
      <c r="D3364" t="s">
        <v>1000</v>
      </c>
      <c r="E3364" t="s">
        <v>1001</v>
      </c>
      <c r="F3364" t="s">
        <v>37</v>
      </c>
      <c r="G3364">
        <v>4</v>
      </c>
      <c r="H3364">
        <v>5</v>
      </c>
      <c r="I3364">
        <v>10</v>
      </c>
      <c r="J3364" t="s">
        <v>34</v>
      </c>
      <c r="K3364" t="s">
        <v>24</v>
      </c>
      <c r="L3364">
        <v>71</v>
      </c>
      <c r="M3364">
        <v>72.742000000000004</v>
      </c>
      <c r="N3364">
        <v>74.230565999999996</v>
      </c>
      <c r="O3364">
        <v>18.614999999999998</v>
      </c>
      <c r="P3364">
        <v>37.308</v>
      </c>
      <c r="Q3364">
        <v>16.581</v>
      </c>
      <c r="R3364" t="s">
        <v>1434</v>
      </c>
      <c r="S3364" t="s">
        <v>83</v>
      </c>
      <c r="T3364">
        <f>IF(TRIM(Table1[[#This Row],[PitStopLaps]])="",0,
LEN(Table1[[#This Row],[PitStopLaps]])-LEN(SUBSTITUTE(Table1[[#This Row],[PitStopLaps]],",",""))+1)</f>
        <v>2</v>
      </c>
      <c r="U3364">
        <f>Table1[[#This Row],[StartPosition]]-Table1[[#This Row],[FinishPosition]]</f>
        <v>-1</v>
      </c>
    </row>
    <row r="3365" spans="1:21" x14ac:dyDescent="0.3">
      <c r="A3365">
        <v>2025</v>
      </c>
      <c r="B3365">
        <v>21</v>
      </c>
      <c r="C3365" t="s">
        <v>741</v>
      </c>
      <c r="D3365" t="s">
        <v>1180</v>
      </c>
      <c r="E3365" t="s">
        <v>1181</v>
      </c>
      <c r="F3365" t="s">
        <v>69</v>
      </c>
      <c r="G3365">
        <v>8</v>
      </c>
      <c r="H3365">
        <v>6</v>
      </c>
      <c r="I3365">
        <v>8</v>
      </c>
      <c r="J3365" t="s">
        <v>34</v>
      </c>
      <c r="K3365" t="s">
        <v>24</v>
      </c>
      <c r="L3365">
        <v>71</v>
      </c>
      <c r="M3365">
        <v>73.483000000000004</v>
      </c>
      <c r="N3365">
        <v>74.59675</v>
      </c>
      <c r="O3365">
        <v>18.856000000000002</v>
      </c>
      <c r="P3365">
        <v>37.670999999999999</v>
      </c>
      <c r="Q3365">
        <v>16.727</v>
      </c>
      <c r="R3365" t="s">
        <v>518</v>
      </c>
      <c r="S3365" t="s">
        <v>83</v>
      </c>
      <c r="T3365">
        <f>IF(TRIM(Table1[[#This Row],[PitStopLaps]])="",0,
LEN(Table1[[#This Row],[PitStopLaps]])-LEN(SUBSTITUTE(Table1[[#This Row],[PitStopLaps]],",",""))+1)</f>
        <v>2</v>
      </c>
      <c r="U3365">
        <f>Table1[[#This Row],[StartPosition]]-Table1[[#This Row],[FinishPosition]]</f>
        <v>2</v>
      </c>
    </row>
    <row r="3366" spans="1:21" x14ac:dyDescent="0.3">
      <c r="A3366">
        <v>2025</v>
      </c>
      <c r="B3366">
        <v>21</v>
      </c>
      <c r="C3366" t="s">
        <v>741</v>
      </c>
      <c r="D3366" t="s">
        <v>1092</v>
      </c>
      <c r="E3366" t="s">
        <v>1093</v>
      </c>
      <c r="F3366" t="s">
        <v>1330</v>
      </c>
      <c r="G3366">
        <v>7</v>
      </c>
      <c r="H3366">
        <v>7</v>
      </c>
      <c r="I3366">
        <v>6</v>
      </c>
      <c r="J3366" t="s">
        <v>34</v>
      </c>
      <c r="K3366" t="s">
        <v>24</v>
      </c>
      <c r="L3366">
        <v>71</v>
      </c>
      <c r="M3366">
        <v>74.028999999999996</v>
      </c>
      <c r="N3366">
        <v>75.327918999999994</v>
      </c>
      <c r="O3366">
        <v>18.937000000000001</v>
      </c>
      <c r="P3366">
        <v>38.076999999999998</v>
      </c>
      <c r="Q3366">
        <v>16.814</v>
      </c>
      <c r="R3366">
        <v>19</v>
      </c>
      <c r="S3366" t="s">
        <v>83</v>
      </c>
      <c r="T3366">
        <f>IF(TRIM(Table1[[#This Row],[PitStopLaps]])="",0,
LEN(Table1[[#This Row],[PitStopLaps]])-LEN(SUBSTITUTE(Table1[[#This Row],[PitStopLaps]],",",""))+1)</f>
        <v>1</v>
      </c>
      <c r="U3366">
        <f>Table1[[#This Row],[StartPosition]]-Table1[[#This Row],[FinishPosition]]</f>
        <v>0</v>
      </c>
    </row>
    <row r="3367" spans="1:21" x14ac:dyDescent="0.3">
      <c r="A3367">
        <v>2025</v>
      </c>
      <c r="B3367">
        <v>21</v>
      </c>
      <c r="C3367" t="s">
        <v>741</v>
      </c>
      <c r="D3367" t="s">
        <v>1337</v>
      </c>
      <c r="E3367" t="s">
        <v>1338</v>
      </c>
      <c r="F3367" t="s">
        <v>1330</v>
      </c>
      <c r="G3367">
        <v>5</v>
      </c>
      <c r="H3367">
        <v>8</v>
      </c>
      <c r="I3367">
        <v>4</v>
      </c>
      <c r="J3367" t="s">
        <v>34</v>
      </c>
      <c r="K3367" t="s">
        <v>24</v>
      </c>
      <c r="L3367">
        <v>71</v>
      </c>
      <c r="M3367">
        <v>73.694000000000003</v>
      </c>
      <c r="N3367">
        <v>74.971000000000004</v>
      </c>
      <c r="O3367">
        <v>18.768000000000001</v>
      </c>
      <c r="P3367">
        <v>38.052</v>
      </c>
      <c r="Q3367">
        <v>16.78</v>
      </c>
      <c r="R3367" t="s">
        <v>1132</v>
      </c>
      <c r="S3367" t="s">
        <v>83</v>
      </c>
      <c r="T3367">
        <f>IF(TRIM(Table1[[#This Row],[PitStopLaps]])="",0,
LEN(Table1[[#This Row],[PitStopLaps]])-LEN(SUBSTITUTE(Table1[[#This Row],[PitStopLaps]],",",""))+1)</f>
        <v>2</v>
      </c>
      <c r="U3367">
        <f>Table1[[#This Row],[StartPosition]]-Table1[[#This Row],[FinishPosition]]</f>
        <v>-3</v>
      </c>
    </row>
    <row r="3368" spans="1:21" x14ac:dyDescent="0.3">
      <c r="A3368">
        <v>2025</v>
      </c>
      <c r="B3368">
        <v>21</v>
      </c>
      <c r="C3368" t="s">
        <v>741</v>
      </c>
      <c r="D3368" t="s">
        <v>40</v>
      </c>
      <c r="E3368" t="s">
        <v>41</v>
      </c>
      <c r="F3368" t="s">
        <v>1175</v>
      </c>
      <c r="G3368">
        <v>10</v>
      </c>
      <c r="H3368">
        <v>9</v>
      </c>
      <c r="I3368">
        <v>2</v>
      </c>
      <c r="J3368" t="s">
        <v>34</v>
      </c>
      <c r="K3368" t="s">
        <v>24</v>
      </c>
      <c r="L3368">
        <v>71</v>
      </c>
      <c r="M3368">
        <v>73.474000000000004</v>
      </c>
      <c r="N3368">
        <v>75.318854000000002</v>
      </c>
      <c r="O3368">
        <v>18.8</v>
      </c>
      <c r="P3368">
        <v>37.770000000000003</v>
      </c>
      <c r="Q3368">
        <v>16.759</v>
      </c>
      <c r="R3368">
        <v>36</v>
      </c>
      <c r="S3368" t="s">
        <v>83</v>
      </c>
      <c r="T3368">
        <f>IF(TRIM(Table1[[#This Row],[PitStopLaps]])="",0,
LEN(Table1[[#This Row],[PitStopLaps]])-LEN(SUBSTITUTE(Table1[[#This Row],[PitStopLaps]],",",""))+1)</f>
        <v>1</v>
      </c>
      <c r="U3368">
        <f>Table1[[#This Row],[StartPosition]]-Table1[[#This Row],[FinishPosition]]</f>
        <v>1</v>
      </c>
    </row>
    <row r="3369" spans="1:21" x14ac:dyDescent="0.3">
      <c r="A3369">
        <v>2025</v>
      </c>
      <c r="B3369">
        <v>21</v>
      </c>
      <c r="C3369" t="s">
        <v>741</v>
      </c>
      <c r="D3369" t="s">
        <v>73</v>
      </c>
      <c r="E3369" t="s">
        <v>74</v>
      </c>
      <c r="F3369" t="s">
        <v>607</v>
      </c>
      <c r="G3369">
        <v>9</v>
      </c>
      <c r="H3369">
        <v>10</v>
      </c>
      <c r="I3369">
        <v>1</v>
      </c>
      <c r="J3369" t="s">
        <v>34</v>
      </c>
      <c r="K3369" t="s">
        <v>24</v>
      </c>
      <c r="L3369">
        <v>71</v>
      </c>
      <c r="M3369">
        <v>73.736000000000004</v>
      </c>
      <c r="N3369">
        <v>75.016865999999993</v>
      </c>
      <c r="O3369">
        <v>18.786000000000001</v>
      </c>
      <c r="P3369">
        <v>37.880000000000003</v>
      </c>
      <c r="Q3369">
        <v>16.689</v>
      </c>
      <c r="R3369" t="s">
        <v>954</v>
      </c>
      <c r="S3369" t="s">
        <v>83</v>
      </c>
      <c r="T3369">
        <f>IF(TRIM(Table1[[#This Row],[PitStopLaps]])="",0,
LEN(Table1[[#This Row],[PitStopLaps]])-LEN(SUBSTITUTE(Table1[[#This Row],[PitStopLaps]],",",""))+1)</f>
        <v>2</v>
      </c>
      <c r="U3369">
        <f>Table1[[#This Row],[StartPosition]]-Table1[[#This Row],[FinishPosition]]</f>
        <v>-1</v>
      </c>
    </row>
    <row r="3370" spans="1:21" x14ac:dyDescent="0.3">
      <c r="A3370">
        <v>2025</v>
      </c>
      <c r="B3370">
        <v>21</v>
      </c>
      <c r="C3370" t="s">
        <v>741</v>
      </c>
      <c r="D3370" t="s">
        <v>248</v>
      </c>
      <c r="E3370" t="s">
        <v>249</v>
      </c>
      <c r="F3370" t="s">
        <v>60</v>
      </c>
      <c r="G3370">
        <v>12</v>
      </c>
      <c r="H3370">
        <v>11</v>
      </c>
      <c r="I3370">
        <v>0</v>
      </c>
      <c r="J3370" t="s">
        <v>34</v>
      </c>
      <c r="K3370" t="s">
        <v>24</v>
      </c>
      <c r="L3370">
        <v>71</v>
      </c>
      <c r="M3370">
        <v>72.400000000000006</v>
      </c>
      <c r="N3370">
        <v>75.022015999999994</v>
      </c>
      <c r="O3370">
        <v>18.385999999999999</v>
      </c>
      <c r="P3370">
        <v>37.082999999999998</v>
      </c>
      <c r="Q3370">
        <v>16.61</v>
      </c>
      <c r="R3370" t="s">
        <v>1435</v>
      </c>
      <c r="S3370" t="s">
        <v>83</v>
      </c>
      <c r="T3370">
        <f>IF(TRIM(Table1[[#This Row],[PitStopLaps]])="",0,
LEN(Table1[[#This Row],[PitStopLaps]])-LEN(SUBSTITUTE(Table1[[#This Row],[PitStopLaps]],",",""))+1)</f>
        <v>2</v>
      </c>
      <c r="U3370">
        <f>Table1[[#This Row],[StartPosition]]-Table1[[#This Row],[FinishPosition]]</f>
        <v>1</v>
      </c>
    </row>
    <row r="3371" spans="1:21" x14ac:dyDescent="0.3">
      <c r="A3371">
        <v>2025</v>
      </c>
      <c r="B3371">
        <v>21</v>
      </c>
      <c r="C3371" t="s">
        <v>741</v>
      </c>
      <c r="D3371" t="s">
        <v>52</v>
      </c>
      <c r="E3371" t="s">
        <v>53</v>
      </c>
      <c r="F3371" t="s">
        <v>69</v>
      </c>
      <c r="G3371">
        <v>20</v>
      </c>
      <c r="H3371">
        <v>12</v>
      </c>
      <c r="I3371">
        <v>0</v>
      </c>
      <c r="J3371" t="s">
        <v>34</v>
      </c>
      <c r="K3371" t="s">
        <v>24</v>
      </c>
      <c r="L3371">
        <v>71</v>
      </c>
      <c r="M3371">
        <v>73.480999999999995</v>
      </c>
      <c r="N3371">
        <v>74.936064999999999</v>
      </c>
      <c r="O3371">
        <v>18.861000000000001</v>
      </c>
      <c r="P3371">
        <v>37.442</v>
      </c>
      <c r="Q3371">
        <v>16.786000000000001</v>
      </c>
      <c r="R3371" t="s">
        <v>706</v>
      </c>
      <c r="S3371" t="s">
        <v>83</v>
      </c>
      <c r="T3371">
        <f>IF(TRIM(Table1[[#This Row],[PitStopLaps]])="",0,
LEN(Table1[[#This Row],[PitStopLaps]])-LEN(SUBSTITUTE(Table1[[#This Row],[PitStopLaps]],",",""))+1)</f>
        <v>2</v>
      </c>
      <c r="U3371">
        <f>Table1[[#This Row],[StartPosition]]-Table1[[#This Row],[FinishPosition]]</f>
        <v>8</v>
      </c>
    </row>
    <row r="3372" spans="1:21" x14ac:dyDescent="0.3">
      <c r="A3372">
        <v>2025</v>
      </c>
      <c r="B3372">
        <v>21</v>
      </c>
      <c r="C3372" t="s">
        <v>741</v>
      </c>
      <c r="D3372" t="s">
        <v>47</v>
      </c>
      <c r="E3372" t="s">
        <v>48</v>
      </c>
      <c r="F3372" t="s">
        <v>60</v>
      </c>
      <c r="G3372">
        <v>15</v>
      </c>
      <c r="H3372">
        <v>13</v>
      </c>
      <c r="I3372">
        <v>0</v>
      </c>
      <c r="J3372" t="s">
        <v>34</v>
      </c>
      <c r="K3372" t="s">
        <v>24</v>
      </c>
      <c r="L3372">
        <v>71</v>
      </c>
      <c r="M3372">
        <v>73.683000000000007</v>
      </c>
      <c r="N3372">
        <v>74.999865999999997</v>
      </c>
      <c r="O3372">
        <v>18.626999999999999</v>
      </c>
      <c r="P3372">
        <v>38.139000000000003</v>
      </c>
      <c r="Q3372">
        <v>16.620999999999999</v>
      </c>
      <c r="R3372" t="s">
        <v>481</v>
      </c>
      <c r="S3372" t="s">
        <v>83</v>
      </c>
      <c r="T3372">
        <f>IF(TRIM(Table1[[#This Row],[PitStopLaps]])="",0,
LEN(Table1[[#This Row],[PitStopLaps]])-LEN(SUBSTITUTE(Table1[[#This Row],[PitStopLaps]],",",""))+1)</f>
        <v>2</v>
      </c>
      <c r="U3372">
        <f>Table1[[#This Row],[StartPosition]]-Table1[[#This Row],[FinishPosition]]</f>
        <v>2</v>
      </c>
    </row>
    <row r="3373" spans="1:21" x14ac:dyDescent="0.3">
      <c r="A3373">
        <v>2025</v>
      </c>
      <c r="B3373">
        <v>21</v>
      </c>
      <c r="C3373" t="s">
        <v>741</v>
      </c>
      <c r="D3373" t="s">
        <v>35</v>
      </c>
      <c r="E3373" t="s">
        <v>36</v>
      </c>
      <c r="F3373" t="s">
        <v>603</v>
      </c>
      <c r="G3373">
        <v>11</v>
      </c>
      <c r="H3373">
        <v>14</v>
      </c>
      <c r="I3373">
        <v>0</v>
      </c>
      <c r="J3373" t="s">
        <v>34</v>
      </c>
      <c r="K3373" t="s">
        <v>24</v>
      </c>
      <c r="L3373">
        <v>71</v>
      </c>
      <c r="M3373">
        <v>73.311999999999998</v>
      </c>
      <c r="N3373">
        <v>74.998982999999996</v>
      </c>
      <c r="O3373">
        <v>18.800999999999998</v>
      </c>
      <c r="P3373">
        <v>37.594999999999999</v>
      </c>
      <c r="Q3373">
        <v>16.873000000000001</v>
      </c>
      <c r="R3373" t="s">
        <v>1065</v>
      </c>
      <c r="S3373" t="s">
        <v>83</v>
      </c>
      <c r="T3373">
        <f>IF(TRIM(Table1[[#This Row],[PitStopLaps]])="",0,
LEN(Table1[[#This Row],[PitStopLaps]])-LEN(SUBSTITUTE(Table1[[#This Row],[PitStopLaps]],",",""))+1)</f>
        <v>2</v>
      </c>
      <c r="U3373">
        <f>Table1[[#This Row],[StartPosition]]-Table1[[#This Row],[FinishPosition]]</f>
        <v>-3</v>
      </c>
    </row>
    <row r="3374" spans="1:21" x14ac:dyDescent="0.3">
      <c r="A3374">
        <v>2025</v>
      </c>
      <c r="B3374">
        <v>21</v>
      </c>
      <c r="C3374" t="s">
        <v>741</v>
      </c>
      <c r="D3374" t="s">
        <v>1283</v>
      </c>
      <c r="E3374" t="s">
        <v>1284</v>
      </c>
      <c r="F3374" t="s">
        <v>607</v>
      </c>
      <c r="G3374">
        <v>16</v>
      </c>
      <c r="H3374">
        <v>15</v>
      </c>
      <c r="I3374">
        <v>0</v>
      </c>
      <c r="J3374" t="s">
        <v>34</v>
      </c>
      <c r="K3374" t="s">
        <v>24</v>
      </c>
      <c r="L3374">
        <v>71</v>
      </c>
      <c r="M3374">
        <v>72.816000000000003</v>
      </c>
      <c r="N3374">
        <v>74.979365999999999</v>
      </c>
      <c r="O3374">
        <v>18.823</v>
      </c>
      <c r="P3374">
        <v>37.1</v>
      </c>
      <c r="Q3374">
        <v>16.800999999999998</v>
      </c>
      <c r="R3374" t="s">
        <v>1436</v>
      </c>
      <c r="S3374" t="s">
        <v>83</v>
      </c>
      <c r="T3374">
        <f>IF(TRIM(Table1[[#This Row],[PitStopLaps]])="",0,
LEN(Table1[[#This Row],[PitStopLaps]])-LEN(SUBSTITUTE(Table1[[#This Row],[PitStopLaps]],",",""))+1)</f>
        <v>2</v>
      </c>
      <c r="U3374">
        <f>Table1[[#This Row],[StartPosition]]-Table1[[#This Row],[FinishPosition]]</f>
        <v>1</v>
      </c>
    </row>
    <row r="3375" spans="1:21" x14ac:dyDescent="0.3">
      <c r="A3375">
        <v>2025</v>
      </c>
      <c r="B3375">
        <v>21</v>
      </c>
      <c r="C3375" t="s">
        <v>741</v>
      </c>
      <c r="D3375" t="s">
        <v>58</v>
      </c>
      <c r="E3375" t="s">
        <v>59</v>
      </c>
      <c r="F3375" t="s">
        <v>603</v>
      </c>
      <c r="G3375">
        <v>14</v>
      </c>
      <c r="H3375">
        <v>16</v>
      </c>
      <c r="I3375">
        <v>0</v>
      </c>
      <c r="J3375" t="s">
        <v>34</v>
      </c>
      <c r="K3375" t="s">
        <v>24</v>
      </c>
      <c r="L3375">
        <v>71</v>
      </c>
      <c r="M3375">
        <v>73.093999999999994</v>
      </c>
      <c r="N3375">
        <v>74.826457000000005</v>
      </c>
      <c r="O3375">
        <v>18.587</v>
      </c>
      <c r="P3375">
        <v>37.314</v>
      </c>
      <c r="Q3375">
        <v>16.744</v>
      </c>
      <c r="R3375" t="s">
        <v>427</v>
      </c>
      <c r="S3375" t="s">
        <v>83</v>
      </c>
      <c r="T3375">
        <f>IF(TRIM(Table1[[#This Row],[PitStopLaps]])="",0,
LEN(Table1[[#This Row],[PitStopLaps]])-LEN(SUBSTITUTE(Table1[[#This Row],[PitStopLaps]],",",""))+1)</f>
        <v>2</v>
      </c>
      <c r="U3375">
        <f>Table1[[#This Row],[StartPosition]]-Table1[[#This Row],[FinishPosition]]</f>
        <v>-2</v>
      </c>
    </row>
    <row r="3376" spans="1:21" x14ac:dyDescent="0.3">
      <c r="A3376">
        <v>2025</v>
      </c>
      <c r="B3376">
        <v>21</v>
      </c>
      <c r="C3376" t="s">
        <v>741</v>
      </c>
      <c r="D3376" t="s">
        <v>601</v>
      </c>
      <c r="E3376" t="s">
        <v>602</v>
      </c>
      <c r="F3376" t="s">
        <v>33</v>
      </c>
      <c r="G3376">
        <v>17</v>
      </c>
      <c r="H3376">
        <v>17</v>
      </c>
      <c r="I3376">
        <v>0</v>
      </c>
      <c r="J3376" t="s">
        <v>34</v>
      </c>
      <c r="K3376" t="s">
        <v>24</v>
      </c>
      <c r="L3376">
        <v>71</v>
      </c>
      <c r="M3376">
        <v>72.774000000000001</v>
      </c>
      <c r="N3376">
        <v>74.837965999999994</v>
      </c>
      <c r="O3376">
        <v>18.623000000000001</v>
      </c>
      <c r="P3376">
        <v>37.295000000000002</v>
      </c>
      <c r="Q3376">
        <v>16.792000000000002</v>
      </c>
      <c r="R3376" t="s">
        <v>1437</v>
      </c>
      <c r="S3376" t="s">
        <v>83</v>
      </c>
      <c r="T3376">
        <f>IF(TRIM(Table1[[#This Row],[PitStopLaps]])="",0,
LEN(Table1[[#This Row],[PitStopLaps]])-LEN(SUBSTITUTE(Table1[[#This Row],[PitStopLaps]],",",""))+1)</f>
        <v>3</v>
      </c>
      <c r="U3376">
        <f>Table1[[#This Row],[StartPosition]]-Table1[[#This Row],[FinishPosition]]</f>
        <v>0</v>
      </c>
    </row>
    <row r="3377" spans="1:21" x14ac:dyDescent="0.3">
      <c r="A3377">
        <v>2025</v>
      </c>
      <c r="B3377">
        <v>21</v>
      </c>
      <c r="C3377" t="s">
        <v>741</v>
      </c>
      <c r="D3377" t="s">
        <v>26</v>
      </c>
      <c r="E3377" t="s">
        <v>27</v>
      </c>
      <c r="F3377" t="s">
        <v>22</v>
      </c>
      <c r="G3377">
        <v>13</v>
      </c>
      <c r="H3377">
        <v>18</v>
      </c>
      <c r="I3377">
        <v>0</v>
      </c>
      <c r="J3377" t="s">
        <v>34</v>
      </c>
      <c r="K3377" t="s">
        <v>179</v>
      </c>
      <c r="L3377">
        <v>37</v>
      </c>
      <c r="M3377">
        <v>73.843999999999994</v>
      </c>
      <c r="N3377">
        <v>75.552279999999996</v>
      </c>
      <c r="O3377">
        <v>18.896000000000001</v>
      </c>
      <c r="P3377">
        <v>37.945</v>
      </c>
      <c r="Q3377">
        <v>16.664999999999999</v>
      </c>
      <c r="R3377" t="s">
        <v>1438</v>
      </c>
      <c r="S3377" t="s">
        <v>83</v>
      </c>
      <c r="T3377">
        <f>IF(TRIM(Table1[[#This Row],[PitStopLaps]])="",0,
LEN(Table1[[#This Row],[PitStopLaps]])-LEN(SUBSTITUTE(Table1[[#This Row],[PitStopLaps]],",",""))+1)</f>
        <v>4</v>
      </c>
      <c r="U3377">
        <f>Table1[[#This Row],[StartPosition]]-Table1[[#This Row],[FinishPosition]]</f>
        <v>-5</v>
      </c>
    </row>
    <row r="3378" spans="1:21" x14ac:dyDescent="0.3">
      <c r="A3378">
        <v>2025</v>
      </c>
      <c r="B3378">
        <v>21</v>
      </c>
      <c r="C3378" t="s">
        <v>741</v>
      </c>
      <c r="D3378" t="s">
        <v>54</v>
      </c>
      <c r="E3378" t="s">
        <v>55</v>
      </c>
      <c r="F3378" t="s">
        <v>22</v>
      </c>
      <c r="G3378">
        <v>3</v>
      </c>
      <c r="H3378">
        <v>19</v>
      </c>
      <c r="I3378">
        <v>0</v>
      </c>
      <c r="J3378" t="s">
        <v>34</v>
      </c>
      <c r="K3378" t="s">
        <v>179</v>
      </c>
      <c r="L3378">
        <v>6</v>
      </c>
      <c r="S3378" t="s">
        <v>83</v>
      </c>
      <c r="T3378">
        <f>IF(TRIM(Table1[[#This Row],[PitStopLaps]])="",0,
LEN(Table1[[#This Row],[PitStopLaps]])-LEN(SUBSTITUTE(Table1[[#This Row],[PitStopLaps]],",",""))+1)</f>
        <v>0</v>
      </c>
      <c r="U3378">
        <f>Table1[[#This Row],[StartPosition]]-Table1[[#This Row],[FinishPosition]]</f>
        <v>-16</v>
      </c>
    </row>
    <row r="3379" spans="1:21" x14ac:dyDescent="0.3">
      <c r="A3379">
        <v>2025</v>
      </c>
      <c r="B3379">
        <v>21</v>
      </c>
      <c r="C3379" t="s">
        <v>741</v>
      </c>
      <c r="D3379" t="s">
        <v>1334</v>
      </c>
      <c r="E3379" t="s">
        <v>1335</v>
      </c>
      <c r="F3379" t="s">
        <v>1175</v>
      </c>
      <c r="G3379">
        <v>18</v>
      </c>
      <c r="H3379">
        <v>20</v>
      </c>
      <c r="I3379">
        <v>0</v>
      </c>
      <c r="J3379" t="s">
        <v>34</v>
      </c>
      <c r="K3379" t="s">
        <v>179</v>
      </c>
      <c r="L3379">
        <v>1</v>
      </c>
      <c r="S3379" t="s">
        <v>83</v>
      </c>
      <c r="T3379">
        <f>IF(TRIM(Table1[[#This Row],[PitStopLaps]])="",0,
LEN(Table1[[#This Row],[PitStopLaps]])-LEN(SUBSTITUTE(Table1[[#This Row],[PitStopLaps]],",",""))+1)</f>
        <v>0</v>
      </c>
      <c r="U3379">
        <f>Table1[[#This Row],[StartPosition]]-Table1[[#This Row],[FinishPosition]]</f>
        <v>-2</v>
      </c>
    </row>
    <row r="3380" spans="1:21" x14ac:dyDescent="0.3">
      <c r="A3380">
        <v>2025</v>
      </c>
      <c r="B3380">
        <v>22</v>
      </c>
      <c r="C3380" t="s">
        <v>1168</v>
      </c>
      <c r="D3380" t="s">
        <v>38</v>
      </c>
      <c r="E3380" t="s">
        <v>39</v>
      </c>
      <c r="F3380" t="s">
        <v>33</v>
      </c>
      <c r="G3380">
        <v>2</v>
      </c>
      <c r="H3380">
        <v>1</v>
      </c>
      <c r="I3380">
        <v>25</v>
      </c>
      <c r="J3380" t="s">
        <v>23</v>
      </c>
      <c r="K3380" t="s">
        <v>24</v>
      </c>
      <c r="L3380">
        <v>50</v>
      </c>
      <c r="M3380">
        <v>93.364999999999995</v>
      </c>
      <c r="N3380">
        <v>95.209812999999997</v>
      </c>
      <c r="O3380">
        <v>26.35</v>
      </c>
      <c r="P3380">
        <v>31.155999999999999</v>
      </c>
      <c r="Q3380">
        <v>35.859000000000002</v>
      </c>
      <c r="R3380">
        <v>25</v>
      </c>
      <c r="S3380" t="s">
        <v>83</v>
      </c>
      <c r="T3380">
        <f>IF(TRIM(Table1[[#This Row],[PitStopLaps]])="",0,
LEN(Table1[[#This Row],[PitStopLaps]])-LEN(SUBSTITUTE(Table1[[#This Row],[PitStopLaps]],",",""))+1)</f>
        <v>1</v>
      </c>
      <c r="U3380">
        <f>Table1[[#This Row],[StartPosition]]-Table1[[#This Row],[FinishPosition]]</f>
        <v>1</v>
      </c>
    </row>
    <row r="3381" spans="1:21" x14ac:dyDescent="0.3">
      <c r="A3381">
        <v>2025</v>
      </c>
      <c r="B3381">
        <v>22</v>
      </c>
      <c r="C3381" t="s">
        <v>1168</v>
      </c>
      <c r="D3381" t="s">
        <v>252</v>
      </c>
      <c r="E3381" t="s">
        <v>253</v>
      </c>
      <c r="F3381" t="s">
        <v>28</v>
      </c>
      <c r="G3381">
        <v>4</v>
      </c>
      <c r="H3381">
        <v>2</v>
      </c>
      <c r="I3381">
        <v>18</v>
      </c>
      <c r="J3381" t="s">
        <v>23</v>
      </c>
      <c r="K3381" t="s">
        <v>24</v>
      </c>
      <c r="L3381">
        <v>50</v>
      </c>
      <c r="M3381">
        <v>94.591999999999999</v>
      </c>
      <c r="N3381">
        <v>95.714279000000005</v>
      </c>
      <c r="O3381">
        <v>26.975000000000001</v>
      </c>
      <c r="P3381">
        <v>31.646000000000001</v>
      </c>
      <c r="Q3381">
        <v>35.954000000000001</v>
      </c>
      <c r="R3381">
        <v>17</v>
      </c>
      <c r="S3381" t="s">
        <v>83</v>
      </c>
      <c r="T3381">
        <f>IF(TRIM(Table1[[#This Row],[PitStopLaps]])="",0,
LEN(Table1[[#This Row],[PitStopLaps]])-LEN(SUBSTITUTE(Table1[[#This Row],[PitStopLaps]],",",""))+1)</f>
        <v>1</v>
      </c>
      <c r="U3381">
        <f>Table1[[#This Row],[StartPosition]]-Table1[[#This Row],[FinishPosition]]</f>
        <v>2</v>
      </c>
    </row>
    <row r="3382" spans="1:21" x14ac:dyDescent="0.3">
      <c r="A3382">
        <v>2025</v>
      </c>
      <c r="B3382">
        <v>22</v>
      </c>
      <c r="C3382" t="s">
        <v>1168</v>
      </c>
      <c r="D3382" t="s">
        <v>1339</v>
      </c>
      <c r="E3382" t="s">
        <v>1325</v>
      </c>
      <c r="F3382" t="s">
        <v>28</v>
      </c>
      <c r="G3382">
        <v>17</v>
      </c>
      <c r="H3382">
        <v>3</v>
      </c>
      <c r="I3382">
        <v>15</v>
      </c>
      <c r="J3382" t="s">
        <v>23</v>
      </c>
      <c r="K3382" t="s">
        <v>24</v>
      </c>
      <c r="L3382">
        <v>50</v>
      </c>
      <c r="M3382">
        <v>93.998000000000005</v>
      </c>
      <c r="N3382">
        <v>95.699888000000001</v>
      </c>
      <c r="O3382">
        <v>26.532</v>
      </c>
      <c r="P3382">
        <v>31.38</v>
      </c>
      <c r="Q3382">
        <v>35.948999999999998</v>
      </c>
      <c r="R3382">
        <v>2</v>
      </c>
      <c r="S3382" t="s">
        <v>83</v>
      </c>
      <c r="T3382">
        <f>IF(TRIM(Table1[[#This Row],[PitStopLaps]])="",0,
LEN(Table1[[#This Row],[PitStopLaps]])-LEN(SUBSTITUTE(Table1[[#This Row],[PitStopLaps]],",",""))+1)</f>
        <v>1</v>
      </c>
      <c r="U3382">
        <f>Table1[[#This Row],[StartPosition]]-Table1[[#This Row],[FinishPosition]]</f>
        <v>14</v>
      </c>
    </row>
    <row r="3383" spans="1:21" x14ac:dyDescent="0.3">
      <c r="A3383">
        <v>2025</v>
      </c>
      <c r="B3383">
        <v>22</v>
      </c>
      <c r="C3383" t="s">
        <v>1168</v>
      </c>
      <c r="D3383" t="s">
        <v>54</v>
      </c>
      <c r="E3383" t="s">
        <v>55</v>
      </c>
      <c r="F3383" t="s">
        <v>22</v>
      </c>
      <c r="G3383">
        <v>9</v>
      </c>
      <c r="H3383">
        <v>4</v>
      </c>
      <c r="I3383">
        <v>12</v>
      </c>
      <c r="J3383" t="s">
        <v>34</v>
      </c>
      <c r="K3383" t="s">
        <v>24</v>
      </c>
      <c r="L3383">
        <v>50</v>
      </c>
      <c r="M3383">
        <v>94.304000000000002</v>
      </c>
      <c r="N3383">
        <v>95.677882999999994</v>
      </c>
      <c r="O3383">
        <v>26.797999999999998</v>
      </c>
      <c r="P3383">
        <v>31.337</v>
      </c>
      <c r="Q3383">
        <v>35.96</v>
      </c>
      <c r="R3383">
        <v>24</v>
      </c>
      <c r="S3383" t="s">
        <v>83</v>
      </c>
      <c r="T3383">
        <f>IF(TRIM(Table1[[#This Row],[PitStopLaps]])="",0,
LEN(Table1[[#This Row],[PitStopLaps]])-LEN(SUBSTITUTE(Table1[[#This Row],[PitStopLaps]],",",""))+1)</f>
        <v>1</v>
      </c>
      <c r="U3383">
        <f>Table1[[#This Row],[StartPosition]]-Table1[[#This Row],[FinishPosition]]</f>
        <v>5</v>
      </c>
    </row>
    <row r="3384" spans="1:21" x14ac:dyDescent="0.3">
      <c r="A3384">
        <v>2025</v>
      </c>
      <c r="B3384">
        <v>22</v>
      </c>
      <c r="C3384" t="s">
        <v>1168</v>
      </c>
      <c r="D3384" t="s">
        <v>47</v>
      </c>
      <c r="E3384" t="s">
        <v>48</v>
      </c>
      <c r="F3384" t="s">
        <v>60</v>
      </c>
      <c r="G3384">
        <v>3</v>
      </c>
      <c r="H3384">
        <v>5</v>
      </c>
      <c r="I3384">
        <v>10</v>
      </c>
      <c r="J3384" t="s">
        <v>34</v>
      </c>
      <c r="K3384" t="s">
        <v>24</v>
      </c>
      <c r="L3384">
        <v>50</v>
      </c>
      <c r="M3384">
        <v>94.495999999999995</v>
      </c>
      <c r="N3384">
        <v>95.822558000000001</v>
      </c>
      <c r="O3384">
        <v>26.876999999999999</v>
      </c>
      <c r="P3384">
        <v>31.498000000000001</v>
      </c>
      <c r="Q3384">
        <v>35.993000000000002</v>
      </c>
      <c r="R3384">
        <v>22</v>
      </c>
      <c r="S3384" t="s">
        <v>83</v>
      </c>
      <c r="T3384">
        <f>IF(TRIM(Table1[[#This Row],[PitStopLaps]])="",0,
LEN(Table1[[#This Row],[PitStopLaps]])-LEN(SUBSTITUTE(Table1[[#This Row],[PitStopLaps]],",",""))+1)</f>
        <v>1</v>
      </c>
      <c r="U3384">
        <f>Table1[[#This Row],[StartPosition]]-Table1[[#This Row],[FinishPosition]]</f>
        <v>-2</v>
      </c>
    </row>
    <row r="3385" spans="1:21" x14ac:dyDescent="0.3">
      <c r="A3385">
        <v>2025</v>
      </c>
      <c r="B3385">
        <v>22</v>
      </c>
      <c r="C3385" t="s">
        <v>1168</v>
      </c>
      <c r="D3385" t="s">
        <v>1337</v>
      </c>
      <c r="E3385" t="s">
        <v>1338</v>
      </c>
      <c r="F3385" t="s">
        <v>1330</v>
      </c>
      <c r="G3385">
        <v>8</v>
      </c>
      <c r="H3385">
        <v>6</v>
      </c>
      <c r="I3385">
        <v>8</v>
      </c>
      <c r="J3385" t="s">
        <v>34</v>
      </c>
      <c r="K3385" t="s">
        <v>24</v>
      </c>
      <c r="L3385">
        <v>50</v>
      </c>
      <c r="M3385">
        <v>94.62</v>
      </c>
      <c r="N3385">
        <v>96.035347999999999</v>
      </c>
      <c r="O3385">
        <v>26.693000000000001</v>
      </c>
      <c r="P3385">
        <v>31.628</v>
      </c>
      <c r="Q3385">
        <v>36.277999999999999</v>
      </c>
      <c r="R3385">
        <v>20</v>
      </c>
      <c r="S3385" t="s">
        <v>83</v>
      </c>
      <c r="T3385">
        <f>IF(TRIM(Table1[[#This Row],[PitStopLaps]])="",0,
LEN(Table1[[#This Row],[PitStopLaps]])-LEN(SUBSTITUTE(Table1[[#This Row],[PitStopLaps]],",",""))+1)</f>
        <v>1</v>
      </c>
      <c r="U3385">
        <f>Table1[[#This Row],[StartPosition]]-Table1[[#This Row],[FinishPosition]]</f>
        <v>2</v>
      </c>
    </row>
    <row r="3386" spans="1:21" x14ac:dyDescent="0.3">
      <c r="A3386">
        <v>2025</v>
      </c>
      <c r="B3386">
        <v>22</v>
      </c>
      <c r="C3386" t="s">
        <v>1168</v>
      </c>
      <c r="D3386" t="s">
        <v>40</v>
      </c>
      <c r="E3386" t="s">
        <v>41</v>
      </c>
      <c r="F3386" t="s">
        <v>1175</v>
      </c>
      <c r="G3386">
        <v>11</v>
      </c>
      <c r="H3386">
        <v>7</v>
      </c>
      <c r="I3386">
        <v>6</v>
      </c>
      <c r="J3386" t="s">
        <v>34</v>
      </c>
      <c r="K3386" t="s">
        <v>24</v>
      </c>
      <c r="L3386">
        <v>50</v>
      </c>
      <c r="M3386">
        <v>94.591999999999999</v>
      </c>
      <c r="N3386">
        <v>96.101557999999997</v>
      </c>
      <c r="O3386">
        <v>26.864000000000001</v>
      </c>
      <c r="P3386">
        <v>31.509</v>
      </c>
      <c r="Q3386">
        <v>36.185000000000002</v>
      </c>
      <c r="R3386">
        <v>30</v>
      </c>
      <c r="S3386" t="s">
        <v>83</v>
      </c>
      <c r="T3386">
        <f>IF(TRIM(Table1[[#This Row],[PitStopLaps]])="",0,
LEN(Table1[[#This Row],[PitStopLaps]])-LEN(SUBSTITUTE(Table1[[#This Row],[PitStopLaps]],",",""))+1)</f>
        <v>1</v>
      </c>
      <c r="U3386">
        <f>Table1[[#This Row],[StartPosition]]-Table1[[#This Row],[FinishPosition]]</f>
        <v>4</v>
      </c>
    </row>
    <row r="3387" spans="1:21" x14ac:dyDescent="0.3">
      <c r="A3387">
        <v>2025</v>
      </c>
      <c r="B3387">
        <v>22</v>
      </c>
      <c r="C3387" t="s">
        <v>1168</v>
      </c>
      <c r="D3387" t="s">
        <v>26</v>
      </c>
      <c r="E3387" t="s">
        <v>27</v>
      </c>
      <c r="F3387" t="s">
        <v>22</v>
      </c>
      <c r="G3387">
        <v>19</v>
      </c>
      <c r="H3387">
        <v>8</v>
      </c>
      <c r="I3387">
        <v>4</v>
      </c>
      <c r="J3387" t="s">
        <v>34</v>
      </c>
      <c r="K3387" t="s">
        <v>24</v>
      </c>
      <c r="L3387">
        <v>50</v>
      </c>
      <c r="M3387">
        <v>94.552999999999997</v>
      </c>
      <c r="N3387">
        <v>96.243022999999994</v>
      </c>
      <c r="O3387">
        <v>26.937000000000001</v>
      </c>
      <c r="P3387">
        <v>31.367000000000001</v>
      </c>
      <c r="Q3387">
        <v>36.061</v>
      </c>
      <c r="R3387">
        <v>29</v>
      </c>
      <c r="S3387" t="s">
        <v>83</v>
      </c>
      <c r="T3387">
        <f>IF(TRIM(Table1[[#This Row],[PitStopLaps]])="",0,
LEN(Table1[[#This Row],[PitStopLaps]])-LEN(SUBSTITUTE(Table1[[#This Row],[PitStopLaps]],",",""))+1)</f>
        <v>1</v>
      </c>
      <c r="U3387">
        <f>Table1[[#This Row],[StartPosition]]-Table1[[#This Row],[FinishPosition]]</f>
        <v>11</v>
      </c>
    </row>
    <row r="3388" spans="1:21" x14ac:dyDescent="0.3">
      <c r="A3388">
        <v>2025</v>
      </c>
      <c r="B3388">
        <v>22</v>
      </c>
      <c r="C3388" t="s">
        <v>1168</v>
      </c>
      <c r="D3388" t="s">
        <v>52</v>
      </c>
      <c r="E3388" t="s">
        <v>53</v>
      </c>
      <c r="F3388" t="s">
        <v>69</v>
      </c>
      <c r="G3388">
        <v>13</v>
      </c>
      <c r="H3388">
        <v>9</v>
      </c>
      <c r="I3388">
        <v>2</v>
      </c>
      <c r="J3388" t="s">
        <v>34</v>
      </c>
      <c r="K3388" t="s">
        <v>24</v>
      </c>
      <c r="L3388">
        <v>50</v>
      </c>
      <c r="M3388">
        <v>94.557000000000002</v>
      </c>
      <c r="N3388">
        <v>96.237071</v>
      </c>
      <c r="O3388">
        <v>26.968</v>
      </c>
      <c r="P3388">
        <v>31.574000000000002</v>
      </c>
      <c r="Q3388">
        <v>35.881</v>
      </c>
      <c r="R3388">
        <v>27</v>
      </c>
      <c r="S3388" t="s">
        <v>83</v>
      </c>
      <c r="T3388">
        <f>IF(TRIM(Table1[[#This Row],[PitStopLaps]])="",0,
LEN(Table1[[#This Row],[PitStopLaps]])-LEN(SUBSTITUTE(Table1[[#This Row],[PitStopLaps]],",",""))+1)</f>
        <v>1</v>
      </c>
      <c r="U3388">
        <f>Table1[[#This Row],[StartPosition]]-Table1[[#This Row],[FinishPosition]]</f>
        <v>4</v>
      </c>
    </row>
    <row r="3389" spans="1:21" x14ac:dyDescent="0.3">
      <c r="A3389">
        <v>2025</v>
      </c>
      <c r="B3389">
        <v>22</v>
      </c>
      <c r="C3389" t="s">
        <v>1168</v>
      </c>
      <c r="D3389" t="s">
        <v>1180</v>
      </c>
      <c r="E3389" t="s">
        <v>1181</v>
      </c>
      <c r="F3389" t="s">
        <v>69</v>
      </c>
      <c r="G3389">
        <v>14</v>
      </c>
      <c r="H3389">
        <v>10</v>
      </c>
      <c r="I3389">
        <v>1</v>
      </c>
      <c r="J3389" t="s">
        <v>34</v>
      </c>
      <c r="K3389" t="s">
        <v>24</v>
      </c>
      <c r="L3389">
        <v>50</v>
      </c>
      <c r="M3389">
        <v>94.519000000000005</v>
      </c>
      <c r="N3389">
        <v>96.520231999999993</v>
      </c>
      <c r="O3389">
        <v>26.907</v>
      </c>
      <c r="P3389">
        <v>31.529</v>
      </c>
      <c r="Q3389">
        <v>36.082999999999998</v>
      </c>
      <c r="R3389">
        <v>17</v>
      </c>
      <c r="S3389" t="s">
        <v>83</v>
      </c>
      <c r="T3389">
        <f>IF(TRIM(Table1[[#This Row],[PitStopLaps]])="",0,
LEN(Table1[[#This Row],[PitStopLaps]])-LEN(SUBSTITUTE(Table1[[#This Row],[PitStopLaps]],",",""))+1)</f>
        <v>1</v>
      </c>
      <c r="U3389">
        <f>Table1[[#This Row],[StartPosition]]-Table1[[#This Row],[FinishPosition]]</f>
        <v>4</v>
      </c>
    </row>
    <row r="3390" spans="1:21" x14ac:dyDescent="0.3">
      <c r="A3390">
        <v>2025</v>
      </c>
      <c r="B3390">
        <v>22</v>
      </c>
      <c r="C3390" t="s">
        <v>1168</v>
      </c>
      <c r="D3390" t="s">
        <v>35</v>
      </c>
      <c r="E3390" t="s">
        <v>36</v>
      </c>
      <c r="F3390" t="s">
        <v>603</v>
      </c>
      <c r="G3390">
        <v>7</v>
      </c>
      <c r="H3390">
        <v>11</v>
      </c>
      <c r="I3390">
        <v>0</v>
      </c>
      <c r="J3390" t="s">
        <v>34</v>
      </c>
      <c r="K3390" t="s">
        <v>24</v>
      </c>
      <c r="L3390">
        <v>50</v>
      </c>
      <c r="M3390">
        <v>95.629000000000005</v>
      </c>
      <c r="N3390">
        <v>96.919635999999997</v>
      </c>
      <c r="O3390">
        <v>27.151</v>
      </c>
      <c r="P3390">
        <v>32.031999999999996</v>
      </c>
      <c r="Q3390">
        <v>36.241999999999997</v>
      </c>
      <c r="R3390">
        <v>16</v>
      </c>
      <c r="S3390" t="s">
        <v>83</v>
      </c>
      <c r="T3390">
        <f>IF(TRIM(Table1[[#This Row],[PitStopLaps]])="",0,
LEN(Table1[[#This Row],[PitStopLaps]])-LEN(SUBSTITUTE(Table1[[#This Row],[PitStopLaps]],",",""))+1)</f>
        <v>1</v>
      </c>
      <c r="U3390">
        <f>Table1[[#This Row],[StartPosition]]-Table1[[#This Row],[FinishPosition]]</f>
        <v>-4</v>
      </c>
    </row>
    <row r="3391" spans="1:21" x14ac:dyDescent="0.3">
      <c r="A3391">
        <v>2025</v>
      </c>
      <c r="B3391">
        <v>22</v>
      </c>
      <c r="C3391" t="s">
        <v>1168</v>
      </c>
      <c r="D3391" t="s">
        <v>601</v>
      </c>
      <c r="E3391" t="s">
        <v>602</v>
      </c>
      <c r="F3391" t="s">
        <v>33</v>
      </c>
      <c r="G3391">
        <v>20</v>
      </c>
      <c r="H3391">
        <v>12</v>
      </c>
      <c r="I3391">
        <v>0</v>
      </c>
      <c r="J3391" t="s">
        <v>34</v>
      </c>
      <c r="K3391" t="s">
        <v>24</v>
      </c>
      <c r="L3391">
        <v>50</v>
      </c>
      <c r="M3391">
        <v>94.966999999999999</v>
      </c>
      <c r="N3391">
        <v>96.402348000000003</v>
      </c>
      <c r="O3391">
        <v>26.974</v>
      </c>
      <c r="P3391">
        <v>31.736000000000001</v>
      </c>
      <c r="Q3391">
        <v>36.042999999999999</v>
      </c>
      <c r="R3391" t="s">
        <v>368</v>
      </c>
      <c r="S3391" t="s">
        <v>83</v>
      </c>
      <c r="T3391">
        <f>IF(TRIM(Table1[[#This Row],[PitStopLaps]])="",0,
LEN(Table1[[#This Row],[PitStopLaps]])-LEN(SUBSTITUTE(Table1[[#This Row],[PitStopLaps]],",",""))+1)</f>
        <v>2</v>
      </c>
      <c r="U3391">
        <f>Table1[[#This Row],[StartPosition]]-Table1[[#This Row],[FinishPosition]]</f>
        <v>8</v>
      </c>
    </row>
    <row r="3392" spans="1:21" x14ac:dyDescent="0.3">
      <c r="A3392">
        <v>2025</v>
      </c>
      <c r="B3392">
        <v>22</v>
      </c>
      <c r="C3392" t="s">
        <v>1168</v>
      </c>
      <c r="D3392" t="s">
        <v>73</v>
      </c>
      <c r="E3392" t="s">
        <v>74</v>
      </c>
      <c r="F3392" t="s">
        <v>607</v>
      </c>
      <c r="G3392">
        <v>10</v>
      </c>
      <c r="H3392">
        <v>13</v>
      </c>
      <c r="I3392">
        <v>0</v>
      </c>
      <c r="J3392" t="s">
        <v>34</v>
      </c>
      <c r="K3392" t="s">
        <v>24</v>
      </c>
      <c r="L3392">
        <v>50</v>
      </c>
      <c r="M3392">
        <v>95.674000000000007</v>
      </c>
      <c r="N3392">
        <v>96.945755000000005</v>
      </c>
      <c r="O3392">
        <v>27.268999999999998</v>
      </c>
      <c r="P3392">
        <v>31.855</v>
      </c>
      <c r="Q3392">
        <v>36.395000000000003</v>
      </c>
      <c r="R3392">
        <v>2</v>
      </c>
      <c r="S3392" t="s">
        <v>83</v>
      </c>
      <c r="T3392">
        <f>IF(TRIM(Table1[[#This Row],[PitStopLaps]])="",0,
LEN(Table1[[#This Row],[PitStopLaps]])-LEN(SUBSTITUTE(Table1[[#This Row],[PitStopLaps]],",",""))+1)</f>
        <v>1</v>
      </c>
      <c r="U3392">
        <f>Table1[[#This Row],[StartPosition]]-Table1[[#This Row],[FinishPosition]]</f>
        <v>-3</v>
      </c>
    </row>
    <row r="3393" spans="1:21" x14ac:dyDescent="0.3">
      <c r="A3393">
        <v>2025</v>
      </c>
      <c r="B3393">
        <v>22</v>
      </c>
      <c r="C3393" t="s">
        <v>1168</v>
      </c>
      <c r="D3393" t="s">
        <v>1092</v>
      </c>
      <c r="E3393" t="s">
        <v>1093</v>
      </c>
      <c r="F3393" t="s">
        <v>1330</v>
      </c>
      <c r="G3393">
        <v>6</v>
      </c>
      <c r="H3393">
        <v>14</v>
      </c>
      <c r="I3393">
        <v>0</v>
      </c>
      <c r="J3393" t="s">
        <v>34</v>
      </c>
      <c r="K3393" t="s">
        <v>994</v>
      </c>
      <c r="L3393">
        <v>49</v>
      </c>
      <c r="M3393">
        <v>94.837000000000003</v>
      </c>
      <c r="N3393">
        <v>96.553476000000003</v>
      </c>
      <c r="O3393">
        <v>27.096</v>
      </c>
      <c r="P3393">
        <v>31.52</v>
      </c>
      <c r="Q3393">
        <v>35.972999999999999</v>
      </c>
      <c r="R3393" t="s">
        <v>682</v>
      </c>
      <c r="S3393" t="s">
        <v>83</v>
      </c>
      <c r="T3393">
        <f>IF(TRIM(Table1[[#This Row],[PitStopLaps]])="",0,
LEN(Table1[[#This Row],[PitStopLaps]])-LEN(SUBSTITUTE(Table1[[#This Row],[PitStopLaps]],",",""))+1)</f>
        <v>2</v>
      </c>
      <c r="U3393">
        <f>Table1[[#This Row],[StartPosition]]-Table1[[#This Row],[FinishPosition]]</f>
        <v>-8</v>
      </c>
    </row>
    <row r="3394" spans="1:21" x14ac:dyDescent="0.3">
      <c r="A3394">
        <v>2025</v>
      </c>
      <c r="B3394">
        <v>22</v>
      </c>
      <c r="C3394" t="s">
        <v>1168</v>
      </c>
      <c r="D3394" t="s">
        <v>1283</v>
      </c>
      <c r="E3394" t="s">
        <v>1284</v>
      </c>
      <c r="F3394" t="s">
        <v>607</v>
      </c>
      <c r="G3394">
        <v>15</v>
      </c>
      <c r="H3394">
        <v>15</v>
      </c>
      <c r="I3394">
        <v>0</v>
      </c>
      <c r="J3394" t="s">
        <v>34</v>
      </c>
      <c r="K3394" t="s">
        <v>994</v>
      </c>
      <c r="L3394">
        <v>49</v>
      </c>
      <c r="M3394">
        <v>95.78</v>
      </c>
      <c r="N3394">
        <v>97.243094999999997</v>
      </c>
      <c r="O3394">
        <v>27.263000000000002</v>
      </c>
      <c r="P3394">
        <v>31.780999999999999</v>
      </c>
      <c r="Q3394">
        <v>36.402000000000001</v>
      </c>
      <c r="R3394">
        <v>25</v>
      </c>
      <c r="S3394" t="s">
        <v>83</v>
      </c>
      <c r="T3394">
        <f>IF(TRIM(Table1[[#This Row],[PitStopLaps]])="",0,
LEN(Table1[[#This Row],[PitStopLaps]])-LEN(SUBSTITUTE(Table1[[#This Row],[PitStopLaps]],",",""))+1)</f>
        <v>1</v>
      </c>
      <c r="U3394">
        <f>Table1[[#This Row],[StartPosition]]-Table1[[#This Row],[FinishPosition]]</f>
        <v>0</v>
      </c>
    </row>
    <row r="3395" spans="1:21" x14ac:dyDescent="0.3">
      <c r="A3395">
        <v>2025</v>
      </c>
      <c r="B3395">
        <v>22</v>
      </c>
      <c r="C3395" t="s">
        <v>1168</v>
      </c>
      <c r="D3395" t="s">
        <v>248</v>
      </c>
      <c r="E3395" t="s">
        <v>249</v>
      </c>
      <c r="F3395" t="s">
        <v>60</v>
      </c>
      <c r="G3395">
        <v>16</v>
      </c>
      <c r="H3395">
        <v>16</v>
      </c>
      <c r="I3395">
        <v>0</v>
      </c>
      <c r="J3395" t="s">
        <v>34</v>
      </c>
      <c r="K3395" t="s">
        <v>179</v>
      </c>
      <c r="L3395">
        <v>35</v>
      </c>
      <c r="M3395">
        <v>95.183999999999997</v>
      </c>
      <c r="N3395">
        <v>96.572147999999999</v>
      </c>
      <c r="O3395">
        <v>27.07</v>
      </c>
      <c r="P3395">
        <v>31.77</v>
      </c>
      <c r="Q3395">
        <v>36.01</v>
      </c>
      <c r="R3395" t="s">
        <v>1439</v>
      </c>
      <c r="S3395" t="s">
        <v>83</v>
      </c>
      <c r="T3395">
        <f>IF(TRIM(Table1[[#This Row],[PitStopLaps]])="",0,
LEN(Table1[[#This Row],[PitStopLaps]])-LEN(SUBSTITUTE(Table1[[#This Row],[PitStopLaps]],",",""))+1)</f>
        <v>4</v>
      </c>
      <c r="U3395">
        <f>Table1[[#This Row],[StartPosition]]-Table1[[#This Row],[FinishPosition]]</f>
        <v>0</v>
      </c>
    </row>
    <row r="3396" spans="1:21" x14ac:dyDescent="0.3">
      <c r="A3396">
        <v>2025</v>
      </c>
      <c r="B3396">
        <v>22</v>
      </c>
      <c r="C3396" t="s">
        <v>1168</v>
      </c>
      <c r="D3396" t="s">
        <v>1334</v>
      </c>
      <c r="E3396" t="s">
        <v>1335</v>
      </c>
      <c r="F3396" t="s">
        <v>1175</v>
      </c>
      <c r="G3396">
        <v>18</v>
      </c>
      <c r="H3396">
        <v>17</v>
      </c>
      <c r="I3396">
        <v>0</v>
      </c>
      <c r="J3396" t="s">
        <v>34</v>
      </c>
      <c r="K3396" t="s">
        <v>179</v>
      </c>
      <c r="L3396">
        <v>2</v>
      </c>
      <c r="R3396" t="s">
        <v>219</v>
      </c>
      <c r="S3396" t="s">
        <v>83</v>
      </c>
      <c r="T3396">
        <f>IF(TRIM(Table1[[#This Row],[PitStopLaps]])="",0,
LEN(Table1[[#This Row],[PitStopLaps]])-LEN(SUBSTITUTE(Table1[[#This Row],[PitStopLaps]],",",""))+1)</f>
        <v>2</v>
      </c>
      <c r="U3396">
        <f>Table1[[#This Row],[StartPosition]]-Table1[[#This Row],[FinishPosition]]</f>
        <v>1</v>
      </c>
    </row>
    <row r="3397" spans="1:21" x14ac:dyDescent="0.3">
      <c r="A3397">
        <v>2025</v>
      </c>
      <c r="B3397">
        <v>22</v>
      </c>
      <c r="C3397" t="s">
        <v>1168</v>
      </c>
      <c r="D3397" t="s">
        <v>58</v>
      </c>
      <c r="E3397" t="s">
        <v>59</v>
      </c>
      <c r="F3397" t="s">
        <v>603</v>
      </c>
      <c r="G3397">
        <v>12</v>
      </c>
      <c r="H3397">
        <v>18</v>
      </c>
      <c r="I3397">
        <v>0</v>
      </c>
      <c r="J3397" t="s">
        <v>34</v>
      </c>
      <c r="K3397" t="s">
        <v>179</v>
      </c>
      <c r="L3397">
        <v>1</v>
      </c>
      <c r="S3397" t="s">
        <v>83</v>
      </c>
      <c r="T3397">
        <f>IF(TRIM(Table1[[#This Row],[PitStopLaps]])="",0,
LEN(Table1[[#This Row],[PitStopLaps]])-LEN(SUBSTITUTE(Table1[[#This Row],[PitStopLaps]],",",""))+1)</f>
        <v>0</v>
      </c>
      <c r="U3397">
        <f>Table1[[#This Row],[StartPosition]]-Table1[[#This Row],[FinishPosition]]</f>
        <v>-6</v>
      </c>
    </row>
    <row r="3398" spans="1:21" x14ac:dyDescent="0.3">
      <c r="A3398">
        <v>2025</v>
      </c>
      <c r="B3398">
        <v>22</v>
      </c>
      <c r="C3398" t="s">
        <v>1168</v>
      </c>
      <c r="D3398" t="s">
        <v>246</v>
      </c>
      <c r="E3398" t="s">
        <v>247</v>
      </c>
      <c r="F3398" t="s">
        <v>37</v>
      </c>
      <c r="G3398">
        <v>1</v>
      </c>
      <c r="H3398">
        <v>19</v>
      </c>
      <c r="I3398">
        <v>0</v>
      </c>
      <c r="J3398" t="s">
        <v>34</v>
      </c>
      <c r="K3398" t="s">
        <v>220</v>
      </c>
      <c r="L3398">
        <v>50</v>
      </c>
      <c r="M3398">
        <v>93.965000000000003</v>
      </c>
      <c r="N3398">
        <v>95.589580999999995</v>
      </c>
      <c r="O3398">
        <v>26.651</v>
      </c>
      <c r="P3398">
        <v>31.177</v>
      </c>
      <c r="Q3398">
        <v>35.938000000000002</v>
      </c>
      <c r="R3398">
        <v>22</v>
      </c>
      <c r="S3398" t="s">
        <v>83</v>
      </c>
      <c r="T3398">
        <f>IF(TRIM(Table1[[#This Row],[PitStopLaps]])="",0,
LEN(Table1[[#This Row],[PitStopLaps]])-LEN(SUBSTITUTE(Table1[[#This Row],[PitStopLaps]],",",""))+1)</f>
        <v>1</v>
      </c>
      <c r="U3398">
        <f>Table1[[#This Row],[StartPosition]]-Table1[[#This Row],[FinishPosition]]</f>
        <v>-18</v>
      </c>
    </row>
    <row r="3399" spans="1:21" x14ac:dyDescent="0.3">
      <c r="A3399">
        <v>2025</v>
      </c>
      <c r="B3399">
        <v>22</v>
      </c>
      <c r="C3399" t="s">
        <v>1168</v>
      </c>
      <c r="D3399" t="s">
        <v>1000</v>
      </c>
      <c r="E3399" t="s">
        <v>1001</v>
      </c>
      <c r="F3399" t="s">
        <v>37</v>
      </c>
      <c r="G3399">
        <v>5</v>
      </c>
      <c r="H3399">
        <v>20</v>
      </c>
      <c r="I3399">
        <v>0</v>
      </c>
      <c r="J3399" t="s">
        <v>34</v>
      </c>
      <c r="K3399" t="s">
        <v>220</v>
      </c>
      <c r="L3399">
        <v>50</v>
      </c>
      <c r="M3399">
        <v>94.085999999999999</v>
      </c>
      <c r="N3399">
        <v>95.673045999999999</v>
      </c>
      <c r="O3399">
        <v>26.763000000000002</v>
      </c>
      <c r="P3399">
        <v>31.477</v>
      </c>
      <c r="Q3399">
        <v>35.756</v>
      </c>
      <c r="R3399">
        <v>21</v>
      </c>
      <c r="S3399" t="s">
        <v>83</v>
      </c>
      <c r="T3399">
        <f>IF(TRIM(Table1[[#This Row],[PitStopLaps]])="",0,
LEN(Table1[[#This Row],[PitStopLaps]])-LEN(SUBSTITUTE(Table1[[#This Row],[PitStopLaps]],",",""))+1)</f>
        <v>1</v>
      </c>
      <c r="U3399">
        <f>Table1[[#This Row],[StartPosition]]-Table1[[#This Row],[FinishPosition]]</f>
        <v>-15</v>
      </c>
    </row>
    <row r="3400" spans="1:21" x14ac:dyDescent="0.3">
      <c r="A3400">
        <v>2025</v>
      </c>
      <c r="B3400">
        <v>23</v>
      </c>
      <c r="C3400" t="s">
        <v>760</v>
      </c>
      <c r="D3400" t="s">
        <v>38</v>
      </c>
      <c r="E3400" t="s">
        <v>39</v>
      </c>
      <c r="F3400" t="s">
        <v>33</v>
      </c>
      <c r="G3400">
        <v>3</v>
      </c>
      <c r="H3400">
        <v>1</v>
      </c>
      <c r="I3400">
        <v>25</v>
      </c>
      <c r="J3400" t="s">
        <v>23</v>
      </c>
      <c r="K3400" t="s">
        <v>24</v>
      </c>
      <c r="L3400">
        <v>57</v>
      </c>
      <c r="M3400">
        <v>83.498000000000005</v>
      </c>
      <c r="N3400">
        <v>85.300340000000006</v>
      </c>
      <c r="O3400">
        <v>30.734999999999999</v>
      </c>
      <c r="P3400">
        <v>28.512</v>
      </c>
      <c r="Q3400">
        <v>23.962</v>
      </c>
      <c r="R3400" t="s">
        <v>1059</v>
      </c>
      <c r="S3400" t="s">
        <v>83</v>
      </c>
      <c r="T3400">
        <f>IF(TRIM(Table1[[#This Row],[PitStopLaps]])="",0,
LEN(Table1[[#This Row],[PitStopLaps]])-LEN(SUBSTITUTE(Table1[[#This Row],[PitStopLaps]],",",""))+1)</f>
        <v>2</v>
      </c>
      <c r="U3400">
        <f>Table1[[#This Row],[StartPosition]]-Table1[[#This Row],[FinishPosition]]</f>
        <v>2</v>
      </c>
    </row>
    <row r="3401" spans="1:21" x14ac:dyDescent="0.3">
      <c r="A3401">
        <v>2025</v>
      </c>
      <c r="B3401">
        <v>23</v>
      </c>
      <c r="C3401" t="s">
        <v>760</v>
      </c>
      <c r="D3401" t="s">
        <v>1000</v>
      </c>
      <c r="E3401" t="s">
        <v>1001</v>
      </c>
      <c r="F3401" t="s">
        <v>37</v>
      </c>
      <c r="G3401">
        <v>1</v>
      </c>
      <c r="H3401">
        <v>2</v>
      </c>
      <c r="I3401">
        <v>18</v>
      </c>
      <c r="J3401" t="s">
        <v>23</v>
      </c>
      <c r="K3401" t="s">
        <v>24</v>
      </c>
      <c r="L3401">
        <v>57</v>
      </c>
      <c r="M3401">
        <v>82.995999999999995</v>
      </c>
      <c r="N3401">
        <v>84.904769999999999</v>
      </c>
      <c r="O3401">
        <v>30.826000000000001</v>
      </c>
      <c r="P3401">
        <v>28.093</v>
      </c>
      <c r="Q3401">
        <v>23.859000000000002</v>
      </c>
      <c r="R3401" t="s">
        <v>1063</v>
      </c>
      <c r="S3401" t="s">
        <v>83</v>
      </c>
      <c r="T3401">
        <f>IF(TRIM(Table1[[#This Row],[PitStopLaps]])="",0,
LEN(Table1[[#This Row],[PitStopLaps]])-LEN(SUBSTITUTE(Table1[[#This Row],[PitStopLaps]],",",""))+1)</f>
        <v>2</v>
      </c>
      <c r="U3401">
        <f>Table1[[#This Row],[StartPosition]]-Table1[[#This Row],[FinishPosition]]</f>
        <v>-1</v>
      </c>
    </row>
    <row r="3402" spans="1:21" x14ac:dyDescent="0.3">
      <c r="A3402">
        <v>2025</v>
      </c>
      <c r="B3402">
        <v>23</v>
      </c>
      <c r="C3402" t="s">
        <v>760</v>
      </c>
      <c r="D3402" t="s">
        <v>47</v>
      </c>
      <c r="E3402" t="s">
        <v>48</v>
      </c>
      <c r="F3402" t="s">
        <v>60</v>
      </c>
      <c r="G3402">
        <v>7</v>
      </c>
      <c r="H3402">
        <v>3</v>
      </c>
      <c r="I3402">
        <v>15</v>
      </c>
      <c r="J3402" t="s">
        <v>23</v>
      </c>
      <c r="K3402" t="s">
        <v>24</v>
      </c>
      <c r="L3402">
        <v>57</v>
      </c>
      <c r="M3402">
        <v>83.858999999999995</v>
      </c>
      <c r="N3402">
        <v>85.760480000000001</v>
      </c>
      <c r="O3402">
        <v>31.166</v>
      </c>
      <c r="P3402">
        <v>28.390999999999998</v>
      </c>
      <c r="Q3402">
        <v>24.146000000000001</v>
      </c>
      <c r="R3402" t="s">
        <v>1059</v>
      </c>
      <c r="S3402" t="s">
        <v>83</v>
      </c>
      <c r="T3402">
        <f>IF(TRIM(Table1[[#This Row],[PitStopLaps]])="",0,
LEN(Table1[[#This Row],[PitStopLaps]])-LEN(SUBSTITUTE(Table1[[#This Row],[PitStopLaps]],",",""))+1)</f>
        <v>2</v>
      </c>
      <c r="U3402">
        <f>Table1[[#This Row],[StartPosition]]-Table1[[#This Row],[FinishPosition]]</f>
        <v>4</v>
      </c>
    </row>
    <row r="3403" spans="1:21" x14ac:dyDescent="0.3">
      <c r="A3403">
        <v>2025</v>
      </c>
      <c r="B3403">
        <v>23</v>
      </c>
      <c r="C3403" t="s">
        <v>760</v>
      </c>
      <c r="D3403" t="s">
        <v>246</v>
      </c>
      <c r="E3403" t="s">
        <v>247</v>
      </c>
      <c r="F3403" t="s">
        <v>37</v>
      </c>
      <c r="G3403">
        <v>2</v>
      </c>
      <c r="H3403">
        <v>4</v>
      </c>
      <c r="I3403">
        <v>12</v>
      </c>
      <c r="J3403" t="s">
        <v>34</v>
      </c>
      <c r="K3403" t="s">
        <v>24</v>
      </c>
      <c r="L3403">
        <v>57</v>
      </c>
      <c r="M3403">
        <v>83.197000000000003</v>
      </c>
      <c r="N3403">
        <v>85.242644999999996</v>
      </c>
      <c r="O3403">
        <v>30.834</v>
      </c>
      <c r="P3403">
        <v>28.402000000000001</v>
      </c>
      <c r="Q3403">
        <v>23.850999999999999</v>
      </c>
      <c r="R3403" t="s">
        <v>1230</v>
      </c>
      <c r="S3403" t="s">
        <v>83</v>
      </c>
      <c r="T3403">
        <f>IF(TRIM(Table1[[#This Row],[PitStopLaps]])="",0,
LEN(Table1[[#This Row],[PitStopLaps]])-LEN(SUBSTITUTE(Table1[[#This Row],[PitStopLaps]],",",""))+1)</f>
        <v>2</v>
      </c>
      <c r="U3403">
        <f>Table1[[#This Row],[StartPosition]]-Table1[[#This Row],[FinishPosition]]</f>
        <v>-2</v>
      </c>
    </row>
    <row r="3404" spans="1:21" x14ac:dyDescent="0.3">
      <c r="A3404">
        <v>2025</v>
      </c>
      <c r="B3404">
        <v>23</v>
      </c>
      <c r="C3404" t="s">
        <v>760</v>
      </c>
      <c r="D3404" t="s">
        <v>1339</v>
      </c>
      <c r="E3404" t="s">
        <v>1325</v>
      </c>
      <c r="F3404" t="s">
        <v>28</v>
      </c>
      <c r="G3404">
        <v>5</v>
      </c>
      <c r="H3404">
        <v>5</v>
      </c>
      <c r="I3404">
        <v>10</v>
      </c>
      <c r="J3404" t="s">
        <v>34</v>
      </c>
      <c r="K3404" t="s">
        <v>24</v>
      </c>
      <c r="L3404">
        <v>57</v>
      </c>
      <c r="M3404">
        <v>83.954999999999998</v>
      </c>
      <c r="N3404">
        <v>85.810320000000004</v>
      </c>
      <c r="O3404">
        <v>30.873000000000001</v>
      </c>
      <c r="P3404">
        <v>28.762</v>
      </c>
      <c r="Q3404">
        <v>24.21</v>
      </c>
      <c r="R3404" t="s">
        <v>1059</v>
      </c>
      <c r="S3404" t="s">
        <v>83</v>
      </c>
      <c r="T3404">
        <f>IF(TRIM(Table1[[#This Row],[PitStopLaps]])="",0,
LEN(Table1[[#This Row],[PitStopLaps]])-LEN(SUBSTITUTE(Table1[[#This Row],[PitStopLaps]],",",""))+1)</f>
        <v>2</v>
      </c>
      <c r="U3404">
        <f>Table1[[#This Row],[StartPosition]]-Table1[[#This Row],[FinishPosition]]</f>
        <v>0</v>
      </c>
    </row>
    <row r="3405" spans="1:21" x14ac:dyDescent="0.3">
      <c r="A3405">
        <v>2025</v>
      </c>
      <c r="B3405">
        <v>23</v>
      </c>
      <c r="C3405" t="s">
        <v>760</v>
      </c>
      <c r="D3405" t="s">
        <v>252</v>
      </c>
      <c r="E3405" t="s">
        <v>253</v>
      </c>
      <c r="F3405" t="s">
        <v>28</v>
      </c>
      <c r="G3405">
        <v>4</v>
      </c>
      <c r="H3405">
        <v>6</v>
      </c>
      <c r="I3405">
        <v>8</v>
      </c>
      <c r="J3405" t="s">
        <v>34</v>
      </c>
      <c r="K3405" t="s">
        <v>24</v>
      </c>
      <c r="L3405">
        <v>57</v>
      </c>
      <c r="M3405">
        <v>83.197999999999993</v>
      </c>
      <c r="N3405">
        <v>86.237179999999995</v>
      </c>
      <c r="O3405">
        <v>30.635999999999999</v>
      </c>
      <c r="P3405">
        <v>28.448</v>
      </c>
      <c r="Q3405">
        <v>24.023</v>
      </c>
      <c r="R3405" t="s">
        <v>1059</v>
      </c>
      <c r="S3405" t="s">
        <v>83</v>
      </c>
      <c r="T3405">
        <f>IF(TRIM(Table1[[#This Row],[PitStopLaps]])="",0,
LEN(Table1[[#This Row],[PitStopLaps]])-LEN(SUBSTITUTE(Table1[[#This Row],[PitStopLaps]],",",""))+1)</f>
        <v>2</v>
      </c>
      <c r="U3405">
        <f>Table1[[#This Row],[StartPosition]]-Table1[[#This Row],[FinishPosition]]</f>
        <v>-2</v>
      </c>
    </row>
    <row r="3406" spans="1:21" x14ac:dyDescent="0.3">
      <c r="A3406">
        <v>2025</v>
      </c>
      <c r="B3406">
        <v>23</v>
      </c>
      <c r="C3406" t="s">
        <v>760</v>
      </c>
      <c r="D3406" t="s">
        <v>35</v>
      </c>
      <c r="E3406" t="s">
        <v>36</v>
      </c>
      <c r="F3406" t="s">
        <v>603</v>
      </c>
      <c r="G3406">
        <v>8</v>
      </c>
      <c r="H3406">
        <v>7</v>
      </c>
      <c r="I3406">
        <v>6</v>
      </c>
      <c r="J3406" t="s">
        <v>34</v>
      </c>
      <c r="K3406" t="s">
        <v>24</v>
      </c>
      <c r="L3406">
        <v>57</v>
      </c>
      <c r="M3406">
        <v>83.94</v>
      </c>
      <c r="N3406">
        <v>86.347179999999994</v>
      </c>
      <c r="O3406">
        <v>31.186</v>
      </c>
      <c r="P3406">
        <v>28.506</v>
      </c>
      <c r="Q3406">
        <v>24.152000000000001</v>
      </c>
      <c r="R3406" t="s">
        <v>1059</v>
      </c>
      <c r="S3406" t="s">
        <v>83</v>
      </c>
      <c r="T3406">
        <f>IF(TRIM(Table1[[#This Row],[PitStopLaps]])="",0,
LEN(Table1[[#This Row],[PitStopLaps]])-LEN(SUBSTITUTE(Table1[[#This Row],[PitStopLaps]],",",""))+1)</f>
        <v>2</v>
      </c>
      <c r="U3406">
        <f>Table1[[#This Row],[StartPosition]]-Table1[[#This Row],[FinishPosition]]</f>
        <v>1</v>
      </c>
    </row>
    <row r="3407" spans="1:21" x14ac:dyDescent="0.3">
      <c r="A3407">
        <v>2025</v>
      </c>
      <c r="B3407">
        <v>23</v>
      </c>
      <c r="C3407" t="s">
        <v>760</v>
      </c>
      <c r="D3407" t="s">
        <v>54</v>
      </c>
      <c r="E3407" t="s">
        <v>55</v>
      </c>
      <c r="F3407" t="s">
        <v>22</v>
      </c>
      <c r="G3407">
        <v>10</v>
      </c>
      <c r="H3407">
        <v>8</v>
      </c>
      <c r="I3407">
        <v>4</v>
      </c>
      <c r="J3407" t="s">
        <v>34</v>
      </c>
      <c r="K3407" t="s">
        <v>24</v>
      </c>
      <c r="L3407">
        <v>57</v>
      </c>
      <c r="M3407">
        <v>84.432000000000002</v>
      </c>
      <c r="N3407">
        <v>86.438239999999993</v>
      </c>
      <c r="O3407">
        <v>31.126000000000001</v>
      </c>
      <c r="P3407">
        <v>28.756</v>
      </c>
      <c r="Q3407">
        <v>24.331</v>
      </c>
      <c r="R3407" t="s">
        <v>1059</v>
      </c>
      <c r="S3407" t="s">
        <v>83</v>
      </c>
      <c r="T3407">
        <f>IF(TRIM(Table1[[#This Row],[PitStopLaps]])="",0,
LEN(Table1[[#This Row],[PitStopLaps]])-LEN(SUBSTITUTE(Table1[[#This Row],[PitStopLaps]],",",""))+1)</f>
        <v>2</v>
      </c>
      <c r="U3407">
        <f>Table1[[#This Row],[StartPosition]]-Table1[[#This Row],[FinishPosition]]</f>
        <v>2</v>
      </c>
    </row>
    <row r="3408" spans="1:21" x14ac:dyDescent="0.3">
      <c r="A3408">
        <v>2025</v>
      </c>
      <c r="B3408">
        <v>23</v>
      </c>
      <c r="C3408" t="s">
        <v>760</v>
      </c>
      <c r="D3408" t="s">
        <v>1092</v>
      </c>
      <c r="E3408" t="s">
        <v>1093</v>
      </c>
      <c r="F3408" t="s">
        <v>1330</v>
      </c>
      <c r="G3408">
        <v>12</v>
      </c>
      <c r="H3408">
        <v>9</v>
      </c>
      <c r="I3408">
        <v>2</v>
      </c>
      <c r="J3408" t="s">
        <v>34</v>
      </c>
      <c r="K3408" t="s">
        <v>24</v>
      </c>
      <c r="L3408">
        <v>57</v>
      </c>
      <c r="M3408">
        <v>83.971000000000004</v>
      </c>
      <c r="N3408">
        <v>86.486959999999996</v>
      </c>
      <c r="O3408">
        <v>31.184000000000001</v>
      </c>
      <c r="P3408">
        <v>28.481999999999999</v>
      </c>
      <c r="Q3408">
        <v>24.274000000000001</v>
      </c>
      <c r="R3408" t="s">
        <v>1059</v>
      </c>
      <c r="S3408" t="s">
        <v>83</v>
      </c>
      <c r="T3408">
        <f>IF(TRIM(Table1[[#This Row],[PitStopLaps]])="",0,
LEN(Table1[[#This Row],[PitStopLaps]])-LEN(SUBSTITUTE(Table1[[#This Row],[PitStopLaps]],",",""))+1)</f>
        <v>2</v>
      </c>
      <c r="U3408">
        <f>Table1[[#This Row],[StartPosition]]-Table1[[#This Row],[FinishPosition]]</f>
        <v>3</v>
      </c>
    </row>
    <row r="3409" spans="1:21" x14ac:dyDescent="0.3">
      <c r="A3409">
        <v>2025</v>
      </c>
      <c r="B3409">
        <v>23</v>
      </c>
      <c r="C3409" t="s">
        <v>760</v>
      </c>
      <c r="D3409" t="s">
        <v>601</v>
      </c>
      <c r="E3409" t="s">
        <v>602</v>
      </c>
      <c r="F3409" t="s">
        <v>33</v>
      </c>
      <c r="G3409">
        <v>15</v>
      </c>
      <c r="H3409">
        <v>10</v>
      </c>
      <c r="I3409">
        <v>1</v>
      </c>
      <c r="J3409" t="s">
        <v>34</v>
      </c>
      <c r="K3409" t="s">
        <v>24</v>
      </c>
      <c r="L3409">
        <v>57</v>
      </c>
      <c r="M3409">
        <v>84.138999999999996</v>
      </c>
      <c r="N3409">
        <v>86.535920000000004</v>
      </c>
      <c r="O3409">
        <v>31.062999999999999</v>
      </c>
      <c r="P3409">
        <v>28.596</v>
      </c>
      <c r="Q3409">
        <v>24.198</v>
      </c>
      <c r="R3409" t="s">
        <v>1059</v>
      </c>
      <c r="S3409" t="s">
        <v>83</v>
      </c>
      <c r="T3409">
        <f>IF(TRIM(Table1[[#This Row],[PitStopLaps]])="",0,
LEN(Table1[[#This Row],[PitStopLaps]])-LEN(SUBSTITUTE(Table1[[#This Row],[PitStopLaps]],",",""))+1)</f>
        <v>2</v>
      </c>
      <c r="U3409">
        <f>Table1[[#This Row],[StartPosition]]-Table1[[#This Row],[FinishPosition]]</f>
        <v>5</v>
      </c>
    </row>
    <row r="3410" spans="1:21" x14ac:dyDescent="0.3">
      <c r="A3410">
        <v>2025</v>
      </c>
      <c r="B3410">
        <v>23</v>
      </c>
      <c r="C3410" t="s">
        <v>760</v>
      </c>
      <c r="D3410" t="s">
        <v>248</v>
      </c>
      <c r="E3410" t="s">
        <v>249</v>
      </c>
      <c r="F3410" t="s">
        <v>60</v>
      </c>
      <c r="G3410">
        <v>14</v>
      </c>
      <c r="H3410">
        <v>11</v>
      </c>
      <c r="I3410">
        <v>0</v>
      </c>
      <c r="J3410" t="s">
        <v>34</v>
      </c>
      <c r="K3410" t="s">
        <v>24</v>
      </c>
      <c r="L3410">
        <v>57</v>
      </c>
      <c r="M3410">
        <v>84.260999999999996</v>
      </c>
      <c r="N3410">
        <v>86.646320000000003</v>
      </c>
      <c r="O3410">
        <v>31.236999999999998</v>
      </c>
      <c r="P3410">
        <v>28.731000000000002</v>
      </c>
      <c r="Q3410">
        <v>24.222999999999999</v>
      </c>
      <c r="R3410" t="s">
        <v>1059</v>
      </c>
      <c r="S3410" t="s">
        <v>83</v>
      </c>
      <c r="T3410">
        <f>IF(TRIM(Table1[[#This Row],[PitStopLaps]])="",0,
LEN(Table1[[#This Row],[PitStopLaps]])-LEN(SUBSTITUTE(Table1[[#This Row],[PitStopLaps]],",",""))+1)</f>
        <v>2</v>
      </c>
      <c r="U3410">
        <f>Table1[[#This Row],[StartPosition]]-Table1[[#This Row],[FinishPosition]]</f>
        <v>3</v>
      </c>
    </row>
    <row r="3411" spans="1:21" x14ac:dyDescent="0.3">
      <c r="A3411">
        <v>2025</v>
      </c>
      <c r="B3411">
        <v>23</v>
      </c>
      <c r="C3411" t="s">
        <v>760</v>
      </c>
      <c r="D3411" t="s">
        <v>26</v>
      </c>
      <c r="E3411" t="s">
        <v>27</v>
      </c>
      <c r="F3411" t="s">
        <v>22</v>
      </c>
      <c r="G3411">
        <v>17</v>
      </c>
      <c r="H3411">
        <v>12</v>
      </c>
      <c r="I3411">
        <v>0</v>
      </c>
      <c r="J3411" t="s">
        <v>34</v>
      </c>
      <c r="K3411" t="s">
        <v>24</v>
      </c>
      <c r="L3411">
        <v>57</v>
      </c>
      <c r="M3411">
        <v>84.847999999999999</v>
      </c>
      <c r="N3411">
        <v>86.847700000000003</v>
      </c>
      <c r="O3411">
        <v>31.440999999999999</v>
      </c>
      <c r="P3411">
        <v>29.006</v>
      </c>
      <c r="Q3411">
        <v>24.401</v>
      </c>
      <c r="R3411" t="s">
        <v>1059</v>
      </c>
      <c r="S3411" t="s">
        <v>83</v>
      </c>
      <c r="T3411">
        <f>IF(TRIM(Table1[[#This Row],[PitStopLaps]])="",0,
LEN(Table1[[#This Row],[PitStopLaps]])-LEN(SUBSTITUTE(Table1[[#This Row],[PitStopLaps]],",",""))+1)</f>
        <v>2</v>
      </c>
      <c r="U3411">
        <f>Table1[[#This Row],[StartPosition]]-Table1[[#This Row],[FinishPosition]]</f>
        <v>5</v>
      </c>
    </row>
    <row r="3412" spans="1:21" x14ac:dyDescent="0.3">
      <c r="A3412">
        <v>2025</v>
      </c>
      <c r="B3412">
        <v>23</v>
      </c>
      <c r="C3412" t="s">
        <v>760</v>
      </c>
      <c r="D3412" t="s">
        <v>1334</v>
      </c>
      <c r="E3412" t="s">
        <v>1335</v>
      </c>
      <c r="F3412" t="s">
        <v>1175</v>
      </c>
      <c r="G3412">
        <v>19</v>
      </c>
      <c r="H3412">
        <v>13</v>
      </c>
      <c r="I3412">
        <v>0</v>
      </c>
      <c r="J3412" t="s">
        <v>34</v>
      </c>
      <c r="K3412" t="s">
        <v>24</v>
      </c>
      <c r="L3412">
        <v>57</v>
      </c>
      <c r="M3412">
        <v>85.233000000000004</v>
      </c>
      <c r="N3412">
        <v>86.998999999999995</v>
      </c>
      <c r="O3412">
        <v>31.582999999999998</v>
      </c>
      <c r="P3412">
        <v>28.957000000000001</v>
      </c>
      <c r="Q3412">
        <v>24.571999999999999</v>
      </c>
      <c r="R3412" t="s">
        <v>1059</v>
      </c>
      <c r="S3412" t="s">
        <v>83</v>
      </c>
      <c r="T3412">
        <f>IF(TRIM(Table1[[#This Row],[PitStopLaps]])="",0,
LEN(Table1[[#This Row],[PitStopLaps]])-LEN(SUBSTITUTE(Table1[[#This Row],[PitStopLaps]],",",""))+1)</f>
        <v>2</v>
      </c>
      <c r="U3412">
        <f>Table1[[#This Row],[StartPosition]]-Table1[[#This Row],[FinishPosition]]</f>
        <v>6</v>
      </c>
    </row>
    <row r="3413" spans="1:21" x14ac:dyDescent="0.3">
      <c r="A3413">
        <v>2025</v>
      </c>
      <c r="B3413">
        <v>23</v>
      </c>
      <c r="C3413" t="s">
        <v>760</v>
      </c>
      <c r="D3413" t="s">
        <v>1283</v>
      </c>
      <c r="E3413" t="s">
        <v>1284</v>
      </c>
      <c r="F3413" t="s">
        <v>607</v>
      </c>
      <c r="G3413">
        <v>20</v>
      </c>
      <c r="H3413">
        <v>14</v>
      </c>
      <c r="I3413">
        <v>0</v>
      </c>
      <c r="J3413" t="s">
        <v>34</v>
      </c>
      <c r="K3413" t="s">
        <v>994</v>
      </c>
      <c r="L3413">
        <v>56</v>
      </c>
      <c r="M3413">
        <v>85.644000000000005</v>
      </c>
      <c r="N3413">
        <v>87.099958999999998</v>
      </c>
      <c r="O3413">
        <v>31.754000000000001</v>
      </c>
      <c r="P3413">
        <v>28.978000000000002</v>
      </c>
      <c r="Q3413">
        <v>24.521999999999998</v>
      </c>
      <c r="R3413" t="s">
        <v>1059</v>
      </c>
      <c r="S3413" t="s">
        <v>83</v>
      </c>
      <c r="T3413">
        <f>IF(TRIM(Table1[[#This Row],[PitStopLaps]])="",0,
LEN(Table1[[#This Row],[PitStopLaps]])-LEN(SUBSTITUTE(Table1[[#This Row],[PitStopLaps]],",",""))+1)</f>
        <v>2</v>
      </c>
      <c r="U3413">
        <f>Table1[[#This Row],[StartPosition]]-Table1[[#This Row],[FinishPosition]]</f>
        <v>6</v>
      </c>
    </row>
    <row r="3414" spans="1:21" x14ac:dyDescent="0.3">
      <c r="A3414">
        <v>2025</v>
      </c>
      <c r="B3414">
        <v>23</v>
      </c>
      <c r="C3414" t="s">
        <v>760</v>
      </c>
      <c r="D3414" t="s">
        <v>52</v>
      </c>
      <c r="E3414" t="s">
        <v>53</v>
      </c>
      <c r="F3414" t="s">
        <v>69</v>
      </c>
      <c r="G3414">
        <v>16</v>
      </c>
      <c r="H3414">
        <v>15</v>
      </c>
      <c r="I3414">
        <v>0</v>
      </c>
      <c r="J3414" t="s">
        <v>34</v>
      </c>
      <c r="K3414" t="s">
        <v>994</v>
      </c>
      <c r="L3414">
        <v>56</v>
      </c>
      <c r="M3414">
        <v>85.055999999999997</v>
      </c>
      <c r="N3414">
        <v>87.073550999999995</v>
      </c>
      <c r="O3414">
        <v>31.306999999999999</v>
      </c>
      <c r="P3414">
        <v>28.91</v>
      </c>
      <c r="Q3414">
        <v>24.675999999999998</v>
      </c>
      <c r="R3414" t="s">
        <v>1440</v>
      </c>
      <c r="S3414" t="s">
        <v>83</v>
      </c>
      <c r="T3414">
        <f>IF(TRIM(Table1[[#This Row],[PitStopLaps]])="",0,
LEN(Table1[[#This Row],[PitStopLaps]])-LEN(SUBSTITUTE(Table1[[#This Row],[PitStopLaps]],",",""))+1)</f>
        <v>3</v>
      </c>
      <c r="U3414">
        <f>Table1[[#This Row],[StartPosition]]-Table1[[#This Row],[FinishPosition]]</f>
        <v>1</v>
      </c>
    </row>
    <row r="3415" spans="1:21" x14ac:dyDescent="0.3">
      <c r="A3415">
        <v>2025</v>
      </c>
      <c r="B3415">
        <v>23</v>
      </c>
      <c r="C3415" t="s">
        <v>760</v>
      </c>
      <c r="D3415" t="s">
        <v>73</v>
      </c>
      <c r="E3415" t="s">
        <v>74</v>
      </c>
      <c r="F3415" t="s">
        <v>607</v>
      </c>
      <c r="G3415">
        <v>9</v>
      </c>
      <c r="H3415">
        <v>16</v>
      </c>
      <c r="I3415">
        <v>0</v>
      </c>
      <c r="J3415" t="s">
        <v>34</v>
      </c>
      <c r="K3415" t="s">
        <v>994</v>
      </c>
      <c r="L3415">
        <v>56</v>
      </c>
      <c r="M3415">
        <v>85.376000000000005</v>
      </c>
      <c r="N3415">
        <v>86.944489000000004</v>
      </c>
      <c r="O3415">
        <v>31.585999999999999</v>
      </c>
      <c r="P3415">
        <v>29.132999999999999</v>
      </c>
      <c r="Q3415">
        <v>24.501000000000001</v>
      </c>
      <c r="R3415" t="s">
        <v>1059</v>
      </c>
      <c r="S3415" t="s">
        <v>83</v>
      </c>
      <c r="T3415">
        <f>IF(TRIM(Table1[[#This Row],[PitStopLaps]])="",0,
LEN(Table1[[#This Row],[PitStopLaps]])-LEN(SUBSTITUTE(Table1[[#This Row],[PitStopLaps]],",",""))+1)</f>
        <v>2</v>
      </c>
      <c r="U3415">
        <f>Table1[[#This Row],[StartPosition]]-Table1[[#This Row],[FinishPosition]]</f>
        <v>-7</v>
      </c>
    </row>
    <row r="3416" spans="1:21" x14ac:dyDescent="0.3">
      <c r="A3416">
        <v>2025</v>
      </c>
      <c r="B3416">
        <v>23</v>
      </c>
      <c r="C3416" t="s">
        <v>760</v>
      </c>
      <c r="D3416" t="s">
        <v>58</v>
      </c>
      <c r="E3416" t="s">
        <v>59</v>
      </c>
      <c r="F3416" t="s">
        <v>603</v>
      </c>
      <c r="G3416">
        <v>18</v>
      </c>
      <c r="H3416">
        <v>17</v>
      </c>
      <c r="I3416">
        <v>0</v>
      </c>
      <c r="J3416" t="s">
        <v>34</v>
      </c>
      <c r="K3416" t="s">
        <v>179</v>
      </c>
      <c r="L3416">
        <v>55</v>
      </c>
      <c r="M3416">
        <v>83.483999999999995</v>
      </c>
      <c r="N3416">
        <v>86.781355000000005</v>
      </c>
      <c r="O3416">
        <v>31.065999999999999</v>
      </c>
      <c r="P3416">
        <v>28.138999999999999</v>
      </c>
      <c r="Q3416">
        <v>24.279</v>
      </c>
      <c r="R3416" t="s">
        <v>1441</v>
      </c>
      <c r="S3416" t="s">
        <v>83</v>
      </c>
      <c r="T3416">
        <f>IF(TRIM(Table1[[#This Row],[PitStopLaps]])="",0,
LEN(Table1[[#This Row],[PitStopLaps]])-LEN(SUBSTITUTE(Table1[[#This Row],[PitStopLaps]],",",""))+1)</f>
        <v>4</v>
      </c>
      <c r="U3416">
        <f>Table1[[#This Row],[StartPosition]]-Table1[[#This Row],[FinishPosition]]</f>
        <v>1</v>
      </c>
    </row>
    <row r="3417" spans="1:21" x14ac:dyDescent="0.3">
      <c r="A3417">
        <v>2025</v>
      </c>
      <c r="B3417">
        <v>23</v>
      </c>
      <c r="C3417" t="s">
        <v>760</v>
      </c>
      <c r="D3417" t="s">
        <v>1337</v>
      </c>
      <c r="E3417" t="s">
        <v>1338</v>
      </c>
      <c r="F3417" t="s">
        <v>1330</v>
      </c>
      <c r="G3417">
        <v>6</v>
      </c>
      <c r="H3417">
        <v>18</v>
      </c>
      <c r="I3417">
        <v>0</v>
      </c>
      <c r="J3417" t="s">
        <v>34</v>
      </c>
      <c r="K3417" t="s">
        <v>179</v>
      </c>
      <c r="L3417">
        <v>55</v>
      </c>
      <c r="M3417">
        <v>84.316999999999993</v>
      </c>
      <c r="N3417">
        <v>86.395871999999997</v>
      </c>
      <c r="O3417">
        <v>31.324999999999999</v>
      </c>
      <c r="P3417">
        <v>28.507000000000001</v>
      </c>
      <c r="Q3417">
        <v>24.257999999999999</v>
      </c>
      <c r="R3417" t="s">
        <v>1442</v>
      </c>
      <c r="S3417" t="s">
        <v>83</v>
      </c>
      <c r="T3417">
        <f>IF(TRIM(Table1[[#This Row],[PitStopLaps]])="",0,
LEN(Table1[[#This Row],[PitStopLaps]])-LEN(SUBSTITUTE(Table1[[#This Row],[PitStopLaps]],",",""))+1)</f>
        <v>3</v>
      </c>
      <c r="U3417">
        <f>Table1[[#This Row],[StartPosition]]-Table1[[#This Row],[FinishPosition]]</f>
        <v>-12</v>
      </c>
    </row>
    <row r="3418" spans="1:21" x14ac:dyDescent="0.3">
      <c r="A3418">
        <v>2025</v>
      </c>
      <c r="B3418">
        <v>23</v>
      </c>
      <c r="C3418" t="s">
        <v>760</v>
      </c>
      <c r="D3418" t="s">
        <v>1180</v>
      </c>
      <c r="E3418" t="s">
        <v>1181</v>
      </c>
      <c r="F3418" t="s">
        <v>69</v>
      </c>
      <c r="G3418">
        <v>13</v>
      </c>
      <c r="H3418">
        <v>19</v>
      </c>
      <c r="I3418">
        <v>0</v>
      </c>
      <c r="J3418" t="s">
        <v>34</v>
      </c>
      <c r="K3418" t="s">
        <v>179</v>
      </c>
      <c r="L3418">
        <v>41</v>
      </c>
      <c r="M3418">
        <v>84.93</v>
      </c>
      <c r="N3418">
        <v>87.269374999999997</v>
      </c>
      <c r="O3418">
        <v>31.419</v>
      </c>
      <c r="P3418">
        <v>28.885000000000002</v>
      </c>
      <c r="Q3418">
        <v>24.62</v>
      </c>
      <c r="R3418" t="s">
        <v>1443</v>
      </c>
      <c r="S3418" t="s">
        <v>83</v>
      </c>
      <c r="T3418">
        <f>IF(TRIM(Table1[[#This Row],[PitStopLaps]])="",0,
LEN(Table1[[#This Row],[PitStopLaps]])-LEN(SUBSTITUTE(Table1[[#This Row],[PitStopLaps]],",",""))+1)</f>
        <v>4</v>
      </c>
      <c r="U3418">
        <f>Table1[[#This Row],[StartPosition]]-Table1[[#This Row],[FinishPosition]]</f>
        <v>-6</v>
      </c>
    </row>
    <row r="3419" spans="1:21" x14ac:dyDescent="0.3">
      <c r="A3419">
        <v>2025</v>
      </c>
      <c r="B3419">
        <v>23</v>
      </c>
      <c r="C3419" t="s">
        <v>760</v>
      </c>
      <c r="D3419" t="s">
        <v>40</v>
      </c>
      <c r="E3419" t="s">
        <v>41</v>
      </c>
      <c r="F3419" t="s">
        <v>1175</v>
      </c>
      <c r="G3419">
        <v>11</v>
      </c>
      <c r="H3419">
        <v>20</v>
      </c>
      <c r="I3419">
        <v>0</v>
      </c>
      <c r="J3419" t="s">
        <v>34</v>
      </c>
      <c r="K3419" t="s">
        <v>179</v>
      </c>
      <c r="L3419">
        <v>7</v>
      </c>
      <c r="M3419">
        <v>88.138999999999996</v>
      </c>
      <c r="N3419">
        <v>88.403999999999996</v>
      </c>
      <c r="O3419">
        <v>32.447000000000003</v>
      </c>
      <c r="P3419">
        <v>29.914000000000001</v>
      </c>
      <c r="Q3419">
        <v>25.448</v>
      </c>
      <c r="S3419" t="s">
        <v>83</v>
      </c>
      <c r="T3419">
        <f>IF(TRIM(Table1[[#This Row],[PitStopLaps]])="",0,
LEN(Table1[[#This Row],[PitStopLaps]])-LEN(SUBSTITUTE(Table1[[#This Row],[PitStopLaps]],",",""))+1)</f>
        <v>0</v>
      </c>
      <c r="U3419">
        <f>Table1[[#This Row],[StartPosition]]-Table1[[#This Row],[FinishPosition]]</f>
        <v>-9</v>
      </c>
    </row>
    <row r="3420" spans="1:21" x14ac:dyDescent="0.3">
      <c r="A3420">
        <v>2025</v>
      </c>
      <c r="B3420">
        <v>24</v>
      </c>
      <c r="C3420" t="s">
        <v>240</v>
      </c>
      <c r="D3420" t="s">
        <v>38</v>
      </c>
      <c r="E3420" t="s">
        <v>39</v>
      </c>
      <c r="F3420" t="s">
        <v>33</v>
      </c>
      <c r="G3420">
        <v>1</v>
      </c>
      <c r="H3420">
        <v>1</v>
      </c>
      <c r="I3420">
        <v>25</v>
      </c>
      <c r="J3420" t="s">
        <v>23</v>
      </c>
      <c r="K3420" t="s">
        <v>24</v>
      </c>
      <c r="L3420">
        <v>58</v>
      </c>
      <c r="M3420">
        <v>87.625</v>
      </c>
      <c r="N3420">
        <v>88.645527000000001</v>
      </c>
      <c r="O3420">
        <v>17.411999999999999</v>
      </c>
      <c r="P3420">
        <v>38.034999999999997</v>
      </c>
      <c r="Q3420">
        <v>31.93</v>
      </c>
      <c r="R3420">
        <v>23</v>
      </c>
      <c r="S3420" t="s">
        <v>83</v>
      </c>
      <c r="T3420">
        <f>IF(TRIM(Table1[[#This Row],[PitStopLaps]])="",0,
LEN(Table1[[#This Row],[PitStopLaps]])-LEN(SUBSTITUTE(Table1[[#This Row],[PitStopLaps]],",",""))+1)</f>
        <v>1</v>
      </c>
      <c r="U3420">
        <f>Table1[[#This Row],[StartPosition]]-Table1[[#This Row],[FinishPosition]]</f>
        <v>0</v>
      </c>
    </row>
    <row r="3421" spans="1:21" x14ac:dyDescent="0.3">
      <c r="A3421">
        <v>2025</v>
      </c>
      <c r="B3421">
        <v>24</v>
      </c>
      <c r="C3421" t="s">
        <v>240</v>
      </c>
      <c r="D3421" t="s">
        <v>1000</v>
      </c>
      <c r="E3421" t="s">
        <v>1001</v>
      </c>
      <c r="F3421" t="s">
        <v>37</v>
      </c>
      <c r="G3421">
        <v>3</v>
      </c>
      <c r="H3421">
        <v>2</v>
      </c>
      <c r="I3421">
        <v>18</v>
      </c>
      <c r="J3421" t="s">
        <v>23</v>
      </c>
      <c r="K3421" t="s">
        <v>24</v>
      </c>
      <c r="L3421">
        <v>58</v>
      </c>
      <c r="M3421">
        <v>86.765000000000001</v>
      </c>
      <c r="N3421">
        <v>88.837581</v>
      </c>
      <c r="O3421">
        <v>17.286000000000001</v>
      </c>
      <c r="P3421">
        <v>37.82</v>
      </c>
      <c r="Q3421">
        <v>31.433</v>
      </c>
      <c r="R3421">
        <v>41</v>
      </c>
      <c r="S3421" t="s">
        <v>83</v>
      </c>
      <c r="T3421">
        <f>IF(TRIM(Table1[[#This Row],[PitStopLaps]])="",0,
LEN(Table1[[#This Row],[PitStopLaps]])-LEN(SUBSTITUTE(Table1[[#This Row],[PitStopLaps]],",",""))+1)</f>
        <v>1</v>
      </c>
      <c r="U3421">
        <f>Table1[[#This Row],[StartPosition]]-Table1[[#This Row],[FinishPosition]]</f>
        <v>1</v>
      </c>
    </row>
    <row r="3422" spans="1:21" x14ac:dyDescent="0.3">
      <c r="A3422">
        <v>2025</v>
      </c>
      <c r="B3422">
        <v>24</v>
      </c>
      <c r="C3422" t="s">
        <v>240</v>
      </c>
      <c r="D3422" t="s">
        <v>246</v>
      </c>
      <c r="E3422" t="s">
        <v>247</v>
      </c>
      <c r="F3422" t="s">
        <v>37</v>
      </c>
      <c r="G3422">
        <v>2</v>
      </c>
      <c r="H3422">
        <v>3</v>
      </c>
      <c r="I3422">
        <v>15</v>
      </c>
      <c r="J3422" t="s">
        <v>23</v>
      </c>
      <c r="K3422" t="s">
        <v>24</v>
      </c>
      <c r="L3422">
        <v>58</v>
      </c>
      <c r="M3422">
        <v>86.817999999999998</v>
      </c>
      <c r="N3422">
        <v>88.485150000000004</v>
      </c>
      <c r="O3422">
        <v>17.271999999999998</v>
      </c>
      <c r="P3422">
        <v>37.738999999999997</v>
      </c>
      <c r="Q3422">
        <v>31.597000000000001</v>
      </c>
      <c r="R3422" t="s">
        <v>241</v>
      </c>
      <c r="S3422" t="s">
        <v>83</v>
      </c>
      <c r="T3422">
        <f>IF(TRIM(Table1[[#This Row],[PitStopLaps]])="",0,
LEN(Table1[[#This Row],[PitStopLaps]])-LEN(SUBSTITUTE(Table1[[#This Row],[PitStopLaps]],",",""))+1)</f>
        <v>2</v>
      </c>
      <c r="U3422">
        <f>Table1[[#This Row],[StartPosition]]-Table1[[#This Row],[FinishPosition]]</f>
        <v>-1</v>
      </c>
    </row>
    <row r="3423" spans="1:21" x14ac:dyDescent="0.3">
      <c r="A3423">
        <v>2025</v>
      </c>
      <c r="B3423">
        <v>24</v>
      </c>
      <c r="C3423" t="s">
        <v>240</v>
      </c>
      <c r="D3423" t="s">
        <v>54</v>
      </c>
      <c r="E3423" t="s">
        <v>55</v>
      </c>
      <c r="F3423" t="s">
        <v>22</v>
      </c>
      <c r="G3423">
        <v>5</v>
      </c>
      <c r="H3423">
        <v>4</v>
      </c>
      <c r="I3423">
        <v>12</v>
      </c>
      <c r="J3423" t="s">
        <v>34</v>
      </c>
      <c r="K3423" t="s">
        <v>24</v>
      </c>
      <c r="L3423">
        <v>58</v>
      </c>
      <c r="M3423">
        <v>86.724999999999994</v>
      </c>
      <c r="N3423">
        <v>88.594376999999994</v>
      </c>
      <c r="O3423">
        <v>17.466999999999999</v>
      </c>
      <c r="P3423">
        <v>37.607999999999997</v>
      </c>
      <c r="Q3423">
        <v>31.591999999999999</v>
      </c>
      <c r="R3423" t="s">
        <v>908</v>
      </c>
      <c r="S3423" t="s">
        <v>83</v>
      </c>
      <c r="T3423">
        <f>IF(TRIM(Table1[[#This Row],[PitStopLaps]])="",0,
LEN(Table1[[#This Row],[PitStopLaps]])-LEN(SUBSTITUTE(Table1[[#This Row],[PitStopLaps]],",",""))+1)</f>
        <v>2</v>
      </c>
      <c r="U3423">
        <f>Table1[[#This Row],[StartPosition]]-Table1[[#This Row],[FinishPosition]]</f>
        <v>1</v>
      </c>
    </row>
    <row r="3424" spans="1:21" x14ac:dyDescent="0.3">
      <c r="A3424">
        <v>2025</v>
      </c>
      <c r="B3424">
        <v>24</v>
      </c>
      <c r="C3424" t="s">
        <v>240</v>
      </c>
      <c r="D3424" t="s">
        <v>252</v>
      </c>
      <c r="E3424" t="s">
        <v>253</v>
      </c>
      <c r="F3424" t="s">
        <v>28</v>
      </c>
      <c r="G3424">
        <v>4</v>
      </c>
      <c r="H3424">
        <v>5</v>
      </c>
      <c r="I3424">
        <v>10</v>
      </c>
      <c r="J3424" t="s">
        <v>34</v>
      </c>
      <c r="K3424" t="s">
        <v>24</v>
      </c>
      <c r="L3424">
        <v>58</v>
      </c>
      <c r="M3424">
        <v>88.599000000000004</v>
      </c>
      <c r="N3424">
        <v>89.437180999999995</v>
      </c>
      <c r="O3424">
        <v>17.603000000000002</v>
      </c>
      <c r="P3424">
        <v>37.848999999999997</v>
      </c>
      <c r="Q3424">
        <v>32.673000000000002</v>
      </c>
      <c r="R3424">
        <v>14</v>
      </c>
      <c r="S3424" t="s">
        <v>83</v>
      </c>
      <c r="T3424">
        <f>IF(TRIM(Table1[[#This Row],[PitStopLaps]])="",0,
LEN(Table1[[#This Row],[PitStopLaps]])-LEN(SUBSTITUTE(Table1[[#This Row],[PitStopLaps]],",",""))+1)</f>
        <v>1</v>
      </c>
      <c r="U3424">
        <f>Table1[[#This Row],[StartPosition]]-Table1[[#This Row],[FinishPosition]]</f>
        <v>-1</v>
      </c>
    </row>
    <row r="3425" spans="1:21" x14ac:dyDescent="0.3">
      <c r="A3425">
        <v>2025</v>
      </c>
      <c r="B3425">
        <v>24</v>
      </c>
      <c r="C3425" t="s">
        <v>240</v>
      </c>
      <c r="D3425" t="s">
        <v>35</v>
      </c>
      <c r="E3425" t="s">
        <v>36</v>
      </c>
      <c r="F3425" t="s">
        <v>603</v>
      </c>
      <c r="G3425">
        <v>6</v>
      </c>
      <c r="H3425">
        <v>6</v>
      </c>
      <c r="I3425">
        <v>8</v>
      </c>
      <c r="J3425" t="s">
        <v>34</v>
      </c>
      <c r="K3425" t="s">
        <v>24</v>
      </c>
      <c r="L3425">
        <v>58</v>
      </c>
      <c r="M3425">
        <v>88.278999999999996</v>
      </c>
      <c r="N3425">
        <v>89.761363000000003</v>
      </c>
      <c r="O3425">
        <v>17.524000000000001</v>
      </c>
      <c r="P3425">
        <v>37.816000000000003</v>
      </c>
      <c r="Q3425">
        <v>32.249000000000002</v>
      </c>
      <c r="R3425">
        <v>16</v>
      </c>
      <c r="S3425" t="s">
        <v>83</v>
      </c>
      <c r="T3425">
        <f>IF(TRIM(Table1[[#This Row],[PitStopLaps]])="",0,
LEN(Table1[[#This Row],[PitStopLaps]])-LEN(SUBSTITUTE(Table1[[#This Row],[PitStopLaps]],",",""))+1)</f>
        <v>1</v>
      </c>
      <c r="U3425">
        <f>Table1[[#This Row],[StartPosition]]-Table1[[#This Row],[FinishPosition]]</f>
        <v>0</v>
      </c>
    </row>
    <row r="3426" spans="1:21" x14ac:dyDescent="0.3">
      <c r="A3426">
        <v>2025</v>
      </c>
      <c r="B3426">
        <v>24</v>
      </c>
      <c r="C3426" t="s">
        <v>240</v>
      </c>
      <c r="D3426" t="s">
        <v>52</v>
      </c>
      <c r="E3426" t="s">
        <v>53</v>
      </c>
      <c r="F3426" t="s">
        <v>69</v>
      </c>
      <c r="G3426">
        <v>8</v>
      </c>
      <c r="H3426">
        <v>7</v>
      </c>
      <c r="I3426">
        <v>6</v>
      </c>
      <c r="J3426" t="s">
        <v>34</v>
      </c>
      <c r="K3426" t="s">
        <v>24</v>
      </c>
      <c r="L3426">
        <v>58</v>
      </c>
      <c r="M3426">
        <v>88.655000000000001</v>
      </c>
      <c r="N3426">
        <v>89.771163000000001</v>
      </c>
      <c r="O3426">
        <v>17.579999999999998</v>
      </c>
      <c r="P3426">
        <v>37.887</v>
      </c>
      <c r="Q3426">
        <v>32.692</v>
      </c>
      <c r="R3426">
        <v>19</v>
      </c>
      <c r="S3426" t="s">
        <v>83</v>
      </c>
      <c r="T3426">
        <f>IF(TRIM(Table1[[#This Row],[PitStopLaps]])="",0,
LEN(Table1[[#This Row],[PitStopLaps]])-LEN(SUBSTITUTE(Table1[[#This Row],[PitStopLaps]],",",""))+1)</f>
        <v>1</v>
      </c>
      <c r="U3426">
        <f>Table1[[#This Row],[StartPosition]]-Table1[[#This Row],[FinishPosition]]</f>
        <v>1</v>
      </c>
    </row>
    <row r="3427" spans="1:21" x14ac:dyDescent="0.3">
      <c r="A3427">
        <v>2025</v>
      </c>
      <c r="B3427">
        <v>24</v>
      </c>
      <c r="C3427" t="s">
        <v>240</v>
      </c>
      <c r="D3427" t="s">
        <v>26</v>
      </c>
      <c r="E3427" t="s">
        <v>27</v>
      </c>
      <c r="F3427" t="s">
        <v>22</v>
      </c>
      <c r="G3427">
        <v>16</v>
      </c>
      <c r="H3427">
        <v>8</v>
      </c>
      <c r="I3427">
        <v>4</v>
      </c>
      <c r="J3427" t="s">
        <v>34</v>
      </c>
      <c r="K3427" t="s">
        <v>24</v>
      </c>
      <c r="L3427">
        <v>58</v>
      </c>
      <c r="M3427">
        <v>88.093999999999994</v>
      </c>
      <c r="N3427">
        <v>89.432905000000005</v>
      </c>
      <c r="O3427">
        <v>17.719000000000001</v>
      </c>
      <c r="P3427">
        <v>37.564</v>
      </c>
      <c r="Q3427">
        <v>32.344999999999999</v>
      </c>
      <c r="R3427" t="s">
        <v>1067</v>
      </c>
      <c r="S3427" t="s">
        <v>83</v>
      </c>
      <c r="T3427">
        <f>IF(TRIM(Table1[[#This Row],[PitStopLaps]])="",0,
LEN(Table1[[#This Row],[PitStopLaps]])-LEN(SUBSTITUTE(Table1[[#This Row],[PitStopLaps]],",",""))+1)</f>
        <v>2</v>
      </c>
      <c r="U3427">
        <f>Table1[[#This Row],[StartPosition]]-Table1[[#This Row],[FinishPosition]]</f>
        <v>8</v>
      </c>
    </row>
    <row r="3428" spans="1:21" x14ac:dyDescent="0.3">
      <c r="A3428">
        <v>2025</v>
      </c>
      <c r="B3428">
        <v>24</v>
      </c>
      <c r="C3428" t="s">
        <v>240</v>
      </c>
      <c r="D3428" t="s">
        <v>40</v>
      </c>
      <c r="E3428" t="s">
        <v>41</v>
      </c>
      <c r="F3428" t="s">
        <v>1175</v>
      </c>
      <c r="G3428">
        <v>18</v>
      </c>
      <c r="H3428">
        <v>9</v>
      </c>
      <c r="I3428">
        <v>2</v>
      </c>
      <c r="J3428" t="s">
        <v>34</v>
      </c>
      <c r="K3428" t="s">
        <v>24</v>
      </c>
      <c r="L3428">
        <v>58</v>
      </c>
      <c r="M3428">
        <v>87.05</v>
      </c>
      <c r="N3428">
        <v>89.538622000000004</v>
      </c>
      <c r="O3428">
        <v>17.594000000000001</v>
      </c>
      <c r="P3428">
        <v>37.457000000000001</v>
      </c>
      <c r="Q3428">
        <v>31.86</v>
      </c>
      <c r="R3428" t="s">
        <v>949</v>
      </c>
      <c r="S3428" t="s">
        <v>83</v>
      </c>
      <c r="T3428">
        <f>IF(TRIM(Table1[[#This Row],[PitStopLaps]])="",0,
LEN(Table1[[#This Row],[PitStopLaps]])-LEN(SUBSTITUTE(Table1[[#This Row],[PitStopLaps]],",",""))+1)</f>
        <v>2</v>
      </c>
      <c r="U3428">
        <f>Table1[[#This Row],[StartPosition]]-Table1[[#This Row],[FinishPosition]]</f>
        <v>9</v>
      </c>
    </row>
    <row r="3429" spans="1:21" x14ac:dyDescent="0.3">
      <c r="A3429">
        <v>2025</v>
      </c>
      <c r="B3429">
        <v>24</v>
      </c>
      <c r="C3429" t="s">
        <v>240</v>
      </c>
      <c r="D3429" t="s">
        <v>58</v>
      </c>
      <c r="E3429" t="s">
        <v>59</v>
      </c>
      <c r="F3429" t="s">
        <v>603</v>
      </c>
      <c r="G3429">
        <v>15</v>
      </c>
      <c r="H3429">
        <v>10</v>
      </c>
      <c r="I3429">
        <v>1</v>
      </c>
      <c r="J3429" t="s">
        <v>34</v>
      </c>
      <c r="K3429" t="s">
        <v>24</v>
      </c>
      <c r="L3429">
        <v>58</v>
      </c>
      <c r="M3429">
        <v>87.626000000000005</v>
      </c>
      <c r="N3429">
        <v>89.828762999999995</v>
      </c>
      <c r="O3429">
        <v>17.457000000000001</v>
      </c>
      <c r="P3429">
        <v>37.548999999999999</v>
      </c>
      <c r="Q3429">
        <v>32.161999999999999</v>
      </c>
      <c r="R3429">
        <v>42</v>
      </c>
      <c r="S3429" t="s">
        <v>83</v>
      </c>
      <c r="T3429">
        <f>IF(TRIM(Table1[[#This Row],[PitStopLaps]])="",0,
LEN(Table1[[#This Row],[PitStopLaps]])-LEN(SUBSTITUTE(Table1[[#This Row],[PitStopLaps]],",",""))+1)</f>
        <v>1</v>
      </c>
      <c r="U3429">
        <f>Table1[[#This Row],[StartPosition]]-Table1[[#This Row],[FinishPosition]]</f>
        <v>5</v>
      </c>
    </row>
    <row r="3430" spans="1:21" x14ac:dyDescent="0.3">
      <c r="A3430">
        <v>2025</v>
      </c>
      <c r="B3430">
        <v>24</v>
      </c>
      <c r="C3430" t="s">
        <v>240</v>
      </c>
      <c r="D3430" t="s">
        <v>1334</v>
      </c>
      <c r="E3430" t="s">
        <v>1335</v>
      </c>
      <c r="F3430" t="s">
        <v>1175</v>
      </c>
      <c r="G3430">
        <v>7</v>
      </c>
      <c r="H3430">
        <v>11</v>
      </c>
      <c r="I3430">
        <v>0</v>
      </c>
      <c r="J3430" t="s">
        <v>34</v>
      </c>
      <c r="K3430" t="s">
        <v>24</v>
      </c>
      <c r="L3430">
        <v>58</v>
      </c>
      <c r="M3430">
        <v>89.114000000000004</v>
      </c>
      <c r="N3430">
        <v>90.019217999999995</v>
      </c>
      <c r="O3430">
        <v>17.808</v>
      </c>
      <c r="P3430">
        <v>37.950000000000003</v>
      </c>
      <c r="Q3430">
        <v>32.741</v>
      </c>
      <c r="R3430">
        <v>15</v>
      </c>
      <c r="S3430" t="s">
        <v>83</v>
      </c>
      <c r="T3430">
        <f>IF(TRIM(Table1[[#This Row],[PitStopLaps]])="",0,
LEN(Table1[[#This Row],[PitStopLaps]])-LEN(SUBSTITUTE(Table1[[#This Row],[PitStopLaps]],",",""))+1)</f>
        <v>1</v>
      </c>
      <c r="U3430">
        <f>Table1[[#This Row],[StartPosition]]-Table1[[#This Row],[FinishPosition]]</f>
        <v>-4</v>
      </c>
    </row>
    <row r="3431" spans="1:21" x14ac:dyDescent="0.3">
      <c r="A3431">
        <v>2025</v>
      </c>
      <c r="B3431">
        <v>24</v>
      </c>
      <c r="C3431" t="s">
        <v>240</v>
      </c>
      <c r="D3431" t="s">
        <v>1180</v>
      </c>
      <c r="E3431" t="s">
        <v>1181</v>
      </c>
      <c r="F3431" t="s">
        <v>69</v>
      </c>
      <c r="G3431">
        <v>11</v>
      </c>
      <c r="H3431">
        <v>12</v>
      </c>
      <c r="I3431">
        <v>0</v>
      </c>
      <c r="J3431" t="s">
        <v>34</v>
      </c>
      <c r="K3431" t="s">
        <v>24</v>
      </c>
      <c r="L3431">
        <v>58</v>
      </c>
      <c r="M3431">
        <v>88.975999999999999</v>
      </c>
      <c r="N3431">
        <v>89.860489999999999</v>
      </c>
      <c r="O3431">
        <v>17.616</v>
      </c>
      <c r="P3431">
        <v>37.997999999999998</v>
      </c>
      <c r="Q3431">
        <v>32.755000000000003</v>
      </c>
      <c r="R3431">
        <v>14</v>
      </c>
      <c r="S3431" t="s">
        <v>83</v>
      </c>
      <c r="T3431">
        <f>IF(TRIM(Table1[[#This Row],[PitStopLaps]])="",0,
LEN(Table1[[#This Row],[PitStopLaps]])-LEN(SUBSTITUTE(Table1[[#This Row],[PitStopLaps]],",",""))+1)</f>
        <v>1</v>
      </c>
      <c r="U3431">
        <f>Table1[[#This Row],[StartPosition]]-Table1[[#This Row],[FinishPosition]]</f>
        <v>-1</v>
      </c>
    </row>
    <row r="3432" spans="1:21" x14ac:dyDescent="0.3">
      <c r="A3432">
        <v>2025</v>
      </c>
      <c r="B3432">
        <v>24</v>
      </c>
      <c r="C3432" t="s">
        <v>240</v>
      </c>
      <c r="D3432" t="s">
        <v>47</v>
      </c>
      <c r="E3432" t="s">
        <v>48</v>
      </c>
      <c r="F3432" t="s">
        <v>60</v>
      </c>
      <c r="G3432">
        <v>12</v>
      </c>
      <c r="H3432">
        <v>13</v>
      </c>
      <c r="I3432">
        <v>0</v>
      </c>
      <c r="J3432" t="s">
        <v>34</v>
      </c>
      <c r="K3432" t="s">
        <v>24</v>
      </c>
      <c r="L3432">
        <v>58</v>
      </c>
      <c r="M3432">
        <v>89.052000000000007</v>
      </c>
      <c r="N3432">
        <v>89.960162999999994</v>
      </c>
      <c r="O3432">
        <v>17.728000000000002</v>
      </c>
      <c r="P3432">
        <v>37.76</v>
      </c>
      <c r="Q3432">
        <v>32.847999999999999</v>
      </c>
      <c r="R3432">
        <v>18</v>
      </c>
      <c r="S3432" t="s">
        <v>83</v>
      </c>
      <c r="T3432">
        <f>IF(TRIM(Table1[[#This Row],[PitStopLaps]])="",0,
LEN(Table1[[#This Row],[PitStopLaps]])-LEN(SUBSTITUTE(Table1[[#This Row],[PitStopLaps]],",",""))+1)</f>
        <v>1</v>
      </c>
      <c r="U3432">
        <f>Table1[[#This Row],[StartPosition]]-Table1[[#This Row],[FinishPosition]]</f>
        <v>-1</v>
      </c>
    </row>
    <row r="3433" spans="1:21" x14ac:dyDescent="0.3">
      <c r="A3433">
        <v>2025</v>
      </c>
      <c r="B3433">
        <v>24</v>
      </c>
      <c r="C3433" t="s">
        <v>240</v>
      </c>
      <c r="D3433" t="s">
        <v>601</v>
      </c>
      <c r="E3433" t="s">
        <v>602</v>
      </c>
      <c r="F3433" t="s">
        <v>33</v>
      </c>
      <c r="G3433">
        <v>10</v>
      </c>
      <c r="H3433">
        <v>14</v>
      </c>
      <c r="I3433">
        <v>0</v>
      </c>
      <c r="J3433" t="s">
        <v>34</v>
      </c>
      <c r="K3433" t="s">
        <v>24</v>
      </c>
      <c r="L3433">
        <v>58</v>
      </c>
      <c r="M3433">
        <v>88.557000000000002</v>
      </c>
      <c r="N3433">
        <v>89.943017999999995</v>
      </c>
      <c r="O3433">
        <v>17.571000000000002</v>
      </c>
      <c r="P3433">
        <v>37.856000000000002</v>
      </c>
      <c r="Q3433">
        <v>32.731000000000002</v>
      </c>
      <c r="R3433">
        <v>32</v>
      </c>
      <c r="S3433" t="s">
        <v>83</v>
      </c>
      <c r="T3433">
        <f>IF(TRIM(Table1[[#This Row],[PitStopLaps]])="",0,
LEN(Table1[[#This Row],[PitStopLaps]])-LEN(SUBSTITUTE(Table1[[#This Row],[PitStopLaps]],",",""))+1)</f>
        <v>1</v>
      </c>
      <c r="U3433">
        <f>Table1[[#This Row],[StartPosition]]-Table1[[#This Row],[FinishPosition]]</f>
        <v>-4</v>
      </c>
    </row>
    <row r="3434" spans="1:21" x14ac:dyDescent="0.3">
      <c r="A3434">
        <v>2025</v>
      </c>
      <c r="B3434">
        <v>24</v>
      </c>
      <c r="C3434" t="s">
        <v>240</v>
      </c>
      <c r="D3434" t="s">
        <v>1339</v>
      </c>
      <c r="E3434" t="s">
        <v>1325</v>
      </c>
      <c r="F3434" t="s">
        <v>28</v>
      </c>
      <c r="G3434">
        <v>14</v>
      </c>
      <c r="H3434">
        <v>15</v>
      </c>
      <c r="I3434">
        <v>0</v>
      </c>
      <c r="J3434" t="s">
        <v>34</v>
      </c>
      <c r="K3434" t="s">
        <v>24</v>
      </c>
      <c r="L3434">
        <v>58</v>
      </c>
      <c r="M3434">
        <v>88.028999999999996</v>
      </c>
      <c r="N3434">
        <v>89.956417999999999</v>
      </c>
      <c r="O3434">
        <v>17.600999999999999</v>
      </c>
      <c r="P3434">
        <v>37.744</v>
      </c>
      <c r="Q3434">
        <v>32.313000000000002</v>
      </c>
      <c r="R3434">
        <v>32</v>
      </c>
      <c r="S3434" t="s">
        <v>83</v>
      </c>
      <c r="T3434">
        <f>IF(TRIM(Table1[[#This Row],[PitStopLaps]])="",0,
LEN(Table1[[#This Row],[PitStopLaps]])-LEN(SUBSTITUTE(Table1[[#This Row],[PitStopLaps]],",",""))+1)</f>
        <v>1</v>
      </c>
      <c r="U3434">
        <f>Table1[[#This Row],[StartPosition]]-Table1[[#This Row],[FinishPosition]]</f>
        <v>-1</v>
      </c>
    </row>
    <row r="3435" spans="1:21" x14ac:dyDescent="0.3">
      <c r="A3435">
        <v>2025</v>
      </c>
      <c r="B3435">
        <v>24</v>
      </c>
      <c r="C3435" t="s">
        <v>240</v>
      </c>
      <c r="D3435" t="s">
        <v>248</v>
      </c>
      <c r="E3435" t="s">
        <v>249</v>
      </c>
      <c r="F3435" t="s">
        <v>60</v>
      </c>
      <c r="G3435">
        <v>17</v>
      </c>
      <c r="H3435">
        <v>16</v>
      </c>
      <c r="I3435">
        <v>0</v>
      </c>
      <c r="J3435" t="s">
        <v>34</v>
      </c>
      <c r="K3435" t="s">
        <v>24</v>
      </c>
      <c r="L3435">
        <v>58</v>
      </c>
      <c r="M3435">
        <v>88.367000000000004</v>
      </c>
      <c r="N3435">
        <v>89.645509000000004</v>
      </c>
      <c r="O3435">
        <v>17.581</v>
      </c>
      <c r="P3435">
        <v>37.825000000000003</v>
      </c>
      <c r="Q3435">
        <v>32.658999999999999</v>
      </c>
      <c r="R3435" t="s">
        <v>269</v>
      </c>
      <c r="S3435" t="s">
        <v>83</v>
      </c>
      <c r="T3435">
        <f>IF(TRIM(Table1[[#This Row],[PitStopLaps]])="",0,
LEN(Table1[[#This Row],[PitStopLaps]])-LEN(SUBSTITUTE(Table1[[#This Row],[PitStopLaps]],",",""))+1)</f>
        <v>2</v>
      </c>
      <c r="U3435">
        <f>Table1[[#This Row],[StartPosition]]-Table1[[#This Row],[FinishPosition]]</f>
        <v>1</v>
      </c>
    </row>
    <row r="3436" spans="1:21" x14ac:dyDescent="0.3">
      <c r="A3436">
        <v>2025</v>
      </c>
      <c r="B3436">
        <v>24</v>
      </c>
      <c r="C3436" t="s">
        <v>240</v>
      </c>
      <c r="D3436" t="s">
        <v>1337</v>
      </c>
      <c r="E3436" t="s">
        <v>1338</v>
      </c>
      <c r="F3436" t="s">
        <v>1330</v>
      </c>
      <c r="G3436">
        <v>9</v>
      </c>
      <c r="H3436">
        <v>17</v>
      </c>
      <c r="I3436">
        <v>0</v>
      </c>
      <c r="J3436" t="s">
        <v>34</v>
      </c>
      <c r="K3436" t="s">
        <v>994</v>
      </c>
      <c r="L3436">
        <v>57</v>
      </c>
      <c r="M3436">
        <v>89.375</v>
      </c>
      <c r="N3436">
        <v>90.169092000000006</v>
      </c>
      <c r="O3436">
        <v>17.736000000000001</v>
      </c>
      <c r="P3436">
        <v>38.033999999999999</v>
      </c>
      <c r="Q3436">
        <v>32.832999999999998</v>
      </c>
      <c r="R3436">
        <v>14</v>
      </c>
      <c r="S3436" t="s">
        <v>83</v>
      </c>
      <c r="T3436">
        <f>IF(TRIM(Table1[[#This Row],[PitStopLaps]])="",0,
LEN(Table1[[#This Row],[PitStopLaps]])-LEN(SUBSTITUTE(Table1[[#This Row],[PitStopLaps]],",",""))+1)</f>
        <v>1</v>
      </c>
      <c r="U3436">
        <f>Table1[[#This Row],[StartPosition]]-Table1[[#This Row],[FinishPosition]]</f>
        <v>-8</v>
      </c>
    </row>
    <row r="3437" spans="1:21" x14ac:dyDescent="0.3">
      <c r="A3437">
        <v>2025</v>
      </c>
      <c r="B3437">
        <v>24</v>
      </c>
      <c r="C3437" t="s">
        <v>240</v>
      </c>
      <c r="D3437" t="s">
        <v>1092</v>
      </c>
      <c r="E3437" t="s">
        <v>1093</v>
      </c>
      <c r="F3437" t="s">
        <v>1330</v>
      </c>
      <c r="G3437">
        <v>13</v>
      </c>
      <c r="H3437">
        <v>18</v>
      </c>
      <c r="I3437">
        <v>0</v>
      </c>
      <c r="J3437" t="s">
        <v>34</v>
      </c>
      <c r="K3437" t="s">
        <v>994</v>
      </c>
      <c r="L3437">
        <v>57</v>
      </c>
      <c r="M3437">
        <v>88.885999999999996</v>
      </c>
      <c r="N3437">
        <v>90.009777</v>
      </c>
      <c r="O3437">
        <v>17.646999999999998</v>
      </c>
      <c r="P3437">
        <v>38.073</v>
      </c>
      <c r="Q3437">
        <v>32.625</v>
      </c>
      <c r="R3437">
        <v>21</v>
      </c>
      <c r="S3437" t="s">
        <v>83</v>
      </c>
      <c r="T3437">
        <f>IF(TRIM(Table1[[#This Row],[PitStopLaps]])="",0,
LEN(Table1[[#This Row],[PitStopLaps]])-LEN(SUBSTITUTE(Table1[[#This Row],[PitStopLaps]],",",""))+1)</f>
        <v>1</v>
      </c>
      <c r="U3437">
        <f>Table1[[#This Row],[StartPosition]]-Table1[[#This Row],[FinishPosition]]</f>
        <v>-5</v>
      </c>
    </row>
    <row r="3438" spans="1:21" x14ac:dyDescent="0.3">
      <c r="A3438">
        <v>2025</v>
      </c>
      <c r="B3438">
        <v>24</v>
      </c>
      <c r="C3438" t="s">
        <v>240</v>
      </c>
      <c r="D3438" t="s">
        <v>73</v>
      </c>
      <c r="E3438" t="s">
        <v>74</v>
      </c>
      <c r="F3438" t="s">
        <v>607</v>
      </c>
      <c r="G3438">
        <v>19</v>
      </c>
      <c r="H3438">
        <v>19</v>
      </c>
      <c r="I3438">
        <v>0</v>
      </c>
      <c r="J3438" t="s">
        <v>34</v>
      </c>
      <c r="K3438" t="s">
        <v>994</v>
      </c>
      <c r="L3438">
        <v>57</v>
      </c>
      <c r="M3438">
        <v>87.766999999999996</v>
      </c>
      <c r="N3438">
        <v>89.726173000000003</v>
      </c>
      <c r="O3438">
        <v>17.666</v>
      </c>
      <c r="P3438">
        <v>37.997</v>
      </c>
      <c r="Q3438">
        <v>32.088000000000001</v>
      </c>
      <c r="R3438" t="s">
        <v>985</v>
      </c>
      <c r="S3438" t="s">
        <v>83</v>
      </c>
      <c r="T3438">
        <f>IF(TRIM(Table1[[#This Row],[PitStopLaps]])="",0,
LEN(Table1[[#This Row],[PitStopLaps]])-LEN(SUBSTITUTE(Table1[[#This Row],[PitStopLaps]],",",""))+1)</f>
        <v>2</v>
      </c>
      <c r="U3438">
        <f>Table1[[#This Row],[StartPosition]]-Table1[[#This Row],[FinishPosition]]</f>
        <v>0</v>
      </c>
    </row>
    <row r="3439" spans="1:21" x14ac:dyDescent="0.3">
      <c r="A3439">
        <v>2025</v>
      </c>
      <c r="B3439">
        <v>24</v>
      </c>
      <c r="C3439" t="s">
        <v>240</v>
      </c>
      <c r="D3439" t="s">
        <v>1283</v>
      </c>
      <c r="E3439" t="s">
        <v>1284</v>
      </c>
      <c r="F3439" t="s">
        <v>607</v>
      </c>
      <c r="G3439">
        <v>20</v>
      </c>
      <c r="H3439">
        <v>20</v>
      </c>
      <c r="I3439">
        <v>0</v>
      </c>
      <c r="J3439" t="s">
        <v>34</v>
      </c>
      <c r="K3439" t="s">
        <v>994</v>
      </c>
      <c r="L3439">
        <v>57</v>
      </c>
      <c r="M3439">
        <v>87.71</v>
      </c>
      <c r="N3439">
        <v>89.852441999999996</v>
      </c>
      <c r="O3439">
        <v>17.669</v>
      </c>
      <c r="P3439">
        <v>37.972999999999999</v>
      </c>
      <c r="Q3439">
        <v>32.04</v>
      </c>
      <c r="R3439" t="s">
        <v>115</v>
      </c>
      <c r="S3439" t="s">
        <v>83</v>
      </c>
      <c r="T3439">
        <f>IF(TRIM(Table1[[#This Row],[PitStopLaps]])="",0,
LEN(Table1[[#This Row],[PitStopLaps]])-LEN(SUBSTITUTE(Table1[[#This Row],[PitStopLaps]],",",""))+1)</f>
        <v>2</v>
      </c>
      <c r="U3439">
        <f>Table1[[#This Row],[StartPosition]]-Table1[[#This Row],[FinishPosition]]</f>
        <v>0</v>
      </c>
    </row>
    <row r="3440" spans="1:21" x14ac:dyDescent="0.3">
      <c r="A3440">
        <v>2026</v>
      </c>
      <c r="B3440">
        <v>1</v>
      </c>
      <c r="C3440" t="s">
        <v>19</v>
      </c>
      <c r="D3440" t="s">
        <v>252</v>
      </c>
      <c r="E3440" t="s">
        <v>253</v>
      </c>
      <c r="F3440" t="s">
        <v>28</v>
      </c>
      <c r="G3440">
        <v>1</v>
      </c>
      <c r="H3440">
        <v>1</v>
      </c>
      <c r="I3440">
        <v>25</v>
      </c>
      <c r="J3440" t="s">
        <v>23</v>
      </c>
      <c r="K3440" t="s">
        <v>24</v>
      </c>
      <c r="L3440">
        <v>58</v>
      </c>
      <c r="M3440">
        <v>82.67</v>
      </c>
      <c r="N3440">
        <v>83.412999999999997</v>
      </c>
      <c r="O3440">
        <v>28.856999999999999</v>
      </c>
      <c r="P3440">
        <v>17.457999999999998</v>
      </c>
      <c r="Q3440">
        <v>35.862000000000002</v>
      </c>
      <c r="R3440">
        <v>12</v>
      </c>
      <c r="S3440" t="s">
        <v>83</v>
      </c>
      <c r="T3440">
        <f>IF(TRIM(Table1[[#This Row],[PitStopLaps]])="",0,
LEN(Table1[[#This Row],[PitStopLaps]])-LEN(SUBSTITUTE(Table1[[#This Row],[PitStopLaps]],",",""))+1)</f>
        <v>1</v>
      </c>
      <c r="U3440">
        <f>Table1[[#This Row],[StartPosition]]-Table1[[#This Row],[FinishPosition]]</f>
        <v>0</v>
      </c>
    </row>
    <row r="3441" spans="1:21" x14ac:dyDescent="0.3">
      <c r="A3441">
        <v>2026</v>
      </c>
      <c r="B3441">
        <v>1</v>
      </c>
      <c r="C3441" t="s">
        <v>19</v>
      </c>
      <c r="D3441" t="s">
        <v>1339</v>
      </c>
      <c r="E3441" t="s">
        <v>1325</v>
      </c>
      <c r="F3441" t="s">
        <v>28</v>
      </c>
      <c r="G3441">
        <v>2</v>
      </c>
      <c r="H3441">
        <v>2</v>
      </c>
      <c r="I3441">
        <v>18</v>
      </c>
      <c r="J3441" t="s">
        <v>23</v>
      </c>
      <c r="K3441" t="s">
        <v>24</v>
      </c>
      <c r="L3441">
        <v>58</v>
      </c>
      <c r="M3441">
        <v>82.417000000000002</v>
      </c>
      <c r="N3441">
        <v>83.299693000000005</v>
      </c>
      <c r="O3441">
        <v>28.856000000000002</v>
      </c>
      <c r="P3441">
        <v>17.460999999999999</v>
      </c>
      <c r="Q3441">
        <v>35.704000000000001</v>
      </c>
      <c r="R3441">
        <v>12</v>
      </c>
      <c r="S3441" t="s">
        <v>83</v>
      </c>
      <c r="T3441">
        <f>IF(TRIM(Table1[[#This Row],[PitStopLaps]])="",0,
LEN(Table1[[#This Row],[PitStopLaps]])-LEN(SUBSTITUTE(Table1[[#This Row],[PitStopLaps]],",",""))+1)</f>
        <v>1</v>
      </c>
      <c r="U3441">
        <f>Table1[[#This Row],[StartPosition]]-Table1[[#This Row],[FinishPosition]]</f>
        <v>0</v>
      </c>
    </row>
    <row r="3442" spans="1:21" x14ac:dyDescent="0.3">
      <c r="A3442">
        <v>2026</v>
      </c>
      <c r="B3442">
        <v>1</v>
      </c>
      <c r="C3442" t="s">
        <v>19</v>
      </c>
      <c r="D3442" t="s">
        <v>54</v>
      </c>
      <c r="E3442" t="s">
        <v>55</v>
      </c>
      <c r="F3442" t="s">
        <v>22</v>
      </c>
      <c r="G3442">
        <v>4</v>
      </c>
      <c r="H3442">
        <v>3</v>
      </c>
      <c r="I3442">
        <v>15</v>
      </c>
      <c r="J3442" t="s">
        <v>23</v>
      </c>
      <c r="K3442" t="s">
        <v>24</v>
      </c>
      <c r="L3442">
        <v>58</v>
      </c>
      <c r="M3442">
        <v>82.578999999999994</v>
      </c>
      <c r="N3442">
        <v>83.512728999999993</v>
      </c>
      <c r="O3442">
        <v>28.995000000000001</v>
      </c>
      <c r="P3442">
        <v>17.597999999999999</v>
      </c>
      <c r="Q3442">
        <v>35.847999999999999</v>
      </c>
      <c r="R3442">
        <v>25</v>
      </c>
      <c r="S3442" t="s">
        <v>83</v>
      </c>
      <c r="T3442">
        <f>IF(TRIM(Table1[[#This Row],[PitStopLaps]])="",0,
LEN(Table1[[#This Row],[PitStopLaps]])-LEN(SUBSTITUTE(Table1[[#This Row],[PitStopLaps]],",",""))+1)</f>
        <v>1</v>
      </c>
      <c r="U3442">
        <f>Table1[[#This Row],[StartPosition]]-Table1[[#This Row],[FinishPosition]]</f>
        <v>1</v>
      </c>
    </row>
    <row r="3443" spans="1:21" x14ac:dyDescent="0.3">
      <c r="A3443">
        <v>2026</v>
      </c>
      <c r="B3443">
        <v>1</v>
      </c>
      <c r="C3443" t="s">
        <v>19</v>
      </c>
      <c r="D3443" t="s">
        <v>26</v>
      </c>
      <c r="E3443" t="s">
        <v>27</v>
      </c>
      <c r="F3443" t="s">
        <v>22</v>
      </c>
      <c r="G3443">
        <v>7</v>
      </c>
      <c r="H3443">
        <v>4</v>
      </c>
      <c r="I3443">
        <v>12</v>
      </c>
      <c r="J3443" t="s">
        <v>34</v>
      </c>
      <c r="K3443" t="s">
        <v>24</v>
      </c>
      <c r="L3443">
        <v>58</v>
      </c>
      <c r="M3443">
        <v>82.423000000000002</v>
      </c>
      <c r="N3443">
        <v>83.431708</v>
      </c>
      <c r="O3443">
        <v>28.867000000000001</v>
      </c>
      <c r="P3443">
        <v>17.504999999999999</v>
      </c>
      <c r="Q3443">
        <v>35.716000000000001</v>
      </c>
      <c r="R3443">
        <v>28</v>
      </c>
      <c r="S3443" t="s">
        <v>83</v>
      </c>
      <c r="T3443">
        <f>IF(TRIM(Table1[[#This Row],[PitStopLaps]])="",0,
LEN(Table1[[#This Row],[PitStopLaps]])-LEN(SUBSTITUTE(Table1[[#This Row],[PitStopLaps]],",",""))+1)</f>
        <v>1</v>
      </c>
      <c r="U3443">
        <f>Table1[[#This Row],[StartPosition]]-Table1[[#This Row],[FinishPosition]]</f>
        <v>3</v>
      </c>
    </row>
    <row r="3444" spans="1:21" x14ac:dyDescent="0.3">
      <c r="A3444">
        <v>2026</v>
      </c>
      <c r="B3444">
        <v>1</v>
      </c>
      <c r="C3444" t="s">
        <v>19</v>
      </c>
      <c r="D3444" t="s">
        <v>246</v>
      </c>
      <c r="E3444" t="s">
        <v>247</v>
      </c>
      <c r="F3444" t="s">
        <v>37</v>
      </c>
      <c r="G3444">
        <v>6</v>
      </c>
      <c r="H3444">
        <v>5</v>
      </c>
      <c r="I3444">
        <v>10</v>
      </c>
      <c r="J3444" t="s">
        <v>34</v>
      </c>
      <c r="K3444" t="s">
        <v>24</v>
      </c>
      <c r="L3444">
        <v>58</v>
      </c>
      <c r="M3444">
        <v>82.358000000000004</v>
      </c>
      <c r="N3444">
        <v>83.862692999999993</v>
      </c>
      <c r="O3444">
        <v>28.978999999999999</v>
      </c>
      <c r="P3444">
        <v>17.643999999999998</v>
      </c>
      <c r="Q3444">
        <v>35.598999999999997</v>
      </c>
      <c r="R3444" t="s">
        <v>730</v>
      </c>
      <c r="S3444" t="s">
        <v>83</v>
      </c>
      <c r="T3444">
        <f>IF(TRIM(Table1[[#This Row],[PitStopLaps]])="",0,
LEN(Table1[[#This Row],[PitStopLaps]])-LEN(SUBSTITUTE(Table1[[#This Row],[PitStopLaps]],",",""))+1)</f>
        <v>2</v>
      </c>
      <c r="U3444">
        <f>Table1[[#This Row],[StartPosition]]-Table1[[#This Row],[FinishPosition]]</f>
        <v>1</v>
      </c>
    </row>
    <row r="3445" spans="1:21" x14ac:dyDescent="0.3">
      <c r="A3445">
        <v>2026</v>
      </c>
      <c r="B3445">
        <v>1</v>
      </c>
      <c r="C3445" t="s">
        <v>19</v>
      </c>
      <c r="D3445" t="s">
        <v>38</v>
      </c>
      <c r="E3445" t="s">
        <v>39</v>
      </c>
      <c r="F3445" t="s">
        <v>33</v>
      </c>
      <c r="G3445">
        <v>20</v>
      </c>
      <c r="H3445">
        <v>6</v>
      </c>
      <c r="I3445">
        <v>8</v>
      </c>
      <c r="J3445" t="s">
        <v>34</v>
      </c>
      <c r="K3445" t="s">
        <v>24</v>
      </c>
      <c r="L3445">
        <v>58</v>
      </c>
      <c r="M3445">
        <v>82.090999999999994</v>
      </c>
      <c r="N3445">
        <v>83.830875000000006</v>
      </c>
      <c r="O3445">
        <v>28.823</v>
      </c>
      <c r="P3445">
        <v>17.536000000000001</v>
      </c>
      <c r="Q3445">
        <v>35.652000000000001</v>
      </c>
      <c r="R3445" t="s">
        <v>146</v>
      </c>
      <c r="S3445" t="s">
        <v>83</v>
      </c>
      <c r="T3445">
        <f>IF(TRIM(Table1[[#This Row],[PitStopLaps]])="",0,
LEN(Table1[[#This Row],[PitStopLaps]])-LEN(SUBSTITUTE(Table1[[#This Row],[PitStopLaps]],",",""))+1)</f>
        <v>2</v>
      </c>
      <c r="U3445">
        <f>Table1[[#This Row],[StartPosition]]-Table1[[#This Row],[FinishPosition]]</f>
        <v>14</v>
      </c>
    </row>
    <row r="3446" spans="1:21" x14ac:dyDescent="0.3">
      <c r="A3446">
        <v>2026</v>
      </c>
      <c r="B3446">
        <v>1</v>
      </c>
      <c r="C3446" t="s">
        <v>19</v>
      </c>
      <c r="D3446" t="s">
        <v>1180</v>
      </c>
      <c r="E3446" t="s">
        <v>1181</v>
      </c>
      <c r="F3446" t="s">
        <v>69</v>
      </c>
      <c r="G3446">
        <v>12</v>
      </c>
      <c r="H3446">
        <v>7</v>
      </c>
      <c r="I3446">
        <v>6</v>
      </c>
      <c r="J3446" t="s">
        <v>34</v>
      </c>
      <c r="K3446" t="s">
        <v>994</v>
      </c>
      <c r="L3446">
        <v>57</v>
      </c>
      <c r="M3446">
        <v>84.02</v>
      </c>
      <c r="N3446">
        <v>84.982979</v>
      </c>
      <c r="O3446">
        <v>29.567</v>
      </c>
      <c r="P3446">
        <v>17.577999999999999</v>
      </c>
      <c r="Q3446">
        <v>36.563000000000002</v>
      </c>
      <c r="R3446">
        <v>18</v>
      </c>
      <c r="S3446" t="s">
        <v>83</v>
      </c>
      <c r="T3446">
        <f>IF(TRIM(Table1[[#This Row],[PitStopLaps]])="",0,
LEN(Table1[[#This Row],[PitStopLaps]])-LEN(SUBSTITUTE(Table1[[#This Row],[PitStopLaps]],",",""))+1)</f>
        <v>1</v>
      </c>
      <c r="U3446">
        <f>Table1[[#This Row],[StartPosition]]-Table1[[#This Row],[FinishPosition]]</f>
        <v>5</v>
      </c>
    </row>
    <row r="3447" spans="1:21" x14ac:dyDescent="0.3">
      <c r="A3447">
        <v>2026</v>
      </c>
      <c r="B3447">
        <v>1</v>
      </c>
      <c r="C3447" t="s">
        <v>19</v>
      </c>
      <c r="D3447" t="s">
        <v>1444</v>
      </c>
      <c r="E3447" t="s">
        <v>1445</v>
      </c>
      <c r="F3447" t="s">
        <v>1330</v>
      </c>
      <c r="G3447">
        <v>9</v>
      </c>
      <c r="H3447">
        <v>8</v>
      </c>
      <c r="I3447">
        <v>4</v>
      </c>
      <c r="J3447" t="s">
        <v>34</v>
      </c>
      <c r="K3447" t="s">
        <v>994</v>
      </c>
      <c r="L3447">
        <v>57</v>
      </c>
      <c r="M3447">
        <v>84.182000000000002</v>
      </c>
      <c r="N3447">
        <v>85.136915999999999</v>
      </c>
      <c r="O3447">
        <v>29.507000000000001</v>
      </c>
      <c r="P3447">
        <v>17.645</v>
      </c>
      <c r="Q3447">
        <v>36.677999999999997</v>
      </c>
      <c r="R3447">
        <v>18</v>
      </c>
      <c r="S3447" t="s">
        <v>83</v>
      </c>
      <c r="T3447">
        <f>IF(TRIM(Table1[[#This Row],[PitStopLaps]])="",0,
LEN(Table1[[#This Row],[PitStopLaps]])-LEN(SUBSTITUTE(Table1[[#This Row],[PitStopLaps]],",",""))+1)</f>
        <v>1</v>
      </c>
      <c r="U3447">
        <f>Table1[[#This Row],[StartPosition]]-Table1[[#This Row],[FinishPosition]]</f>
        <v>1</v>
      </c>
    </row>
    <row r="3448" spans="1:21" x14ac:dyDescent="0.3">
      <c r="A3448">
        <v>2026</v>
      </c>
      <c r="B3448">
        <v>1</v>
      </c>
      <c r="C3448" t="s">
        <v>19</v>
      </c>
      <c r="D3448" t="s">
        <v>1334</v>
      </c>
      <c r="E3448" t="s">
        <v>1335</v>
      </c>
      <c r="F3448" t="s">
        <v>1446</v>
      </c>
      <c r="G3448">
        <v>10</v>
      </c>
      <c r="H3448">
        <v>9</v>
      </c>
      <c r="I3448">
        <v>2</v>
      </c>
      <c r="J3448" t="s">
        <v>34</v>
      </c>
      <c r="K3448" t="s">
        <v>994</v>
      </c>
      <c r="L3448">
        <v>57</v>
      </c>
      <c r="M3448">
        <v>83.257000000000005</v>
      </c>
      <c r="N3448">
        <v>84.828387000000006</v>
      </c>
      <c r="O3448">
        <v>29.395</v>
      </c>
      <c r="P3448">
        <v>17.721</v>
      </c>
      <c r="Q3448">
        <v>36.061999999999998</v>
      </c>
      <c r="R3448" t="s">
        <v>859</v>
      </c>
      <c r="S3448" t="s">
        <v>83</v>
      </c>
      <c r="T3448">
        <f>IF(TRIM(Table1[[#This Row],[PitStopLaps]])="",0,
LEN(Table1[[#This Row],[PitStopLaps]])-LEN(SUBSTITUTE(Table1[[#This Row],[PitStopLaps]],",",""))+1)</f>
        <v>2</v>
      </c>
      <c r="U3448">
        <f>Table1[[#This Row],[StartPosition]]-Table1[[#This Row],[FinishPosition]]</f>
        <v>1</v>
      </c>
    </row>
    <row r="3449" spans="1:21" x14ac:dyDescent="0.3">
      <c r="A3449">
        <v>2026</v>
      </c>
      <c r="B3449">
        <v>1</v>
      </c>
      <c r="C3449" t="s">
        <v>19</v>
      </c>
      <c r="D3449" t="s">
        <v>73</v>
      </c>
      <c r="E3449" t="s">
        <v>74</v>
      </c>
      <c r="F3449" t="s">
        <v>607</v>
      </c>
      <c r="G3449">
        <v>14</v>
      </c>
      <c r="H3449">
        <v>10</v>
      </c>
      <c r="I3449">
        <v>1</v>
      </c>
      <c r="J3449" t="s">
        <v>34</v>
      </c>
      <c r="K3449" t="s">
        <v>994</v>
      </c>
      <c r="L3449">
        <v>57</v>
      </c>
      <c r="M3449">
        <v>84.486000000000004</v>
      </c>
      <c r="N3449">
        <v>85.420938000000007</v>
      </c>
      <c r="O3449">
        <v>29.632999999999999</v>
      </c>
      <c r="P3449">
        <v>17.646999999999998</v>
      </c>
      <c r="Q3449">
        <v>36.747999999999998</v>
      </c>
      <c r="R3449">
        <v>11</v>
      </c>
      <c r="S3449" t="s">
        <v>83</v>
      </c>
      <c r="T3449">
        <f>IF(TRIM(Table1[[#This Row],[PitStopLaps]])="",0,
LEN(Table1[[#This Row],[PitStopLaps]])-LEN(SUBSTITUTE(Table1[[#This Row],[PitStopLaps]],",",""))+1)</f>
        <v>1</v>
      </c>
      <c r="U3449">
        <f>Table1[[#This Row],[StartPosition]]-Table1[[#This Row],[FinishPosition]]</f>
        <v>4</v>
      </c>
    </row>
    <row r="3450" spans="1:21" x14ac:dyDescent="0.3">
      <c r="A3450">
        <v>2026</v>
      </c>
      <c r="B3450">
        <v>1</v>
      </c>
      <c r="C3450" t="s">
        <v>19</v>
      </c>
      <c r="D3450" t="s">
        <v>52</v>
      </c>
      <c r="E3450" t="s">
        <v>53</v>
      </c>
      <c r="F3450" t="s">
        <v>69</v>
      </c>
      <c r="G3450">
        <v>13</v>
      </c>
      <c r="H3450">
        <v>11</v>
      </c>
      <c r="I3450">
        <v>0</v>
      </c>
      <c r="J3450" t="s">
        <v>34</v>
      </c>
      <c r="K3450" t="s">
        <v>994</v>
      </c>
      <c r="L3450">
        <v>57</v>
      </c>
      <c r="M3450">
        <v>84.424000000000007</v>
      </c>
      <c r="N3450">
        <v>85.448325999999994</v>
      </c>
      <c r="O3450">
        <v>29.827999999999999</v>
      </c>
      <c r="P3450">
        <v>17.388000000000002</v>
      </c>
      <c r="Q3450">
        <v>36.353999999999999</v>
      </c>
      <c r="R3450">
        <v>11</v>
      </c>
      <c r="S3450" t="s">
        <v>83</v>
      </c>
      <c r="T3450">
        <f>IF(TRIM(Table1[[#This Row],[PitStopLaps]])="",0,
LEN(Table1[[#This Row],[PitStopLaps]])-LEN(SUBSTITUTE(Table1[[#This Row],[PitStopLaps]],",",""))+1)</f>
        <v>1</v>
      </c>
      <c r="U3450">
        <f>Table1[[#This Row],[StartPosition]]-Table1[[#This Row],[FinishPosition]]</f>
        <v>2</v>
      </c>
    </row>
    <row r="3451" spans="1:21" x14ac:dyDescent="0.3">
      <c r="A3451">
        <v>2026</v>
      </c>
      <c r="B3451">
        <v>1</v>
      </c>
      <c r="C3451" t="s">
        <v>19</v>
      </c>
      <c r="D3451" t="s">
        <v>248</v>
      </c>
      <c r="E3451" t="s">
        <v>249</v>
      </c>
      <c r="F3451" t="s">
        <v>60</v>
      </c>
      <c r="G3451">
        <v>15</v>
      </c>
      <c r="H3451">
        <v>12</v>
      </c>
      <c r="I3451">
        <v>0</v>
      </c>
      <c r="J3451" t="s">
        <v>34</v>
      </c>
      <c r="K3451" t="s">
        <v>994</v>
      </c>
      <c r="L3451">
        <v>57</v>
      </c>
      <c r="M3451">
        <v>84.375</v>
      </c>
      <c r="N3451">
        <v>85.655958999999996</v>
      </c>
      <c r="O3451">
        <v>29.417999999999999</v>
      </c>
      <c r="P3451">
        <v>18.010999999999999</v>
      </c>
      <c r="Q3451">
        <v>36.792000000000002</v>
      </c>
      <c r="R3451" t="s">
        <v>598</v>
      </c>
      <c r="S3451" t="s">
        <v>83</v>
      </c>
      <c r="T3451">
        <f>IF(TRIM(Table1[[#This Row],[PitStopLaps]])="",0,
LEN(Table1[[#This Row],[PitStopLaps]])-LEN(SUBSTITUTE(Table1[[#This Row],[PitStopLaps]],",",""))+1)</f>
        <v>2</v>
      </c>
      <c r="U3451">
        <f>Table1[[#This Row],[StartPosition]]-Table1[[#This Row],[FinishPosition]]</f>
        <v>3</v>
      </c>
    </row>
    <row r="3452" spans="1:21" x14ac:dyDescent="0.3">
      <c r="A3452">
        <v>2026</v>
      </c>
      <c r="B3452">
        <v>1</v>
      </c>
      <c r="C3452" t="s">
        <v>19</v>
      </c>
      <c r="D3452" t="s">
        <v>1092</v>
      </c>
      <c r="E3452" t="s">
        <v>1093</v>
      </c>
      <c r="F3452" t="s">
        <v>1330</v>
      </c>
      <c r="G3452">
        <v>8</v>
      </c>
      <c r="H3452">
        <v>13</v>
      </c>
      <c r="I3452">
        <v>0</v>
      </c>
      <c r="J3452" t="s">
        <v>34</v>
      </c>
      <c r="K3452" t="s">
        <v>994</v>
      </c>
      <c r="L3452">
        <v>57</v>
      </c>
      <c r="M3452">
        <v>83.783000000000001</v>
      </c>
      <c r="N3452">
        <v>85.430999999999997</v>
      </c>
      <c r="O3452">
        <v>29.404</v>
      </c>
      <c r="P3452">
        <v>17.678999999999998</v>
      </c>
      <c r="Q3452">
        <v>36.439</v>
      </c>
      <c r="R3452" t="s">
        <v>1102</v>
      </c>
      <c r="S3452" t="s">
        <v>83</v>
      </c>
      <c r="T3452">
        <f>IF(TRIM(Table1[[#This Row],[PitStopLaps]])="",0,
LEN(Table1[[#This Row],[PitStopLaps]])-LEN(SUBSTITUTE(Table1[[#This Row],[PitStopLaps]],",",""))+1)</f>
        <v>2</v>
      </c>
      <c r="U3452">
        <f>Table1[[#This Row],[StartPosition]]-Table1[[#This Row],[FinishPosition]]</f>
        <v>-5</v>
      </c>
    </row>
    <row r="3453" spans="1:21" x14ac:dyDescent="0.3">
      <c r="A3453">
        <v>2026</v>
      </c>
      <c r="B3453">
        <v>1</v>
      </c>
      <c r="C3453" t="s">
        <v>19</v>
      </c>
      <c r="D3453" t="s">
        <v>1283</v>
      </c>
      <c r="E3453" t="s">
        <v>1284</v>
      </c>
      <c r="F3453" t="s">
        <v>607</v>
      </c>
      <c r="G3453">
        <v>16</v>
      </c>
      <c r="H3453">
        <v>14</v>
      </c>
      <c r="I3453">
        <v>0</v>
      </c>
      <c r="J3453" t="s">
        <v>34</v>
      </c>
      <c r="K3453" t="s">
        <v>994</v>
      </c>
      <c r="L3453">
        <v>56</v>
      </c>
      <c r="M3453">
        <v>82.926000000000002</v>
      </c>
      <c r="N3453">
        <v>85.760777000000004</v>
      </c>
      <c r="O3453">
        <v>29.042000000000002</v>
      </c>
      <c r="P3453">
        <v>17.38</v>
      </c>
      <c r="Q3453">
        <v>36.351999999999997</v>
      </c>
      <c r="R3453" t="s">
        <v>1447</v>
      </c>
      <c r="S3453" t="s">
        <v>83</v>
      </c>
      <c r="T3453">
        <f>IF(TRIM(Table1[[#This Row],[PitStopLaps]])="",0,
LEN(Table1[[#This Row],[PitStopLaps]])-LEN(SUBSTITUTE(Table1[[#This Row],[PitStopLaps]],",",""))+1)</f>
        <v>2</v>
      </c>
      <c r="U3453">
        <f>Table1[[#This Row],[StartPosition]]-Table1[[#This Row],[FinishPosition]]</f>
        <v>2</v>
      </c>
    </row>
    <row r="3454" spans="1:21" x14ac:dyDescent="0.3">
      <c r="A3454">
        <v>2026</v>
      </c>
      <c r="B3454">
        <v>1</v>
      </c>
      <c r="C3454" t="s">
        <v>19</v>
      </c>
      <c r="D3454" t="s">
        <v>47</v>
      </c>
      <c r="E3454" t="s">
        <v>48</v>
      </c>
      <c r="F3454" t="s">
        <v>60</v>
      </c>
      <c r="G3454">
        <v>21</v>
      </c>
      <c r="H3454">
        <v>15</v>
      </c>
      <c r="I3454">
        <v>0</v>
      </c>
      <c r="J3454" t="s">
        <v>34</v>
      </c>
      <c r="K3454" t="s">
        <v>994</v>
      </c>
      <c r="L3454">
        <v>56</v>
      </c>
      <c r="M3454">
        <v>83.59</v>
      </c>
      <c r="N3454">
        <v>86.043717000000001</v>
      </c>
      <c r="O3454">
        <v>29.170999999999999</v>
      </c>
      <c r="P3454">
        <v>17.805</v>
      </c>
      <c r="Q3454">
        <v>36.374000000000002</v>
      </c>
      <c r="R3454" t="s">
        <v>1448</v>
      </c>
      <c r="S3454" t="s">
        <v>83</v>
      </c>
      <c r="T3454">
        <f>IF(TRIM(Table1[[#This Row],[PitStopLaps]])="",0,
LEN(Table1[[#This Row],[PitStopLaps]])-LEN(SUBSTITUTE(Table1[[#This Row],[PitStopLaps]],",",""))+1)</f>
        <v>3</v>
      </c>
      <c r="U3454">
        <f>Table1[[#This Row],[StartPosition]]-Table1[[#This Row],[FinishPosition]]</f>
        <v>6</v>
      </c>
    </row>
    <row r="3455" spans="1:21" x14ac:dyDescent="0.3">
      <c r="A3455">
        <v>2026</v>
      </c>
      <c r="B3455">
        <v>1</v>
      </c>
      <c r="C3455" t="s">
        <v>19</v>
      </c>
      <c r="D3455" t="s">
        <v>49</v>
      </c>
      <c r="E3455" t="s">
        <v>50</v>
      </c>
      <c r="F3455" t="s">
        <v>1449</v>
      </c>
      <c r="G3455">
        <v>18</v>
      </c>
      <c r="H3455">
        <v>16</v>
      </c>
      <c r="I3455">
        <v>0</v>
      </c>
      <c r="J3455" t="s">
        <v>34</v>
      </c>
      <c r="K3455" t="s">
        <v>994</v>
      </c>
      <c r="L3455">
        <v>55</v>
      </c>
      <c r="M3455">
        <v>86.07</v>
      </c>
      <c r="N3455">
        <v>87.807044000000005</v>
      </c>
      <c r="O3455">
        <v>29.951999999999899</v>
      </c>
      <c r="P3455">
        <v>18.010999999999999</v>
      </c>
      <c r="Q3455">
        <v>37.709000000000003</v>
      </c>
      <c r="R3455" t="s">
        <v>532</v>
      </c>
      <c r="S3455" t="s">
        <v>83</v>
      </c>
      <c r="T3455">
        <f>IF(TRIM(Table1[[#This Row],[PitStopLaps]])="",0,
LEN(Table1[[#This Row],[PitStopLaps]])-LEN(SUBSTITUTE(Table1[[#This Row],[PitStopLaps]],",",""))+1)</f>
        <v>2</v>
      </c>
      <c r="U3455">
        <f>Table1[[#This Row],[StartPosition]]-Table1[[#This Row],[FinishPosition]]</f>
        <v>2</v>
      </c>
    </row>
    <row r="3456" spans="1:21" x14ac:dyDescent="0.3">
      <c r="A3456">
        <v>2026</v>
      </c>
      <c r="B3456">
        <v>1</v>
      </c>
      <c r="C3456" t="s">
        <v>19</v>
      </c>
      <c r="D3456" t="s">
        <v>58</v>
      </c>
      <c r="E3456" t="s">
        <v>59</v>
      </c>
      <c r="F3456" t="s">
        <v>603</v>
      </c>
      <c r="G3456">
        <v>22</v>
      </c>
      <c r="H3456">
        <v>17</v>
      </c>
      <c r="I3456">
        <v>0</v>
      </c>
      <c r="J3456" t="s">
        <v>34</v>
      </c>
      <c r="K3456" t="s">
        <v>994</v>
      </c>
      <c r="L3456">
        <v>43</v>
      </c>
      <c r="M3456">
        <v>85.41</v>
      </c>
      <c r="N3456">
        <v>87.213206</v>
      </c>
      <c r="O3456">
        <v>29.693999999999999</v>
      </c>
      <c r="P3456">
        <v>18.466999999999999</v>
      </c>
      <c r="Q3456">
        <v>36.942999999999998</v>
      </c>
      <c r="R3456" t="s">
        <v>1450</v>
      </c>
      <c r="S3456" t="s">
        <v>83</v>
      </c>
      <c r="T3456">
        <f>IF(TRIM(Table1[[#This Row],[PitStopLaps]])="",0,
LEN(Table1[[#This Row],[PitStopLaps]])-LEN(SUBSTITUTE(Table1[[#This Row],[PitStopLaps]],",",""))+1)</f>
        <v>4</v>
      </c>
      <c r="U3456">
        <f>Table1[[#This Row],[StartPosition]]-Table1[[#This Row],[FinishPosition]]</f>
        <v>5</v>
      </c>
    </row>
    <row r="3457" spans="1:21" x14ac:dyDescent="0.3">
      <c r="A3457">
        <v>2026</v>
      </c>
      <c r="B3457">
        <v>1</v>
      </c>
      <c r="C3457" t="s">
        <v>19</v>
      </c>
      <c r="D3457" t="s">
        <v>35</v>
      </c>
      <c r="E3457" t="s">
        <v>36</v>
      </c>
      <c r="F3457" t="s">
        <v>603</v>
      </c>
      <c r="G3457">
        <v>17</v>
      </c>
      <c r="H3457">
        <v>18</v>
      </c>
      <c r="I3457">
        <v>0</v>
      </c>
      <c r="J3457" t="s">
        <v>34</v>
      </c>
      <c r="K3457" t="s">
        <v>179</v>
      </c>
      <c r="L3457">
        <v>22</v>
      </c>
      <c r="M3457">
        <v>85.712999999999994</v>
      </c>
      <c r="N3457">
        <v>87.301811999999998</v>
      </c>
      <c r="O3457">
        <v>29.879000000000001</v>
      </c>
      <c r="P3457">
        <v>18.262</v>
      </c>
      <c r="Q3457">
        <v>37.069000000000003</v>
      </c>
      <c r="R3457" t="s">
        <v>1451</v>
      </c>
      <c r="S3457" t="s">
        <v>83</v>
      </c>
      <c r="T3457">
        <f>IF(TRIM(Table1[[#This Row],[PitStopLaps]])="",0,
LEN(Table1[[#This Row],[PitStopLaps]])-LEN(SUBSTITUTE(Table1[[#This Row],[PitStopLaps]],",",""))+1)</f>
        <v>3</v>
      </c>
      <c r="U3457">
        <f>Table1[[#This Row],[StartPosition]]-Table1[[#This Row],[FinishPosition]]</f>
        <v>-1</v>
      </c>
    </row>
    <row r="3458" spans="1:21" x14ac:dyDescent="0.3">
      <c r="A3458">
        <v>2026</v>
      </c>
      <c r="B3458">
        <v>1</v>
      </c>
      <c r="C3458" t="s">
        <v>19</v>
      </c>
      <c r="D3458" t="s">
        <v>43</v>
      </c>
      <c r="E3458" t="s">
        <v>44</v>
      </c>
      <c r="F3458" t="s">
        <v>1449</v>
      </c>
      <c r="G3458">
        <v>19</v>
      </c>
      <c r="H3458">
        <v>19</v>
      </c>
      <c r="I3458">
        <v>0</v>
      </c>
      <c r="J3458" t="s">
        <v>34</v>
      </c>
      <c r="K3458" t="s">
        <v>179</v>
      </c>
      <c r="L3458">
        <v>16</v>
      </c>
      <c r="M3458">
        <v>87.364000000000004</v>
      </c>
      <c r="N3458">
        <v>88.713635999999994</v>
      </c>
      <c r="O3458">
        <v>30.777999999999999</v>
      </c>
      <c r="P3458">
        <v>18.033000000000001</v>
      </c>
      <c r="Q3458">
        <v>38.155999999999999</v>
      </c>
      <c r="R3458">
        <v>12</v>
      </c>
      <c r="S3458" t="s">
        <v>83</v>
      </c>
      <c r="T3458">
        <f>IF(TRIM(Table1[[#This Row],[PitStopLaps]])="",0,
LEN(Table1[[#This Row],[PitStopLaps]])-LEN(SUBSTITUTE(Table1[[#This Row],[PitStopLaps]],",",""))+1)</f>
        <v>1</v>
      </c>
      <c r="U3458">
        <f>Table1[[#This Row],[StartPosition]]-Table1[[#This Row],[FinishPosition]]</f>
        <v>0</v>
      </c>
    </row>
    <row r="3459" spans="1:21" x14ac:dyDescent="0.3">
      <c r="A3459">
        <v>2026</v>
      </c>
      <c r="B3459">
        <v>1</v>
      </c>
      <c r="C3459" t="s">
        <v>19</v>
      </c>
      <c r="D3459" t="s">
        <v>1337</v>
      </c>
      <c r="E3459" t="s">
        <v>1338</v>
      </c>
      <c r="F3459" t="s">
        <v>33</v>
      </c>
      <c r="G3459">
        <v>3</v>
      </c>
      <c r="H3459">
        <v>20</v>
      </c>
      <c r="I3459">
        <v>0</v>
      </c>
      <c r="J3459" t="s">
        <v>34</v>
      </c>
      <c r="K3459" t="s">
        <v>179</v>
      </c>
      <c r="L3459">
        <v>11</v>
      </c>
      <c r="M3459">
        <v>85.239000000000004</v>
      </c>
      <c r="N3459">
        <v>85.497665999999995</v>
      </c>
      <c r="O3459">
        <v>29.867000000000001</v>
      </c>
      <c r="P3459">
        <v>18.574999999999999</v>
      </c>
      <c r="Q3459">
        <v>36.445</v>
      </c>
      <c r="S3459" t="s">
        <v>83</v>
      </c>
      <c r="T3459">
        <f>IF(TRIM(Table1[[#This Row],[PitStopLaps]])="",0,
LEN(Table1[[#This Row],[PitStopLaps]])-LEN(SUBSTITUTE(Table1[[#This Row],[PitStopLaps]],",",""))+1)</f>
        <v>0</v>
      </c>
      <c r="U3459">
        <f>Table1[[#This Row],[StartPosition]]-Table1[[#This Row],[FinishPosition]]</f>
        <v>-17</v>
      </c>
    </row>
    <row r="3460" spans="1:21" x14ac:dyDescent="0.3">
      <c r="A3460">
        <v>2026</v>
      </c>
      <c r="B3460">
        <v>1</v>
      </c>
      <c r="C3460" t="s">
        <v>19</v>
      </c>
      <c r="D3460" t="s">
        <v>1000</v>
      </c>
      <c r="E3460" t="s">
        <v>1001</v>
      </c>
      <c r="F3460" t="s">
        <v>37</v>
      </c>
      <c r="G3460">
        <v>5</v>
      </c>
      <c r="H3460">
        <v>21</v>
      </c>
      <c r="I3460">
        <v>0</v>
      </c>
      <c r="J3460" t="s">
        <v>34</v>
      </c>
      <c r="K3460" t="s">
        <v>1104</v>
      </c>
      <c r="S3460" t="s">
        <v>83</v>
      </c>
      <c r="T3460">
        <f>IF(TRIM(Table1[[#This Row],[PitStopLaps]])="",0,
LEN(Table1[[#This Row],[PitStopLaps]])-LEN(SUBSTITUTE(Table1[[#This Row],[PitStopLaps]],",",""))+1)</f>
        <v>0</v>
      </c>
      <c r="U3460">
        <f>Table1[[#This Row],[StartPosition]]-Table1[[#This Row],[FinishPosition]]</f>
        <v>-16</v>
      </c>
    </row>
    <row r="3461" spans="1:21" x14ac:dyDescent="0.3">
      <c r="A3461">
        <v>2026</v>
      </c>
      <c r="B3461">
        <v>1</v>
      </c>
      <c r="C3461" t="s">
        <v>19</v>
      </c>
      <c r="D3461" t="s">
        <v>40</v>
      </c>
      <c r="E3461" t="s">
        <v>41</v>
      </c>
      <c r="F3461" t="s">
        <v>1446</v>
      </c>
      <c r="G3461">
        <v>11</v>
      </c>
      <c r="H3461">
        <v>22</v>
      </c>
      <c r="I3461">
        <v>0</v>
      </c>
      <c r="J3461" t="s">
        <v>34</v>
      </c>
      <c r="K3461" t="s">
        <v>1104</v>
      </c>
      <c r="S3461" t="s">
        <v>83</v>
      </c>
      <c r="T3461">
        <f>IF(TRIM(Table1[[#This Row],[PitStopLaps]])="",0,
LEN(Table1[[#This Row],[PitStopLaps]])-LEN(SUBSTITUTE(Table1[[#This Row],[PitStopLaps]],",",""))+1)</f>
        <v>0</v>
      </c>
      <c r="U3461">
        <f>Table1[[#This Row],[StartPosition]]-Table1[[#This Row],[FinishPosition]]</f>
        <v>-11</v>
      </c>
    </row>
    <row r="3462" spans="1:21" x14ac:dyDescent="0.3">
      <c r="A3462">
        <v>2026</v>
      </c>
      <c r="B3462">
        <v>2</v>
      </c>
      <c r="C3462" t="s">
        <v>100</v>
      </c>
      <c r="D3462" t="s">
        <v>1339</v>
      </c>
      <c r="E3462" t="s">
        <v>1325</v>
      </c>
      <c r="F3462" t="s">
        <v>28</v>
      </c>
      <c r="G3462">
        <v>1</v>
      </c>
      <c r="H3462">
        <v>1</v>
      </c>
      <c r="I3462">
        <v>25</v>
      </c>
      <c r="J3462" t="s">
        <v>23</v>
      </c>
      <c r="K3462" t="s">
        <v>24</v>
      </c>
      <c r="L3462">
        <v>56</v>
      </c>
      <c r="M3462">
        <v>95.275000000000006</v>
      </c>
      <c r="N3462">
        <v>96.493058000000005</v>
      </c>
      <c r="O3462">
        <v>25.14</v>
      </c>
      <c r="P3462">
        <v>28.462</v>
      </c>
      <c r="Q3462">
        <v>41.213000000000001</v>
      </c>
      <c r="R3462">
        <v>10</v>
      </c>
      <c r="S3462" t="s">
        <v>83</v>
      </c>
      <c r="T3462">
        <f>IF(TRIM(Table1[[#This Row],[PitStopLaps]])="",0,
LEN(Table1[[#This Row],[PitStopLaps]])-LEN(SUBSTITUTE(Table1[[#This Row],[PitStopLaps]],",",""))+1)</f>
        <v>1</v>
      </c>
      <c r="U3462">
        <f>Table1[[#This Row],[StartPosition]]-Table1[[#This Row],[FinishPosition]]</f>
        <v>0</v>
      </c>
    </row>
    <row r="3463" spans="1:21" x14ac:dyDescent="0.3">
      <c r="A3463">
        <v>2026</v>
      </c>
      <c r="B3463">
        <v>2</v>
      </c>
      <c r="C3463" t="s">
        <v>100</v>
      </c>
      <c r="D3463" t="s">
        <v>252</v>
      </c>
      <c r="E3463" t="s">
        <v>253</v>
      </c>
      <c r="F3463" t="s">
        <v>28</v>
      </c>
      <c r="G3463">
        <v>2</v>
      </c>
      <c r="H3463">
        <v>2</v>
      </c>
      <c r="I3463">
        <v>18</v>
      </c>
      <c r="J3463" t="s">
        <v>23</v>
      </c>
      <c r="K3463" t="s">
        <v>24</v>
      </c>
      <c r="L3463">
        <v>56</v>
      </c>
      <c r="M3463">
        <v>95.4</v>
      </c>
      <c r="N3463">
        <v>96.565843000000001</v>
      </c>
      <c r="O3463">
        <v>25.125</v>
      </c>
      <c r="P3463">
        <v>28.641999999999999</v>
      </c>
      <c r="Q3463">
        <v>41.305999999999997</v>
      </c>
      <c r="R3463">
        <v>10</v>
      </c>
      <c r="S3463" t="s">
        <v>83</v>
      </c>
      <c r="T3463">
        <f>IF(TRIM(Table1[[#This Row],[PitStopLaps]])="",0,
LEN(Table1[[#This Row],[PitStopLaps]])-LEN(SUBSTITUTE(Table1[[#This Row],[PitStopLaps]],",",""))+1)</f>
        <v>1</v>
      </c>
      <c r="U3463">
        <f>Table1[[#This Row],[StartPosition]]-Table1[[#This Row],[FinishPosition]]</f>
        <v>0</v>
      </c>
    </row>
    <row r="3464" spans="1:21" x14ac:dyDescent="0.3">
      <c r="A3464">
        <v>2026</v>
      </c>
      <c r="B3464">
        <v>2</v>
      </c>
      <c r="C3464" t="s">
        <v>100</v>
      </c>
      <c r="D3464" t="s">
        <v>26</v>
      </c>
      <c r="E3464" t="s">
        <v>27</v>
      </c>
      <c r="F3464" t="s">
        <v>22</v>
      </c>
      <c r="G3464">
        <v>3</v>
      </c>
      <c r="H3464">
        <v>3</v>
      </c>
      <c r="I3464">
        <v>15</v>
      </c>
      <c r="J3464" t="s">
        <v>23</v>
      </c>
      <c r="K3464" t="s">
        <v>24</v>
      </c>
      <c r="L3464">
        <v>56</v>
      </c>
      <c r="M3464">
        <v>96.091999999999999</v>
      </c>
      <c r="N3464">
        <v>97.073763999999997</v>
      </c>
      <c r="O3464">
        <v>25.175999999999998</v>
      </c>
      <c r="P3464">
        <v>28.856000000000002</v>
      </c>
      <c r="Q3464">
        <v>41.62</v>
      </c>
      <c r="R3464">
        <v>10</v>
      </c>
      <c r="S3464" t="s">
        <v>83</v>
      </c>
      <c r="T3464">
        <f>IF(TRIM(Table1[[#This Row],[PitStopLaps]])="",0,
LEN(Table1[[#This Row],[PitStopLaps]])-LEN(SUBSTITUTE(Table1[[#This Row],[PitStopLaps]],",",""))+1)</f>
        <v>1</v>
      </c>
      <c r="U3464">
        <f>Table1[[#This Row],[StartPosition]]-Table1[[#This Row],[FinishPosition]]</f>
        <v>0</v>
      </c>
    </row>
    <row r="3465" spans="1:21" x14ac:dyDescent="0.3">
      <c r="A3465">
        <v>2026</v>
      </c>
      <c r="B3465">
        <v>2</v>
      </c>
      <c r="C3465" t="s">
        <v>100</v>
      </c>
      <c r="D3465" t="s">
        <v>54</v>
      </c>
      <c r="E3465" t="s">
        <v>55</v>
      </c>
      <c r="F3465" t="s">
        <v>22</v>
      </c>
      <c r="G3465">
        <v>4</v>
      </c>
      <c r="H3465">
        <v>4</v>
      </c>
      <c r="I3465">
        <v>12</v>
      </c>
      <c r="J3465" t="s">
        <v>34</v>
      </c>
      <c r="K3465" t="s">
        <v>24</v>
      </c>
      <c r="L3465">
        <v>56</v>
      </c>
      <c r="M3465">
        <v>96.010999999999996</v>
      </c>
      <c r="N3465">
        <v>97.110568000000001</v>
      </c>
      <c r="O3465">
        <v>25.047000000000001</v>
      </c>
      <c r="P3465">
        <v>28.861999999999998</v>
      </c>
      <c r="Q3465">
        <v>41.597999999999999</v>
      </c>
      <c r="R3465">
        <v>10</v>
      </c>
      <c r="S3465" t="s">
        <v>83</v>
      </c>
      <c r="T3465">
        <f>IF(TRIM(Table1[[#This Row],[PitStopLaps]])="",0,
LEN(Table1[[#This Row],[PitStopLaps]])-LEN(SUBSTITUTE(Table1[[#This Row],[PitStopLaps]],",",""))+1)</f>
        <v>1</v>
      </c>
      <c r="U3465">
        <f>Table1[[#This Row],[StartPosition]]-Table1[[#This Row],[FinishPosition]]</f>
        <v>0</v>
      </c>
    </row>
    <row r="3466" spans="1:21" x14ac:dyDescent="0.3">
      <c r="A3466">
        <v>2026</v>
      </c>
      <c r="B3466">
        <v>2</v>
      </c>
      <c r="C3466" t="s">
        <v>100</v>
      </c>
      <c r="D3466" t="s">
        <v>1180</v>
      </c>
      <c r="E3466" t="s">
        <v>1181</v>
      </c>
      <c r="F3466" t="s">
        <v>69</v>
      </c>
      <c r="G3466">
        <v>10</v>
      </c>
      <c r="H3466">
        <v>5</v>
      </c>
      <c r="I3466">
        <v>10</v>
      </c>
      <c r="J3466" t="s">
        <v>34</v>
      </c>
      <c r="K3466" t="s">
        <v>24</v>
      </c>
      <c r="L3466">
        <v>56</v>
      </c>
      <c r="M3466">
        <v>96.429000000000002</v>
      </c>
      <c r="N3466">
        <v>97.853900999999993</v>
      </c>
      <c r="O3466">
        <v>25.225999999999999</v>
      </c>
      <c r="P3466">
        <v>29.068999999999999</v>
      </c>
      <c r="Q3466">
        <v>42.082000000000001</v>
      </c>
      <c r="R3466">
        <v>10</v>
      </c>
      <c r="S3466" t="s">
        <v>83</v>
      </c>
      <c r="T3466">
        <f>IF(TRIM(Table1[[#This Row],[PitStopLaps]])="",0,
LEN(Table1[[#This Row],[PitStopLaps]])-LEN(SUBSTITUTE(Table1[[#This Row],[PitStopLaps]],",",""))+1)</f>
        <v>1</v>
      </c>
      <c r="U3466">
        <f>Table1[[#This Row],[StartPosition]]-Table1[[#This Row],[FinishPosition]]</f>
        <v>5</v>
      </c>
    </row>
    <row r="3467" spans="1:21" x14ac:dyDescent="0.3">
      <c r="A3467">
        <v>2026</v>
      </c>
      <c r="B3467">
        <v>2</v>
      </c>
      <c r="C3467" t="s">
        <v>100</v>
      </c>
      <c r="D3467" t="s">
        <v>73</v>
      </c>
      <c r="E3467" t="s">
        <v>74</v>
      </c>
      <c r="F3467" t="s">
        <v>607</v>
      </c>
      <c r="G3467">
        <v>7</v>
      </c>
      <c r="H3467">
        <v>6</v>
      </c>
      <c r="I3467">
        <v>8</v>
      </c>
      <c r="J3467" t="s">
        <v>34</v>
      </c>
      <c r="K3467" t="s">
        <v>24</v>
      </c>
      <c r="L3467">
        <v>56</v>
      </c>
      <c r="M3467">
        <v>96.504999999999995</v>
      </c>
      <c r="N3467">
        <v>97.752861999999993</v>
      </c>
      <c r="O3467">
        <v>25.321000000000002</v>
      </c>
      <c r="P3467">
        <v>29.218</v>
      </c>
      <c r="Q3467">
        <v>41.868000000000002</v>
      </c>
      <c r="R3467">
        <v>10</v>
      </c>
      <c r="S3467" t="s">
        <v>83</v>
      </c>
      <c r="T3467">
        <f>IF(TRIM(Table1[[#This Row],[PitStopLaps]])="",0,
LEN(Table1[[#This Row],[PitStopLaps]])-LEN(SUBSTITUTE(Table1[[#This Row],[PitStopLaps]],",",""))+1)</f>
        <v>1</v>
      </c>
      <c r="U3467">
        <f>Table1[[#This Row],[StartPosition]]-Table1[[#This Row],[FinishPosition]]</f>
        <v>1</v>
      </c>
    </row>
    <row r="3468" spans="1:21" x14ac:dyDescent="0.3">
      <c r="A3468">
        <v>2026</v>
      </c>
      <c r="B3468">
        <v>2</v>
      </c>
      <c r="C3468" t="s">
        <v>100</v>
      </c>
      <c r="D3468" t="s">
        <v>1092</v>
      </c>
      <c r="E3468" t="s">
        <v>1093</v>
      </c>
      <c r="F3468" t="s">
        <v>1330</v>
      </c>
      <c r="G3468">
        <v>14</v>
      </c>
      <c r="H3468">
        <v>7</v>
      </c>
      <c r="I3468">
        <v>6</v>
      </c>
      <c r="J3468" t="s">
        <v>34</v>
      </c>
      <c r="K3468" t="s">
        <v>24</v>
      </c>
      <c r="L3468">
        <v>56</v>
      </c>
      <c r="M3468">
        <v>97.096000000000004</v>
      </c>
      <c r="N3468">
        <v>98.272480000000002</v>
      </c>
      <c r="O3468">
        <v>25.443999999999999</v>
      </c>
      <c r="P3468">
        <v>29.338999999999999</v>
      </c>
      <c r="Q3468">
        <v>42.094999999999999</v>
      </c>
      <c r="R3468">
        <v>9</v>
      </c>
      <c r="S3468" t="s">
        <v>83</v>
      </c>
      <c r="T3468">
        <f>IF(TRIM(Table1[[#This Row],[PitStopLaps]])="",0,
LEN(Table1[[#This Row],[PitStopLaps]])-LEN(SUBSTITUTE(Table1[[#This Row],[PitStopLaps]],",",""))+1)</f>
        <v>1</v>
      </c>
      <c r="U3468">
        <f>Table1[[#This Row],[StartPosition]]-Table1[[#This Row],[FinishPosition]]</f>
        <v>7</v>
      </c>
    </row>
    <row r="3469" spans="1:21" x14ac:dyDescent="0.3">
      <c r="A3469">
        <v>2026</v>
      </c>
      <c r="B3469">
        <v>2</v>
      </c>
      <c r="C3469" t="s">
        <v>100</v>
      </c>
      <c r="D3469" t="s">
        <v>1337</v>
      </c>
      <c r="E3469" t="s">
        <v>1338</v>
      </c>
      <c r="F3469" t="s">
        <v>33</v>
      </c>
      <c r="G3469">
        <v>9</v>
      </c>
      <c r="H3469">
        <v>8</v>
      </c>
      <c r="I3469">
        <v>4</v>
      </c>
      <c r="J3469" t="s">
        <v>34</v>
      </c>
      <c r="K3469" t="s">
        <v>24</v>
      </c>
      <c r="L3469">
        <v>56</v>
      </c>
      <c r="M3469">
        <v>97.311000000000007</v>
      </c>
      <c r="N3469">
        <v>98.234039999999993</v>
      </c>
      <c r="O3469">
        <v>25.707000000000001</v>
      </c>
      <c r="P3469">
        <v>29.611999999999998</v>
      </c>
      <c r="Q3469">
        <v>41.857999999999997</v>
      </c>
      <c r="R3469" t="s">
        <v>554</v>
      </c>
      <c r="S3469" t="s">
        <v>83</v>
      </c>
      <c r="T3469">
        <f>IF(TRIM(Table1[[#This Row],[PitStopLaps]])="",0,
LEN(Table1[[#This Row],[PitStopLaps]])-LEN(SUBSTITUTE(Table1[[#This Row],[PitStopLaps]],",",""))+1)</f>
        <v>2</v>
      </c>
      <c r="U3469">
        <f>Table1[[#This Row],[StartPosition]]-Table1[[#This Row],[FinishPosition]]</f>
        <v>1</v>
      </c>
    </row>
    <row r="3470" spans="1:21" x14ac:dyDescent="0.3">
      <c r="A3470">
        <v>2026</v>
      </c>
      <c r="B3470">
        <v>2</v>
      </c>
      <c r="C3470" t="s">
        <v>100</v>
      </c>
      <c r="D3470" t="s">
        <v>47</v>
      </c>
      <c r="E3470" t="s">
        <v>48</v>
      </c>
      <c r="F3470" t="s">
        <v>60</v>
      </c>
      <c r="G3470">
        <v>17</v>
      </c>
      <c r="H3470">
        <v>9</v>
      </c>
      <c r="I3470">
        <v>2</v>
      </c>
      <c r="J3470" t="s">
        <v>34</v>
      </c>
      <c r="K3470" t="s">
        <v>994</v>
      </c>
      <c r="L3470">
        <v>55</v>
      </c>
      <c r="M3470">
        <v>97.980999999999995</v>
      </c>
      <c r="N3470">
        <v>98.921000000000006</v>
      </c>
      <c r="O3470">
        <v>25.887</v>
      </c>
      <c r="P3470">
        <v>29.594999999999999</v>
      </c>
      <c r="Q3470">
        <v>42.247999999999998</v>
      </c>
      <c r="R3470">
        <v>9</v>
      </c>
      <c r="S3470" t="s">
        <v>83</v>
      </c>
      <c r="T3470">
        <f>IF(TRIM(Table1[[#This Row],[PitStopLaps]])="",0,
LEN(Table1[[#This Row],[PitStopLaps]])-LEN(SUBSTITUTE(Table1[[#This Row],[PitStopLaps]],",",""))+1)</f>
        <v>1</v>
      </c>
      <c r="U3470">
        <f>Table1[[#This Row],[StartPosition]]-Table1[[#This Row],[FinishPosition]]</f>
        <v>8</v>
      </c>
    </row>
    <row r="3471" spans="1:21" x14ac:dyDescent="0.3">
      <c r="A3471">
        <v>2026</v>
      </c>
      <c r="B3471">
        <v>2</v>
      </c>
      <c r="C3471" t="s">
        <v>100</v>
      </c>
      <c r="D3471" t="s">
        <v>1283</v>
      </c>
      <c r="E3471" t="s">
        <v>1284</v>
      </c>
      <c r="F3471" t="s">
        <v>607</v>
      </c>
      <c r="G3471">
        <v>12</v>
      </c>
      <c r="H3471">
        <v>10</v>
      </c>
      <c r="I3471">
        <v>1</v>
      </c>
      <c r="J3471" t="s">
        <v>34</v>
      </c>
      <c r="K3471" t="s">
        <v>994</v>
      </c>
      <c r="L3471">
        <v>55</v>
      </c>
      <c r="M3471">
        <v>96.783000000000001</v>
      </c>
      <c r="N3471">
        <v>98.270686999999995</v>
      </c>
      <c r="O3471">
        <v>25.52</v>
      </c>
      <c r="P3471">
        <v>29.202000000000002</v>
      </c>
      <c r="Q3471">
        <v>41.929000000000002</v>
      </c>
      <c r="R3471">
        <v>32</v>
      </c>
      <c r="S3471" t="s">
        <v>83</v>
      </c>
      <c r="T3471">
        <f>IF(TRIM(Table1[[#This Row],[PitStopLaps]])="",0,
LEN(Table1[[#This Row],[PitStopLaps]])-LEN(SUBSTITUTE(Table1[[#This Row],[PitStopLaps]],",",""))+1)</f>
        <v>1</v>
      </c>
      <c r="U3471">
        <f>Table1[[#This Row],[StartPosition]]-Table1[[#This Row],[FinishPosition]]</f>
        <v>2</v>
      </c>
    </row>
    <row r="3472" spans="1:21" x14ac:dyDescent="0.3">
      <c r="A3472">
        <v>2026</v>
      </c>
      <c r="B3472">
        <v>2</v>
      </c>
      <c r="C3472" t="s">
        <v>100</v>
      </c>
      <c r="D3472" t="s">
        <v>40</v>
      </c>
      <c r="E3472" t="s">
        <v>41</v>
      </c>
      <c r="F3472" t="s">
        <v>1446</v>
      </c>
      <c r="G3472">
        <v>11</v>
      </c>
      <c r="H3472">
        <v>11</v>
      </c>
      <c r="I3472">
        <v>0</v>
      </c>
      <c r="J3472" t="s">
        <v>34</v>
      </c>
      <c r="K3472" t="s">
        <v>994</v>
      </c>
      <c r="L3472">
        <v>55</v>
      </c>
      <c r="M3472">
        <v>96.18</v>
      </c>
      <c r="N3472">
        <v>98.304208000000003</v>
      </c>
      <c r="O3472">
        <v>25.048999999999999</v>
      </c>
      <c r="P3472">
        <v>29.074000000000002</v>
      </c>
      <c r="Q3472">
        <v>41.652000000000001</v>
      </c>
      <c r="R3472">
        <v>35</v>
      </c>
      <c r="S3472" t="s">
        <v>83</v>
      </c>
      <c r="T3472">
        <f>IF(TRIM(Table1[[#This Row],[PitStopLaps]])="",0,
LEN(Table1[[#This Row],[PitStopLaps]])-LEN(SUBSTITUTE(Table1[[#This Row],[PitStopLaps]],",",""))+1)</f>
        <v>1</v>
      </c>
      <c r="U3472">
        <f>Table1[[#This Row],[StartPosition]]-Table1[[#This Row],[FinishPosition]]</f>
        <v>0</v>
      </c>
    </row>
    <row r="3473" spans="1:21" x14ac:dyDescent="0.3">
      <c r="A3473">
        <v>2026</v>
      </c>
      <c r="B3473">
        <v>2</v>
      </c>
      <c r="C3473" t="s">
        <v>100</v>
      </c>
      <c r="D3473" t="s">
        <v>1444</v>
      </c>
      <c r="E3473" t="s">
        <v>1445</v>
      </c>
      <c r="F3473" t="s">
        <v>1330</v>
      </c>
      <c r="G3473">
        <v>15</v>
      </c>
      <c r="H3473">
        <v>12</v>
      </c>
      <c r="I3473">
        <v>0</v>
      </c>
      <c r="J3473" t="s">
        <v>34</v>
      </c>
      <c r="K3473" t="s">
        <v>994</v>
      </c>
      <c r="L3473">
        <v>55</v>
      </c>
      <c r="M3473">
        <v>96.099000000000004</v>
      </c>
      <c r="N3473">
        <v>98.701415999999995</v>
      </c>
      <c r="O3473">
        <v>25.082000000000001</v>
      </c>
      <c r="P3473">
        <v>29.056999999999999</v>
      </c>
      <c r="Q3473">
        <v>41.817</v>
      </c>
      <c r="R3473">
        <v>42</v>
      </c>
      <c r="S3473" t="s">
        <v>83</v>
      </c>
      <c r="T3473">
        <f>IF(TRIM(Table1[[#This Row],[PitStopLaps]])="",0,
LEN(Table1[[#This Row],[PitStopLaps]])-LEN(SUBSTITUTE(Table1[[#This Row],[PitStopLaps]],",",""))+1)</f>
        <v>1</v>
      </c>
      <c r="U3473">
        <f>Table1[[#This Row],[StartPosition]]-Table1[[#This Row],[FinishPosition]]</f>
        <v>3</v>
      </c>
    </row>
    <row r="3474" spans="1:21" x14ac:dyDescent="0.3">
      <c r="A3474">
        <v>2026</v>
      </c>
      <c r="B3474">
        <v>2</v>
      </c>
      <c r="C3474" t="s">
        <v>100</v>
      </c>
      <c r="D3474" t="s">
        <v>43</v>
      </c>
      <c r="E3474" t="s">
        <v>44</v>
      </c>
      <c r="F3474" t="s">
        <v>1449</v>
      </c>
      <c r="G3474">
        <v>19</v>
      </c>
      <c r="H3474">
        <v>13</v>
      </c>
      <c r="I3474">
        <v>0</v>
      </c>
      <c r="J3474" t="s">
        <v>34</v>
      </c>
      <c r="K3474" t="s">
        <v>994</v>
      </c>
      <c r="L3474">
        <v>55</v>
      </c>
      <c r="M3474">
        <v>98.393000000000001</v>
      </c>
      <c r="N3474">
        <v>100.00498</v>
      </c>
      <c r="O3474">
        <v>25.855</v>
      </c>
      <c r="P3474">
        <v>29.824999999999999</v>
      </c>
      <c r="Q3474">
        <v>42.713000000000001</v>
      </c>
      <c r="R3474">
        <v>10</v>
      </c>
      <c r="S3474" t="s">
        <v>83</v>
      </c>
      <c r="T3474">
        <f>IF(TRIM(Table1[[#This Row],[PitStopLaps]])="",0,
LEN(Table1[[#This Row],[PitStopLaps]])-LEN(SUBSTITUTE(Table1[[#This Row],[PitStopLaps]],",",""))+1)</f>
        <v>1</v>
      </c>
      <c r="U3474">
        <f>Table1[[#This Row],[StartPosition]]-Table1[[#This Row],[FinishPosition]]</f>
        <v>6</v>
      </c>
    </row>
    <row r="3475" spans="1:21" x14ac:dyDescent="0.3">
      <c r="A3475">
        <v>2026</v>
      </c>
      <c r="B3475">
        <v>2</v>
      </c>
      <c r="C3475" t="s">
        <v>100</v>
      </c>
      <c r="D3475" t="s">
        <v>52</v>
      </c>
      <c r="E3475" t="s">
        <v>53</v>
      </c>
      <c r="F3475" t="s">
        <v>69</v>
      </c>
      <c r="G3475">
        <v>13</v>
      </c>
      <c r="H3475">
        <v>14</v>
      </c>
      <c r="I3475">
        <v>0</v>
      </c>
      <c r="J3475" t="s">
        <v>34</v>
      </c>
      <c r="K3475" t="s">
        <v>994</v>
      </c>
      <c r="L3475">
        <v>55</v>
      </c>
      <c r="M3475">
        <v>95.963999999999999</v>
      </c>
      <c r="N3475">
        <v>98.494065000000006</v>
      </c>
      <c r="O3475">
        <v>25.094000000000001</v>
      </c>
      <c r="P3475">
        <v>28.896999999999998</v>
      </c>
      <c r="Q3475">
        <v>41.712000000000003</v>
      </c>
      <c r="R3475" t="s">
        <v>1349</v>
      </c>
      <c r="S3475" t="s">
        <v>83</v>
      </c>
      <c r="T3475">
        <f>IF(TRIM(Table1[[#This Row],[PitStopLaps]])="",0,
LEN(Table1[[#This Row],[PitStopLaps]])-LEN(SUBSTITUTE(Table1[[#This Row],[PitStopLaps]],",",""))+1)</f>
        <v>2</v>
      </c>
      <c r="U3475">
        <f>Table1[[#This Row],[StartPosition]]-Table1[[#This Row],[FinishPosition]]</f>
        <v>-1</v>
      </c>
    </row>
    <row r="3476" spans="1:21" x14ac:dyDescent="0.3">
      <c r="A3476">
        <v>2026</v>
      </c>
      <c r="B3476">
        <v>2</v>
      </c>
      <c r="C3476" t="s">
        <v>100</v>
      </c>
      <c r="D3476" t="s">
        <v>49</v>
      </c>
      <c r="E3476" t="s">
        <v>50</v>
      </c>
      <c r="F3476" t="s">
        <v>1449</v>
      </c>
      <c r="G3476">
        <v>21</v>
      </c>
      <c r="H3476">
        <v>15</v>
      </c>
      <c r="I3476">
        <v>0</v>
      </c>
      <c r="J3476" t="s">
        <v>34</v>
      </c>
      <c r="K3476" t="s">
        <v>994</v>
      </c>
      <c r="L3476">
        <v>55</v>
      </c>
      <c r="M3476">
        <v>98.522999999999996</v>
      </c>
      <c r="N3476">
        <v>100.34444000000001</v>
      </c>
      <c r="O3476">
        <v>25.876999999999999</v>
      </c>
      <c r="P3476">
        <v>29.94</v>
      </c>
      <c r="Q3476">
        <v>42.365000000000002</v>
      </c>
      <c r="R3476">
        <v>11</v>
      </c>
      <c r="S3476" t="s">
        <v>83</v>
      </c>
      <c r="T3476">
        <f>IF(TRIM(Table1[[#This Row],[PitStopLaps]])="",0,
LEN(Table1[[#This Row],[PitStopLaps]])-LEN(SUBSTITUTE(Table1[[#This Row],[PitStopLaps]],",",""))+1)</f>
        <v>1</v>
      </c>
      <c r="U3476">
        <f>Table1[[#This Row],[StartPosition]]-Table1[[#This Row],[FinishPosition]]</f>
        <v>6</v>
      </c>
    </row>
    <row r="3477" spans="1:21" x14ac:dyDescent="0.3">
      <c r="A3477">
        <v>2026</v>
      </c>
      <c r="B3477">
        <v>2</v>
      </c>
      <c r="C3477" t="s">
        <v>100</v>
      </c>
      <c r="D3477" t="s">
        <v>38</v>
      </c>
      <c r="E3477" t="s">
        <v>39</v>
      </c>
      <c r="F3477" t="s">
        <v>33</v>
      </c>
      <c r="G3477">
        <v>8</v>
      </c>
      <c r="H3477">
        <v>16</v>
      </c>
      <c r="I3477">
        <v>0</v>
      </c>
      <c r="J3477" t="s">
        <v>34</v>
      </c>
      <c r="K3477" t="s">
        <v>179</v>
      </c>
      <c r="L3477">
        <v>45</v>
      </c>
      <c r="M3477">
        <v>97.046000000000006</v>
      </c>
      <c r="N3477">
        <v>98.098921000000004</v>
      </c>
      <c r="O3477">
        <v>25.524999999999999</v>
      </c>
      <c r="P3477">
        <v>29.516999999999999</v>
      </c>
      <c r="Q3477">
        <v>41.838999999999999</v>
      </c>
      <c r="R3477" t="s">
        <v>1452</v>
      </c>
      <c r="S3477" t="s">
        <v>83</v>
      </c>
      <c r="T3477">
        <f>IF(TRIM(Table1[[#This Row],[PitStopLaps]])="",0,
LEN(Table1[[#This Row],[PitStopLaps]])-LEN(SUBSTITUTE(Table1[[#This Row],[PitStopLaps]],",",""))+1)</f>
        <v>2</v>
      </c>
      <c r="U3477">
        <f>Table1[[#This Row],[StartPosition]]-Table1[[#This Row],[FinishPosition]]</f>
        <v>-8</v>
      </c>
    </row>
    <row r="3478" spans="1:21" x14ac:dyDescent="0.3">
      <c r="A3478">
        <v>2026</v>
      </c>
      <c r="B3478">
        <v>2</v>
      </c>
      <c r="C3478" t="s">
        <v>100</v>
      </c>
      <c r="D3478" t="s">
        <v>35</v>
      </c>
      <c r="E3478" t="s">
        <v>36</v>
      </c>
      <c r="F3478" t="s">
        <v>603</v>
      </c>
      <c r="G3478">
        <v>18</v>
      </c>
      <c r="H3478">
        <v>17</v>
      </c>
      <c r="I3478">
        <v>0</v>
      </c>
      <c r="J3478" t="s">
        <v>34</v>
      </c>
      <c r="K3478" t="s">
        <v>179</v>
      </c>
      <c r="L3478">
        <v>32</v>
      </c>
      <c r="M3478">
        <v>99.721000000000004</v>
      </c>
      <c r="N3478">
        <v>100.73452</v>
      </c>
      <c r="O3478">
        <v>26.131</v>
      </c>
      <c r="P3478">
        <v>30.533999999999999</v>
      </c>
      <c r="Q3478">
        <v>42.973999999999997</v>
      </c>
      <c r="R3478" t="s">
        <v>1453</v>
      </c>
      <c r="S3478" t="s">
        <v>83</v>
      </c>
      <c r="T3478">
        <f>IF(TRIM(Table1[[#This Row],[PitStopLaps]])="",0,
LEN(Table1[[#This Row],[PitStopLaps]])-LEN(SUBSTITUTE(Table1[[#This Row],[PitStopLaps]],",",""))+1)</f>
        <v>2</v>
      </c>
      <c r="U3478">
        <f>Table1[[#This Row],[StartPosition]]-Table1[[#This Row],[FinishPosition]]</f>
        <v>1</v>
      </c>
    </row>
    <row r="3479" spans="1:21" x14ac:dyDescent="0.3">
      <c r="A3479">
        <v>2026</v>
      </c>
      <c r="B3479">
        <v>2</v>
      </c>
      <c r="C3479" t="s">
        <v>100</v>
      </c>
      <c r="D3479" t="s">
        <v>58</v>
      </c>
      <c r="E3479" t="s">
        <v>59</v>
      </c>
      <c r="F3479" t="s">
        <v>603</v>
      </c>
      <c r="G3479">
        <v>20</v>
      </c>
      <c r="H3479">
        <v>18</v>
      </c>
      <c r="I3479">
        <v>0</v>
      </c>
      <c r="J3479" t="s">
        <v>34</v>
      </c>
      <c r="K3479" t="s">
        <v>179</v>
      </c>
      <c r="L3479">
        <v>10</v>
      </c>
      <c r="M3479">
        <v>100.883</v>
      </c>
      <c r="N3479">
        <v>101.30725</v>
      </c>
      <c r="O3479">
        <v>26.536000000000001</v>
      </c>
      <c r="P3479">
        <v>30.832000000000001</v>
      </c>
      <c r="Q3479">
        <v>43.305999999999997</v>
      </c>
      <c r="S3479" t="s">
        <v>83</v>
      </c>
      <c r="T3479">
        <f>IF(TRIM(Table1[[#This Row],[PitStopLaps]])="",0,
LEN(Table1[[#This Row],[PitStopLaps]])-LEN(SUBSTITUTE(Table1[[#This Row],[PitStopLaps]],",",""))+1)</f>
        <v>0</v>
      </c>
      <c r="U3479">
        <f>Table1[[#This Row],[StartPosition]]-Table1[[#This Row],[FinishPosition]]</f>
        <v>2</v>
      </c>
    </row>
    <row r="3480" spans="1:21" x14ac:dyDescent="0.3">
      <c r="A3480">
        <v>2026</v>
      </c>
      <c r="B3480">
        <v>2</v>
      </c>
      <c r="C3480" t="s">
        <v>100</v>
      </c>
      <c r="D3480" t="s">
        <v>1000</v>
      </c>
      <c r="E3480" t="s">
        <v>1001</v>
      </c>
      <c r="F3480" t="s">
        <v>37</v>
      </c>
      <c r="G3480">
        <v>5</v>
      </c>
      <c r="H3480">
        <v>19</v>
      </c>
      <c r="I3480">
        <v>0</v>
      </c>
      <c r="J3480" t="s">
        <v>34</v>
      </c>
      <c r="K3480" t="s">
        <v>1104</v>
      </c>
      <c r="S3480" t="s">
        <v>83</v>
      </c>
      <c r="T3480">
        <f>IF(TRIM(Table1[[#This Row],[PitStopLaps]])="",0,
LEN(Table1[[#This Row],[PitStopLaps]])-LEN(SUBSTITUTE(Table1[[#This Row],[PitStopLaps]],",",""))+1)</f>
        <v>0</v>
      </c>
      <c r="U3480">
        <f>Table1[[#This Row],[StartPosition]]-Table1[[#This Row],[FinishPosition]]</f>
        <v>-14</v>
      </c>
    </row>
    <row r="3481" spans="1:21" x14ac:dyDescent="0.3">
      <c r="A3481">
        <v>2026</v>
      </c>
      <c r="B3481">
        <v>2</v>
      </c>
      <c r="C3481" t="s">
        <v>100</v>
      </c>
      <c r="D3481" t="s">
        <v>246</v>
      </c>
      <c r="E3481" t="s">
        <v>247</v>
      </c>
      <c r="F3481" t="s">
        <v>37</v>
      </c>
      <c r="G3481">
        <v>6</v>
      </c>
      <c r="H3481">
        <v>20</v>
      </c>
      <c r="I3481">
        <v>0</v>
      </c>
      <c r="J3481" t="s">
        <v>34</v>
      </c>
      <c r="K3481" t="s">
        <v>1104</v>
      </c>
      <c r="S3481" t="s">
        <v>83</v>
      </c>
      <c r="T3481">
        <f>IF(TRIM(Table1[[#This Row],[PitStopLaps]])="",0,
LEN(Table1[[#This Row],[PitStopLaps]])-LEN(SUBSTITUTE(Table1[[#This Row],[PitStopLaps]],",",""))+1)</f>
        <v>0</v>
      </c>
      <c r="U3481">
        <f>Table1[[#This Row],[StartPosition]]-Table1[[#This Row],[FinishPosition]]</f>
        <v>-14</v>
      </c>
    </row>
    <row r="3482" spans="1:21" x14ac:dyDescent="0.3">
      <c r="A3482">
        <v>2026</v>
      </c>
      <c r="B3482">
        <v>2</v>
      </c>
      <c r="C3482" t="s">
        <v>100</v>
      </c>
      <c r="D3482" t="s">
        <v>1334</v>
      </c>
      <c r="E3482" t="s">
        <v>1335</v>
      </c>
      <c r="F3482" t="s">
        <v>1446</v>
      </c>
      <c r="G3482">
        <v>16</v>
      </c>
      <c r="H3482">
        <v>21</v>
      </c>
      <c r="I3482">
        <v>0</v>
      </c>
      <c r="J3482" t="s">
        <v>34</v>
      </c>
      <c r="K3482" t="s">
        <v>1104</v>
      </c>
      <c r="S3482" t="s">
        <v>83</v>
      </c>
      <c r="T3482">
        <f>IF(TRIM(Table1[[#This Row],[PitStopLaps]])="",0,
LEN(Table1[[#This Row],[PitStopLaps]])-LEN(SUBSTITUTE(Table1[[#This Row],[PitStopLaps]],",",""))+1)</f>
        <v>0</v>
      </c>
      <c r="U3482">
        <f>Table1[[#This Row],[StartPosition]]-Table1[[#This Row],[FinishPosition]]</f>
        <v>-5</v>
      </c>
    </row>
    <row r="3483" spans="1:21" x14ac:dyDescent="0.3">
      <c r="A3483">
        <v>2026</v>
      </c>
      <c r="B3483">
        <v>2</v>
      </c>
      <c r="C3483" t="s">
        <v>100</v>
      </c>
      <c r="D3483" t="s">
        <v>248</v>
      </c>
      <c r="E3483" t="s">
        <v>249</v>
      </c>
      <c r="F3483" t="s">
        <v>60</v>
      </c>
      <c r="G3483">
        <v>22</v>
      </c>
      <c r="H3483">
        <v>22</v>
      </c>
      <c r="I3483">
        <v>0</v>
      </c>
      <c r="J3483" t="s">
        <v>34</v>
      </c>
      <c r="K3483" t="s">
        <v>1104</v>
      </c>
      <c r="S3483" t="s">
        <v>83</v>
      </c>
      <c r="T3483">
        <f>IF(TRIM(Table1[[#This Row],[PitStopLaps]])="",0,
LEN(Table1[[#This Row],[PitStopLaps]])-LEN(SUBSTITUTE(Table1[[#This Row],[PitStopLaps]],",",""))+1)</f>
        <v>0</v>
      </c>
      <c r="U3483">
        <f>Table1[[#This Row],[StartPosition]]-Table1[[#This Row],[FinishPosition]]</f>
        <v>0</v>
      </c>
    </row>
    <row r="3484" spans="1:21" x14ac:dyDescent="0.3">
      <c r="A3484">
        <v>2026</v>
      </c>
      <c r="B3484">
        <v>3</v>
      </c>
      <c r="C3484" t="s">
        <v>208</v>
      </c>
      <c r="D3484" t="s">
        <v>1339</v>
      </c>
      <c r="E3484" t="s">
        <v>1325</v>
      </c>
      <c r="F3484" t="s">
        <v>28</v>
      </c>
      <c r="G3484">
        <v>1</v>
      </c>
      <c r="H3484">
        <v>1</v>
      </c>
      <c r="I3484">
        <v>25</v>
      </c>
      <c r="J3484" t="s">
        <v>23</v>
      </c>
      <c r="K3484" t="s">
        <v>24</v>
      </c>
      <c r="L3484">
        <v>53</v>
      </c>
      <c r="M3484">
        <v>92.432000000000002</v>
      </c>
      <c r="N3484">
        <v>93.874977999999999</v>
      </c>
      <c r="O3484">
        <v>33.661999999999999</v>
      </c>
      <c r="P3484">
        <v>40.985999999999997</v>
      </c>
      <c r="Q3484">
        <v>17.695</v>
      </c>
      <c r="R3484">
        <v>22</v>
      </c>
      <c r="S3484" t="s">
        <v>83</v>
      </c>
      <c r="T3484">
        <f>IF(TRIM(Table1[[#This Row],[PitStopLaps]])="",0,
LEN(Table1[[#This Row],[PitStopLaps]])-LEN(SUBSTITUTE(Table1[[#This Row],[PitStopLaps]],",",""))+1)</f>
        <v>1</v>
      </c>
      <c r="U3484">
        <f>Table1[[#This Row],[StartPosition]]-Table1[[#This Row],[FinishPosition]]</f>
        <v>0</v>
      </c>
    </row>
    <row r="3485" spans="1:21" x14ac:dyDescent="0.3">
      <c r="A3485">
        <v>2026</v>
      </c>
      <c r="B3485">
        <v>3</v>
      </c>
      <c r="C3485" t="s">
        <v>208</v>
      </c>
      <c r="D3485" t="s">
        <v>1000</v>
      </c>
      <c r="E3485" t="s">
        <v>1001</v>
      </c>
      <c r="F3485" t="s">
        <v>37</v>
      </c>
      <c r="G3485">
        <v>3</v>
      </c>
      <c r="H3485">
        <v>2</v>
      </c>
      <c r="I3485">
        <v>18</v>
      </c>
      <c r="J3485" t="s">
        <v>23</v>
      </c>
      <c r="K3485" t="s">
        <v>24</v>
      </c>
      <c r="L3485">
        <v>53</v>
      </c>
      <c r="M3485">
        <v>92.995999999999995</v>
      </c>
      <c r="N3485">
        <v>94.113135999999997</v>
      </c>
      <c r="O3485">
        <v>33.887</v>
      </c>
      <c r="P3485">
        <v>41.213999999999999</v>
      </c>
      <c r="Q3485">
        <v>17.843</v>
      </c>
      <c r="R3485">
        <v>18</v>
      </c>
      <c r="S3485" t="s">
        <v>83</v>
      </c>
      <c r="T3485">
        <f>IF(TRIM(Table1[[#This Row],[PitStopLaps]])="",0,
LEN(Table1[[#This Row],[PitStopLaps]])-LEN(SUBSTITUTE(Table1[[#This Row],[PitStopLaps]],",",""))+1)</f>
        <v>1</v>
      </c>
      <c r="U3485">
        <f>Table1[[#This Row],[StartPosition]]-Table1[[#This Row],[FinishPosition]]</f>
        <v>1</v>
      </c>
    </row>
    <row r="3486" spans="1:21" x14ac:dyDescent="0.3">
      <c r="A3486">
        <v>2026</v>
      </c>
      <c r="B3486">
        <v>3</v>
      </c>
      <c r="C3486" t="s">
        <v>208</v>
      </c>
      <c r="D3486" t="s">
        <v>54</v>
      </c>
      <c r="E3486" t="s">
        <v>55</v>
      </c>
      <c r="F3486" t="s">
        <v>22</v>
      </c>
      <c r="G3486">
        <v>4</v>
      </c>
      <c r="H3486">
        <v>3</v>
      </c>
      <c r="I3486">
        <v>15</v>
      </c>
      <c r="J3486" t="s">
        <v>23</v>
      </c>
      <c r="K3486" t="s">
        <v>24</v>
      </c>
      <c r="L3486">
        <v>53</v>
      </c>
      <c r="M3486">
        <v>92.634</v>
      </c>
      <c r="N3486">
        <v>94.199180999999996</v>
      </c>
      <c r="O3486">
        <v>33.676000000000002</v>
      </c>
      <c r="P3486">
        <v>40.918999999999997</v>
      </c>
      <c r="Q3486">
        <v>17.8</v>
      </c>
      <c r="R3486">
        <v>17</v>
      </c>
      <c r="S3486" t="s">
        <v>83</v>
      </c>
      <c r="T3486">
        <f>IF(TRIM(Table1[[#This Row],[PitStopLaps]])="",0,
LEN(Table1[[#This Row],[PitStopLaps]])-LEN(SUBSTITUTE(Table1[[#This Row],[PitStopLaps]],",",""))+1)</f>
        <v>1</v>
      </c>
      <c r="U3486">
        <f>Table1[[#This Row],[StartPosition]]-Table1[[#This Row],[FinishPosition]]</f>
        <v>1</v>
      </c>
    </row>
    <row r="3487" spans="1:21" x14ac:dyDescent="0.3">
      <c r="A3487">
        <v>2026</v>
      </c>
      <c r="B3487">
        <v>3</v>
      </c>
      <c r="C3487" t="s">
        <v>208</v>
      </c>
      <c r="D3487" t="s">
        <v>252</v>
      </c>
      <c r="E3487" t="s">
        <v>253</v>
      </c>
      <c r="F3487" t="s">
        <v>28</v>
      </c>
      <c r="G3487">
        <v>2</v>
      </c>
      <c r="H3487">
        <v>4</v>
      </c>
      <c r="I3487">
        <v>12</v>
      </c>
      <c r="J3487" t="s">
        <v>34</v>
      </c>
      <c r="K3487" t="s">
        <v>24</v>
      </c>
      <c r="L3487">
        <v>53</v>
      </c>
      <c r="M3487">
        <v>92.549000000000007</v>
      </c>
      <c r="N3487">
        <v>94.162844000000007</v>
      </c>
      <c r="O3487">
        <v>33.743000000000002</v>
      </c>
      <c r="P3487">
        <v>41.039000000000001</v>
      </c>
      <c r="Q3487">
        <v>17.577999999999999</v>
      </c>
      <c r="R3487">
        <v>21</v>
      </c>
      <c r="S3487" t="s">
        <v>83</v>
      </c>
      <c r="T3487">
        <f>IF(TRIM(Table1[[#This Row],[PitStopLaps]])="",0,
LEN(Table1[[#This Row],[PitStopLaps]])-LEN(SUBSTITUTE(Table1[[#This Row],[PitStopLaps]],",",""))+1)</f>
        <v>1</v>
      </c>
      <c r="U3487">
        <f>Table1[[#This Row],[StartPosition]]-Table1[[#This Row],[FinishPosition]]</f>
        <v>-2</v>
      </c>
    </row>
    <row r="3488" spans="1:21" x14ac:dyDescent="0.3">
      <c r="A3488">
        <v>2026</v>
      </c>
      <c r="B3488">
        <v>3</v>
      </c>
      <c r="C3488" t="s">
        <v>208</v>
      </c>
      <c r="D3488" t="s">
        <v>246</v>
      </c>
      <c r="E3488" t="s">
        <v>247</v>
      </c>
      <c r="F3488" t="s">
        <v>37</v>
      </c>
      <c r="G3488">
        <v>5</v>
      </c>
      <c r="H3488">
        <v>5</v>
      </c>
      <c r="I3488">
        <v>10</v>
      </c>
      <c r="J3488" t="s">
        <v>34</v>
      </c>
      <c r="K3488" t="s">
        <v>24</v>
      </c>
      <c r="L3488">
        <v>53</v>
      </c>
      <c r="M3488">
        <v>93.207999999999998</v>
      </c>
      <c r="N3488">
        <v>94.353886000000003</v>
      </c>
      <c r="O3488">
        <v>33.929000000000002</v>
      </c>
      <c r="P3488">
        <v>41.280999999999999</v>
      </c>
      <c r="Q3488">
        <v>17.739000000000001</v>
      </c>
      <c r="R3488">
        <v>16</v>
      </c>
      <c r="S3488" t="s">
        <v>83</v>
      </c>
      <c r="T3488">
        <f>IF(TRIM(Table1[[#This Row],[PitStopLaps]])="",0,
LEN(Table1[[#This Row],[PitStopLaps]])-LEN(SUBSTITUTE(Table1[[#This Row],[PitStopLaps]],",",""))+1)</f>
        <v>1</v>
      </c>
      <c r="U3488">
        <f>Table1[[#This Row],[StartPosition]]-Table1[[#This Row],[FinishPosition]]</f>
        <v>0</v>
      </c>
    </row>
    <row r="3489" spans="1:21" x14ac:dyDescent="0.3">
      <c r="A3489">
        <v>2026</v>
      </c>
      <c r="B3489">
        <v>3</v>
      </c>
      <c r="C3489" t="s">
        <v>208</v>
      </c>
      <c r="D3489" t="s">
        <v>26</v>
      </c>
      <c r="E3489" t="s">
        <v>27</v>
      </c>
      <c r="F3489" t="s">
        <v>22</v>
      </c>
      <c r="G3489">
        <v>6</v>
      </c>
      <c r="H3489">
        <v>6</v>
      </c>
      <c r="I3489">
        <v>8</v>
      </c>
      <c r="J3489" t="s">
        <v>34</v>
      </c>
      <c r="K3489" t="s">
        <v>24</v>
      </c>
      <c r="L3489">
        <v>53</v>
      </c>
      <c r="M3489">
        <v>92.777000000000001</v>
      </c>
      <c r="N3489">
        <v>94.507803999999993</v>
      </c>
      <c r="O3489">
        <v>33.962000000000003</v>
      </c>
      <c r="P3489">
        <v>41.107999999999997</v>
      </c>
      <c r="Q3489">
        <v>17.707000000000001</v>
      </c>
      <c r="R3489">
        <v>22</v>
      </c>
      <c r="S3489" t="s">
        <v>83</v>
      </c>
      <c r="T3489">
        <f>IF(TRIM(Table1[[#This Row],[PitStopLaps]])="",0,
LEN(Table1[[#This Row],[PitStopLaps]])-LEN(SUBSTITUTE(Table1[[#This Row],[PitStopLaps]],",",""))+1)</f>
        <v>1</v>
      </c>
      <c r="U3489">
        <f>Table1[[#This Row],[StartPosition]]-Table1[[#This Row],[FinishPosition]]</f>
        <v>0</v>
      </c>
    </row>
    <row r="3490" spans="1:21" x14ac:dyDescent="0.3">
      <c r="A3490">
        <v>2026</v>
      </c>
      <c r="B3490">
        <v>3</v>
      </c>
      <c r="C3490" t="s">
        <v>208</v>
      </c>
      <c r="D3490" t="s">
        <v>73</v>
      </c>
      <c r="E3490" t="s">
        <v>74</v>
      </c>
      <c r="F3490" t="s">
        <v>607</v>
      </c>
      <c r="G3490">
        <v>7</v>
      </c>
      <c r="H3490">
        <v>7</v>
      </c>
      <c r="I3490">
        <v>6</v>
      </c>
      <c r="J3490" t="s">
        <v>34</v>
      </c>
      <c r="K3490" t="s">
        <v>24</v>
      </c>
      <c r="L3490">
        <v>53</v>
      </c>
      <c r="M3490">
        <v>93.691000000000003</v>
      </c>
      <c r="N3490">
        <v>94.845868999999993</v>
      </c>
      <c r="O3490">
        <v>34.194000000000003</v>
      </c>
      <c r="P3490">
        <v>41.432000000000002</v>
      </c>
      <c r="Q3490">
        <v>17.867999999999999</v>
      </c>
      <c r="R3490">
        <v>22</v>
      </c>
      <c r="S3490" t="s">
        <v>83</v>
      </c>
      <c r="T3490">
        <f>IF(TRIM(Table1[[#This Row],[PitStopLaps]])="",0,
LEN(Table1[[#This Row],[PitStopLaps]])-LEN(SUBSTITUTE(Table1[[#This Row],[PitStopLaps]],",",""))+1)</f>
        <v>1</v>
      </c>
      <c r="U3490">
        <f>Table1[[#This Row],[StartPosition]]-Table1[[#This Row],[FinishPosition]]</f>
        <v>0</v>
      </c>
    </row>
    <row r="3491" spans="1:21" x14ac:dyDescent="0.3">
      <c r="A3491">
        <v>2026</v>
      </c>
      <c r="B3491">
        <v>3</v>
      </c>
      <c r="C3491" t="s">
        <v>208</v>
      </c>
      <c r="D3491" t="s">
        <v>38</v>
      </c>
      <c r="E3491" t="s">
        <v>39</v>
      </c>
      <c r="F3491" t="s">
        <v>33</v>
      </c>
      <c r="G3491">
        <v>11</v>
      </c>
      <c r="H3491">
        <v>8</v>
      </c>
      <c r="I3491">
        <v>4</v>
      </c>
      <c r="J3491" t="s">
        <v>34</v>
      </c>
      <c r="K3491" t="s">
        <v>24</v>
      </c>
      <c r="L3491">
        <v>53</v>
      </c>
      <c r="M3491">
        <v>93.552000000000007</v>
      </c>
      <c r="N3491">
        <v>94.890217000000007</v>
      </c>
      <c r="O3491">
        <v>34.036999999999999</v>
      </c>
      <c r="P3491">
        <v>41.453000000000003</v>
      </c>
      <c r="Q3491">
        <v>17.817</v>
      </c>
      <c r="R3491">
        <v>22</v>
      </c>
      <c r="S3491" t="s">
        <v>83</v>
      </c>
      <c r="T3491">
        <f>IF(TRIM(Table1[[#This Row],[PitStopLaps]])="",0,
LEN(Table1[[#This Row],[PitStopLaps]])-LEN(SUBSTITUTE(Table1[[#This Row],[PitStopLaps]],",",""))+1)</f>
        <v>1</v>
      </c>
      <c r="U3491">
        <f>Table1[[#This Row],[StartPosition]]-Table1[[#This Row],[FinishPosition]]</f>
        <v>3</v>
      </c>
    </row>
    <row r="3492" spans="1:21" x14ac:dyDescent="0.3">
      <c r="A3492">
        <v>2026</v>
      </c>
      <c r="B3492">
        <v>3</v>
      </c>
      <c r="C3492" t="s">
        <v>208</v>
      </c>
      <c r="D3492" t="s">
        <v>1092</v>
      </c>
      <c r="E3492" t="s">
        <v>1093</v>
      </c>
      <c r="F3492" t="s">
        <v>1330</v>
      </c>
      <c r="G3492">
        <v>14</v>
      </c>
      <c r="H3492">
        <v>9</v>
      </c>
      <c r="I3492">
        <v>2</v>
      </c>
      <c r="J3492" t="s">
        <v>34</v>
      </c>
      <c r="K3492" t="s">
        <v>24</v>
      </c>
      <c r="L3492">
        <v>53</v>
      </c>
      <c r="M3492">
        <v>94.23</v>
      </c>
      <c r="N3492">
        <v>95.597999999999999</v>
      </c>
      <c r="O3492">
        <v>34.591999999999999</v>
      </c>
      <c r="P3492">
        <v>41.545000000000002</v>
      </c>
      <c r="Q3492">
        <v>17.838000000000001</v>
      </c>
      <c r="R3492">
        <v>22</v>
      </c>
      <c r="S3492" t="s">
        <v>83</v>
      </c>
      <c r="T3492">
        <f>IF(TRIM(Table1[[#This Row],[PitStopLaps]])="",0,
LEN(Table1[[#This Row],[PitStopLaps]])-LEN(SUBSTITUTE(Table1[[#This Row],[PitStopLaps]],",",""))+1)</f>
        <v>1</v>
      </c>
      <c r="U3492">
        <f>Table1[[#This Row],[StartPosition]]-Table1[[#This Row],[FinishPosition]]</f>
        <v>5</v>
      </c>
    </row>
    <row r="3493" spans="1:21" x14ac:dyDescent="0.3">
      <c r="A3493">
        <v>2026</v>
      </c>
      <c r="B3493">
        <v>3</v>
      </c>
      <c r="C3493" t="s">
        <v>208</v>
      </c>
      <c r="D3493" t="s">
        <v>52</v>
      </c>
      <c r="E3493" t="s">
        <v>53</v>
      </c>
      <c r="F3493" t="s">
        <v>69</v>
      </c>
      <c r="G3493">
        <v>12</v>
      </c>
      <c r="H3493">
        <v>10</v>
      </c>
      <c r="I3493">
        <v>1</v>
      </c>
      <c r="J3493" t="s">
        <v>34</v>
      </c>
      <c r="K3493" t="s">
        <v>24</v>
      </c>
      <c r="L3493">
        <v>53</v>
      </c>
      <c r="M3493">
        <v>94.256</v>
      </c>
      <c r="N3493">
        <v>95.468324999999993</v>
      </c>
      <c r="O3493">
        <v>34.723999999999997</v>
      </c>
      <c r="P3493">
        <v>41.451999999999998</v>
      </c>
      <c r="Q3493">
        <v>17.809000000000001</v>
      </c>
      <c r="R3493">
        <v>19</v>
      </c>
      <c r="S3493" t="s">
        <v>83</v>
      </c>
      <c r="T3493">
        <f>IF(TRIM(Table1[[#This Row],[PitStopLaps]])="",0,
LEN(Table1[[#This Row],[PitStopLaps]])-LEN(SUBSTITUTE(Table1[[#This Row],[PitStopLaps]],",",""))+1)</f>
        <v>1</v>
      </c>
      <c r="U3493">
        <f>Table1[[#This Row],[StartPosition]]-Table1[[#This Row],[FinishPosition]]</f>
        <v>2</v>
      </c>
    </row>
    <row r="3494" spans="1:21" x14ac:dyDescent="0.3">
      <c r="A3494">
        <v>2026</v>
      </c>
      <c r="B3494">
        <v>3</v>
      </c>
      <c r="C3494" t="s">
        <v>208</v>
      </c>
      <c r="D3494" t="s">
        <v>40</v>
      </c>
      <c r="E3494" t="s">
        <v>41</v>
      </c>
      <c r="F3494" t="s">
        <v>1446</v>
      </c>
      <c r="G3494">
        <v>13</v>
      </c>
      <c r="H3494">
        <v>11</v>
      </c>
      <c r="I3494">
        <v>0</v>
      </c>
      <c r="J3494" t="s">
        <v>34</v>
      </c>
      <c r="K3494" t="s">
        <v>24</v>
      </c>
      <c r="L3494">
        <v>53</v>
      </c>
      <c r="M3494">
        <v>93.731999999999999</v>
      </c>
      <c r="N3494">
        <v>95.592564999999993</v>
      </c>
      <c r="O3494">
        <v>33.840000000000003</v>
      </c>
      <c r="P3494">
        <v>41.508000000000003</v>
      </c>
      <c r="Q3494">
        <v>17.678000000000001</v>
      </c>
      <c r="R3494">
        <v>23</v>
      </c>
      <c r="S3494" t="s">
        <v>83</v>
      </c>
      <c r="T3494">
        <f>IF(TRIM(Table1[[#This Row],[PitStopLaps]])="",0,
LEN(Table1[[#This Row],[PitStopLaps]])-LEN(SUBSTITUTE(Table1[[#This Row],[PitStopLaps]],",",""))+1)</f>
        <v>1</v>
      </c>
      <c r="U3494">
        <f>Table1[[#This Row],[StartPosition]]-Table1[[#This Row],[FinishPosition]]</f>
        <v>2</v>
      </c>
    </row>
    <row r="3495" spans="1:21" x14ac:dyDescent="0.3">
      <c r="A3495">
        <v>2026</v>
      </c>
      <c r="B3495">
        <v>3</v>
      </c>
      <c r="C3495" t="s">
        <v>208</v>
      </c>
      <c r="D3495" t="s">
        <v>1337</v>
      </c>
      <c r="E3495" t="s">
        <v>1338</v>
      </c>
      <c r="F3495" t="s">
        <v>33</v>
      </c>
      <c r="G3495">
        <v>8</v>
      </c>
      <c r="H3495">
        <v>12</v>
      </c>
      <c r="I3495">
        <v>0</v>
      </c>
      <c r="J3495" t="s">
        <v>34</v>
      </c>
      <c r="K3495" t="s">
        <v>24</v>
      </c>
      <c r="L3495">
        <v>53</v>
      </c>
      <c r="M3495">
        <v>93.837000000000003</v>
      </c>
      <c r="N3495">
        <v>95.687465000000003</v>
      </c>
      <c r="O3495">
        <v>34.064</v>
      </c>
      <c r="P3495">
        <v>41.713000000000001</v>
      </c>
      <c r="Q3495">
        <v>17.617000000000001</v>
      </c>
      <c r="R3495">
        <v>19</v>
      </c>
      <c r="S3495" t="s">
        <v>83</v>
      </c>
      <c r="T3495">
        <f>IF(TRIM(Table1[[#This Row],[PitStopLaps]])="",0,
LEN(Table1[[#This Row],[PitStopLaps]])-LEN(SUBSTITUTE(Table1[[#This Row],[PitStopLaps]],",",""))+1)</f>
        <v>1</v>
      </c>
      <c r="U3495">
        <f>Table1[[#This Row],[StartPosition]]-Table1[[#This Row],[FinishPosition]]</f>
        <v>-4</v>
      </c>
    </row>
    <row r="3496" spans="1:21" x14ac:dyDescent="0.3">
      <c r="A3496">
        <v>2026</v>
      </c>
      <c r="B3496">
        <v>3</v>
      </c>
      <c r="C3496" t="s">
        <v>208</v>
      </c>
      <c r="D3496" t="s">
        <v>1334</v>
      </c>
      <c r="E3496" t="s">
        <v>1335</v>
      </c>
      <c r="F3496" t="s">
        <v>1446</v>
      </c>
      <c r="G3496">
        <v>9</v>
      </c>
      <c r="H3496">
        <v>13</v>
      </c>
      <c r="I3496">
        <v>0</v>
      </c>
      <c r="J3496" t="s">
        <v>34</v>
      </c>
      <c r="K3496" t="s">
        <v>24</v>
      </c>
      <c r="L3496">
        <v>53</v>
      </c>
      <c r="M3496">
        <v>94.164000000000001</v>
      </c>
      <c r="N3496">
        <v>95.822608000000002</v>
      </c>
      <c r="O3496">
        <v>34.497</v>
      </c>
      <c r="P3496">
        <v>41.723999999999997</v>
      </c>
      <c r="Q3496">
        <v>17.777999999999999</v>
      </c>
      <c r="R3496">
        <v>22</v>
      </c>
      <c r="S3496" t="s">
        <v>83</v>
      </c>
      <c r="T3496">
        <f>IF(TRIM(Table1[[#This Row],[PitStopLaps]])="",0,
LEN(Table1[[#This Row],[PitStopLaps]])-LEN(SUBSTITUTE(Table1[[#This Row],[PitStopLaps]],",",""))+1)</f>
        <v>1</v>
      </c>
      <c r="U3496">
        <f>Table1[[#This Row],[StartPosition]]-Table1[[#This Row],[FinishPosition]]</f>
        <v>-4</v>
      </c>
    </row>
    <row r="3497" spans="1:21" x14ac:dyDescent="0.3">
      <c r="A3497">
        <v>2026</v>
      </c>
      <c r="B3497">
        <v>3</v>
      </c>
      <c r="C3497" t="s">
        <v>208</v>
      </c>
      <c r="D3497" t="s">
        <v>1444</v>
      </c>
      <c r="E3497" t="s">
        <v>1445</v>
      </c>
      <c r="F3497" t="s">
        <v>1330</v>
      </c>
      <c r="G3497">
        <v>10</v>
      </c>
      <c r="H3497">
        <v>14</v>
      </c>
      <c r="I3497">
        <v>0</v>
      </c>
      <c r="J3497" t="s">
        <v>34</v>
      </c>
      <c r="K3497" t="s">
        <v>24</v>
      </c>
      <c r="L3497">
        <v>53</v>
      </c>
      <c r="M3497">
        <v>94.313999999999993</v>
      </c>
      <c r="N3497">
        <v>95.714674000000002</v>
      </c>
      <c r="O3497">
        <v>34.81</v>
      </c>
      <c r="P3497">
        <v>41.569000000000003</v>
      </c>
      <c r="Q3497">
        <v>17.798999999999999</v>
      </c>
      <c r="R3497">
        <v>18</v>
      </c>
      <c r="S3497" t="s">
        <v>83</v>
      </c>
      <c r="T3497">
        <f>IF(TRIM(Table1[[#This Row],[PitStopLaps]])="",0,
LEN(Table1[[#This Row],[PitStopLaps]])-LEN(SUBSTITUTE(Table1[[#This Row],[PitStopLaps]],",",""))+1)</f>
        <v>1</v>
      </c>
      <c r="U3497">
        <f>Table1[[#This Row],[StartPosition]]-Table1[[#This Row],[FinishPosition]]</f>
        <v>-4</v>
      </c>
    </row>
    <row r="3498" spans="1:21" x14ac:dyDescent="0.3">
      <c r="A3498">
        <v>2026</v>
      </c>
      <c r="B3498">
        <v>3</v>
      </c>
      <c r="C3498" t="s">
        <v>208</v>
      </c>
      <c r="D3498" t="s">
        <v>47</v>
      </c>
      <c r="E3498" t="s">
        <v>48</v>
      </c>
      <c r="F3498" t="s">
        <v>60</v>
      </c>
      <c r="G3498">
        <v>16</v>
      </c>
      <c r="H3498">
        <v>15</v>
      </c>
      <c r="I3498">
        <v>0</v>
      </c>
      <c r="J3498" t="s">
        <v>34</v>
      </c>
      <c r="K3498" t="s">
        <v>24</v>
      </c>
      <c r="L3498">
        <v>53</v>
      </c>
      <c r="M3498">
        <v>94.513999999999996</v>
      </c>
      <c r="N3498">
        <v>96.019478000000007</v>
      </c>
      <c r="O3498">
        <v>34.85</v>
      </c>
      <c r="P3498">
        <v>41.652000000000001</v>
      </c>
      <c r="Q3498">
        <v>17.904</v>
      </c>
      <c r="R3498">
        <v>22</v>
      </c>
      <c r="S3498" t="s">
        <v>83</v>
      </c>
      <c r="T3498">
        <f>IF(TRIM(Table1[[#This Row],[PitStopLaps]])="",0,
LEN(Table1[[#This Row],[PitStopLaps]])-LEN(SUBSTITUTE(Table1[[#This Row],[PitStopLaps]],",",""))+1)</f>
        <v>1</v>
      </c>
      <c r="U3498">
        <f>Table1[[#This Row],[StartPosition]]-Table1[[#This Row],[FinishPosition]]</f>
        <v>1</v>
      </c>
    </row>
    <row r="3499" spans="1:21" x14ac:dyDescent="0.3">
      <c r="A3499">
        <v>2026</v>
      </c>
      <c r="B3499">
        <v>3</v>
      </c>
      <c r="C3499" t="s">
        <v>208</v>
      </c>
      <c r="D3499" t="s">
        <v>1283</v>
      </c>
      <c r="E3499" t="s">
        <v>1284</v>
      </c>
      <c r="F3499" t="s">
        <v>607</v>
      </c>
      <c r="G3499">
        <v>15</v>
      </c>
      <c r="H3499">
        <v>16</v>
      </c>
      <c r="I3499">
        <v>0</v>
      </c>
      <c r="J3499" t="s">
        <v>34</v>
      </c>
      <c r="K3499" t="s">
        <v>24</v>
      </c>
      <c r="L3499">
        <v>53</v>
      </c>
      <c r="M3499">
        <v>94.512</v>
      </c>
      <c r="N3499">
        <v>95.839208999999997</v>
      </c>
      <c r="O3499">
        <v>34.734999999999999</v>
      </c>
      <c r="P3499">
        <v>41.850999999999999</v>
      </c>
      <c r="Q3499">
        <v>17.738</v>
      </c>
      <c r="R3499">
        <v>17</v>
      </c>
      <c r="S3499" t="s">
        <v>83</v>
      </c>
      <c r="T3499">
        <f>IF(TRIM(Table1[[#This Row],[PitStopLaps]])="",0,
LEN(Table1[[#This Row],[PitStopLaps]])-LEN(SUBSTITUTE(Table1[[#This Row],[PitStopLaps]],",",""))+1)</f>
        <v>1</v>
      </c>
      <c r="U3499">
        <f>Table1[[#This Row],[StartPosition]]-Table1[[#This Row],[FinishPosition]]</f>
        <v>-1</v>
      </c>
    </row>
    <row r="3500" spans="1:21" x14ac:dyDescent="0.3">
      <c r="A3500">
        <v>2026</v>
      </c>
      <c r="B3500">
        <v>3</v>
      </c>
      <c r="C3500" t="s">
        <v>208</v>
      </c>
      <c r="D3500" t="s">
        <v>49</v>
      </c>
      <c r="E3500" t="s">
        <v>50</v>
      </c>
      <c r="F3500" t="s">
        <v>1449</v>
      </c>
      <c r="G3500">
        <v>19</v>
      </c>
      <c r="H3500">
        <v>17</v>
      </c>
      <c r="I3500">
        <v>0</v>
      </c>
      <c r="J3500" t="s">
        <v>34</v>
      </c>
      <c r="K3500" t="s">
        <v>24</v>
      </c>
      <c r="L3500">
        <v>53</v>
      </c>
      <c r="M3500">
        <v>95.637</v>
      </c>
      <c r="N3500">
        <v>97.018332999999998</v>
      </c>
      <c r="O3500">
        <v>35.067</v>
      </c>
      <c r="P3500">
        <v>42.094999999999999</v>
      </c>
      <c r="Q3500">
        <v>18.216999999999999</v>
      </c>
      <c r="R3500">
        <v>21</v>
      </c>
      <c r="S3500" t="s">
        <v>83</v>
      </c>
      <c r="T3500">
        <f>IF(TRIM(Table1[[#This Row],[PitStopLaps]])="",0,
LEN(Table1[[#This Row],[PitStopLaps]])-LEN(SUBSTITUTE(Table1[[#This Row],[PitStopLaps]],",",""))+1)</f>
        <v>1</v>
      </c>
      <c r="U3500">
        <f>Table1[[#This Row],[StartPosition]]-Table1[[#This Row],[FinishPosition]]</f>
        <v>2</v>
      </c>
    </row>
    <row r="3501" spans="1:21" x14ac:dyDescent="0.3">
      <c r="A3501">
        <v>2026</v>
      </c>
      <c r="B3501">
        <v>3</v>
      </c>
      <c r="C3501" t="s">
        <v>208</v>
      </c>
      <c r="D3501" t="s">
        <v>35</v>
      </c>
      <c r="E3501" t="s">
        <v>36</v>
      </c>
      <c r="F3501" t="s">
        <v>603</v>
      </c>
      <c r="G3501">
        <v>21</v>
      </c>
      <c r="H3501">
        <v>18</v>
      </c>
      <c r="I3501">
        <v>0</v>
      </c>
      <c r="J3501" t="s">
        <v>34</v>
      </c>
      <c r="K3501" t="s">
        <v>994</v>
      </c>
      <c r="L3501">
        <v>52</v>
      </c>
      <c r="M3501">
        <v>96.221000000000004</v>
      </c>
      <c r="N3501">
        <v>97.868295000000003</v>
      </c>
      <c r="O3501">
        <v>35.249000000000002</v>
      </c>
      <c r="P3501">
        <v>42.453000000000003</v>
      </c>
      <c r="Q3501">
        <v>18.273</v>
      </c>
      <c r="R3501" t="s">
        <v>1454</v>
      </c>
      <c r="S3501" t="s">
        <v>83</v>
      </c>
      <c r="T3501">
        <f>IF(TRIM(Table1[[#This Row],[PitStopLaps]])="",0,
LEN(Table1[[#This Row],[PitStopLaps]])-LEN(SUBSTITUTE(Table1[[#This Row],[PitStopLaps]],",",""))+1)</f>
        <v>2</v>
      </c>
      <c r="U3501">
        <f>Table1[[#This Row],[StartPosition]]-Table1[[#This Row],[FinishPosition]]</f>
        <v>3</v>
      </c>
    </row>
    <row r="3502" spans="1:21" x14ac:dyDescent="0.3">
      <c r="A3502">
        <v>2026</v>
      </c>
      <c r="B3502">
        <v>3</v>
      </c>
      <c r="C3502" t="s">
        <v>208</v>
      </c>
      <c r="D3502" t="s">
        <v>43</v>
      </c>
      <c r="E3502" t="s">
        <v>44</v>
      </c>
      <c r="F3502" t="s">
        <v>1449</v>
      </c>
      <c r="G3502">
        <v>20</v>
      </c>
      <c r="H3502">
        <v>19</v>
      </c>
      <c r="I3502">
        <v>0</v>
      </c>
      <c r="J3502" t="s">
        <v>34</v>
      </c>
      <c r="K3502" t="s">
        <v>994</v>
      </c>
      <c r="L3502">
        <v>52</v>
      </c>
      <c r="M3502">
        <v>96.269000000000005</v>
      </c>
      <c r="N3502">
        <v>98.117833000000005</v>
      </c>
      <c r="O3502">
        <v>35.552999999999997</v>
      </c>
      <c r="P3502">
        <v>42.27</v>
      </c>
      <c r="Q3502">
        <v>18.175000000000001</v>
      </c>
      <c r="R3502">
        <v>19</v>
      </c>
      <c r="S3502" t="s">
        <v>83</v>
      </c>
      <c r="T3502">
        <f>IF(TRIM(Table1[[#This Row],[PitStopLaps]])="",0,
LEN(Table1[[#This Row],[PitStopLaps]])-LEN(SUBSTITUTE(Table1[[#This Row],[PitStopLaps]],",",""))+1)</f>
        <v>1</v>
      </c>
      <c r="U3502">
        <f>Table1[[#This Row],[StartPosition]]-Table1[[#This Row],[FinishPosition]]</f>
        <v>1</v>
      </c>
    </row>
    <row r="3503" spans="1:21" x14ac:dyDescent="0.3">
      <c r="A3503">
        <v>2026</v>
      </c>
      <c r="B3503">
        <v>3</v>
      </c>
      <c r="C3503" t="s">
        <v>208</v>
      </c>
      <c r="D3503" t="s">
        <v>248</v>
      </c>
      <c r="E3503" t="s">
        <v>249</v>
      </c>
      <c r="F3503" t="s">
        <v>60</v>
      </c>
      <c r="G3503">
        <v>17</v>
      </c>
      <c r="H3503">
        <v>20</v>
      </c>
      <c r="I3503">
        <v>0</v>
      </c>
      <c r="J3503" t="s">
        <v>34</v>
      </c>
      <c r="K3503" t="s">
        <v>994</v>
      </c>
      <c r="L3503">
        <v>51</v>
      </c>
      <c r="M3503">
        <v>93.427000000000007</v>
      </c>
      <c r="N3503">
        <v>96.316867999999999</v>
      </c>
      <c r="O3503">
        <v>34.368000000000002</v>
      </c>
      <c r="P3503">
        <v>41.228000000000002</v>
      </c>
      <c r="Q3503">
        <v>17.831</v>
      </c>
      <c r="R3503" t="s">
        <v>1455</v>
      </c>
      <c r="S3503" t="s">
        <v>83</v>
      </c>
      <c r="T3503">
        <f>IF(TRIM(Table1[[#This Row],[PitStopLaps]])="",0,
LEN(Table1[[#This Row],[PitStopLaps]])-LEN(SUBSTITUTE(Table1[[#This Row],[PitStopLaps]],",",""))+1)</f>
        <v>6</v>
      </c>
      <c r="U3503">
        <f>Table1[[#This Row],[StartPosition]]-Table1[[#This Row],[FinishPosition]]</f>
        <v>-3</v>
      </c>
    </row>
    <row r="3504" spans="1:21" x14ac:dyDescent="0.3">
      <c r="A3504">
        <v>2026</v>
      </c>
      <c r="B3504">
        <v>3</v>
      </c>
      <c r="C3504" t="s">
        <v>208</v>
      </c>
      <c r="D3504" t="s">
        <v>58</v>
      </c>
      <c r="E3504" t="s">
        <v>59</v>
      </c>
      <c r="F3504" t="s">
        <v>603</v>
      </c>
      <c r="G3504">
        <v>22</v>
      </c>
      <c r="H3504">
        <v>21</v>
      </c>
      <c r="I3504">
        <v>0</v>
      </c>
      <c r="J3504" t="s">
        <v>34</v>
      </c>
      <c r="K3504" t="s">
        <v>179</v>
      </c>
      <c r="L3504">
        <v>30</v>
      </c>
      <c r="M3504">
        <v>97.216999999999999</v>
      </c>
      <c r="N3504">
        <v>98.285666000000006</v>
      </c>
      <c r="O3504">
        <v>35.578000000000003</v>
      </c>
      <c r="P3504">
        <v>42.878999999999998</v>
      </c>
      <c r="Q3504">
        <v>18.356999999999999</v>
      </c>
      <c r="R3504" t="s">
        <v>1456</v>
      </c>
      <c r="S3504" t="s">
        <v>83</v>
      </c>
      <c r="T3504">
        <f>IF(TRIM(Table1[[#This Row],[PitStopLaps]])="",0,
LEN(Table1[[#This Row],[PitStopLaps]])-LEN(SUBSTITUTE(Table1[[#This Row],[PitStopLaps]],",",""))+1)</f>
        <v>3</v>
      </c>
      <c r="U3504">
        <f>Table1[[#This Row],[StartPosition]]-Table1[[#This Row],[FinishPosition]]</f>
        <v>1</v>
      </c>
    </row>
    <row r="3505" spans="1:21" x14ac:dyDescent="0.3">
      <c r="A3505">
        <v>2026</v>
      </c>
      <c r="B3505">
        <v>3</v>
      </c>
      <c r="C3505" t="s">
        <v>208</v>
      </c>
      <c r="D3505" t="s">
        <v>1180</v>
      </c>
      <c r="E3505" t="s">
        <v>1181</v>
      </c>
      <c r="F3505" t="s">
        <v>69</v>
      </c>
      <c r="G3505">
        <v>18</v>
      </c>
      <c r="H3505">
        <v>22</v>
      </c>
      <c r="I3505">
        <v>0</v>
      </c>
      <c r="J3505" t="s">
        <v>34</v>
      </c>
      <c r="K3505" t="s">
        <v>179</v>
      </c>
      <c r="L3505">
        <v>21</v>
      </c>
      <c r="M3505">
        <v>95.603999999999999</v>
      </c>
      <c r="N3505">
        <v>96.689941000000005</v>
      </c>
      <c r="O3505">
        <v>35.006</v>
      </c>
      <c r="P3505">
        <v>42.252000000000002</v>
      </c>
      <c r="Q3505">
        <v>18.041</v>
      </c>
      <c r="R3505">
        <v>16</v>
      </c>
      <c r="S3505" t="s">
        <v>83</v>
      </c>
      <c r="T3505">
        <f>IF(TRIM(Table1[[#This Row],[PitStopLaps]])="",0,
LEN(Table1[[#This Row],[PitStopLaps]])-LEN(SUBSTITUTE(Table1[[#This Row],[PitStopLaps]],",",""))+1)</f>
        <v>1</v>
      </c>
      <c r="U3505">
        <f>Table1[[#This Row],[StartPosition]]-Table1[[#This Row],[FinishPosition]]</f>
        <v>-4</v>
      </c>
    </row>
    <row r="3506" spans="1:21" x14ac:dyDescent="0.3">
      <c r="A3506">
        <v>2026</v>
      </c>
      <c r="B3506">
        <v>4</v>
      </c>
      <c r="C3506" t="s">
        <v>819</v>
      </c>
      <c r="D3506" t="s">
        <v>1339</v>
      </c>
      <c r="E3506" t="s">
        <v>1325</v>
      </c>
      <c r="F3506" t="s">
        <v>28</v>
      </c>
      <c r="G3506">
        <v>1</v>
      </c>
      <c r="H3506">
        <v>1</v>
      </c>
      <c r="I3506">
        <v>25</v>
      </c>
      <c r="J3506" t="s">
        <v>23</v>
      </c>
      <c r="K3506" t="s">
        <v>24</v>
      </c>
      <c r="L3506">
        <v>57</v>
      </c>
      <c r="M3506">
        <v>91.968000000000004</v>
      </c>
      <c r="N3506">
        <v>92.703500000000005</v>
      </c>
      <c r="O3506">
        <v>31.959</v>
      </c>
      <c r="P3506">
        <v>33.975000000000001</v>
      </c>
      <c r="Q3506">
        <v>25.347000000000001</v>
      </c>
      <c r="R3506">
        <v>26</v>
      </c>
      <c r="S3506" t="s">
        <v>25</v>
      </c>
      <c r="T3506">
        <f>IF(TRIM(Table1[[#This Row],[PitStopLaps]])="",0,
LEN(Table1[[#This Row],[PitStopLaps]])-LEN(SUBSTITUTE(Table1[[#This Row],[PitStopLaps]],",",""))+1)</f>
        <v>1</v>
      </c>
      <c r="U3506">
        <f>Table1[[#This Row],[StartPosition]]-Table1[[#This Row],[FinishPosition]]</f>
        <v>0</v>
      </c>
    </row>
    <row r="3507" spans="1:21" x14ac:dyDescent="0.3">
      <c r="A3507">
        <v>2026</v>
      </c>
      <c r="B3507">
        <v>4</v>
      </c>
      <c r="C3507" t="s">
        <v>819</v>
      </c>
      <c r="D3507" t="s">
        <v>246</v>
      </c>
      <c r="E3507" t="s">
        <v>247</v>
      </c>
      <c r="F3507" t="s">
        <v>37</v>
      </c>
      <c r="G3507">
        <v>4</v>
      </c>
      <c r="H3507">
        <v>2</v>
      </c>
      <c r="I3507">
        <v>18</v>
      </c>
      <c r="J3507" t="s">
        <v>23</v>
      </c>
      <c r="K3507" t="s">
        <v>24</v>
      </c>
      <c r="L3507">
        <v>57</v>
      </c>
      <c r="M3507">
        <v>91.869</v>
      </c>
      <c r="N3507">
        <v>92.720229000000003</v>
      </c>
      <c r="O3507">
        <v>31.893000000000001</v>
      </c>
      <c r="P3507">
        <v>34.432000000000002</v>
      </c>
      <c r="Q3507">
        <v>25.175999999999998</v>
      </c>
      <c r="R3507">
        <v>27</v>
      </c>
      <c r="S3507" t="s">
        <v>25</v>
      </c>
      <c r="T3507">
        <f>IF(TRIM(Table1[[#This Row],[PitStopLaps]])="",0,
LEN(Table1[[#This Row],[PitStopLaps]])-LEN(SUBSTITUTE(Table1[[#This Row],[PitStopLaps]],",",""))+1)</f>
        <v>1</v>
      </c>
      <c r="U3507">
        <f>Table1[[#This Row],[StartPosition]]-Table1[[#This Row],[FinishPosition]]</f>
        <v>2</v>
      </c>
    </row>
    <row r="3508" spans="1:21" x14ac:dyDescent="0.3">
      <c r="A3508">
        <v>2026</v>
      </c>
      <c r="B3508">
        <v>4</v>
      </c>
      <c r="C3508" t="s">
        <v>819</v>
      </c>
      <c r="D3508" t="s">
        <v>1000</v>
      </c>
      <c r="E3508" t="s">
        <v>1001</v>
      </c>
      <c r="F3508" t="s">
        <v>37</v>
      </c>
      <c r="G3508">
        <v>7</v>
      </c>
      <c r="H3508">
        <v>3</v>
      </c>
      <c r="I3508">
        <v>15</v>
      </c>
      <c r="J3508" t="s">
        <v>23</v>
      </c>
      <c r="K3508" t="s">
        <v>24</v>
      </c>
      <c r="L3508">
        <v>57</v>
      </c>
      <c r="M3508">
        <v>91.948999999999998</v>
      </c>
      <c r="N3508">
        <v>93.208540999999997</v>
      </c>
      <c r="O3508">
        <v>31.898</v>
      </c>
      <c r="P3508">
        <v>34.518999999999998</v>
      </c>
      <c r="Q3508">
        <v>25.332999999999998</v>
      </c>
      <c r="R3508">
        <v>28</v>
      </c>
      <c r="S3508" t="s">
        <v>25</v>
      </c>
      <c r="T3508">
        <f>IF(TRIM(Table1[[#This Row],[PitStopLaps]])="",0,
LEN(Table1[[#This Row],[PitStopLaps]])-LEN(SUBSTITUTE(Table1[[#This Row],[PitStopLaps]],",",""))+1)</f>
        <v>1</v>
      </c>
      <c r="U3508">
        <f>Table1[[#This Row],[StartPosition]]-Table1[[#This Row],[FinishPosition]]</f>
        <v>4</v>
      </c>
    </row>
    <row r="3509" spans="1:21" x14ac:dyDescent="0.3">
      <c r="A3509">
        <v>2026</v>
      </c>
      <c r="B3509">
        <v>4</v>
      </c>
      <c r="C3509" t="s">
        <v>819</v>
      </c>
      <c r="D3509" t="s">
        <v>252</v>
      </c>
      <c r="E3509" t="s">
        <v>253</v>
      </c>
      <c r="F3509" t="s">
        <v>28</v>
      </c>
      <c r="G3509">
        <v>5</v>
      </c>
      <c r="H3509">
        <v>4</v>
      </c>
      <c r="I3509">
        <v>12</v>
      </c>
      <c r="J3509" t="s">
        <v>34</v>
      </c>
      <c r="K3509" t="s">
        <v>24</v>
      </c>
      <c r="L3509">
        <v>57</v>
      </c>
      <c r="M3509">
        <v>92.445999999999998</v>
      </c>
      <c r="N3509">
        <v>93.558769999999996</v>
      </c>
      <c r="O3509">
        <v>32.127000000000002</v>
      </c>
      <c r="P3509">
        <v>34.454999999999998</v>
      </c>
      <c r="Q3509">
        <v>25.428999999999998</v>
      </c>
      <c r="R3509">
        <v>20</v>
      </c>
      <c r="S3509" t="s">
        <v>25</v>
      </c>
      <c r="T3509">
        <f>IF(TRIM(Table1[[#This Row],[PitStopLaps]])="",0,
LEN(Table1[[#This Row],[PitStopLaps]])-LEN(SUBSTITUTE(Table1[[#This Row],[PitStopLaps]],",",""))+1)</f>
        <v>1</v>
      </c>
      <c r="U3509">
        <f>Table1[[#This Row],[StartPosition]]-Table1[[#This Row],[FinishPosition]]</f>
        <v>1</v>
      </c>
    </row>
    <row r="3510" spans="1:21" x14ac:dyDescent="0.3">
      <c r="A3510">
        <v>2026</v>
      </c>
      <c r="B3510">
        <v>4</v>
      </c>
      <c r="C3510" t="s">
        <v>819</v>
      </c>
      <c r="D3510" t="s">
        <v>38</v>
      </c>
      <c r="E3510" t="s">
        <v>39</v>
      </c>
      <c r="F3510" t="s">
        <v>33</v>
      </c>
      <c r="G3510">
        <v>2</v>
      </c>
      <c r="H3510">
        <v>5</v>
      </c>
      <c r="I3510">
        <v>10</v>
      </c>
      <c r="J3510" t="s">
        <v>34</v>
      </c>
      <c r="K3510" t="s">
        <v>24</v>
      </c>
      <c r="L3510">
        <v>57</v>
      </c>
      <c r="M3510">
        <v>93.11</v>
      </c>
      <c r="N3510">
        <v>93.811440000000005</v>
      </c>
      <c r="O3510">
        <v>32.274999999999999</v>
      </c>
      <c r="P3510">
        <v>34.738</v>
      </c>
      <c r="Q3510">
        <v>25.46</v>
      </c>
      <c r="R3510">
        <v>6</v>
      </c>
      <c r="S3510" t="s">
        <v>25</v>
      </c>
      <c r="T3510">
        <f>IF(TRIM(Table1[[#This Row],[PitStopLaps]])="",0,
LEN(Table1[[#This Row],[PitStopLaps]])-LEN(SUBSTITUTE(Table1[[#This Row],[PitStopLaps]],",",""))+1)</f>
        <v>1</v>
      </c>
      <c r="U3510">
        <f>Table1[[#This Row],[StartPosition]]-Table1[[#This Row],[FinishPosition]]</f>
        <v>-3</v>
      </c>
    </row>
    <row r="3511" spans="1:21" x14ac:dyDescent="0.3">
      <c r="A3511">
        <v>2026</v>
      </c>
      <c r="B3511">
        <v>4</v>
      </c>
      <c r="C3511" t="s">
        <v>819</v>
      </c>
      <c r="D3511" t="s">
        <v>26</v>
      </c>
      <c r="E3511" t="s">
        <v>27</v>
      </c>
      <c r="F3511" t="s">
        <v>22</v>
      </c>
      <c r="G3511">
        <v>6</v>
      </c>
      <c r="H3511">
        <v>6</v>
      </c>
      <c r="I3511">
        <v>8</v>
      </c>
      <c r="J3511" t="s">
        <v>34</v>
      </c>
      <c r="K3511" t="s">
        <v>24</v>
      </c>
      <c r="L3511">
        <v>57</v>
      </c>
      <c r="M3511">
        <v>92.676000000000002</v>
      </c>
      <c r="N3511">
        <v>93.740937000000002</v>
      </c>
      <c r="O3511">
        <v>32.276000000000003</v>
      </c>
      <c r="P3511">
        <v>34.768999999999998</v>
      </c>
      <c r="Q3511">
        <v>25.379000000000001</v>
      </c>
      <c r="R3511">
        <v>27</v>
      </c>
      <c r="S3511" t="s">
        <v>25</v>
      </c>
      <c r="T3511">
        <f>IF(TRIM(Table1[[#This Row],[PitStopLaps]])="",0,
LEN(Table1[[#This Row],[PitStopLaps]])-LEN(SUBSTITUTE(Table1[[#This Row],[PitStopLaps]],",",""))+1)</f>
        <v>1</v>
      </c>
      <c r="U3511">
        <f>Table1[[#This Row],[StartPosition]]-Table1[[#This Row],[FinishPosition]]</f>
        <v>0</v>
      </c>
    </row>
    <row r="3512" spans="1:21" x14ac:dyDescent="0.3">
      <c r="A3512">
        <v>2026</v>
      </c>
      <c r="B3512">
        <v>4</v>
      </c>
      <c r="C3512" t="s">
        <v>819</v>
      </c>
      <c r="D3512" t="s">
        <v>1283</v>
      </c>
      <c r="E3512" t="s">
        <v>1284</v>
      </c>
      <c r="F3512" t="s">
        <v>607</v>
      </c>
      <c r="G3512">
        <v>8</v>
      </c>
      <c r="H3512">
        <v>7</v>
      </c>
      <c r="I3512">
        <v>6</v>
      </c>
      <c r="J3512" t="s">
        <v>34</v>
      </c>
      <c r="K3512" t="s">
        <v>24</v>
      </c>
      <c r="L3512">
        <v>57</v>
      </c>
      <c r="M3512">
        <v>93.034999999999997</v>
      </c>
      <c r="N3512">
        <v>93.924082999999996</v>
      </c>
      <c r="O3512">
        <v>32.271000000000001</v>
      </c>
      <c r="P3512">
        <v>34.848999999999997</v>
      </c>
      <c r="Q3512">
        <v>25.446000000000002</v>
      </c>
      <c r="R3512">
        <v>31</v>
      </c>
      <c r="S3512" t="s">
        <v>25</v>
      </c>
      <c r="T3512">
        <f>IF(TRIM(Table1[[#This Row],[PitStopLaps]])="",0,
LEN(Table1[[#This Row],[PitStopLaps]])-LEN(SUBSTITUTE(Table1[[#This Row],[PitStopLaps]],",",""))+1)</f>
        <v>1</v>
      </c>
      <c r="U3512">
        <f>Table1[[#This Row],[StartPosition]]-Table1[[#This Row],[FinishPosition]]</f>
        <v>1</v>
      </c>
    </row>
    <row r="3513" spans="1:21" x14ac:dyDescent="0.3">
      <c r="A3513">
        <v>2026</v>
      </c>
      <c r="B3513">
        <v>4</v>
      </c>
      <c r="C3513" t="s">
        <v>819</v>
      </c>
      <c r="D3513" t="s">
        <v>54</v>
      </c>
      <c r="E3513" t="s">
        <v>55</v>
      </c>
      <c r="F3513" t="s">
        <v>22</v>
      </c>
      <c r="G3513">
        <v>3</v>
      </c>
      <c r="H3513">
        <v>8</v>
      </c>
      <c r="I3513">
        <v>4</v>
      </c>
      <c r="J3513" t="s">
        <v>34</v>
      </c>
      <c r="K3513" t="s">
        <v>24</v>
      </c>
      <c r="L3513">
        <v>57</v>
      </c>
      <c r="M3513">
        <v>92.515000000000001</v>
      </c>
      <c r="N3513">
        <v>93.573353999999995</v>
      </c>
      <c r="O3513">
        <v>32.061999999999998</v>
      </c>
      <c r="P3513">
        <v>34.271000000000001</v>
      </c>
      <c r="Q3513">
        <v>25.356999999999999</v>
      </c>
      <c r="R3513">
        <v>21</v>
      </c>
      <c r="S3513" t="s">
        <v>25</v>
      </c>
      <c r="T3513">
        <f>IF(TRIM(Table1[[#This Row],[PitStopLaps]])="",0,
LEN(Table1[[#This Row],[PitStopLaps]])-LEN(SUBSTITUTE(Table1[[#This Row],[PitStopLaps]],",",""))+1)</f>
        <v>1</v>
      </c>
      <c r="U3513">
        <f>Table1[[#This Row],[StartPosition]]-Table1[[#This Row],[FinishPosition]]</f>
        <v>-5</v>
      </c>
    </row>
    <row r="3514" spans="1:21" x14ac:dyDescent="0.3">
      <c r="A3514">
        <v>2026</v>
      </c>
      <c r="B3514">
        <v>4</v>
      </c>
      <c r="C3514" t="s">
        <v>819</v>
      </c>
      <c r="D3514" t="s">
        <v>47</v>
      </c>
      <c r="E3514" t="s">
        <v>48</v>
      </c>
      <c r="F3514" t="s">
        <v>60</v>
      </c>
      <c r="G3514">
        <v>13</v>
      </c>
      <c r="H3514">
        <v>9</v>
      </c>
      <c r="I3514">
        <v>2</v>
      </c>
      <c r="J3514" t="s">
        <v>34</v>
      </c>
      <c r="K3514" t="s">
        <v>24</v>
      </c>
      <c r="L3514">
        <v>57</v>
      </c>
      <c r="M3514">
        <v>93.025999999999996</v>
      </c>
      <c r="N3514">
        <v>94.425854000000001</v>
      </c>
      <c r="O3514">
        <v>32.706000000000003</v>
      </c>
      <c r="P3514">
        <v>34.713000000000001</v>
      </c>
      <c r="Q3514">
        <v>25.606999999999999</v>
      </c>
      <c r="R3514">
        <v>28</v>
      </c>
      <c r="S3514" t="s">
        <v>25</v>
      </c>
      <c r="T3514">
        <f>IF(TRIM(Table1[[#This Row],[PitStopLaps]])="",0,
LEN(Table1[[#This Row],[PitStopLaps]])-LEN(SUBSTITUTE(Table1[[#This Row],[PitStopLaps]],",",""))+1)</f>
        <v>1</v>
      </c>
      <c r="U3514">
        <f>Table1[[#This Row],[StartPosition]]-Table1[[#This Row],[FinishPosition]]</f>
        <v>4</v>
      </c>
    </row>
    <row r="3515" spans="1:21" x14ac:dyDescent="0.3">
      <c r="A3515">
        <v>2026</v>
      </c>
      <c r="B3515">
        <v>4</v>
      </c>
      <c r="C3515" t="s">
        <v>819</v>
      </c>
      <c r="D3515" t="s">
        <v>248</v>
      </c>
      <c r="E3515" t="s">
        <v>249</v>
      </c>
      <c r="F3515" t="s">
        <v>60</v>
      </c>
      <c r="G3515">
        <v>15</v>
      </c>
      <c r="H3515">
        <v>10</v>
      </c>
      <c r="I3515">
        <v>1</v>
      </c>
      <c r="J3515" t="s">
        <v>34</v>
      </c>
      <c r="K3515" t="s">
        <v>24</v>
      </c>
      <c r="L3515">
        <v>57</v>
      </c>
      <c r="M3515">
        <v>93.784000000000006</v>
      </c>
      <c r="N3515">
        <v>94.602500000000006</v>
      </c>
      <c r="O3515">
        <v>33.002000000000002</v>
      </c>
      <c r="P3515">
        <v>34.81</v>
      </c>
      <c r="Q3515">
        <v>25.693000000000001</v>
      </c>
      <c r="R3515">
        <v>27</v>
      </c>
      <c r="S3515" t="s">
        <v>25</v>
      </c>
      <c r="T3515">
        <f>IF(TRIM(Table1[[#This Row],[PitStopLaps]])="",0,
LEN(Table1[[#This Row],[PitStopLaps]])-LEN(SUBSTITUTE(Table1[[#This Row],[PitStopLaps]],",",""))+1)</f>
        <v>1</v>
      </c>
      <c r="U3515">
        <f>Table1[[#This Row],[StartPosition]]-Table1[[#This Row],[FinishPosition]]</f>
        <v>5</v>
      </c>
    </row>
    <row r="3516" spans="1:21" x14ac:dyDescent="0.3">
      <c r="A3516">
        <v>2026</v>
      </c>
      <c r="B3516">
        <v>4</v>
      </c>
      <c r="C3516" t="s">
        <v>819</v>
      </c>
      <c r="D3516" t="s">
        <v>1180</v>
      </c>
      <c r="E3516" t="s">
        <v>1181</v>
      </c>
      <c r="F3516" t="s">
        <v>69</v>
      </c>
      <c r="G3516">
        <v>12</v>
      </c>
      <c r="H3516">
        <v>11</v>
      </c>
      <c r="I3516">
        <v>0</v>
      </c>
      <c r="J3516" t="s">
        <v>34</v>
      </c>
      <c r="K3516" t="s">
        <v>994</v>
      </c>
      <c r="L3516">
        <v>56</v>
      </c>
      <c r="M3516">
        <v>93.744</v>
      </c>
      <c r="N3516">
        <v>94.815467999999996</v>
      </c>
      <c r="O3516">
        <v>32.942999999999998</v>
      </c>
      <c r="P3516">
        <v>34.875</v>
      </c>
      <c r="Q3516">
        <v>25.690999999999999</v>
      </c>
      <c r="R3516">
        <v>26</v>
      </c>
      <c r="S3516" t="s">
        <v>25</v>
      </c>
      <c r="T3516">
        <f>IF(TRIM(Table1[[#This Row],[PitStopLaps]])="",0,
LEN(Table1[[#This Row],[PitStopLaps]])-LEN(SUBSTITUTE(Table1[[#This Row],[PitStopLaps]],",",""))+1)</f>
        <v>1</v>
      </c>
      <c r="U3516">
        <f>Table1[[#This Row],[StartPosition]]-Table1[[#This Row],[FinishPosition]]</f>
        <v>1</v>
      </c>
    </row>
    <row r="3517" spans="1:21" x14ac:dyDescent="0.3">
      <c r="A3517">
        <v>2026</v>
      </c>
      <c r="B3517">
        <v>4</v>
      </c>
      <c r="C3517" t="s">
        <v>819</v>
      </c>
      <c r="D3517" t="s">
        <v>1334</v>
      </c>
      <c r="E3517" t="s">
        <v>1335</v>
      </c>
      <c r="F3517" t="s">
        <v>1446</v>
      </c>
      <c r="G3517">
        <v>21</v>
      </c>
      <c r="H3517">
        <v>12</v>
      </c>
      <c r="I3517">
        <v>0</v>
      </c>
      <c r="J3517" t="s">
        <v>34</v>
      </c>
      <c r="K3517" t="s">
        <v>994</v>
      </c>
      <c r="L3517">
        <v>56</v>
      </c>
      <c r="M3517">
        <v>93.5</v>
      </c>
      <c r="N3517">
        <v>94.845326</v>
      </c>
      <c r="O3517">
        <v>32.445</v>
      </c>
      <c r="P3517">
        <v>35.061</v>
      </c>
      <c r="Q3517">
        <v>25.677</v>
      </c>
      <c r="R3517">
        <v>32</v>
      </c>
      <c r="S3517" t="s">
        <v>25</v>
      </c>
      <c r="T3517">
        <f>IF(TRIM(Table1[[#This Row],[PitStopLaps]])="",0,
LEN(Table1[[#This Row],[PitStopLaps]])-LEN(SUBSTITUTE(Table1[[#This Row],[PitStopLaps]],",",""))+1)</f>
        <v>1</v>
      </c>
      <c r="U3517">
        <f>Table1[[#This Row],[StartPosition]]-Table1[[#This Row],[FinishPosition]]</f>
        <v>9</v>
      </c>
    </row>
    <row r="3518" spans="1:21" x14ac:dyDescent="0.3">
      <c r="A3518">
        <v>2026</v>
      </c>
      <c r="B3518">
        <v>4</v>
      </c>
      <c r="C3518" t="s">
        <v>819</v>
      </c>
      <c r="D3518" t="s">
        <v>52</v>
      </c>
      <c r="E3518" t="s">
        <v>53</v>
      </c>
      <c r="F3518" t="s">
        <v>69</v>
      </c>
      <c r="G3518">
        <v>14</v>
      </c>
      <c r="H3518">
        <v>13</v>
      </c>
      <c r="I3518">
        <v>0</v>
      </c>
      <c r="J3518" t="s">
        <v>34</v>
      </c>
      <c r="K3518" t="s">
        <v>994</v>
      </c>
      <c r="L3518">
        <v>56</v>
      </c>
      <c r="M3518">
        <v>93.712000000000003</v>
      </c>
      <c r="N3518">
        <v>94.945381999999995</v>
      </c>
      <c r="O3518">
        <v>32.71</v>
      </c>
      <c r="P3518">
        <v>35.082999999999998</v>
      </c>
      <c r="Q3518">
        <v>25.687999999999999</v>
      </c>
      <c r="R3518">
        <v>31</v>
      </c>
      <c r="S3518" t="s">
        <v>25</v>
      </c>
      <c r="T3518">
        <f>IF(TRIM(Table1[[#This Row],[PitStopLaps]])="",0,
LEN(Table1[[#This Row],[PitStopLaps]])-LEN(SUBSTITUTE(Table1[[#This Row],[PitStopLaps]],",",""))+1)</f>
        <v>1</v>
      </c>
      <c r="U3518">
        <f>Table1[[#This Row],[StartPosition]]-Table1[[#This Row],[FinishPosition]]</f>
        <v>1</v>
      </c>
    </row>
    <row r="3519" spans="1:21" x14ac:dyDescent="0.3">
      <c r="A3519">
        <v>2026</v>
      </c>
      <c r="B3519">
        <v>4</v>
      </c>
      <c r="C3519" t="s">
        <v>819</v>
      </c>
      <c r="D3519" t="s">
        <v>1444</v>
      </c>
      <c r="E3519" t="s">
        <v>1445</v>
      </c>
      <c r="F3519" t="s">
        <v>1330</v>
      </c>
      <c r="G3519">
        <v>16</v>
      </c>
      <c r="H3519">
        <v>14</v>
      </c>
      <c r="I3519">
        <v>0</v>
      </c>
      <c r="J3519" t="s">
        <v>34</v>
      </c>
      <c r="K3519" t="s">
        <v>994</v>
      </c>
      <c r="L3519">
        <v>56</v>
      </c>
      <c r="M3519">
        <v>94.058000000000007</v>
      </c>
      <c r="N3519">
        <v>95.602130000000002</v>
      </c>
      <c r="O3519">
        <v>32.710999999999999</v>
      </c>
      <c r="P3519">
        <v>35.165999999999997</v>
      </c>
      <c r="Q3519">
        <v>25.763000000000002</v>
      </c>
      <c r="R3519">
        <v>28</v>
      </c>
      <c r="S3519" t="s">
        <v>25</v>
      </c>
      <c r="T3519">
        <f>IF(TRIM(Table1[[#This Row],[PitStopLaps]])="",0,
LEN(Table1[[#This Row],[PitStopLaps]])-LEN(SUBSTITUTE(Table1[[#This Row],[PitStopLaps]],",",""))+1)</f>
        <v>1</v>
      </c>
      <c r="U3519">
        <f>Table1[[#This Row],[StartPosition]]-Table1[[#This Row],[FinishPosition]]</f>
        <v>2</v>
      </c>
    </row>
    <row r="3520" spans="1:21" x14ac:dyDescent="0.3">
      <c r="A3520">
        <v>2026</v>
      </c>
      <c r="B3520">
        <v>4</v>
      </c>
      <c r="C3520" t="s">
        <v>819</v>
      </c>
      <c r="D3520" t="s">
        <v>35</v>
      </c>
      <c r="E3520" t="s">
        <v>36</v>
      </c>
      <c r="F3520" t="s">
        <v>603</v>
      </c>
      <c r="G3520">
        <v>17</v>
      </c>
      <c r="H3520">
        <v>15</v>
      </c>
      <c r="I3520">
        <v>0</v>
      </c>
      <c r="J3520" t="s">
        <v>34</v>
      </c>
      <c r="K3520" t="s">
        <v>994</v>
      </c>
      <c r="L3520">
        <v>56</v>
      </c>
      <c r="M3520">
        <v>93.512</v>
      </c>
      <c r="N3520">
        <v>96.201065</v>
      </c>
      <c r="O3520">
        <v>32.731000000000002</v>
      </c>
      <c r="P3520">
        <v>35.079000000000001</v>
      </c>
      <c r="Q3520">
        <v>25.7</v>
      </c>
      <c r="R3520">
        <v>41</v>
      </c>
      <c r="S3520" t="s">
        <v>25</v>
      </c>
      <c r="T3520">
        <f>IF(TRIM(Table1[[#This Row],[PitStopLaps]])="",0,
LEN(Table1[[#This Row],[PitStopLaps]])-LEN(SUBSTITUTE(Table1[[#This Row],[PitStopLaps]],",",""))+1)</f>
        <v>1</v>
      </c>
      <c r="U3520">
        <f>Table1[[#This Row],[StartPosition]]-Table1[[#This Row],[FinishPosition]]</f>
        <v>2</v>
      </c>
    </row>
    <row r="3521" spans="1:21" x14ac:dyDescent="0.3">
      <c r="A3521">
        <v>2026</v>
      </c>
      <c r="B3521">
        <v>4</v>
      </c>
      <c r="C3521" t="s">
        <v>819</v>
      </c>
      <c r="D3521" t="s">
        <v>49</v>
      </c>
      <c r="E3521" t="s">
        <v>50</v>
      </c>
      <c r="F3521" t="s">
        <v>1449</v>
      </c>
      <c r="G3521">
        <v>20</v>
      </c>
      <c r="H3521">
        <v>16</v>
      </c>
      <c r="I3521">
        <v>0</v>
      </c>
      <c r="J3521" t="s">
        <v>34</v>
      </c>
      <c r="K3521" t="s">
        <v>994</v>
      </c>
      <c r="L3521">
        <v>56</v>
      </c>
      <c r="M3521">
        <v>94.894999999999996</v>
      </c>
      <c r="N3521">
        <v>96.286500000000004</v>
      </c>
      <c r="O3521">
        <v>32.994999999999997</v>
      </c>
      <c r="P3521">
        <v>35.585000000000001</v>
      </c>
      <c r="Q3521">
        <v>25.923999999999999</v>
      </c>
      <c r="R3521">
        <v>29</v>
      </c>
      <c r="S3521" t="s">
        <v>25</v>
      </c>
      <c r="T3521">
        <f>IF(TRIM(Table1[[#This Row],[PitStopLaps]])="",0,
LEN(Table1[[#This Row],[PitStopLaps]])-LEN(SUBSTITUTE(Table1[[#This Row],[PitStopLaps]],",",""))+1)</f>
        <v>1</v>
      </c>
      <c r="U3521">
        <f>Table1[[#This Row],[StartPosition]]-Table1[[#This Row],[FinishPosition]]</f>
        <v>4</v>
      </c>
    </row>
    <row r="3522" spans="1:21" x14ac:dyDescent="0.3">
      <c r="A3522">
        <v>2026</v>
      </c>
      <c r="B3522">
        <v>4</v>
      </c>
      <c r="C3522" t="s">
        <v>819</v>
      </c>
      <c r="D3522" t="s">
        <v>58</v>
      </c>
      <c r="E3522" t="s">
        <v>59</v>
      </c>
      <c r="F3522" t="s">
        <v>603</v>
      </c>
      <c r="G3522">
        <v>18</v>
      </c>
      <c r="H3522">
        <v>17</v>
      </c>
      <c r="I3522">
        <v>0</v>
      </c>
      <c r="J3522" t="s">
        <v>34</v>
      </c>
      <c r="K3522" t="s">
        <v>994</v>
      </c>
      <c r="L3522">
        <v>56</v>
      </c>
      <c r="M3522">
        <v>94.715999999999994</v>
      </c>
      <c r="N3522">
        <v>95.974045000000004</v>
      </c>
      <c r="O3522">
        <v>32.820999999999998</v>
      </c>
      <c r="P3522">
        <v>35.444000000000003</v>
      </c>
      <c r="Q3522">
        <v>25.649000000000001</v>
      </c>
      <c r="R3522" t="s">
        <v>1457</v>
      </c>
      <c r="S3522" t="s">
        <v>25</v>
      </c>
      <c r="T3522">
        <f>IF(TRIM(Table1[[#This Row],[PitStopLaps]])="",0,
LEN(Table1[[#This Row],[PitStopLaps]])-LEN(SUBSTITUTE(Table1[[#This Row],[PitStopLaps]],",",""))+1)</f>
        <v>2</v>
      </c>
      <c r="U3522">
        <f>Table1[[#This Row],[StartPosition]]-Table1[[#This Row],[FinishPosition]]</f>
        <v>1</v>
      </c>
    </row>
    <row r="3523" spans="1:21" x14ac:dyDescent="0.3">
      <c r="A3523">
        <v>2026</v>
      </c>
      <c r="B3523">
        <v>4</v>
      </c>
      <c r="C3523" t="s">
        <v>819</v>
      </c>
      <c r="D3523" t="s">
        <v>43</v>
      </c>
      <c r="E3523" t="s">
        <v>44</v>
      </c>
      <c r="F3523" t="s">
        <v>1449</v>
      </c>
      <c r="G3523">
        <v>19</v>
      </c>
      <c r="H3523">
        <v>18</v>
      </c>
      <c r="I3523">
        <v>0</v>
      </c>
      <c r="J3523" t="s">
        <v>34</v>
      </c>
      <c r="K3523" t="s">
        <v>994</v>
      </c>
      <c r="L3523">
        <v>55</v>
      </c>
      <c r="M3523">
        <v>96.08</v>
      </c>
      <c r="N3523">
        <v>97.758651</v>
      </c>
      <c r="O3523">
        <v>33.354999999999997</v>
      </c>
      <c r="P3523">
        <v>35.872999999999998</v>
      </c>
      <c r="Q3523">
        <v>25.89</v>
      </c>
      <c r="R3523" t="s">
        <v>1458</v>
      </c>
      <c r="S3523" t="s">
        <v>25</v>
      </c>
      <c r="T3523">
        <f>IF(TRIM(Table1[[#This Row],[PitStopLaps]])="",0,
LEN(Table1[[#This Row],[PitStopLaps]])-LEN(SUBSTITUTE(Table1[[#This Row],[PitStopLaps]],",",""))+1)</f>
        <v>3</v>
      </c>
      <c r="U3523">
        <f>Table1[[#This Row],[StartPosition]]-Table1[[#This Row],[FinishPosition]]</f>
        <v>1</v>
      </c>
    </row>
    <row r="3524" spans="1:21" x14ac:dyDescent="0.3">
      <c r="A3524">
        <v>2026</v>
      </c>
      <c r="B3524">
        <v>4</v>
      </c>
      <c r="C3524" t="s">
        <v>819</v>
      </c>
      <c r="D3524" t="s">
        <v>40</v>
      </c>
      <c r="E3524" t="s">
        <v>41</v>
      </c>
      <c r="F3524" t="s">
        <v>1446</v>
      </c>
      <c r="G3524">
        <v>10</v>
      </c>
      <c r="H3524">
        <v>19</v>
      </c>
      <c r="I3524">
        <v>0</v>
      </c>
      <c r="J3524" t="s">
        <v>34</v>
      </c>
      <c r="K3524" t="s">
        <v>179</v>
      </c>
      <c r="L3524">
        <v>7</v>
      </c>
      <c r="M3524">
        <v>94.522999999999996</v>
      </c>
      <c r="N3524">
        <v>94.726500000000001</v>
      </c>
      <c r="O3524">
        <v>33.228000000000002</v>
      </c>
      <c r="P3524">
        <v>34.896999999999998</v>
      </c>
      <c r="Q3524">
        <v>26.398</v>
      </c>
      <c r="R3524" t="s">
        <v>1459</v>
      </c>
      <c r="S3524" t="s">
        <v>25</v>
      </c>
      <c r="T3524">
        <f>IF(TRIM(Table1[[#This Row],[PitStopLaps]])="",0,
LEN(Table1[[#This Row],[PitStopLaps]])-LEN(SUBSTITUTE(Table1[[#This Row],[PitStopLaps]],",",""))+1)</f>
        <v>2</v>
      </c>
      <c r="U3524">
        <f>Table1[[#This Row],[StartPosition]]-Table1[[#This Row],[FinishPosition]]</f>
        <v>-9</v>
      </c>
    </row>
    <row r="3525" spans="1:21" x14ac:dyDescent="0.3">
      <c r="A3525">
        <v>2026</v>
      </c>
      <c r="B3525">
        <v>4</v>
      </c>
      <c r="C3525" t="s">
        <v>819</v>
      </c>
      <c r="D3525" t="s">
        <v>1092</v>
      </c>
      <c r="E3525" t="s">
        <v>1093</v>
      </c>
      <c r="F3525" t="s">
        <v>1330</v>
      </c>
      <c r="G3525">
        <v>11</v>
      </c>
      <c r="H3525">
        <v>20</v>
      </c>
      <c r="I3525">
        <v>0</v>
      </c>
      <c r="J3525" t="s">
        <v>34</v>
      </c>
      <c r="K3525" t="s">
        <v>179</v>
      </c>
      <c r="L3525">
        <v>6</v>
      </c>
      <c r="M3525">
        <v>94.813999999999993</v>
      </c>
      <c r="N3525">
        <v>95.692333000000005</v>
      </c>
      <c r="O3525">
        <v>33.414999999999999</v>
      </c>
      <c r="P3525">
        <v>35.146999999999998</v>
      </c>
      <c r="Q3525">
        <v>26.23</v>
      </c>
      <c r="R3525">
        <v>6</v>
      </c>
      <c r="S3525" t="s">
        <v>25</v>
      </c>
      <c r="T3525">
        <f>IF(TRIM(Table1[[#This Row],[PitStopLaps]])="",0,
LEN(Table1[[#This Row],[PitStopLaps]])-LEN(SUBSTITUTE(Table1[[#This Row],[PitStopLaps]],",",""))+1)</f>
        <v>1</v>
      </c>
      <c r="U3525">
        <f>Table1[[#This Row],[StartPosition]]-Table1[[#This Row],[FinishPosition]]</f>
        <v>-9</v>
      </c>
    </row>
    <row r="3526" spans="1:21" x14ac:dyDescent="0.3">
      <c r="A3526">
        <v>2026</v>
      </c>
      <c r="B3526">
        <v>4</v>
      </c>
      <c r="C3526" t="s">
        <v>819</v>
      </c>
      <c r="D3526" t="s">
        <v>73</v>
      </c>
      <c r="E3526" t="s">
        <v>74</v>
      </c>
      <c r="F3526" t="s">
        <v>607</v>
      </c>
      <c r="G3526">
        <v>9</v>
      </c>
      <c r="H3526">
        <v>21</v>
      </c>
      <c r="I3526">
        <v>0</v>
      </c>
      <c r="J3526" t="s">
        <v>34</v>
      </c>
      <c r="K3526" t="s">
        <v>179</v>
      </c>
      <c r="L3526">
        <v>5</v>
      </c>
      <c r="M3526">
        <v>94.855999999999995</v>
      </c>
      <c r="N3526">
        <v>95.159333000000004</v>
      </c>
      <c r="O3526">
        <v>33.853999999999999</v>
      </c>
      <c r="P3526">
        <v>35.021000000000001</v>
      </c>
      <c r="Q3526">
        <v>25.901</v>
      </c>
      <c r="S3526" t="s">
        <v>25</v>
      </c>
      <c r="T3526">
        <f>IF(TRIM(Table1[[#This Row],[PitStopLaps]])="",0,
LEN(Table1[[#This Row],[PitStopLaps]])-LEN(SUBSTITUTE(Table1[[#This Row],[PitStopLaps]],",",""))+1)</f>
        <v>0</v>
      </c>
      <c r="U3526">
        <f>Table1[[#This Row],[StartPosition]]-Table1[[#This Row],[FinishPosition]]</f>
        <v>-12</v>
      </c>
    </row>
    <row r="3527" spans="1:21" x14ac:dyDescent="0.3">
      <c r="A3527">
        <v>2026</v>
      </c>
      <c r="B3527">
        <v>4</v>
      </c>
      <c r="C3527" t="s">
        <v>819</v>
      </c>
      <c r="D3527" t="s">
        <v>1337</v>
      </c>
      <c r="E3527" t="s">
        <v>1338</v>
      </c>
      <c r="F3527" t="s">
        <v>33</v>
      </c>
      <c r="G3527">
        <v>22</v>
      </c>
      <c r="H3527">
        <v>22</v>
      </c>
      <c r="I3527">
        <v>0</v>
      </c>
      <c r="J3527" t="s">
        <v>34</v>
      </c>
      <c r="K3527" t="s">
        <v>179</v>
      </c>
      <c r="L3527">
        <v>5</v>
      </c>
      <c r="M3527">
        <v>94.832999999999998</v>
      </c>
      <c r="N3527">
        <v>95.363</v>
      </c>
      <c r="O3527">
        <v>33.537999999999997</v>
      </c>
      <c r="P3527">
        <v>35.375</v>
      </c>
      <c r="Q3527">
        <v>25.774999999999999</v>
      </c>
      <c r="S3527" t="s">
        <v>25</v>
      </c>
      <c r="T3527">
        <f>IF(TRIM(Table1[[#This Row],[PitStopLaps]])="",0,
LEN(Table1[[#This Row],[PitStopLaps]])-LEN(SUBSTITUTE(Table1[[#This Row],[PitStopLaps]],",",""))+1)</f>
        <v>0</v>
      </c>
      <c r="U3527">
        <f>Table1[[#This Row],[StartPosition]]-Table1[[#This Row],[FinishPosition]]</f>
        <v>0</v>
      </c>
    </row>
    <row r="3528" spans="1:21" x14ac:dyDescent="0.3">
      <c r="A3528">
        <v>2026</v>
      </c>
      <c r="B3528">
        <v>5</v>
      </c>
      <c r="C3528" t="s">
        <v>142</v>
      </c>
      <c r="D3528" t="s">
        <v>1339</v>
      </c>
      <c r="E3528" t="s">
        <v>1325</v>
      </c>
      <c r="F3528" t="s">
        <v>28</v>
      </c>
      <c r="G3528">
        <v>2</v>
      </c>
      <c r="H3528">
        <v>1</v>
      </c>
      <c r="I3528">
        <v>25</v>
      </c>
      <c r="J3528" t="s">
        <v>23</v>
      </c>
      <c r="K3528" t="s">
        <v>24</v>
      </c>
      <c r="L3528">
        <v>68</v>
      </c>
      <c r="M3528">
        <v>74.209999999999994</v>
      </c>
      <c r="N3528">
        <v>75.882273999999995</v>
      </c>
      <c r="O3528">
        <v>20.989000000000001</v>
      </c>
      <c r="P3528">
        <v>23.59</v>
      </c>
      <c r="Q3528">
        <v>29.497</v>
      </c>
      <c r="R3528">
        <v>31</v>
      </c>
      <c r="S3528" t="s">
        <v>83</v>
      </c>
      <c r="T3528">
        <f>IF(TRIM(Table1[[#This Row],[PitStopLaps]])="",0,
LEN(Table1[[#This Row],[PitStopLaps]])-LEN(SUBSTITUTE(Table1[[#This Row],[PitStopLaps]],",",""))+1)</f>
        <v>1</v>
      </c>
      <c r="U3528">
        <f>Table1[[#This Row],[StartPosition]]-Table1[[#This Row],[FinishPosition]]</f>
        <v>1</v>
      </c>
    </row>
    <row r="3529" spans="1:21" x14ac:dyDescent="0.3">
      <c r="A3529">
        <v>2026</v>
      </c>
      <c r="B3529">
        <v>5</v>
      </c>
      <c r="C3529" t="s">
        <v>142</v>
      </c>
      <c r="D3529" t="s">
        <v>26</v>
      </c>
      <c r="E3529" t="s">
        <v>27</v>
      </c>
      <c r="F3529" t="s">
        <v>22</v>
      </c>
      <c r="G3529">
        <v>5</v>
      </c>
      <c r="H3529">
        <v>2</v>
      </c>
      <c r="I3529">
        <v>18</v>
      </c>
      <c r="J3529" t="s">
        <v>23</v>
      </c>
      <c r="K3529" t="s">
        <v>24</v>
      </c>
      <c r="L3529">
        <v>68</v>
      </c>
      <c r="M3529">
        <v>74.572999999999993</v>
      </c>
      <c r="N3529">
        <v>76.068600000000004</v>
      </c>
      <c r="O3529">
        <v>21.28</v>
      </c>
      <c r="P3529">
        <v>23.608000000000001</v>
      </c>
      <c r="Q3529">
        <v>29.524000000000001</v>
      </c>
      <c r="R3529">
        <v>31</v>
      </c>
      <c r="S3529" t="s">
        <v>83</v>
      </c>
      <c r="T3529">
        <f>IF(TRIM(Table1[[#This Row],[PitStopLaps]])="",0,
LEN(Table1[[#This Row],[PitStopLaps]])-LEN(SUBSTITUTE(Table1[[#This Row],[PitStopLaps]],",",""))+1)</f>
        <v>1</v>
      </c>
      <c r="U3529">
        <f>Table1[[#This Row],[StartPosition]]-Table1[[#This Row],[FinishPosition]]</f>
        <v>3</v>
      </c>
    </row>
    <row r="3530" spans="1:21" x14ac:dyDescent="0.3">
      <c r="A3530">
        <v>2026</v>
      </c>
      <c r="B3530">
        <v>5</v>
      </c>
      <c r="C3530" t="s">
        <v>142</v>
      </c>
      <c r="D3530" t="s">
        <v>38</v>
      </c>
      <c r="E3530" t="s">
        <v>39</v>
      </c>
      <c r="F3530" t="s">
        <v>33</v>
      </c>
      <c r="G3530">
        <v>6</v>
      </c>
      <c r="H3530">
        <v>3</v>
      </c>
      <c r="I3530">
        <v>15</v>
      </c>
      <c r="J3530" t="s">
        <v>23</v>
      </c>
      <c r="K3530" t="s">
        <v>24</v>
      </c>
      <c r="L3530">
        <v>68</v>
      </c>
      <c r="M3530">
        <v>74.397999999999996</v>
      </c>
      <c r="N3530">
        <v>76.079966999999996</v>
      </c>
      <c r="O3530">
        <v>21.100999999999999</v>
      </c>
      <c r="P3530">
        <v>23.724</v>
      </c>
      <c r="Q3530">
        <v>29.437999999999999</v>
      </c>
      <c r="R3530">
        <v>31</v>
      </c>
      <c r="S3530" t="s">
        <v>83</v>
      </c>
      <c r="T3530">
        <f>IF(TRIM(Table1[[#This Row],[PitStopLaps]])="",0,
LEN(Table1[[#This Row],[PitStopLaps]])-LEN(SUBSTITUTE(Table1[[#This Row],[PitStopLaps]],",",""))+1)</f>
        <v>1</v>
      </c>
      <c r="U3530">
        <f>Table1[[#This Row],[StartPosition]]-Table1[[#This Row],[FinishPosition]]</f>
        <v>3</v>
      </c>
    </row>
    <row r="3531" spans="1:21" x14ac:dyDescent="0.3">
      <c r="A3531">
        <v>2026</v>
      </c>
      <c r="B3531">
        <v>5</v>
      </c>
      <c r="C3531" t="s">
        <v>142</v>
      </c>
      <c r="D3531" t="s">
        <v>54</v>
      </c>
      <c r="E3531" t="s">
        <v>55</v>
      </c>
      <c r="F3531" t="s">
        <v>22</v>
      </c>
      <c r="G3531">
        <v>8</v>
      </c>
      <c r="H3531">
        <v>4</v>
      </c>
      <c r="I3531">
        <v>12</v>
      </c>
      <c r="J3531" t="s">
        <v>34</v>
      </c>
      <c r="K3531" t="s">
        <v>24</v>
      </c>
      <c r="L3531">
        <v>68</v>
      </c>
      <c r="M3531">
        <v>75.296999999999997</v>
      </c>
      <c r="N3531">
        <v>76.494490999999996</v>
      </c>
      <c r="O3531">
        <v>21.35</v>
      </c>
      <c r="P3531">
        <v>23.797000000000001</v>
      </c>
      <c r="Q3531">
        <v>29.44</v>
      </c>
      <c r="R3531">
        <v>31</v>
      </c>
      <c r="S3531" t="s">
        <v>83</v>
      </c>
      <c r="T3531">
        <f>IF(TRIM(Table1[[#This Row],[PitStopLaps]])="",0,
LEN(Table1[[#This Row],[PitStopLaps]])-LEN(SUBSTITUTE(Table1[[#This Row],[PitStopLaps]],",",""))+1)</f>
        <v>1</v>
      </c>
      <c r="U3531">
        <f>Table1[[#This Row],[StartPosition]]-Table1[[#This Row],[FinishPosition]]</f>
        <v>4</v>
      </c>
    </row>
    <row r="3532" spans="1:21" x14ac:dyDescent="0.3">
      <c r="A3532">
        <v>2026</v>
      </c>
      <c r="B3532">
        <v>5</v>
      </c>
      <c r="C3532" t="s">
        <v>142</v>
      </c>
      <c r="D3532" t="s">
        <v>1337</v>
      </c>
      <c r="E3532" t="s">
        <v>1338</v>
      </c>
      <c r="F3532" t="s">
        <v>33</v>
      </c>
      <c r="G3532">
        <v>7</v>
      </c>
      <c r="H3532">
        <v>5</v>
      </c>
      <c r="I3532">
        <v>10</v>
      </c>
      <c r="J3532" t="s">
        <v>34</v>
      </c>
      <c r="K3532" t="s">
        <v>994</v>
      </c>
      <c r="L3532">
        <v>67</v>
      </c>
      <c r="M3532">
        <v>74.578000000000003</v>
      </c>
      <c r="N3532">
        <v>76.403223999999994</v>
      </c>
      <c r="O3532">
        <v>21.18</v>
      </c>
      <c r="P3532">
        <v>23.82</v>
      </c>
      <c r="Q3532">
        <v>29.577999999999999</v>
      </c>
      <c r="R3532" t="s">
        <v>1460</v>
      </c>
      <c r="S3532" t="s">
        <v>83</v>
      </c>
      <c r="T3532">
        <f>IF(TRIM(Table1[[#This Row],[PitStopLaps]])="",0,
LEN(Table1[[#This Row],[PitStopLaps]])-LEN(SUBSTITUTE(Table1[[#This Row],[PitStopLaps]],",",""))+1)</f>
        <v>3</v>
      </c>
      <c r="U3532">
        <f>Table1[[#This Row],[StartPosition]]-Table1[[#This Row],[FinishPosition]]</f>
        <v>2</v>
      </c>
    </row>
    <row r="3533" spans="1:21" x14ac:dyDescent="0.3">
      <c r="A3533">
        <v>2026</v>
      </c>
      <c r="B3533">
        <v>5</v>
      </c>
      <c r="C3533" t="s">
        <v>142</v>
      </c>
      <c r="D3533" t="s">
        <v>1283</v>
      </c>
      <c r="E3533" t="s">
        <v>1284</v>
      </c>
      <c r="F3533" t="s">
        <v>607</v>
      </c>
      <c r="G3533">
        <v>10</v>
      </c>
      <c r="H3533">
        <v>6</v>
      </c>
      <c r="I3533">
        <v>8</v>
      </c>
      <c r="J3533" t="s">
        <v>34</v>
      </c>
      <c r="K3533" t="s">
        <v>994</v>
      </c>
      <c r="L3533">
        <v>67</v>
      </c>
      <c r="M3533">
        <v>75.462000000000003</v>
      </c>
      <c r="N3533">
        <v>77.314677000000003</v>
      </c>
      <c r="O3533">
        <v>21.489000000000001</v>
      </c>
      <c r="P3533">
        <v>23.97</v>
      </c>
      <c r="Q3533">
        <v>30.003</v>
      </c>
      <c r="R3533">
        <v>30</v>
      </c>
      <c r="S3533" t="s">
        <v>83</v>
      </c>
      <c r="T3533">
        <f>IF(TRIM(Table1[[#This Row],[PitStopLaps]])="",0,
LEN(Table1[[#This Row],[PitStopLaps]])-LEN(SUBSTITUTE(Table1[[#This Row],[PitStopLaps]],",",""))+1)</f>
        <v>1</v>
      </c>
      <c r="U3533">
        <f>Table1[[#This Row],[StartPosition]]-Table1[[#This Row],[FinishPosition]]</f>
        <v>4</v>
      </c>
    </row>
    <row r="3534" spans="1:21" x14ac:dyDescent="0.3">
      <c r="A3534">
        <v>2026</v>
      </c>
      <c r="B3534">
        <v>5</v>
      </c>
      <c r="C3534" t="s">
        <v>142</v>
      </c>
      <c r="D3534" t="s">
        <v>1092</v>
      </c>
      <c r="E3534" t="s">
        <v>1093</v>
      </c>
      <c r="F3534" t="s">
        <v>1330</v>
      </c>
      <c r="G3534">
        <v>12</v>
      </c>
      <c r="H3534">
        <v>7</v>
      </c>
      <c r="I3534">
        <v>6</v>
      </c>
      <c r="J3534" t="s">
        <v>34</v>
      </c>
      <c r="K3534" t="s">
        <v>994</v>
      </c>
      <c r="L3534">
        <v>67</v>
      </c>
      <c r="M3534">
        <v>75.603999999999999</v>
      </c>
      <c r="N3534">
        <v>77.547762000000006</v>
      </c>
      <c r="O3534">
        <v>21.411000000000001</v>
      </c>
      <c r="P3534">
        <v>24.113</v>
      </c>
      <c r="Q3534">
        <v>30.08</v>
      </c>
      <c r="R3534">
        <v>30</v>
      </c>
      <c r="S3534" t="s">
        <v>83</v>
      </c>
      <c r="T3534">
        <f>IF(TRIM(Table1[[#This Row],[PitStopLaps]])="",0,
LEN(Table1[[#This Row],[PitStopLaps]])-LEN(SUBSTITUTE(Table1[[#This Row],[PitStopLaps]],",",""))+1)</f>
        <v>1</v>
      </c>
      <c r="U3534">
        <f>Table1[[#This Row],[StartPosition]]-Table1[[#This Row],[FinishPosition]]</f>
        <v>5</v>
      </c>
    </row>
    <row r="3535" spans="1:21" x14ac:dyDescent="0.3">
      <c r="A3535">
        <v>2026</v>
      </c>
      <c r="B3535">
        <v>5</v>
      </c>
      <c r="C3535" t="s">
        <v>142</v>
      </c>
      <c r="D3535" t="s">
        <v>73</v>
      </c>
      <c r="E3535" t="s">
        <v>74</v>
      </c>
      <c r="F3535" t="s">
        <v>607</v>
      </c>
      <c r="G3535">
        <v>14</v>
      </c>
      <c r="H3535">
        <v>8</v>
      </c>
      <c r="I3535">
        <v>4</v>
      </c>
      <c r="J3535" t="s">
        <v>34</v>
      </c>
      <c r="K3535" t="s">
        <v>994</v>
      </c>
      <c r="L3535">
        <v>67</v>
      </c>
      <c r="M3535">
        <v>75.39</v>
      </c>
      <c r="N3535">
        <v>77.563660999999996</v>
      </c>
      <c r="O3535">
        <v>21.457999999999998</v>
      </c>
      <c r="P3535">
        <v>24.05</v>
      </c>
      <c r="Q3535">
        <v>29.856000000000002</v>
      </c>
      <c r="R3535">
        <v>30</v>
      </c>
      <c r="S3535" t="s">
        <v>83</v>
      </c>
      <c r="T3535">
        <f>IF(TRIM(Table1[[#This Row],[PitStopLaps]])="",0,
LEN(Table1[[#This Row],[PitStopLaps]])-LEN(SUBSTITUTE(Table1[[#This Row],[PitStopLaps]],",",""))+1)</f>
        <v>1</v>
      </c>
      <c r="U3535">
        <f>Table1[[#This Row],[StartPosition]]-Table1[[#This Row],[FinishPosition]]</f>
        <v>6</v>
      </c>
    </row>
    <row r="3536" spans="1:21" x14ac:dyDescent="0.3">
      <c r="A3536">
        <v>2026</v>
      </c>
      <c r="B3536">
        <v>5</v>
      </c>
      <c r="C3536" t="s">
        <v>142</v>
      </c>
      <c r="D3536" t="s">
        <v>47</v>
      </c>
      <c r="E3536" t="s">
        <v>48</v>
      </c>
      <c r="F3536" t="s">
        <v>60</v>
      </c>
      <c r="G3536">
        <v>15</v>
      </c>
      <c r="H3536">
        <v>9</v>
      </c>
      <c r="I3536">
        <v>2</v>
      </c>
      <c r="J3536" t="s">
        <v>34</v>
      </c>
      <c r="K3536" t="s">
        <v>994</v>
      </c>
      <c r="L3536">
        <v>67</v>
      </c>
      <c r="M3536">
        <v>75.852000000000004</v>
      </c>
      <c r="N3536">
        <v>77.295135000000002</v>
      </c>
      <c r="O3536">
        <v>21.51</v>
      </c>
      <c r="P3536">
        <v>24.082000000000001</v>
      </c>
      <c r="Q3536">
        <v>30.146000000000001</v>
      </c>
      <c r="R3536" t="s">
        <v>686</v>
      </c>
      <c r="S3536" t="s">
        <v>83</v>
      </c>
      <c r="T3536">
        <f>IF(TRIM(Table1[[#This Row],[PitStopLaps]])="",0,
LEN(Table1[[#This Row],[PitStopLaps]])-LEN(SUBSTITUTE(Table1[[#This Row],[PitStopLaps]],",",""))+1)</f>
        <v>2</v>
      </c>
      <c r="U3536">
        <f>Table1[[#This Row],[StartPosition]]-Table1[[#This Row],[FinishPosition]]</f>
        <v>6</v>
      </c>
    </row>
    <row r="3537" spans="1:21" x14ac:dyDescent="0.3">
      <c r="A3537">
        <v>2026</v>
      </c>
      <c r="B3537">
        <v>5</v>
      </c>
      <c r="C3537" t="s">
        <v>142</v>
      </c>
      <c r="D3537" t="s">
        <v>1180</v>
      </c>
      <c r="E3537" t="s">
        <v>1181</v>
      </c>
      <c r="F3537" t="s">
        <v>69</v>
      </c>
      <c r="G3537">
        <v>16</v>
      </c>
      <c r="H3537">
        <v>10</v>
      </c>
      <c r="I3537">
        <v>1</v>
      </c>
      <c r="J3537" t="s">
        <v>34</v>
      </c>
      <c r="K3537" t="s">
        <v>994</v>
      </c>
      <c r="L3537">
        <v>67</v>
      </c>
      <c r="M3537">
        <v>76.001999999999995</v>
      </c>
      <c r="N3537">
        <v>77.723770000000002</v>
      </c>
      <c r="O3537">
        <v>21.687000000000001</v>
      </c>
      <c r="P3537">
        <v>24.172000000000001</v>
      </c>
      <c r="Q3537">
        <v>30.068000000000001</v>
      </c>
      <c r="R3537">
        <v>30</v>
      </c>
      <c r="S3537" t="s">
        <v>83</v>
      </c>
      <c r="T3537">
        <f>IF(TRIM(Table1[[#This Row],[PitStopLaps]])="",0,
LEN(Table1[[#This Row],[PitStopLaps]])-LEN(SUBSTITUTE(Table1[[#This Row],[PitStopLaps]],",",""))+1)</f>
        <v>1</v>
      </c>
      <c r="U3537">
        <f>Table1[[#This Row],[StartPosition]]-Table1[[#This Row],[FinishPosition]]</f>
        <v>6</v>
      </c>
    </row>
    <row r="3538" spans="1:21" x14ac:dyDescent="0.3">
      <c r="A3538">
        <v>2026</v>
      </c>
      <c r="B3538">
        <v>5</v>
      </c>
      <c r="C3538" t="s">
        <v>142</v>
      </c>
      <c r="D3538" t="s">
        <v>1000</v>
      </c>
      <c r="E3538" t="s">
        <v>1001</v>
      </c>
      <c r="F3538" t="s">
        <v>37</v>
      </c>
      <c r="G3538">
        <v>4</v>
      </c>
      <c r="H3538">
        <v>11</v>
      </c>
      <c r="I3538">
        <v>0</v>
      </c>
      <c r="J3538" t="s">
        <v>34</v>
      </c>
      <c r="K3538" t="s">
        <v>994</v>
      </c>
      <c r="L3538">
        <v>66</v>
      </c>
      <c r="M3538">
        <v>75.456000000000003</v>
      </c>
      <c r="N3538">
        <v>77.251908999999998</v>
      </c>
      <c r="O3538">
        <v>21.48</v>
      </c>
      <c r="P3538">
        <v>23.849</v>
      </c>
      <c r="Q3538">
        <v>29.834</v>
      </c>
      <c r="R3538" t="s">
        <v>1461</v>
      </c>
      <c r="S3538" t="s">
        <v>83</v>
      </c>
      <c r="T3538">
        <f>IF(TRIM(Table1[[#This Row],[PitStopLaps]])="",0,
LEN(Table1[[#This Row],[PitStopLaps]])-LEN(SUBSTITUTE(Table1[[#This Row],[PitStopLaps]],",",""))+1)</f>
        <v>3</v>
      </c>
      <c r="U3538">
        <f>Table1[[#This Row],[StartPosition]]-Table1[[#This Row],[FinishPosition]]</f>
        <v>-7</v>
      </c>
    </row>
    <row r="3539" spans="1:21" x14ac:dyDescent="0.3">
      <c r="A3539">
        <v>2026</v>
      </c>
      <c r="B3539">
        <v>5</v>
      </c>
      <c r="C3539" t="s">
        <v>142</v>
      </c>
      <c r="D3539" t="s">
        <v>40</v>
      </c>
      <c r="E3539" t="s">
        <v>41</v>
      </c>
      <c r="F3539" t="s">
        <v>1446</v>
      </c>
      <c r="G3539">
        <v>11</v>
      </c>
      <c r="H3539">
        <v>12</v>
      </c>
      <c r="I3539">
        <v>0</v>
      </c>
      <c r="J3539" t="s">
        <v>34</v>
      </c>
      <c r="K3539" t="s">
        <v>994</v>
      </c>
      <c r="L3539">
        <v>66</v>
      </c>
      <c r="M3539">
        <v>76.275000000000006</v>
      </c>
      <c r="N3539">
        <v>77.745554999999996</v>
      </c>
      <c r="O3539">
        <v>21.619</v>
      </c>
      <c r="P3539">
        <v>24.145</v>
      </c>
      <c r="Q3539">
        <v>29.866</v>
      </c>
      <c r="R3539" t="s">
        <v>458</v>
      </c>
      <c r="S3539" t="s">
        <v>83</v>
      </c>
      <c r="T3539">
        <f>IF(TRIM(Table1[[#This Row],[PitStopLaps]])="",0,
LEN(Table1[[#This Row],[PitStopLaps]])-LEN(SUBSTITUTE(Table1[[#This Row],[PitStopLaps]],",",""))+1)</f>
        <v>2</v>
      </c>
      <c r="U3539">
        <f>Table1[[#This Row],[StartPosition]]-Table1[[#This Row],[FinishPosition]]</f>
        <v>-1</v>
      </c>
    </row>
    <row r="3540" spans="1:21" x14ac:dyDescent="0.3">
      <c r="A3540">
        <v>2026</v>
      </c>
      <c r="B3540">
        <v>5</v>
      </c>
      <c r="C3540" t="s">
        <v>142</v>
      </c>
      <c r="D3540" t="s">
        <v>1334</v>
      </c>
      <c r="E3540" t="s">
        <v>1335</v>
      </c>
      <c r="F3540" t="s">
        <v>1446</v>
      </c>
      <c r="G3540">
        <v>13</v>
      </c>
      <c r="H3540">
        <v>13</v>
      </c>
      <c r="I3540">
        <v>0</v>
      </c>
      <c r="J3540" t="s">
        <v>34</v>
      </c>
      <c r="K3540" t="s">
        <v>994</v>
      </c>
      <c r="L3540">
        <v>66</v>
      </c>
      <c r="M3540">
        <v>76.221000000000004</v>
      </c>
      <c r="N3540">
        <v>77.616906999999998</v>
      </c>
      <c r="O3540">
        <v>21.736999999999998</v>
      </c>
      <c r="P3540">
        <v>24.228999999999999</v>
      </c>
      <c r="Q3540">
        <v>30.085000000000001</v>
      </c>
      <c r="R3540" t="s">
        <v>688</v>
      </c>
      <c r="S3540" t="s">
        <v>83</v>
      </c>
      <c r="T3540">
        <f>IF(TRIM(Table1[[#This Row],[PitStopLaps]])="",0,
LEN(Table1[[#This Row],[PitStopLaps]])-LEN(SUBSTITUTE(Table1[[#This Row],[PitStopLaps]],",",""))+1)</f>
        <v>2</v>
      </c>
      <c r="U3540">
        <f>Table1[[#This Row],[StartPosition]]-Table1[[#This Row],[FinishPosition]]</f>
        <v>0</v>
      </c>
    </row>
    <row r="3541" spans="1:21" x14ac:dyDescent="0.3">
      <c r="A3541">
        <v>2026</v>
      </c>
      <c r="B3541">
        <v>5</v>
      </c>
      <c r="C3541" t="s">
        <v>142</v>
      </c>
      <c r="D3541" t="s">
        <v>52</v>
      </c>
      <c r="E3541" t="s">
        <v>53</v>
      </c>
      <c r="F3541" t="s">
        <v>69</v>
      </c>
      <c r="G3541">
        <v>17</v>
      </c>
      <c r="H3541">
        <v>14</v>
      </c>
      <c r="I3541">
        <v>0</v>
      </c>
      <c r="J3541" t="s">
        <v>34</v>
      </c>
      <c r="K3541" t="s">
        <v>994</v>
      </c>
      <c r="L3541">
        <v>66</v>
      </c>
      <c r="M3541">
        <v>76.576999999999998</v>
      </c>
      <c r="N3541">
        <v>78.708051999999995</v>
      </c>
      <c r="O3541">
        <v>21.844999999999999</v>
      </c>
      <c r="P3541">
        <v>24.265000000000001</v>
      </c>
      <c r="Q3541">
        <v>30.192</v>
      </c>
      <c r="R3541" t="s">
        <v>1462</v>
      </c>
      <c r="S3541" t="s">
        <v>83</v>
      </c>
      <c r="T3541">
        <f>IF(TRIM(Table1[[#This Row],[PitStopLaps]])="",0,
LEN(Table1[[#This Row],[PitStopLaps]])-LEN(SUBSTITUTE(Table1[[#This Row],[PitStopLaps]],",",""))+1)</f>
        <v>2</v>
      </c>
      <c r="U3541">
        <f>Table1[[#This Row],[StartPosition]]-Table1[[#This Row],[FinishPosition]]</f>
        <v>3</v>
      </c>
    </row>
    <row r="3542" spans="1:21" x14ac:dyDescent="0.3">
      <c r="A3542">
        <v>2026</v>
      </c>
      <c r="B3542">
        <v>5</v>
      </c>
      <c r="C3542" t="s">
        <v>142</v>
      </c>
      <c r="D3542" t="s">
        <v>58</v>
      </c>
      <c r="E3542" t="s">
        <v>59</v>
      </c>
      <c r="F3542" t="s">
        <v>603</v>
      </c>
      <c r="G3542">
        <v>22</v>
      </c>
      <c r="H3542">
        <v>15</v>
      </c>
      <c r="I3542">
        <v>0</v>
      </c>
      <c r="J3542" t="s">
        <v>34</v>
      </c>
      <c r="K3542" t="s">
        <v>994</v>
      </c>
      <c r="L3542">
        <v>64</v>
      </c>
      <c r="M3542">
        <v>78.721000000000004</v>
      </c>
      <c r="N3542">
        <v>80.818906999999996</v>
      </c>
      <c r="O3542">
        <v>22.417000000000002</v>
      </c>
      <c r="P3542">
        <v>25.047000000000001</v>
      </c>
      <c r="Q3542">
        <v>30.905000000000001</v>
      </c>
      <c r="R3542" t="s">
        <v>1463</v>
      </c>
      <c r="S3542" t="s">
        <v>83</v>
      </c>
      <c r="T3542">
        <f>IF(TRIM(Table1[[#This Row],[PitStopLaps]])="",0,
LEN(Table1[[#This Row],[PitStopLaps]])-LEN(SUBSTITUTE(Table1[[#This Row],[PitStopLaps]],",",""))+1)</f>
        <v>2</v>
      </c>
      <c r="U3542">
        <f>Table1[[#This Row],[StartPosition]]-Table1[[#This Row],[FinishPosition]]</f>
        <v>7</v>
      </c>
    </row>
    <row r="3543" spans="1:21" x14ac:dyDescent="0.3">
      <c r="A3543">
        <v>2026</v>
      </c>
      <c r="B3543">
        <v>5</v>
      </c>
      <c r="C3543" t="s">
        <v>142</v>
      </c>
      <c r="D3543" t="s">
        <v>43</v>
      </c>
      <c r="E3543" t="s">
        <v>44</v>
      </c>
      <c r="F3543" t="s">
        <v>1449</v>
      </c>
      <c r="G3543">
        <v>21</v>
      </c>
      <c r="H3543">
        <v>16</v>
      </c>
      <c r="I3543">
        <v>0</v>
      </c>
      <c r="J3543" t="s">
        <v>34</v>
      </c>
      <c r="K3543" t="s">
        <v>994</v>
      </c>
      <c r="L3543">
        <v>64</v>
      </c>
      <c r="M3543">
        <v>77.724999999999994</v>
      </c>
      <c r="N3543">
        <v>80.191113000000001</v>
      </c>
      <c r="O3543">
        <v>22.13</v>
      </c>
      <c r="P3543">
        <v>24.741</v>
      </c>
      <c r="Q3543">
        <v>30.643999999999998</v>
      </c>
      <c r="R3543" t="s">
        <v>1464</v>
      </c>
      <c r="S3543" t="s">
        <v>83</v>
      </c>
      <c r="T3543">
        <f>IF(TRIM(Table1[[#This Row],[PitStopLaps]])="",0,
LEN(Table1[[#This Row],[PitStopLaps]])-LEN(SUBSTITUTE(Table1[[#This Row],[PitStopLaps]],",",""))+1)</f>
        <v>4</v>
      </c>
      <c r="U3543">
        <f>Table1[[#This Row],[StartPosition]]-Table1[[#This Row],[FinishPosition]]</f>
        <v>5</v>
      </c>
    </row>
    <row r="3544" spans="1:21" x14ac:dyDescent="0.3">
      <c r="A3544">
        <v>2026</v>
      </c>
      <c r="B3544">
        <v>5</v>
      </c>
      <c r="C3544" t="s">
        <v>142</v>
      </c>
      <c r="D3544" t="s">
        <v>49</v>
      </c>
      <c r="E3544" t="s">
        <v>50</v>
      </c>
      <c r="F3544" t="s">
        <v>1449</v>
      </c>
      <c r="G3544">
        <v>20</v>
      </c>
      <c r="H3544">
        <v>17</v>
      </c>
      <c r="I3544">
        <v>0</v>
      </c>
      <c r="J3544" t="s">
        <v>34</v>
      </c>
      <c r="K3544" t="s">
        <v>179</v>
      </c>
      <c r="L3544">
        <v>40</v>
      </c>
      <c r="M3544">
        <v>76.915000000000006</v>
      </c>
      <c r="N3544">
        <v>78.788934999999995</v>
      </c>
      <c r="O3544">
        <v>22.17</v>
      </c>
      <c r="P3544">
        <v>24.503</v>
      </c>
      <c r="Q3544">
        <v>30.234000000000002</v>
      </c>
      <c r="R3544" t="s">
        <v>1465</v>
      </c>
      <c r="S3544" t="s">
        <v>83</v>
      </c>
      <c r="T3544">
        <f>IF(TRIM(Table1[[#This Row],[PitStopLaps]])="",0,
LEN(Table1[[#This Row],[PitStopLaps]])-LEN(SUBSTITUTE(Table1[[#This Row],[PitStopLaps]],",",""))+1)</f>
        <v>4</v>
      </c>
      <c r="U3544">
        <f>Table1[[#This Row],[StartPosition]]-Table1[[#This Row],[FinishPosition]]</f>
        <v>3</v>
      </c>
    </row>
    <row r="3545" spans="1:21" x14ac:dyDescent="0.3">
      <c r="A3545">
        <v>2026</v>
      </c>
      <c r="B3545">
        <v>5</v>
      </c>
      <c r="C3545" t="s">
        <v>142</v>
      </c>
      <c r="D3545" t="s">
        <v>246</v>
      </c>
      <c r="E3545" t="s">
        <v>247</v>
      </c>
      <c r="F3545" t="s">
        <v>37</v>
      </c>
      <c r="G3545">
        <v>3</v>
      </c>
      <c r="H3545">
        <v>18</v>
      </c>
      <c r="I3545">
        <v>0</v>
      </c>
      <c r="J3545" t="s">
        <v>34</v>
      </c>
      <c r="K3545" t="s">
        <v>179</v>
      </c>
      <c r="L3545">
        <v>39</v>
      </c>
      <c r="M3545">
        <v>75.844999999999999</v>
      </c>
      <c r="N3545">
        <v>77.259533000000005</v>
      </c>
      <c r="O3545">
        <v>21.619</v>
      </c>
      <c r="P3545">
        <v>24.105</v>
      </c>
      <c r="Q3545">
        <v>29.969000000000001</v>
      </c>
      <c r="R3545" t="s">
        <v>1466</v>
      </c>
      <c r="S3545" t="s">
        <v>83</v>
      </c>
      <c r="T3545">
        <f>IF(TRIM(Table1[[#This Row],[PitStopLaps]])="",0,
LEN(Table1[[#This Row],[PitStopLaps]])-LEN(SUBSTITUTE(Table1[[#This Row],[PitStopLaps]],",",""))+1)</f>
        <v>2</v>
      </c>
      <c r="U3545">
        <f>Table1[[#This Row],[StartPosition]]-Table1[[#This Row],[FinishPosition]]</f>
        <v>-15</v>
      </c>
    </row>
    <row r="3546" spans="1:21" x14ac:dyDescent="0.3">
      <c r="A3546">
        <v>2026</v>
      </c>
      <c r="B3546">
        <v>5</v>
      </c>
      <c r="C3546" t="s">
        <v>142</v>
      </c>
      <c r="D3546" t="s">
        <v>252</v>
      </c>
      <c r="E3546" t="s">
        <v>253</v>
      </c>
      <c r="F3546" t="s">
        <v>28</v>
      </c>
      <c r="G3546">
        <v>1</v>
      </c>
      <c r="H3546">
        <v>19</v>
      </c>
      <c r="I3546">
        <v>0</v>
      </c>
      <c r="J3546" t="s">
        <v>34</v>
      </c>
      <c r="K3546" t="s">
        <v>179</v>
      </c>
      <c r="L3546">
        <v>30</v>
      </c>
      <c r="M3546">
        <v>75.477000000000004</v>
      </c>
      <c r="N3546">
        <v>76.538892000000004</v>
      </c>
      <c r="O3546">
        <v>21.483000000000001</v>
      </c>
      <c r="P3546">
        <v>23.952999999999999</v>
      </c>
      <c r="Q3546">
        <v>29.727</v>
      </c>
      <c r="S3546" t="s">
        <v>83</v>
      </c>
      <c r="T3546">
        <f>IF(TRIM(Table1[[#This Row],[PitStopLaps]])="",0,
LEN(Table1[[#This Row],[PitStopLaps]])-LEN(SUBSTITUTE(Table1[[#This Row],[PitStopLaps]],",",""))+1)</f>
        <v>0</v>
      </c>
      <c r="U3546">
        <f>Table1[[#This Row],[StartPosition]]-Table1[[#This Row],[FinishPosition]]</f>
        <v>-18</v>
      </c>
    </row>
    <row r="3547" spans="1:21" x14ac:dyDescent="0.3">
      <c r="A3547">
        <v>2026</v>
      </c>
      <c r="B3547">
        <v>5</v>
      </c>
      <c r="C3547" t="s">
        <v>142</v>
      </c>
      <c r="D3547" t="s">
        <v>35</v>
      </c>
      <c r="E3547" t="s">
        <v>36</v>
      </c>
      <c r="F3547" t="s">
        <v>603</v>
      </c>
      <c r="G3547">
        <v>19</v>
      </c>
      <c r="H3547">
        <v>20</v>
      </c>
      <c r="I3547">
        <v>0</v>
      </c>
      <c r="J3547" t="s">
        <v>34</v>
      </c>
      <c r="K3547" t="s">
        <v>179</v>
      </c>
      <c r="L3547">
        <v>24</v>
      </c>
      <c r="M3547">
        <v>79.635000000000005</v>
      </c>
      <c r="N3547">
        <v>80.668999999999997</v>
      </c>
      <c r="O3547">
        <v>22.698</v>
      </c>
      <c r="P3547">
        <v>25.222000000000001</v>
      </c>
      <c r="Q3547">
        <v>30.957999999999998</v>
      </c>
      <c r="R3547" t="s">
        <v>1426</v>
      </c>
      <c r="S3547" t="s">
        <v>83</v>
      </c>
      <c r="T3547">
        <f>IF(TRIM(Table1[[#This Row],[PitStopLaps]])="",0,
LEN(Table1[[#This Row],[PitStopLaps]])-LEN(SUBSTITUTE(Table1[[#This Row],[PitStopLaps]],",",""))+1)</f>
        <v>2</v>
      </c>
      <c r="U3547">
        <f>Table1[[#This Row],[StartPosition]]-Table1[[#This Row],[FinishPosition]]</f>
        <v>-1</v>
      </c>
    </row>
    <row r="3548" spans="1:21" x14ac:dyDescent="0.3">
      <c r="A3548">
        <v>2026</v>
      </c>
      <c r="B3548">
        <v>5</v>
      </c>
      <c r="C3548" t="s">
        <v>142</v>
      </c>
      <c r="D3548" t="s">
        <v>248</v>
      </c>
      <c r="E3548" t="s">
        <v>249</v>
      </c>
      <c r="F3548" t="s">
        <v>60</v>
      </c>
      <c r="G3548">
        <v>18</v>
      </c>
      <c r="H3548">
        <v>21</v>
      </c>
      <c r="I3548">
        <v>0</v>
      </c>
      <c r="J3548" t="s">
        <v>34</v>
      </c>
      <c r="K3548" t="s">
        <v>179</v>
      </c>
      <c r="L3548">
        <v>12</v>
      </c>
      <c r="M3548">
        <v>77.221000000000004</v>
      </c>
      <c r="N3548">
        <v>79.748999999999995</v>
      </c>
      <c r="O3548">
        <v>21.978999999999999</v>
      </c>
      <c r="P3548">
        <v>24.649000000000001</v>
      </c>
      <c r="Q3548">
        <v>30.593</v>
      </c>
      <c r="S3548" t="s">
        <v>83</v>
      </c>
      <c r="T3548">
        <f>IF(TRIM(Table1[[#This Row],[PitStopLaps]])="",0,
LEN(Table1[[#This Row],[PitStopLaps]])-LEN(SUBSTITUTE(Table1[[#This Row],[PitStopLaps]],",",""))+1)</f>
        <v>0</v>
      </c>
      <c r="U3548">
        <f>Table1[[#This Row],[StartPosition]]-Table1[[#This Row],[FinishPosition]]</f>
        <v>-3</v>
      </c>
    </row>
    <row r="3549" spans="1:21" x14ac:dyDescent="0.3">
      <c r="A3549">
        <v>2026</v>
      </c>
      <c r="B3549">
        <v>5</v>
      </c>
      <c r="C3549" t="s">
        <v>142</v>
      </c>
      <c r="D3549" t="s">
        <v>1444</v>
      </c>
      <c r="E3549" t="s">
        <v>1445</v>
      </c>
      <c r="F3549" t="s">
        <v>1330</v>
      </c>
      <c r="G3549">
        <v>9</v>
      </c>
      <c r="H3549">
        <v>22</v>
      </c>
      <c r="I3549">
        <v>0</v>
      </c>
      <c r="J3549" t="s">
        <v>34</v>
      </c>
      <c r="K3549" t="s">
        <v>1104</v>
      </c>
      <c r="S3549" t="s">
        <v>83</v>
      </c>
      <c r="T3549">
        <f>IF(TRIM(Table1[[#This Row],[PitStopLaps]])="",0,
LEN(Table1[[#This Row],[PitStopLaps]])-LEN(SUBSTITUTE(Table1[[#This Row],[PitStopLaps]],",",""))+1)</f>
        <v>0</v>
      </c>
      <c r="U3549">
        <f>Table1[[#This Row],[StartPosition]]-Table1[[#This Row],[FinishPosition]]</f>
        <v>-13</v>
      </c>
    </row>
    <row r="3550" spans="1:21" x14ac:dyDescent="0.3">
      <c r="A3550">
        <v>2026</v>
      </c>
      <c r="B3550">
        <v>6</v>
      </c>
      <c r="C3550" t="s">
        <v>136</v>
      </c>
      <c r="D3550" t="s">
        <v>1339</v>
      </c>
      <c r="E3550" t="s">
        <v>1325</v>
      </c>
      <c r="F3550" t="s">
        <v>28</v>
      </c>
      <c r="G3550">
        <v>1</v>
      </c>
      <c r="H3550">
        <v>1</v>
      </c>
      <c r="I3550">
        <v>25</v>
      </c>
      <c r="J3550" t="s">
        <v>23</v>
      </c>
      <c r="K3550" t="s">
        <v>24</v>
      </c>
      <c r="L3550">
        <v>78</v>
      </c>
      <c r="M3550">
        <v>73.480999999999995</v>
      </c>
      <c r="N3550">
        <v>76.417295999999993</v>
      </c>
      <c r="O3550">
        <v>19.379000000000001</v>
      </c>
      <c r="P3550">
        <v>34.566000000000003</v>
      </c>
      <c r="Q3550">
        <v>19.536000000000001</v>
      </c>
      <c r="R3550" t="s">
        <v>1467</v>
      </c>
      <c r="S3550" t="s">
        <v>83</v>
      </c>
      <c r="T3550">
        <f>IF(TRIM(Table1[[#This Row],[PitStopLaps]])="",0,
LEN(Table1[[#This Row],[PitStopLaps]])-LEN(SUBSTITUTE(Table1[[#This Row],[PitStopLaps]],",",""))+1)</f>
        <v>4</v>
      </c>
      <c r="U3550">
        <f>Table1[[#This Row],[StartPosition]]-Table1[[#This Row],[FinishPosition]]</f>
        <v>0</v>
      </c>
    </row>
    <row r="3551" spans="1:21" x14ac:dyDescent="0.3">
      <c r="A3551">
        <v>2026</v>
      </c>
      <c r="B3551">
        <v>6</v>
      </c>
      <c r="C3551" t="s">
        <v>136</v>
      </c>
      <c r="D3551" t="s">
        <v>26</v>
      </c>
      <c r="E3551" t="s">
        <v>27</v>
      </c>
      <c r="F3551" t="s">
        <v>22</v>
      </c>
      <c r="G3551">
        <v>3</v>
      </c>
      <c r="H3551">
        <v>2</v>
      </c>
      <c r="I3551">
        <v>18</v>
      </c>
      <c r="J3551" t="s">
        <v>23</v>
      </c>
      <c r="K3551" t="s">
        <v>24</v>
      </c>
      <c r="L3551">
        <v>78</v>
      </c>
      <c r="M3551">
        <v>74.643000000000001</v>
      </c>
      <c r="N3551">
        <v>76.947828000000001</v>
      </c>
      <c r="O3551">
        <v>19.879000000000001</v>
      </c>
      <c r="P3551">
        <v>35.003999999999998</v>
      </c>
      <c r="Q3551">
        <v>19.734999999999999</v>
      </c>
      <c r="R3551" t="s">
        <v>1468</v>
      </c>
      <c r="S3551" t="s">
        <v>83</v>
      </c>
      <c r="T3551">
        <f>IF(TRIM(Table1[[#This Row],[PitStopLaps]])="",0,
LEN(Table1[[#This Row],[PitStopLaps]])-LEN(SUBSTITUTE(Table1[[#This Row],[PitStopLaps]],",",""))+1)</f>
        <v>5</v>
      </c>
      <c r="U3551">
        <f>Table1[[#This Row],[StartPosition]]-Table1[[#This Row],[FinishPosition]]</f>
        <v>1</v>
      </c>
    </row>
    <row r="3552" spans="1:21" x14ac:dyDescent="0.3">
      <c r="A3552">
        <v>2026</v>
      </c>
      <c r="B3552">
        <v>6</v>
      </c>
      <c r="C3552" t="s">
        <v>136</v>
      </c>
      <c r="D3552" t="s">
        <v>1337</v>
      </c>
      <c r="E3552" t="s">
        <v>1338</v>
      </c>
      <c r="F3552" t="s">
        <v>33</v>
      </c>
      <c r="G3552">
        <v>5</v>
      </c>
      <c r="H3552">
        <v>3</v>
      </c>
      <c r="I3552">
        <v>15</v>
      </c>
      <c r="J3552" t="s">
        <v>23</v>
      </c>
      <c r="K3552" t="s">
        <v>24</v>
      </c>
      <c r="L3552">
        <v>78</v>
      </c>
      <c r="M3552">
        <v>75.668999999999997</v>
      </c>
      <c r="N3552">
        <v>78.144903999999997</v>
      </c>
      <c r="O3552">
        <v>19.91</v>
      </c>
      <c r="P3552">
        <v>35.578000000000003</v>
      </c>
      <c r="Q3552">
        <v>20.11</v>
      </c>
      <c r="R3552" t="s">
        <v>1469</v>
      </c>
      <c r="S3552" t="s">
        <v>83</v>
      </c>
      <c r="T3552">
        <f>IF(TRIM(Table1[[#This Row],[PitStopLaps]])="",0,
LEN(Table1[[#This Row],[PitStopLaps]])-LEN(SUBSTITUTE(Table1[[#This Row],[PitStopLaps]],",",""))+1)</f>
        <v>4</v>
      </c>
      <c r="U3552">
        <f>Table1[[#This Row],[StartPosition]]-Table1[[#This Row],[FinishPosition]]</f>
        <v>2</v>
      </c>
    </row>
    <row r="3553" spans="1:21" x14ac:dyDescent="0.3">
      <c r="A3553">
        <v>2026</v>
      </c>
      <c r="B3553">
        <v>6</v>
      </c>
      <c r="C3553" t="s">
        <v>136</v>
      </c>
      <c r="D3553" t="s">
        <v>1000</v>
      </c>
      <c r="E3553" t="s">
        <v>1001</v>
      </c>
      <c r="F3553" t="s">
        <v>37</v>
      </c>
      <c r="G3553">
        <v>7</v>
      </c>
      <c r="H3553">
        <v>4</v>
      </c>
      <c r="I3553">
        <v>12</v>
      </c>
      <c r="J3553" t="s">
        <v>34</v>
      </c>
      <c r="K3553" t="s">
        <v>24</v>
      </c>
      <c r="L3553">
        <v>78</v>
      </c>
      <c r="M3553">
        <v>75.816000000000003</v>
      </c>
      <c r="N3553">
        <v>78.235776999999999</v>
      </c>
      <c r="O3553">
        <v>19.978999999999999</v>
      </c>
      <c r="P3553">
        <v>35.531999999999996</v>
      </c>
      <c r="Q3553">
        <v>20.204999999999998</v>
      </c>
      <c r="R3553" t="s">
        <v>1470</v>
      </c>
      <c r="S3553" t="s">
        <v>83</v>
      </c>
      <c r="T3553">
        <f>IF(TRIM(Table1[[#This Row],[PitStopLaps]])="",0,
LEN(Table1[[#This Row],[PitStopLaps]])-LEN(SUBSTITUTE(Table1[[#This Row],[PitStopLaps]],",",""))+1)</f>
        <v>5</v>
      </c>
      <c r="U3553">
        <f>Table1[[#This Row],[StartPosition]]-Table1[[#This Row],[FinishPosition]]</f>
        <v>3</v>
      </c>
    </row>
    <row r="3554" spans="1:21" x14ac:dyDescent="0.3">
      <c r="A3554">
        <v>2026</v>
      </c>
      <c r="B3554">
        <v>6</v>
      </c>
      <c r="C3554" t="s">
        <v>136</v>
      </c>
      <c r="D3554" t="s">
        <v>1092</v>
      </c>
      <c r="E3554" t="s">
        <v>1093</v>
      </c>
      <c r="F3554" t="s">
        <v>1330</v>
      </c>
      <c r="G3554">
        <v>10</v>
      </c>
      <c r="H3554">
        <v>5</v>
      </c>
      <c r="I3554">
        <v>10</v>
      </c>
      <c r="J3554" t="s">
        <v>34</v>
      </c>
      <c r="K3554" t="s">
        <v>24</v>
      </c>
      <c r="L3554">
        <v>78</v>
      </c>
      <c r="M3554">
        <v>75.754000000000005</v>
      </c>
      <c r="N3554">
        <v>78.706269000000006</v>
      </c>
      <c r="O3554">
        <v>20.030999999999999</v>
      </c>
      <c r="P3554">
        <v>35.664999999999999</v>
      </c>
      <c r="Q3554">
        <v>20.042000000000002</v>
      </c>
      <c r="R3554" t="s">
        <v>1471</v>
      </c>
      <c r="S3554" t="s">
        <v>83</v>
      </c>
      <c r="T3554">
        <f>IF(TRIM(Table1[[#This Row],[PitStopLaps]])="",0,
LEN(Table1[[#This Row],[PitStopLaps]])-LEN(SUBSTITUTE(Table1[[#This Row],[PitStopLaps]],",",""))+1)</f>
        <v>4</v>
      </c>
      <c r="U3554">
        <f>Table1[[#This Row],[StartPosition]]-Table1[[#This Row],[FinishPosition]]</f>
        <v>5</v>
      </c>
    </row>
    <row r="3555" spans="1:21" x14ac:dyDescent="0.3">
      <c r="A3555">
        <v>2026</v>
      </c>
      <c r="B3555">
        <v>6</v>
      </c>
      <c r="C3555" t="s">
        <v>136</v>
      </c>
      <c r="D3555" t="s">
        <v>1444</v>
      </c>
      <c r="E3555" t="s">
        <v>1445</v>
      </c>
      <c r="F3555" t="s">
        <v>1330</v>
      </c>
      <c r="G3555">
        <v>15</v>
      </c>
      <c r="H3555">
        <v>6</v>
      </c>
      <c r="I3555">
        <v>8</v>
      </c>
      <c r="J3555" t="s">
        <v>34</v>
      </c>
      <c r="K3555" t="s">
        <v>24</v>
      </c>
      <c r="L3555">
        <v>78</v>
      </c>
      <c r="M3555">
        <v>75.908000000000001</v>
      </c>
      <c r="N3555">
        <v>79.714045999999996</v>
      </c>
      <c r="O3555">
        <v>19.972999999999999</v>
      </c>
      <c r="P3555">
        <v>35.773000000000003</v>
      </c>
      <c r="Q3555">
        <v>20.094000000000001</v>
      </c>
      <c r="R3555" t="s">
        <v>1472</v>
      </c>
      <c r="S3555" t="s">
        <v>83</v>
      </c>
      <c r="T3555">
        <f>IF(TRIM(Table1[[#This Row],[PitStopLaps]])="",0,
LEN(Table1[[#This Row],[PitStopLaps]])-LEN(SUBSTITUTE(Table1[[#This Row],[PitStopLaps]],",",""))+1)</f>
        <v>4</v>
      </c>
      <c r="U3555">
        <f>Table1[[#This Row],[StartPosition]]-Table1[[#This Row],[FinishPosition]]</f>
        <v>9</v>
      </c>
    </row>
    <row r="3556" spans="1:21" x14ac:dyDescent="0.3">
      <c r="A3556">
        <v>2026</v>
      </c>
      <c r="B3556">
        <v>6</v>
      </c>
      <c r="C3556" t="s">
        <v>136</v>
      </c>
      <c r="D3556" t="s">
        <v>73</v>
      </c>
      <c r="E3556" t="s">
        <v>74</v>
      </c>
      <c r="F3556" t="s">
        <v>607</v>
      </c>
      <c r="G3556">
        <v>9</v>
      </c>
      <c r="H3556">
        <v>7</v>
      </c>
      <c r="I3556">
        <v>6</v>
      </c>
      <c r="J3556" t="s">
        <v>34</v>
      </c>
      <c r="K3556" t="s">
        <v>24</v>
      </c>
      <c r="L3556">
        <v>78</v>
      </c>
      <c r="M3556">
        <v>75.497</v>
      </c>
      <c r="N3556">
        <v>78.404681999999994</v>
      </c>
      <c r="O3556">
        <v>19.791</v>
      </c>
      <c r="P3556">
        <v>35.426000000000002</v>
      </c>
      <c r="Q3556">
        <v>20.138999999999999</v>
      </c>
      <c r="R3556" t="s">
        <v>1473</v>
      </c>
      <c r="S3556" t="s">
        <v>83</v>
      </c>
      <c r="T3556">
        <f>IF(TRIM(Table1[[#This Row],[PitStopLaps]])="",0,
LEN(Table1[[#This Row],[PitStopLaps]])-LEN(SUBSTITUTE(Table1[[#This Row],[PitStopLaps]],",",""))+1)</f>
        <v>4</v>
      </c>
      <c r="U3556">
        <f>Table1[[#This Row],[StartPosition]]-Table1[[#This Row],[FinishPosition]]</f>
        <v>2</v>
      </c>
    </row>
    <row r="3557" spans="1:21" x14ac:dyDescent="0.3">
      <c r="A3557">
        <v>2026</v>
      </c>
      <c r="B3557">
        <v>6</v>
      </c>
      <c r="C3557" t="s">
        <v>136</v>
      </c>
      <c r="D3557" t="s">
        <v>248</v>
      </c>
      <c r="E3557" t="s">
        <v>249</v>
      </c>
      <c r="F3557" t="s">
        <v>60</v>
      </c>
      <c r="G3557">
        <v>11</v>
      </c>
      <c r="H3557">
        <v>8</v>
      </c>
      <c r="I3557">
        <v>4</v>
      </c>
      <c r="J3557" t="s">
        <v>34</v>
      </c>
      <c r="K3557" t="s">
        <v>24</v>
      </c>
      <c r="L3557">
        <v>78</v>
      </c>
      <c r="M3557">
        <v>76.393000000000001</v>
      </c>
      <c r="N3557">
        <v>79.529257999999999</v>
      </c>
      <c r="O3557">
        <v>20.241</v>
      </c>
      <c r="P3557">
        <v>35.795000000000002</v>
      </c>
      <c r="Q3557">
        <v>20.225999999999999</v>
      </c>
      <c r="R3557" t="s">
        <v>1474</v>
      </c>
      <c r="S3557" t="s">
        <v>83</v>
      </c>
      <c r="T3557">
        <f>IF(TRIM(Table1[[#This Row],[PitStopLaps]])="",0,
LEN(Table1[[#This Row],[PitStopLaps]])-LEN(SUBSTITUTE(Table1[[#This Row],[PitStopLaps]],",",""))+1)</f>
        <v>5</v>
      </c>
      <c r="U3557">
        <f>Table1[[#This Row],[StartPosition]]-Table1[[#This Row],[FinishPosition]]</f>
        <v>3</v>
      </c>
    </row>
    <row r="3558" spans="1:21" x14ac:dyDescent="0.3">
      <c r="A3558">
        <v>2026</v>
      </c>
      <c r="B3558">
        <v>6</v>
      </c>
      <c r="C3558" t="s">
        <v>136</v>
      </c>
      <c r="D3558" t="s">
        <v>52</v>
      </c>
      <c r="E3558" t="s">
        <v>53</v>
      </c>
      <c r="F3558" t="s">
        <v>69</v>
      </c>
      <c r="G3558">
        <v>17</v>
      </c>
      <c r="H3558">
        <v>9</v>
      </c>
      <c r="I3558">
        <v>2</v>
      </c>
      <c r="J3558" t="s">
        <v>34</v>
      </c>
      <c r="K3558" t="s">
        <v>24</v>
      </c>
      <c r="L3558">
        <v>78</v>
      </c>
      <c r="M3558">
        <v>76.914000000000001</v>
      </c>
      <c r="N3558">
        <v>79.708450999999997</v>
      </c>
      <c r="O3558">
        <v>20.303000000000001</v>
      </c>
      <c r="P3558">
        <v>36.15</v>
      </c>
      <c r="Q3558">
        <v>20.274999999999999</v>
      </c>
      <c r="R3558" t="s">
        <v>1475</v>
      </c>
      <c r="S3558" t="s">
        <v>83</v>
      </c>
      <c r="T3558">
        <f>IF(TRIM(Table1[[#This Row],[PitStopLaps]])="",0,
LEN(Table1[[#This Row],[PitStopLaps]])-LEN(SUBSTITUTE(Table1[[#This Row],[PitStopLaps]],",",""))+1)</f>
        <v>5</v>
      </c>
      <c r="U3558">
        <f>Table1[[#This Row],[StartPosition]]-Table1[[#This Row],[FinishPosition]]</f>
        <v>8</v>
      </c>
    </row>
    <row r="3559" spans="1:21" x14ac:dyDescent="0.3">
      <c r="A3559">
        <v>2026</v>
      </c>
      <c r="B3559">
        <v>6</v>
      </c>
      <c r="C3559" t="s">
        <v>136</v>
      </c>
      <c r="D3559" t="s">
        <v>35</v>
      </c>
      <c r="E3559" t="s">
        <v>36</v>
      </c>
      <c r="F3559" t="s">
        <v>603</v>
      </c>
      <c r="G3559">
        <v>21</v>
      </c>
      <c r="H3559">
        <v>10</v>
      </c>
      <c r="I3559">
        <v>1</v>
      </c>
      <c r="J3559" t="s">
        <v>34</v>
      </c>
      <c r="K3559" t="s">
        <v>24</v>
      </c>
      <c r="L3559">
        <v>78</v>
      </c>
      <c r="M3559">
        <v>77.12</v>
      </c>
      <c r="N3559">
        <v>79.767966999999999</v>
      </c>
      <c r="O3559">
        <v>20.291</v>
      </c>
      <c r="P3559">
        <v>36.347999999999999</v>
      </c>
      <c r="Q3559">
        <v>20.427</v>
      </c>
      <c r="R3559" t="s">
        <v>1476</v>
      </c>
      <c r="S3559" t="s">
        <v>83</v>
      </c>
      <c r="T3559">
        <f>IF(TRIM(Table1[[#This Row],[PitStopLaps]])="",0,
LEN(Table1[[#This Row],[PitStopLaps]])-LEN(SUBSTITUTE(Table1[[#This Row],[PitStopLaps]],",",""))+1)</f>
        <v>6</v>
      </c>
      <c r="U3559">
        <f>Table1[[#This Row],[StartPosition]]-Table1[[#This Row],[FinishPosition]]</f>
        <v>11</v>
      </c>
    </row>
    <row r="3560" spans="1:21" x14ac:dyDescent="0.3">
      <c r="A3560">
        <v>2026</v>
      </c>
      <c r="B3560">
        <v>6</v>
      </c>
      <c r="C3560" t="s">
        <v>136</v>
      </c>
      <c r="D3560" t="s">
        <v>1334</v>
      </c>
      <c r="E3560" t="s">
        <v>1335</v>
      </c>
      <c r="F3560" t="s">
        <v>1446</v>
      </c>
      <c r="G3560">
        <v>16</v>
      </c>
      <c r="H3560">
        <v>11</v>
      </c>
      <c r="I3560">
        <v>0</v>
      </c>
      <c r="J3560" t="s">
        <v>34</v>
      </c>
      <c r="K3560" t="s">
        <v>24</v>
      </c>
      <c r="L3560">
        <v>78</v>
      </c>
      <c r="M3560">
        <v>76.802999999999997</v>
      </c>
      <c r="N3560">
        <v>79.894649999999999</v>
      </c>
      <c r="O3560">
        <v>20.126999999999999</v>
      </c>
      <c r="P3560">
        <v>35.981999999999999</v>
      </c>
      <c r="Q3560">
        <v>20.507000000000001</v>
      </c>
      <c r="R3560" t="s">
        <v>1477</v>
      </c>
      <c r="S3560" t="s">
        <v>83</v>
      </c>
      <c r="T3560">
        <f>IF(TRIM(Table1[[#This Row],[PitStopLaps]])="",0,
LEN(Table1[[#This Row],[PitStopLaps]])-LEN(SUBSTITUTE(Table1[[#This Row],[PitStopLaps]],",",""))+1)</f>
        <v>7</v>
      </c>
      <c r="U3560">
        <f>Table1[[#This Row],[StartPosition]]-Table1[[#This Row],[FinishPosition]]</f>
        <v>5</v>
      </c>
    </row>
    <row r="3561" spans="1:21" x14ac:dyDescent="0.3">
      <c r="A3561">
        <v>2026</v>
      </c>
      <c r="B3561">
        <v>6</v>
      </c>
      <c r="C3561" t="s">
        <v>136</v>
      </c>
      <c r="D3561" t="s">
        <v>252</v>
      </c>
      <c r="E3561" t="s">
        <v>253</v>
      </c>
      <c r="F3561" t="s">
        <v>28</v>
      </c>
      <c r="G3561">
        <v>6</v>
      </c>
      <c r="H3561">
        <v>12</v>
      </c>
      <c r="I3561">
        <v>0</v>
      </c>
      <c r="J3561" t="s">
        <v>34</v>
      </c>
      <c r="K3561" t="s">
        <v>24</v>
      </c>
      <c r="L3561">
        <v>78</v>
      </c>
      <c r="M3561">
        <v>75.772999999999996</v>
      </c>
      <c r="N3561">
        <v>78.053278000000006</v>
      </c>
      <c r="O3561">
        <v>19.77</v>
      </c>
      <c r="P3561">
        <v>35.728999999999999</v>
      </c>
      <c r="Q3561">
        <v>20.209</v>
      </c>
      <c r="R3561" t="s">
        <v>1478</v>
      </c>
      <c r="S3561" t="s">
        <v>83</v>
      </c>
      <c r="T3561">
        <f>IF(TRIM(Table1[[#This Row],[PitStopLaps]])="",0,
LEN(Table1[[#This Row],[PitStopLaps]])-LEN(SUBSTITUTE(Table1[[#This Row],[PitStopLaps]],",",""))+1)</f>
        <v>5</v>
      </c>
      <c r="U3561">
        <f>Table1[[#This Row],[StartPosition]]-Table1[[#This Row],[FinishPosition]]</f>
        <v>-6</v>
      </c>
    </row>
    <row r="3562" spans="1:21" x14ac:dyDescent="0.3">
      <c r="A3562">
        <v>2026</v>
      </c>
      <c r="B3562">
        <v>6</v>
      </c>
      <c r="C3562" t="s">
        <v>136</v>
      </c>
      <c r="D3562" t="s">
        <v>40</v>
      </c>
      <c r="E3562" t="s">
        <v>41</v>
      </c>
      <c r="F3562" t="s">
        <v>1446</v>
      </c>
      <c r="G3562">
        <v>13</v>
      </c>
      <c r="H3562">
        <v>13</v>
      </c>
      <c r="I3562">
        <v>0</v>
      </c>
      <c r="J3562" t="s">
        <v>34</v>
      </c>
      <c r="K3562" t="s">
        <v>24</v>
      </c>
      <c r="L3562">
        <v>78</v>
      </c>
      <c r="M3562">
        <v>76.331999999999994</v>
      </c>
      <c r="N3562">
        <v>79.64358</v>
      </c>
      <c r="O3562">
        <v>20.077999999999999</v>
      </c>
      <c r="P3562">
        <v>35.792999999999999</v>
      </c>
      <c r="Q3562">
        <v>20.224</v>
      </c>
      <c r="R3562" t="s">
        <v>1479</v>
      </c>
      <c r="S3562" t="s">
        <v>83</v>
      </c>
      <c r="T3562">
        <f>IF(TRIM(Table1[[#This Row],[PitStopLaps]])="",0,
LEN(Table1[[#This Row],[PitStopLaps]])-LEN(SUBSTITUTE(Table1[[#This Row],[PitStopLaps]],",",""))+1)</f>
        <v>6</v>
      </c>
      <c r="U3562">
        <f>Table1[[#This Row],[StartPosition]]-Table1[[#This Row],[FinishPosition]]</f>
        <v>0</v>
      </c>
    </row>
    <row r="3563" spans="1:21" x14ac:dyDescent="0.3">
      <c r="A3563">
        <v>2026</v>
      </c>
      <c r="B3563">
        <v>6</v>
      </c>
      <c r="C3563" t="s">
        <v>136</v>
      </c>
      <c r="D3563" t="s">
        <v>1283</v>
      </c>
      <c r="E3563" t="s">
        <v>1284</v>
      </c>
      <c r="F3563" t="s">
        <v>607</v>
      </c>
      <c r="G3563">
        <v>14</v>
      </c>
      <c r="H3563">
        <v>14</v>
      </c>
      <c r="I3563">
        <v>0</v>
      </c>
      <c r="J3563" t="s">
        <v>34</v>
      </c>
      <c r="K3563" t="s">
        <v>24</v>
      </c>
      <c r="L3563">
        <v>78</v>
      </c>
      <c r="M3563">
        <v>76.316000000000003</v>
      </c>
      <c r="N3563">
        <v>79.820611999999997</v>
      </c>
      <c r="O3563">
        <v>19.981999999999999</v>
      </c>
      <c r="P3563">
        <v>35.9</v>
      </c>
      <c r="Q3563">
        <v>20.068999999999999</v>
      </c>
      <c r="R3563" t="s">
        <v>1480</v>
      </c>
      <c r="S3563" t="s">
        <v>83</v>
      </c>
      <c r="T3563">
        <f>IF(TRIM(Table1[[#This Row],[PitStopLaps]])="",0,
LEN(Table1[[#This Row],[PitStopLaps]])-LEN(SUBSTITUTE(Table1[[#This Row],[PitStopLaps]],",",""))+1)</f>
        <v>5</v>
      </c>
      <c r="U3563">
        <f>Table1[[#This Row],[StartPosition]]-Table1[[#This Row],[FinishPosition]]</f>
        <v>0</v>
      </c>
    </row>
    <row r="3564" spans="1:21" x14ac:dyDescent="0.3">
      <c r="A3564">
        <v>2026</v>
      </c>
      <c r="B3564">
        <v>6</v>
      </c>
      <c r="C3564" t="s">
        <v>136</v>
      </c>
      <c r="D3564" t="s">
        <v>49</v>
      </c>
      <c r="E3564" t="s">
        <v>50</v>
      </c>
      <c r="F3564" t="s">
        <v>1449</v>
      </c>
      <c r="G3564">
        <v>18</v>
      </c>
      <c r="H3564">
        <v>15</v>
      </c>
      <c r="I3564">
        <v>0</v>
      </c>
      <c r="J3564" t="s">
        <v>34</v>
      </c>
      <c r="K3564" t="s">
        <v>24</v>
      </c>
      <c r="L3564">
        <v>78</v>
      </c>
      <c r="M3564">
        <v>76.891000000000005</v>
      </c>
      <c r="N3564">
        <v>79.956355000000002</v>
      </c>
      <c r="O3564">
        <v>20.343</v>
      </c>
      <c r="P3564">
        <v>35.918999999999997</v>
      </c>
      <c r="Q3564">
        <v>20.454000000000001</v>
      </c>
      <c r="R3564" t="s">
        <v>1481</v>
      </c>
      <c r="S3564" t="s">
        <v>83</v>
      </c>
      <c r="T3564">
        <f>IF(TRIM(Table1[[#This Row],[PitStopLaps]])="",0,
LEN(Table1[[#This Row],[PitStopLaps]])-LEN(SUBSTITUTE(Table1[[#This Row],[PitStopLaps]],",",""))+1)</f>
        <v>6</v>
      </c>
      <c r="U3564">
        <f>Table1[[#This Row],[StartPosition]]-Table1[[#This Row],[FinishPosition]]</f>
        <v>3</v>
      </c>
    </row>
    <row r="3565" spans="1:21" x14ac:dyDescent="0.3">
      <c r="A3565">
        <v>2026</v>
      </c>
      <c r="B3565">
        <v>6</v>
      </c>
      <c r="C3565" t="s">
        <v>136</v>
      </c>
      <c r="D3565" t="s">
        <v>47</v>
      </c>
      <c r="E3565" t="s">
        <v>48</v>
      </c>
      <c r="F3565" t="s">
        <v>60</v>
      </c>
      <c r="G3565">
        <v>12</v>
      </c>
      <c r="H3565">
        <v>16</v>
      </c>
      <c r="I3565">
        <v>0</v>
      </c>
      <c r="J3565" t="s">
        <v>34</v>
      </c>
      <c r="K3565" t="s">
        <v>179</v>
      </c>
      <c r="L3565">
        <v>71</v>
      </c>
      <c r="M3565">
        <v>78.022000000000006</v>
      </c>
      <c r="N3565">
        <v>79.656684999999996</v>
      </c>
      <c r="O3565">
        <v>20.326000000000001</v>
      </c>
      <c r="P3565">
        <v>36.646999999999998</v>
      </c>
      <c r="Q3565">
        <v>20.760999999999999</v>
      </c>
      <c r="R3565" t="s">
        <v>1482</v>
      </c>
      <c r="S3565" t="s">
        <v>83</v>
      </c>
      <c r="T3565">
        <f>IF(TRIM(Table1[[#This Row],[PitStopLaps]])="",0,
LEN(Table1[[#This Row],[PitStopLaps]])-LEN(SUBSTITUTE(Table1[[#This Row],[PitStopLaps]],",",""))+1)</f>
        <v>5</v>
      </c>
      <c r="U3565">
        <f>Table1[[#This Row],[StartPosition]]-Table1[[#This Row],[FinishPosition]]</f>
        <v>-4</v>
      </c>
    </row>
    <row r="3566" spans="1:21" x14ac:dyDescent="0.3">
      <c r="A3566">
        <v>2026</v>
      </c>
      <c r="B3566">
        <v>6</v>
      </c>
      <c r="C3566" t="s">
        <v>136</v>
      </c>
      <c r="D3566" t="s">
        <v>54</v>
      </c>
      <c r="E3566" t="s">
        <v>55</v>
      </c>
      <c r="F3566" t="s">
        <v>22</v>
      </c>
      <c r="G3566">
        <v>4</v>
      </c>
      <c r="H3566">
        <v>17</v>
      </c>
      <c r="I3566">
        <v>0</v>
      </c>
      <c r="J3566" t="s">
        <v>34</v>
      </c>
      <c r="K3566" t="s">
        <v>179</v>
      </c>
      <c r="L3566">
        <v>65</v>
      </c>
      <c r="M3566">
        <v>75.963999999999999</v>
      </c>
      <c r="N3566">
        <v>77.044357000000005</v>
      </c>
      <c r="O3566">
        <v>19.934000000000001</v>
      </c>
      <c r="P3566">
        <v>35.826999999999998</v>
      </c>
      <c r="Q3566">
        <v>20.137</v>
      </c>
      <c r="R3566" t="s">
        <v>1483</v>
      </c>
      <c r="S3566" t="s">
        <v>83</v>
      </c>
      <c r="T3566">
        <f>IF(TRIM(Table1[[#This Row],[PitStopLaps]])="",0,
LEN(Table1[[#This Row],[PitStopLaps]])-LEN(SUBSTITUTE(Table1[[#This Row],[PitStopLaps]],",",""))+1)</f>
        <v>3</v>
      </c>
      <c r="U3566">
        <f>Table1[[#This Row],[StartPosition]]-Table1[[#This Row],[FinishPosition]]</f>
        <v>-13</v>
      </c>
    </row>
    <row r="3567" spans="1:21" x14ac:dyDescent="0.3">
      <c r="A3567">
        <v>2026</v>
      </c>
      <c r="B3567">
        <v>6</v>
      </c>
      <c r="C3567" t="s">
        <v>136</v>
      </c>
      <c r="D3567" t="s">
        <v>58</v>
      </c>
      <c r="E3567" t="s">
        <v>59</v>
      </c>
      <c r="F3567" t="s">
        <v>603</v>
      </c>
      <c r="G3567">
        <v>22</v>
      </c>
      <c r="H3567">
        <v>18</v>
      </c>
      <c r="I3567">
        <v>0</v>
      </c>
      <c r="J3567" t="s">
        <v>34</v>
      </c>
      <c r="K3567" t="s">
        <v>179</v>
      </c>
      <c r="L3567">
        <v>57</v>
      </c>
      <c r="M3567">
        <v>78.844999999999999</v>
      </c>
      <c r="N3567">
        <v>79.812017999999995</v>
      </c>
      <c r="O3567">
        <v>20.629000000000001</v>
      </c>
      <c r="P3567">
        <v>36.363</v>
      </c>
      <c r="Q3567">
        <v>20.93</v>
      </c>
      <c r="R3567">
        <v>4</v>
      </c>
      <c r="S3567" t="s">
        <v>83</v>
      </c>
      <c r="T3567">
        <f>IF(TRIM(Table1[[#This Row],[PitStopLaps]])="",0,
LEN(Table1[[#This Row],[PitStopLaps]])-LEN(SUBSTITUTE(Table1[[#This Row],[PitStopLaps]],",",""))+1)</f>
        <v>1</v>
      </c>
      <c r="U3567">
        <f>Table1[[#This Row],[StartPosition]]-Table1[[#This Row],[FinishPosition]]</f>
        <v>4</v>
      </c>
    </row>
    <row r="3568" spans="1:21" x14ac:dyDescent="0.3">
      <c r="A3568">
        <v>2026</v>
      </c>
      <c r="B3568">
        <v>6</v>
      </c>
      <c r="C3568" t="s">
        <v>136</v>
      </c>
      <c r="D3568" t="s">
        <v>246</v>
      </c>
      <c r="E3568" t="s">
        <v>247</v>
      </c>
      <c r="F3568" t="s">
        <v>37</v>
      </c>
      <c r="G3568">
        <v>8</v>
      </c>
      <c r="H3568">
        <v>19</v>
      </c>
      <c r="I3568">
        <v>0</v>
      </c>
      <c r="J3568" t="s">
        <v>34</v>
      </c>
      <c r="K3568" t="s">
        <v>179</v>
      </c>
      <c r="L3568">
        <v>44</v>
      </c>
      <c r="M3568">
        <v>77.67</v>
      </c>
      <c r="N3568">
        <v>78.716189999999997</v>
      </c>
      <c r="O3568">
        <v>20.317</v>
      </c>
      <c r="P3568">
        <v>36.378999999999998</v>
      </c>
      <c r="Q3568">
        <v>20.635999999999999</v>
      </c>
      <c r="R3568">
        <v>44</v>
      </c>
      <c r="S3568" t="s">
        <v>83</v>
      </c>
      <c r="T3568">
        <f>IF(TRIM(Table1[[#This Row],[PitStopLaps]])="",0,
LEN(Table1[[#This Row],[PitStopLaps]])-LEN(SUBSTITUTE(Table1[[#This Row],[PitStopLaps]],",",""))+1)</f>
        <v>1</v>
      </c>
      <c r="U3568">
        <f>Table1[[#This Row],[StartPosition]]-Table1[[#This Row],[FinishPosition]]</f>
        <v>-11</v>
      </c>
    </row>
    <row r="3569" spans="1:21" x14ac:dyDescent="0.3">
      <c r="A3569">
        <v>2026</v>
      </c>
      <c r="B3569">
        <v>6</v>
      </c>
      <c r="C3569" t="s">
        <v>136</v>
      </c>
      <c r="D3569" t="s">
        <v>1180</v>
      </c>
      <c r="E3569" t="s">
        <v>1181</v>
      </c>
      <c r="F3569" t="s">
        <v>69</v>
      </c>
      <c r="G3569">
        <v>19</v>
      </c>
      <c r="H3569">
        <v>20</v>
      </c>
      <c r="I3569">
        <v>0</v>
      </c>
      <c r="J3569" t="s">
        <v>34</v>
      </c>
      <c r="K3569" t="s">
        <v>179</v>
      </c>
      <c r="L3569">
        <v>28</v>
      </c>
      <c r="M3569">
        <v>78.474999999999994</v>
      </c>
      <c r="N3569">
        <v>80.426119999999997</v>
      </c>
      <c r="O3569">
        <v>20.669</v>
      </c>
      <c r="P3569">
        <v>36.585000000000001</v>
      </c>
      <c r="Q3569">
        <v>20.864999999999998</v>
      </c>
      <c r="R3569" t="s">
        <v>198</v>
      </c>
      <c r="S3569" t="s">
        <v>83</v>
      </c>
      <c r="T3569">
        <f>IF(TRIM(Table1[[#This Row],[PitStopLaps]])="",0,
LEN(Table1[[#This Row],[PitStopLaps]])-LEN(SUBSTITUTE(Table1[[#This Row],[PitStopLaps]],",",""))+1)</f>
        <v>2</v>
      </c>
      <c r="U3569">
        <f>Table1[[#This Row],[StartPosition]]-Table1[[#This Row],[FinishPosition]]</f>
        <v>-1</v>
      </c>
    </row>
    <row r="3570" spans="1:21" x14ac:dyDescent="0.3">
      <c r="A3570">
        <v>2026</v>
      </c>
      <c r="B3570">
        <v>6</v>
      </c>
      <c r="C3570" t="s">
        <v>136</v>
      </c>
      <c r="D3570" t="s">
        <v>43</v>
      </c>
      <c r="E3570" t="s">
        <v>44</v>
      </c>
      <c r="F3570" t="s">
        <v>1449</v>
      </c>
      <c r="G3570">
        <v>20</v>
      </c>
      <c r="H3570">
        <v>21</v>
      </c>
      <c r="I3570">
        <v>0</v>
      </c>
      <c r="J3570" t="s">
        <v>34</v>
      </c>
      <c r="K3570" t="s">
        <v>179</v>
      </c>
      <c r="L3570">
        <v>16</v>
      </c>
      <c r="M3570">
        <v>80.494</v>
      </c>
      <c r="N3570">
        <v>81.603153000000006</v>
      </c>
      <c r="O3570">
        <v>21.202000000000002</v>
      </c>
      <c r="P3570">
        <v>37.603999999999999</v>
      </c>
      <c r="Q3570">
        <v>21.16</v>
      </c>
      <c r="R3570" t="s">
        <v>276</v>
      </c>
      <c r="S3570" t="s">
        <v>83</v>
      </c>
      <c r="T3570">
        <f>IF(TRIM(Table1[[#This Row],[PitStopLaps]])="",0,
LEN(Table1[[#This Row],[PitStopLaps]])-LEN(SUBSTITUTE(Table1[[#This Row],[PitStopLaps]],",",""))+1)</f>
        <v>2</v>
      </c>
      <c r="U3570">
        <f>Table1[[#This Row],[StartPosition]]-Table1[[#This Row],[FinishPosition]]</f>
        <v>-1</v>
      </c>
    </row>
    <row r="3571" spans="1:21" x14ac:dyDescent="0.3">
      <c r="A3571">
        <v>2026</v>
      </c>
      <c r="B3571">
        <v>6</v>
      </c>
      <c r="C3571" t="s">
        <v>136</v>
      </c>
      <c r="D3571" t="s">
        <v>38</v>
      </c>
      <c r="E3571" t="s">
        <v>39</v>
      </c>
      <c r="F3571" t="s">
        <v>33</v>
      </c>
      <c r="G3571">
        <v>2</v>
      </c>
      <c r="H3571">
        <v>22</v>
      </c>
      <c r="I3571">
        <v>0</v>
      </c>
      <c r="J3571" t="s">
        <v>34</v>
      </c>
      <c r="K3571" t="s">
        <v>179</v>
      </c>
      <c r="L3571">
        <v>1</v>
      </c>
      <c r="S3571" t="s">
        <v>83</v>
      </c>
      <c r="T3571">
        <f>IF(TRIM(Table1[[#This Row],[PitStopLaps]])="",0,
LEN(Table1[[#This Row],[PitStopLaps]])-LEN(SUBSTITUTE(Table1[[#This Row],[PitStopLaps]],",",""))+1)</f>
        <v>0</v>
      </c>
      <c r="U3571">
        <f>Table1[[#This Row],[StartPosition]]-Table1[[#This Row],[FinishPosition]]</f>
        <v>-20</v>
      </c>
    </row>
    <row r="3572" spans="1:21" x14ac:dyDescent="0.3">
      <c r="A3572">
        <v>2026</v>
      </c>
      <c r="B3572">
        <v>7</v>
      </c>
      <c r="C3572" t="s">
        <v>1484</v>
      </c>
      <c r="D3572" t="s">
        <v>26</v>
      </c>
      <c r="E3572" t="s">
        <v>27</v>
      </c>
      <c r="F3572" t="s">
        <v>22</v>
      </c>
      <c r="G3572">
        <v>2</v>
      </c>
      <c r="H3572">
        <v>1</v>
      </c>
      <c r="I3572">
        <v>25</v>
      </c>
      <c r="J3572" t="s">
        <v>23</v>
      </c>
      <c r="K3572" t="s">
        <v>24</v>
      </c>
      <c r="L3572">
        <v>66</v>
      </c>
      <c r="M3572">
        <v>80.122</v>
      </c>
      <c r="N3572">
        <v>81.642285000000001</v>
      </c>
      <c r="O3572">
        <v>23.385000000000002</v>
      </c>
      <c r="P3572">
        <v>32.201000000000001</v>
      </c>
      <c r="Q3572">
        <v>24.28</v>
      </c>
      <c r="R3572" t="s">
        <v>1485</v>
      </c>
      <c r="S3572" t="s">
        <v>83</v>
      </c>
      <c r="T3572">
        <f>IF(TRIM(Table1[[#This Row],[PitStopLaps]])="",0,
LEN(Table1[[#This Row],[PitStopLaps]])-LEN(SUBSTITUTE(Table1[[#This Row],[PitStopLaps]],",",""))+1)</f>
        <v>3</v>
      </c>
      <c r="U3572">
        <f>Table1[[#This Row],[StartPosition]]-Table1[[#This Row],[FinishPosition]]</f>
        <v>1</v>
      </c>
    </row>
    <row r="3573" spans="1:21" x14ac:dyDescent="0.3">
      <c r="A3573">
        <v>2026</v>
      </c>
      <c r="B3573">
        <v>7</v>
      </c>
      <c r="C3573" t="s">
        <v>1484</v>
      </c>
      <c r="D3573" t="s">
        <v>252</v>
      </c>
      <c r="E3573" t="s">
        <v>253</v>
      </c>
      <c r="F3573" t="s">
        <v>28</v>
      </c>
      <c r="G3573">
        <v>1</v>
      </c>
      <c r="H3573">
        <v>2</v>
      </c>
      <c r="I3573">
        <v>18</v>
      </c>
      <c r="J3573" t="s">
        <v>23</v>
      </c>
      <c r="K3573" t="s">
        <v>24</v>
      </c>
      <c r="L3573">
        <v>66</v>
      </c>
      <c r="M3573">
        <v>80.64</v>
      </c>
      <c r="N3573">
        <v>82.265671999999995</v>
      </c>
      <c r="O3573">
        <v>23.420999999999999</v>
      </c>
      <c r="P3573">
        <v>32.616</v>
      </c>
      <c r="Q3573">
        <v>24.402999999999999</v>
      </c>
      <c r="R3573" t="s">
        <v>379</v>
      </c>
      <c r="S3573" t="s">
        <v>83</v>
      </c>
      <c r="T3573">
        <f>IF(TRIM(Table1[[#This Row],[PitStopLaps]])="",0,
LEN(Table1[[#This Row],[PitStopLaps]])-LEN(SUBSTITUTE(Table1[[#This Row],[PitStopLaps]],",",""))+1)</f>
        <v>2</v>
      </c>
      <c r="U3573">
        <f>Table1[[#This Row],[StartPosition]]-Table1[[#This Row],[FinishPosition]]</f>
        <v>-1</v>
      </c>
    </row>
    <row r="3574" spans="1:21" x14ac:dyDescent="0.3">
      <c r="A3574">
        <v>2026</v>
      </c>
      <c r="B3574">
        <v>7</v>
      </c>
      <c r="C3574" t="s">
        <v>1484</v>
      </c>
      <c r="D3574" t="s">
        <v>246</v>
      </c>
      <c r="E3574" t="s">
        <v>247</v>
      </c>
      <c r="F3574" t="s">
        <v>37</v>
      </c>
      <c r="G3574">
        <v>4</v>
      </c>
      <c r="H3574">
        <v>3</v>
      </c>
      <c r="I3574">
        <v>15</v>
      </c>
      <c r="J3574" t="s">
        <v>23</v>
      </c>
      <c r="K3574" t="s">
        <v>24</v>
      </c>
      <c r="L3574">
        <v>66</v>
      </c>
      <c r="M3574">
        <v>80.231999999999999</v>
      </c>
      <c r="N3574">
        <v>82.257758999999993</v>
      </c>
      <c r="O3574">
        <v>23.47</v>
      </c>
      <c r="P3574">
        <v>32.468000000000004</v>
      </c>
      <c r="Q3574">
        <v>24.221</v>
      </c>
      <c r="R3574" t="s">
        <v>334</v>
      </c>
      <c r="S3574" t="s">
        <v>83</v>
      </c>
      <c r="T3574">
        <f>IF(TRIM(Table1[[#This Row],[PitStopLaps]])="",0,
LEN(Table1[[#This Row],[PitStopLaps]])-LEN(SUBSTITUTE(Table1[[#This Row],[PitStopLaps]],",",""))+1)</f>
        <v>2</v>
      </c>
      <c r="U3574">
        <f>Table1[[#This Row],[StartPosition]]-Table1[[#This Row],[FinishPosition]]</f>
        <v>1</v>
      </c>
    </row>
    <row r="3575" spans="1:21" x14ac:dyDescent="0.3">
      <c r="A3575">
        <v>2026</v>
      </c>
      <c r="B3575">
        <v>7</v>
      </c>
      <c r="C3575" t="s">
        <v>1484</v>
      </c>
      <c r="D3575" t="s">
        <v>38</v>
      </c>
      <c r="E3575" t="s">
        <v>39</v>
      </c>
      <c r="F3575" t="s">
        <v>33</v>
      </c>
      <c r="G3575">
        <v>5</v>
      </c>
      <c r="H3575">
        <v>4</v>
      </c>
      <c r="I3575">
        <v>12</v>
      </c>
      <c r="J3575" t="s">
        <v>34</v>
      </c>
      <c r="K3575" t="s">
        <v>24</v>
      </c>
      <c r="L3575">
        <v>66</v>
      </c>
      <c r="M3575">
        <v>80.23</v>
      </c>
      <c r="N3575">
        <v>82.224677999999997</v>
      </c>
      <c r="O3575">
        <v>23.363</v>
      </c>
      <c r="P3575">
        <v>32.542000000000002</v>
      </c>
      <c r="Q3575">
        <v>24.315999999999999</v>
      </c>
      <c r="R3575" t="s">
        <v>1486</v>
      </c>
      <c r="S3575" t="s">
        <v>83</v>
      </c>
      <c r="T3575">
        <f>IF(TRIM(Table1[[#This Row],[PitStopLaps]])="",0,
LEN(Table1[[#This Row],[PitStopLaps]])-LEN(SUBSTITUTE(Table1[[#This Row],[PitStopLaps]],",",""))+1)</f>
        <v>3</v>
      </c>
      <c r="U3575">
        <f>Table1[[#This Row],[StartPosition]]-Table1[[#This Row],[FinishPosition]]</f>
        <v>1</v>
      </c>
    </row>
    <row r="3576" spans="1:21" x14ac:dyDescent="0.3">
      <c r="A3576">
        <v>2026</v>
      </c>
      <c r="B3576">
        <v>7</v>
      </c>
      <c r="C3576" t="s">
        <v>1484</v>
      </c>
      <c r="D3576" t="s">
        <v>1000</v>
      </c>
      <c r="E3576" t="s">
        <v>1001</v>
      </c>
      <c r="F3576" t="s">
        <v>37</v>
      </c>
      <c r="G3576">
        <v>7</v>
      </c>
      <c r="H3576">
        <v>5</v>
      </c>
      <c r="I3576">
        <v>10</v>
      </c>
      <c r="J3576" t="s">
        <v>34</v>
      </c>
      <c r="K3576" t="s">
        <v>24</v>
      </c>
      <c r="L3576">
        <v>66</v>
      </c>
      <c r="M3576">
        <v>80.834999999999994</v>
      </c>
      <c r="N3576">
        <v>82.734606999999997</v>
      </c>
      <c r="O3576">
        <v>23.591999999999999</v>
      </c>
      <c r="P3576">
        <v>32.704000000000001</v>
      </c>
      <c r="Q3576">
        <v>24.49</v>
      </c>
      <c r="R3576" t="s">
        <v>202</v>
      </c>
      <c r="S3576" t="s">
        <v>83</v>
      </c>
      <c r="T3576">
        <f>IF(TRIM(Table1[[#This Row],[PitStopLaps]])="",0,
LEN(Table1[[#This Row],[PitStopLaps]])-LEN(SUBSTITUTE(Table1[[#This Row],[PitStopLaps]],",",""))+1)</f>
        <v>2</v>
      </c>
      <c r="U3576">
        <f>Table1[[#This Row],[StartPosition]]-Table1[[#This Row],[FinishPosition]]</f>
        <v>2</v>
      </c>
    </row>
    <row r="3577" spans="1:21" x14ac:dyDescent="0.3">
      <c r="A3577">
        <v>2026</v>
      </c>
      <c r="B3577">
        <v>7</v>
      </c>
      <c r="C3577" t="s">
        <v>1484</v>
      </c>
      <c r="D3577" t="s">
        <v>1337</v>
      </c>
      <c r="E3577" t="s">
        <v>1338</v>
      </c>
      <c r="F3577" t="s">
        <v>33</v>
      </c>
      <c r="G3577">
        <v>6</v>
      </c>
      <c r="H3577">
        <v>6</v>
      </c>
      <c r="I3577">
        <v>8</v>
      </c>
      <c r="J3577" t="s">
        <v>34</v>
      </c>
      <c r="K3577" t="s">
        <v>994</v>
      </c>
      <c r="L3577">
        <v>65</v>
      </c>
      <c r="M3577">
        <v>80.150000000000006</v>
      </c>
      <c r="N3577">
        <v>83.232056999999998</v>
      </c>
      <c r="O3577">
        <v>23.268999999999998</v>
      </c>
      <c r="P3577">
        <v>32.229999999999997</v>
      </c>
      <c r="Q3577">
        <v>24.651</v>
      </c>
      <c r="R3577" t="s">
        <v>1487</v>
      </c>
      <c r="S3577" t="s">
        <v>83</v>
      </c>
      <c r="T3577">
        <f>IF(TRIM(Table1[[#This Row],[PitStopLaps]])="",0,
LEN(Table1[[#This Row],[PitStopLaps]])-LEN(SUBSTITUTE(Table1[[#This Row],[PitStopLaps]],",",""))+1)</f>
        <v>3</v>
      </c>
      <c r="U3577">
        <f>Table1[[#This Row],[StartPosition]]-Table1[[#This Row],[FinishPosition]]</f>
        <v>0</v>
      </c>
    </row>
    <row r="3578" spans="1:21" x14ac:dyDescent="0.3">
      <c r="A3578">
        <v>2026</v>
      </c>
      <c r="B3578">
        <v>7</v>
      </c>
      <c r="C3578" t="s">
        <v>1484</v>
      </c>
      <c r="D3578" t="s">
        <v>73</v>
      </c>
      <c r="E3578" t="s">
        <v>74</v>
      </c>
      <c r="F3578" t="s">
        <v>607</v>
      </c>
      <c r="G3578">
        <v>14</v>
      </c>
      <c r="H3578">
        <v>7</v>
      </c>
      <c r="I3578">
        <v>6</v>
      </c>
      <c r="J3578" t="s">
        <v>34</v>
      </c>
      <c r="K3578" t="s">
        <v>994</v>
      </c>
      <c r="L3578">
        <v>65</v>
      </c>
      <c r="M3578">
        <v>81.707999999999998</v>
      </c>
      <c r="N3578">
        <v>84.181552999999994</v>
      </c>
      <c r="O3578">
        <v>23.728000000000002</v>
      </c>
      <c r="P3578">
        <v>33.155000000000001</v>
      </c>
      <c r="Q3578">
        <v>24.824999999999999</v>
      </c>
      <c r="R3578" t="s">
        <v>1183</v>
      </c>
      <c r="S3578" t="s">
        <v>83</v>
      </c>
      <c r="T3578">
        <f>IF(TRIM(Table1[[#This Row],[PitStopLaps]])="",0,
LEN(Table1[[#This Row],[PitStopLaps]])-LEN(SUBSTITUTE(Table1[[#This Row],[PitStopLaps]],",",""))+1)</f>
        <v>2</v>
      </c>
      <c r="U3578">
        <f>Table1[[#This Row],[StartPosition]]-Table1[[#This Row],[FinishPosition]]</f>
        <v>7</v>
      </c>
    </row>
    <row r="3579" spans="1:21" x14ac:dyDescent="0.3">
      <c r="A3579">
        <v>2026</v>
      </c>
      <c r="B3579">
        <v>7</v>
      </c>
      <c r="C3579" t="s">
        <v>1484</v>
      </c>
      <c r="D3579" t="s">
        <v>1092</v>
      </c>
      <c r="E3579" t="s">
        <v>1093</v>
      </c>
      <c r="F3579" t="s">
        <v>1330</v>
      </c>
      <c r="G3579">
        <v>8</v>
      </c>
      <c r="H3579">
        <v>8</v>
      </c>
      <c r="I3579">
        <v>4</v>
      </c>
      <c r="J3579" t="s">
        <v>34</v>
      </c>
      <c r="K3579" t="s">
        <v>994</v>
      </c>
      <c r="L3579">
        <v>65</v>
      </c>
      <c r="M3579">
        <v>82.691000000000003</v>
      </c>
      <c r="N3579">
        <v>84.296165999999999</v>
      </c>
      <c r="O3579">
        <v>23.908000000000001</v>
      </c>
      <c r="P3579">
        <v>33.475000000000001</v>
      </c>
      <c r="Q3579">
        <v>25.111999999999998</v>
      </c>
      <c r="R3579" t="s">
        <v>593</v>
      </c>
      <c r="S3579" t="s">
        <v>83</v>
      </c>
      <c r="T3579">
        <f>IF(TRIM(Table1[[#This Row],[PitStopLaps]])="",0,
LEN(Table1[[#This Row],[PitStopLaps]])-LEN(SUBSTITUTE(Table1[[#This Row],[PitStopLaps]],",",""))+1)</f>
        <v>2</v>
      </c>
      <c r="U3579">
        <f>Table1[[#This Row],[StartPosition]]-Table1[[#This Row],[FinishPosition]]</f>
        <v>0</v>
      </c>
    </row>
    <row r="3580" spans="1:21" x14ac:dyDescent="0.3">
      <c r="A3580">
        <v>2026</v>
      </c>
      <c r="B3580">
        <v>7</v>
      </c>
      <c r="C3580" t="s">
        <v>1484</v>
      </c>
      <c r="D3580" t="s">
        <v>1444</v>
      </c>
      <c r="E3580" t="s">
        <v>1445</v>
      </c>
      <c r="F3580" t="s">
        <v>1330</v>
      </c>
      <c r="G3580">
        <v>11</v>
      </c>
      <c r="H3580">
        <v>9</v>
      </c>
      <c r="I3580">
        <v>2</v>
      </c>
      <c r="J3580" t="s">
        <v>34</v>
      </c>
      <c r="K3580" t="s">
        <v>994</v>
      </c>
      <c r="L3580">
        <v>65</v>
      </c>
      <c r="M3580">
        <v>81.914000000000001</v>
      </c>
      <c r="N3580">
        <v>84.455054000000004</v>
      </c>
      <c r="O3580">
        <v>23.617999999999999</v>
      </c>
      <c r="P3580">
        <v>33.250999999999998</v>
      </c>
      <c r="Q3580">
        <v>25.045000000000002</v>
      </c>
      <c r="R3580" t="s">
        <v>1488</v>
      </c>
      <c r="S3580" t="s">
        <v>83</v>
      </c>
      <c r="T3580">
        <f>IF(TRIM(Table1[[#This Row],[PitStopLaps]])="",0,
LEN(Table1[[#This Row],[PitStopLaps]])-LEN(SUBSTITUTE(Table1[[#This Row],[PitStopLaps]],",",""))+1)</f>
        <v>2</v>
      </c>
      <c r="U3580">
        <f>Table1[[#This Row],[StartPosition]]-Table1[[#This Row],[FinishPosition]]</f>
        <v>2</v>
      </c>
    </row>
    <row r="3581" spans="1:21" x14ac:dyDescent="0.3">
      <c r="A3581">
        <v>2026</v>
      </c>
      <c r="B3581">
        <v>7</v>
      </c>
      <c r="C3581" t="s">
        <v>1484</v>
      </c>
      <c r="D3581" t="s">
        <v>1283</v>
      </c>
      <c r="E3581" t="s">
        <v>1284</v>
      </c>
      <c r="F3581" t="s">
        <v>607</v>
      </c>
      <c r="G3581">
        <v>13</v>
      </c>
      <c r="H3581">
        <v>10</v>
      </c>
      <c r="I3581">
        <v>1</v>
      </c>
      <c r="J3581" t="s">
        <v>34</v>
      </c>
      <c r="K3581" t="s">
        <v>994</v>
      </c>
      <c r="L3581">
        <v>65</v>
      </c>
      <c r="M3581">
        <v>82.448999999999998</v>
      </c>
      <c r="N3581">
        <v>84.327814000000004</v>
      </c>
      <c r="O3581">
        <v>23.847999999999999</v>
      </c>
      <c r="P3581">
        <v>33.622</v>
      </c>
      <c r="Q3581">
        <v>24.847000000000001</v>
      </c>
      <c r="R3581" t="s">
        <v>551</v>
      </c>
      <c r="S3581" t="s">
        <v>83</v>
      </c>
      <c r="T3581">
        <f>IF(TRIM(Table1[[#This Row],[PitStopLaps]])="",0,
LEN(Table1[[#This Row],[PitStopLaps]])-LEN(SUBSTITUTE(Table1[[#This Row],[PitStopLaps]],",",""))+1)</f>
        <v>2</v>
      </c>
      <c r="U3581">
        <f>Table1[[#This Row],[StartPosition]]-Table1[[#This Row],[FinishPosition]]</f>
        <v>3</v>
      </c>
    </row>
    <row r="3582" spans="1:21" x14ac:dyDescent="0.3">
      <c r="A3582">
        <v>2026</v>
      </c>
      <c r="B3582">
        <v>7</v>
      </c>
      <c r="C3582" t="s">
        <v>1484</v>
      </c>
      <c r="D3582" t="s">
        <v>1334</v>
      </c>
      <c r="E3582" t="s">
        <v>1335</v>
      </c>
      <c r="F3582" t="s">
        <v>1446</v>
      </c>
      <c r="G3582">
        <v>12</v>
      </c>
      <c r="H3582">
        <v>11</v>
      </c>
      <c r="I3582">
        <v>0</v>
      </c>
      <c r="J3582" t="s">
        <v>34</v>
      </c>
      <c r="K3582" t="s">
        <v>994</v>
      </c>
      <c r="L3582">
        <v>64</v>
      </c>
      <c r="M3582">
        <v>81.445999999999998</v>
      </c>
      <c r="N3582">
        <v>84.487410999999994</v>
      </c>
      <c r="O3582">
        <v>23.631</v>
      </c>
      <c r="P3582">
        <v>32.875</v>
      </c>
      <c r="Q3582">
        <v>24.771000000000001</v>
      </c>
      <c r="R3582" t="s">
        <v>1489</v>
      </c>
      <c r="S3582" t="s">
        <v>83</v>
      </c>
      <c r="T3582">
        <f>IF(TRIM(Table1[[#This Row],[PitStopLaps]])="",0,
LEN(Table1[[#This Row],[PitStopLaps]])-LEN(SUBSTITUTE(Table1[[#This Row],[PitStopLaps]],",",""))+1)</f>
        <v>3</v>
      </c>
      <c r="U3582">
        <f>Table1[[#This Row],[StartPosition]]-Table1[[#This Row],[FinishPosition]]</f>
        <v>1</v>
      </c>
    </row>
    <row r="3583" spans="1:21" x14ac:dyDescent="0.3">
      <c r="A3583">
        <v>2026</v>
      </c>
      <c r="B3583">
        <v>7</v>
      </c>
      <c r="C3583" t="s">
        <v>1484</v>
      </c>
      <c r="D3583" t="s">
        <v>47</v>
      </c>
      <c r="E3583" t="s">
        <v>48</v>
      </c>
      <c r="F3583" t="s">
        <v>60</v>
      </c>
      <c r="G3583">
        <v>16</v>
      </c>
      <c r="H3583">
        <v>12</v>
      </c>
      <c r="I3583">
        <v>0</v>
      </c>
      <c r="J3583" t="s">
        <v>34</v>
      </c>
      <c r="K3583" t="s">
        <v>994</v>
      </c>
      <c r="L3583">
        <v>64</v>
      </c>
      <c r="M3583">
        <v>82.061000000000007</v>
      </c>
      <c r="N3583">
        <v>84.602626999999998</v>
      </c>
      <c r="O3583">
        <v>23.733000000000001</v>
      </c>
      <c r="P3583">
        <v>33.427</v>
      </c>
      <c r="Q3583">
        <v>24.783999999999999</v>
      </c>
      <c r="R3583" t="s">
        <v>1490</v>
      </c>
      <c r="S3583" t="s">
        <v>83</v>
      </c>
      <c r="T3583">
        <f>IF(TRIM(Table1[[#This Row],[PitStopLaps]])="",0,
LEN(Table1[[#This Row],[PitStopLaps]])-LEN(SUBSTITUTE(Table1[[#This Row],[PitStopLaps]],",",""))+1)</f>
        <v>3</v>
      </c>
      <c r="U3583">
        <f>Table1[[#This Row],[StartPosition]]-Table1[[#This Row],[FinishPosition]]</f>
        <v>4</v>
      </c>
    </row>
    <row r="3584" spans="1:21" x14ac:dyDescent="0.3">
      <c r="A3584">
        <v>2026</v>
      </c>
      <c r="B3584">
        <v>7</v>
      </c>
      <c r="C3584" t="s">
        <v>1484</v>
      </c>
      <c r="D3584" t="s">
        <v>52</v>
      </c>
      <c r="E3584" t="s">
        <v>53</v>
      </c>
      <c r="F3584" t="s">
        <v>69</v>
      </c>
      <c r="G3584">
        <v>17</v>
      </c>
      <c r="H3584">
        <v>13</v>
      </c>
      <c r="I3584">
        <v>0</v>
      </c>
      <c r="J3584" t="s">
        <v>34</v>
      </c>
      <c r="K3584" t="s">
        <v>994</v>
      </c>
      <c r="L3584">
        <v>64</v>
      </c>
      <c r="M3584">
        <v>81.643000000000001</v>
      </c>
      <c r="N3584">
        <v>85.054383999999999</v>
      </c>
      <c r="O3584">
        <v>23.622</v>
      </c>
      <c r="P3584">
        <v>33.078000000000003</v>
      </c>
      <c r="Q3584">
        <v>24.943000000000001</v>
      </c>
      <c r="R3584" t="s">
        <v>1491</v>
      </c>
      <c r="S3584" t="s">
        <v>83</v>
      </c>
      <c r="T3584">
        <f>IF(TRIM(Table1[[#This Row],[PitStopLaps]])="",0,
LEN(Table1[[#This Row],[PitStopLaps]])-LEN(SUBSTITUTE(Table1[[#This Row],[PitStopLaps]],",",""))+1)</f>
        <v>3</v>
      </c>
      <c r="U3584">
        <f>Table1[[#This Row],[StartPosition]]-Table1[[#This Row],[FinishPosition]]</f>
        <v>4</v>
      </c>
    </row>
    <row r="3585" spans="1:21" x14ac:dyDescent="0.3">
      <c r="A3585">
        <v>2026</v>
      </c>
      <c r="B3585">
        <v>7</v>
      </c>
      <c r="C3585" t="s">
        <v>1484</v>
      </c>
      <c r="D3585" t="s">
        <v>49</v>
      </c>
      <c r="E3585" t="s">
        <v>50</v>
      </c>
      <c r="F3585" t="s">
        <v>1449</v>
      </c>
      <c r="G3585">
        <v>19</v>
      </c>
      <c r="H3585">
        <v>14</v>
      </c>
      <c r="I3585">
        <v>0</v>
      </c>
      <c r="J3585" t="s">
        <v>34</v>
      </c>
      <c r="K3585" t="s">
        <v>994</v>
      </c>
      <c r="L3585">
        <v>63</v>
      </c>
      <c r="M3585">
        <v>82.82</v>
      </c>
      <c r="N3585">
        <v>85.703924000000001</v>
      </c>
      <c r="O3585">
        <v>24.108000000000001</v>
      </c>
      <c r="P3585">
        <v>33.473999999999997</v>
      </c>
      <c r="Q3585">
        <v>25.021000000000001</v>
      </c>
      <c r="R3585" t="s">
        <v>1492</v>
      </c>
      <c r="S3585" t="s">
        <v>83</v>
      </c>
      <c r="T3585">
        <f>IF(TRIM(Table1[[#This Row],[PitStopLaps]])="",0,
LEN(Table1[[#This Row],[PitStopLaps]])-LEN(SUBSTITUTE(Table1[[#This Row],[PitStopLaps]],",",""))+1)</f>
        <v>3</v>
      </c>
      <c r="U3585">
        <f>Table1[[#This Row],[StartPosition]]-Table1[[#This Row],[FinishPosition]]</f>
        <v>5</v>
      </c>
    </row>
    <row r="3586" spans="1:21" x14ac:dyDescent="0.3">
      <c r="A3586">
        <v>2026</v>
      </c>
      <c r="B3586">
        <v>7</v>
      </c>
      <c r="C3586" t="s">
        <v>1484</v>
      </c>
      <c r="D3586" t="s">
        <v>54</v>
      </c>
      <c r="E3586" t="s">
        <v>55</v>
      </c>
      <c r="F3586" t="s">
        <v>22</v>
      </c>
      <c r="G3586">
        <v>10</v>
      </c>
      <c r="H3586">
        <v>15</v>
      </c>
      <c r="I3586">
        <v>0</v>
      </c>
      <c r="J3586" t="s">
        <v>34</v>
      </c>
      <c r="K3586" t="s">
        <v>179</v>
      </c>
      <c r="L3586">
        <v>62</v>
      </c>
      <c r="M3586">
        <v>80.379000000000005</v>
      </c>
      <c r="N3586">
        <v>82.543689999999998</v>
      </c>
      <c r="O3586">
        <v>23.407</v>
      </c>
      <c r="P3586">
        <v>32.526000000000003</v>
      </c>
      <c r="Q3586">
        <v>24.367999999999999</v>
      </c>
      <c r="R3586" t="s">
        <v>1493</v>
      </c>
      <c r="S3586" t="s">
        <v>83</v>
      </c>
      <c r="T3586">
        <f>IF(TRIM(Table1[[#This Row],[PitStopLaps]])="",0,
LEN(Table1[[#This Row],[PitStopLaps]])-LEN(SUBSTITUTE(Table1[[#This Row],[PitStopLaps]],",",""))+1)</f>
        <v>3</v>
      </c>
      <c r="U3586">
        <f>Table1[[#This Row],[StartPosition]]-Table1[[#This Row],[FinishPosition]]</f>
        <v>-5</v>
      </c>
    </row>
    <row r="3587" spans="1:21" x14ac:dyDescent="0.3">
      <c r="A3587">
        <v>2026</v>
      </c>
      <c r="B3587">
        <v>7</v>
      </c>
      <c r="C3587" t="s">
        <v>1484</v>
      </c>
      <c r="D3587" t="s">
        <v>1339</v>
      </c>
      <c r="E3587" t="s">
        <v>1325</v>
      </c>
      <c r="F3587" t="s">
        <v>28</v>
      </c>
      <c r="G3587">
        <v>3</v>
      </c>
      <c r="H3587">
        <v>16</v>
      </c>
      <c r="I3587">
        <v>0</v>
      </c>
      <c r="J3587" t="s">
        <v>34</v>
      </c>
      <c r="K3587" t="s">
        <v>179</v>
      </c>
      <c r="L3587">
        <v>62</v>
      </c>
      <c r="M3587">
        <v>80.703999999999994</v>
      </c>
      <c r="N3587">
        <v>82.236791999999994</v>
      </c>
      <c r="O3587">
        <v>23.536000000000001</v>
      </c>
      <c r="P3587">
        <v>32.853000000000002</v>
      </c>
      <c r="Q3587">
        <v>24.218</v>
      </c>
      <c r="R3587" t="s">
        <v>1494</v>
      </c>
      <c r="S3587" t="s">
        <v>83</v>
      </c>
      <c r="T3587">
        <f>IF(TRIM(Table1[[#This Row],[PitStopLaps]])="",0,
LEN(Table1[[#This Row],[PitStopLaps]])-LEN(SUBSTITUTE(Table1[[#This Row],[PitStopLaps]],",",""))+1)</f>
        <v>2</v>
      </c>
      <c r="U3587">
        <f>Table1[[#This Row],[StartPosition]]-Table1[[#This Row],[FinishPosition]]</f>
        <v>-13</v>
      </c>
    </row>
    <row r="3588" spans="1:21" x14ac:dyDescent="0.3">
      <c r="A3588">
        <v>2026</v>
      </c>
      <c r="B3588">
        <v>7</v>
      </c>
      <c r="C3588" t="s">
        <v>1484</v>
      </c>
      <c r="D3588" t="s">
        <v>1180</v>
      </c>
      <c r="E3588" t="s">
        <v>1181</v>
      </c>
      <c r="F3588" t="s">
        <v>69</v>
      </c>
      <c r="G3588">
        <v>15</v>
      </c>
      <c r="H3588">
        <v>17</v>
      </c>
      <c r="I3588">
        <v>0</v>
      </c>
      <c r="J3588" t="s">
        <v>34</v>
      </c>
      <c r="K3588" t="s">
        <v>179</v>
      </c>
      <c r="L3588">
        <v>60</v>
      </c>
      <c r="M3588">
        <v>82.418999999999997</v>
      </c>
      <c r="N3588">
        <v>84.942239999999998</v>
      </c>
      <c r="O3588">
        <v>23.934999999999999</v>
      </c>
      <c r="P3588">
        <v>33.338000000000001</v>
      </c>
      <c r="Q3588">
        <v>25.026</v>
      </c>
      <c r="R3588" t="s">
        <v>1495</v>
      </c>
      <c r="S3588" t="s">
        <v>83</v>
      </c>
      <c r="T3588">
        <f>IF(TRIM(Table1[[#This Row],[PitStopLaps]])="",0,
LEN(Table1[[#This Row],[PitStopLaps]])-LEN(SUBSTITUTE(Table1[[#This Row],[PitStopLaps]],",",""))+1)</f>
        <v>3</v>
      </c>
      <c r="U3588">
        <f>Table1[[#This Row],[StartPosition]]-Table1[[#This Row],[FinishPosition]]</f>
        <v>-2</v>
      </c>
    </row>
    <row r="3589" spans="1:21" x14ac:dyDescent="0.3">
      <c r="A3589">
        <v>2026</v>
      </c>
      <c r="B3589">
        <v>7</v>
      </c>
      <c r="C3589" t="s">
        <v>1484</v>
      </c>
      <c r="D3589" t="s">
        <v>248</v>
      </c>
      <c r="E3589" t="s">
        <v>249</v>
      </c>
      <c r="F3589" t="s">
        <v>60</v>
      </c>
      <c r="G3589">
        <v>18</v>
      </c>
      <c r="H3589">
        <v>18</v>
      </c>
      <c r="I3589">
        <v>0</v>
      </c>
      <c r="J3589" t="s">
        <v>34</v>
      </c>
      <c r="K3589" t="s">
        <v>994</v>
      </c>
      <c r="L3589">
        <v>55</v>
      </c>
      <c r="M3589">
        <v>81.744</v>
      </c>
      <c r="N3589">
        <v>85.004908999999998</v>
      </c>
      <c r="O3589">
        <v>23.861000000000001</v>
      </c>
      <c r="P3589">
        <v>33.042999999999999</v>
      </c>
      <c r="Q3589">
        <v>24.84</v>
      </c>
      <c r="R3589" t="s">
        <v>1496</v>
      </c>
      <c r="S3589" t="s">
        <v>83</v>
      </c>
      <c r="T3589">
        <f>IF(TRIM(Table1[[#This Row],[PitStopLaps]])="",0,
LEN(Table1[[#This Row],[PitStopLaps]])-LEN(SUBSTITUTE(Table1[[#This Row],[PitStopLaps]],",",""))+1)</f>
        <v>4</v>
      </c>
      <c r="U3589">
        <f>Table1[[#This Row],[StartPosition]]-Table1[[#This Row],[FinishPosition]]</f>
        <v>0</v>
      </c>
    </row>
    <row r="3590" spans="1:21" x14ac:dyDescent="0.3">
      <c r="A3590">
        <v>2026</v>
      </c>
      <c r="B3590">
        <v>7</v>
      </c>
      <c r="C3590" t="s">
        <v>1484</v>
      </c>
      <c r="D3590" t="s">
        <v>35</v>
      </c>
      <c r="E3590" t="s">
        <v>36</v>
      </c>
      <c r="F3590" t="s">
        <v>603</v>
      </c>
      <c r="G3590">
        <v>22</v>
      </c>
      <c r="H3590">
        <v>19</v>
      </c>
      <c r="I3590">
        <v>0</v>
      </c>
      <c r="J3590" t="s">
        <v>34</v>
      </c>
      <c r="K3590" t="s">
        <v>179</v>
      </c>
      <c r="L3590">
        <v>38</v>
      </c>
      <c r="M3590">
        <v>85.366</v>
      </c>
      <c r="N3590">
        <v>86.620616999999996</v>
      </c>
      <c r="O3590">
        <v>24.744</v>
      </c>
      <c r="P3590">
        <v>34.5</v>
      </c>
      <c r="Q3590">
        <v>25.956</v>
      </c>
      <c r="R3590">
        <v>21</v>
      </c>
      <c r="S3590" t="s">
        <v>83</v>
      </c>
      <c r="T3590">
        <f>IF(TRIM(Table1[[#This Row],[PitStopLaps]])="",0,
LEN(Table1[[#This Row],[PitStopLaps]])-LEN(SUBSTITUTE(Table1[[#This Row],[PitStopLaps]],",",""))+1)</f>
        <v>1</v>
      </c>
      <c r="U3590">
        <f>Table1[[#This Row],[StartPosition]]-Table1[[#This Row],[FinishPosition]]</f>
        <v>3</v>
      </c>
    </row>
    <row r="3591" spans="1:21" x14ac:dyDescent="0.3">
      <c r="A3591">
        <v>2026</v>
      </c>
      <c r="B3591">
        <v>7</v>
      </c>
      <c r="C3591" t="s">
        <v>1484</v>
      </c>
      <c r="D3591" t="s">
        <v>40</v>
      </c>
      <c r="E3591" t="s">
        <v>41</v>
      </c>
      <c r="F3591" t="s">
        <v>1446</v>
      </c>
      <c r="G3591">
        <v>9</v>
      </c>
      <c r="H3591">
        <v>20</v>
      </c>
      <c r="I3591">
        <v>0</v>
      </c>
      <c r="J3591" t="s">
        <v>34</v>
      </c>
      <c r="K3591" t="s">
        <v>179</v>
      </c>
      <c r="L3591">
        <v>29</v>
      </c>
      <c r="M3591">
        <v>83.447000000000003</v>
      </c>
      <c r="N3591">
        <v>84.651480000000006</v>
      </c>
      <c r="O3591">
        <v>23.838999999999999</v>
      </c>
      <c r="P3591">
        <v>34.058</v>
      </c>
      <c r="Q3591">
        <v>25.065000000000001</v>
      </c>
      <c r="R3591" t="s">
        <v>605</v>
      </c>
      <c r="S3591" t="s">
        <v>83</v>
      </c>
      <c r="T3591">
        <f>IF(TRIM(Table1[[#This Row],[PitStopLaps]])="",0,
LEN(Table1[[#This Row],[PitStopLaps]])-LEN(SUBSTITUTE(Table1[[#This Row],[PitStopLaps]],",",""))+1)</f>
        <v>2</v>
      </c>
      <c r="U3591">
        <f>Table1[[#This Row],[StartPosition]]-Table1[[#This Row],[FinishPosition]]</f>
        <v>-11</v>
      </c>
    </row>
    <row r="3592" spans="1:21" x14ac:dyDescent="0.3">
      <c r="A3592">
        <v>2026</v>
      </c>
      <c r="B3592">
        <v>7</v>
      </c>
      <c r="C3592" t="s">
        <v>1484</v>
      </c>
      <c r="D3592" t="s">
        <v>43</v>
      </c>
      <c r="E3592" t="s">
        <v>44</v>
      </c>
      <c r="F3592" t="s">
        <v>1449</v>
      </c>
      <c r="G3592">
        <v>20</v>
      </c>
      <c r="H3592">
        <v>21</v>
      </c>
      <c r="I3592">
        <v>0</v>
      </c>
      <c r="J3592" t="s">
        <v>34</v>
      </c>
      <c r="K3592" t="s">
        <v>179</v>
      </c>
      <c r="L3592">
        <v>15</v>
      </c>
      <c r="M3592">
        <v>85.745000000000005</v>
      </c>
      <c r="N3592">
        <v>87.222915999999998</v>
      </c>
      <c r="O3592">
        <v>24.567</v>
      </c>
      <c r="P3592">
        <v>35.015999999999998</v>
      </c>
      <c r="Q3592">
        <v>26.006</v>
      </c>
      <c r="R3592" t="s">
        <v>1497</v>
      </c>
      <c r="S3592" t="s">
        <v>83</v>
      </c>
      <c r="T3592">
        <f>IF(TRIM(Table1[[#This Row],[PitStopLaps]])="",0,
LEN(Table1[[#This Row],[PitStopLaps]])-LEN(SUBSTITUTE(Table1[[#This Row],[PitStopLaps]],",",""))+1)</f>
        <v>2</v>
      </c>
      <c r="U3592">
        <f>Table1[[#This Row],[StartPosition]]-Table1[[#This Row],[FinishPosition]]</f>
        <v>-1</v>
      </c>
    </row>
    <row r="3593" spans="1:21" x14ac:dyDescent="0.3">
      <c r="A3593">
        <v>2026</v>
      </c>
      <c r="B3593">
        <v>7</v>
      </c>
      <c r="C3593" t="s">
        <v>1484</v>
      </c>
      <c r="D3593" t="s">
        <v>58</v>
      </c>
      <c r="E3593" t="s">
        <v>59</v>
      </c>
      <c r="F3593" t="s">
        <v>603</v>
      </c>
      <c r="G3593">
        <v>21</v>
      </c>
      <c r="H3593">
        <v>22</v>
      </c>
      <c r="I3593">
        <v>0</v>
      </c>
      <c r="J3593" t="s">
        <v>34</v>
      </c>
      <c r="K3593" t="s">
        <v>179</v>
      </c>
      <c r="L3593">
        <v>5</v>
      </c>
      <c r="M3593">
        <v>85.903999999999996</v>
      </c>
      <c r="N3593">
        <v>86.211665999999994</v>
      </c>
      <c r="O3593">
        <v>24.632000000000001</v>
      </c>
      <c r="P3593">
        <v>35.081000000000003</v>
      </c>
      <c r="Q3593">
        <v>26.029</v>
      </c>
      <c r="R3593">
        <v>5</v>
      </c>
      <c r="S3593" t="s">
        <v>83</v>
      </c>
      <c r="T3593">
        <f>IF(TRIM(Table1[[#This Row],[PitStopLaps]])="",0,
LEN(Table1[[#This Row],[PitStopLaps]])-LEN(SUBSTITUTE(Table1[[#This Row],[PitStopLaps]],",",""))+1)</f>
        <v>1</v>
      </c>
      <c r="U3593">
        <f>Table1[[#This Row],[StartPosition]]-Table1[[#This Row],[FinishPosition]]</f>
        <v>-1</v>
      </c>
    </row>
    <row r="3594" spans="1:21" x14ac:dyDescent="0.3">
      <c r="A3594">
        <v>2026</v>
      </c>
      <c r="B3594">
        <v>8</v>
      </c>
      <c r="C3594" t="s">
        <v>149</v>
      </c>
      <c r="D3594" t="s">
        <v>252</v>
      </c>
      <c r="E3594" t="s">
        <v>253</v>
      </c>
      <c r="F3594" t="s">
        <v>28</v>
      </c>
      <c r="G3594">
        <v>1</v>
      </c>
      <c r="H3594">
        <v>1</v>
      </c>
      <c r="I3594">
        <v>25</v>
      </c>
      <c r="J3594" t="s">
        <v>23</v>
      </c>
      <c r="K3594" t="s">
        <v>24</v>
      </c>
      <c r="L3594">
        <v>71</v>
      </c>
      <c r="M3594">
        <v>70.683000000000007</v>
      </c>
      <c r="N3594">
        <v>71.756838000000002</v>
      </c>
      <c r="O3594">
        <v>17.113</v>
      </c>
      <c r="P3594">
        <v>31.759</v>
      </c>
      <c r="Q3594">
        <v>21.693999999999999</v>
      </c>
      <c r="R3594" t="s">
        <v>1105</v>
      </c>
      <c r="S3594" t="s">
        <v>83</v>
      </c>
      <c r="T3594">
        <f>IF(TRIM(Table1[[#This Row],[PitStopLaps]])="",0,
LEN(Table1[[#This Row],[PitStopLaps]])-LEN(SUBSTITUTE(Table1[[#This Row],[PitStopLaps]],",",""))+1)</f>
        <v>2</v>
      </c>
      <c r="U3594">
        <f>Table1[[#This Row],[StartPosition]]-Table1[[#This Row],[FinishPosition]]</f>
        <v>0</v>
      </c>
    </row>
    <row r="3595" spans="1:21" x14ac:dyDescent="0.3">
      <c r="A3595">
        <v>2026</v>
      </c>
      <c r="B3595">
        <v>8</v>
      </c>
      <c r="C3595" t="s">
        <v>149</v>
      </c>
      <c r="D3595" t="s">
        <v>38</v>
      </c>
      <c r="E3595" t="s">
        <v>39</v>
      </c>
      <c r="F3595" t="s">
        <v>33</v>
      </c>
      <c r="G3595">
        <v>5</v>
      </c>
      <c r="H3595">
        <v>2</v>
      </c>
      <c r="I3595">
        <v>18</v>
      </c>
      <c r="J3595" t="s">
        <v>23</v>
      </c>
      <c r="K3595" t="s">
        <v>24</v>
      </c>
      <c r="L3595">
        <v>71</v>
      </c>
      <c r="M3595">
        <v>70.483000000000004</v>
      </c>
      <c r="N3595">
        <v>71.743661000000003</v>
      </c>
      <c r="O3595">
        <v>17.138999999999999</v>
      </c>
      <c r="P3595">
        <v>31.608000000000001</v>
      </c>
      <c r="Q3595">
        <v>21.57</v>
      </c>
      <c r="R3595" t="s">
        <v>394</v>
      </c>
      <c r="S3595" t="s">
        <v>83</v>
      </c>
      <c r="T3595">
        <f>IF(TRIM(Table1[[#This Row],[PitStopLaps]])="",0,
LEN(Table1[[#This Row],[PitStopLaps]])-LEN(SUBSTITUTE(Table1[[#This Row],[PitStopLaps]],",",""))+1)</f>
        <v>2</v>
      </c>
      <c r="U3595">
        <f>Table1[[#This Row],[StartPosition]]-Table1[[#This Row],[FinishPosition]]</f>
        <v>3</v>
      </c>
    </row>
    <row r="3596" spans="1:21" x14ac:dyDescent="0.3">
      <c r="A3596">
        <v>2026</v>
      </c>
      <c r="B3596">
        <v>8</v>
      </c>
      <c r="C3596" t="s">
        <v>149</v>
      </c>
      <c r="D3596" t="s">
        <v>1339</v>
      </c>
      <c r="E3596" t="s">
        <v>1325</v>
      </c>
      <c r="F3596" t="s">
        <v>28</v>
      </c>
      <c r="G3596">
        <v>4</v>
      </c>
      <c r="H3596">
        <v>3</v>
      </c>
      <c r="I3596">
        <v>15</v>
      </c>
      <c r="J3596" t="s">
        <v>23</v>
      </c>
      <c r="K3596" t="s">
        <v>24</v>
      </c>
      <c r="L3596">
        <v>71</v>
      </c>
      <c r="M3596">
        <v>70.373999999999995</v>
      </c>
      <c r="N3596">
        <v>71.765234000000007</v>
      </c>
      <c r="O3596">
        <v>17.009</v>
      </c>
      <c r="P3596">
        <v>31.568999999999999</v>
      </c>
      <c r="Q3596">
        <v>21.574999999999999</v>
      </c>
      <c r="R3596" t="s">
        <v>1427</v>
      </c>
      <c r="S3596" t="s">
        <v>83</v>
      </c>
      <c r="T3596">
        <f>IF(TRIM(Table1[[#This Row],[PitStopLaps]])="",0,
LEN(Table1[[#This Row],[PitStopLaps]])-LEN(SUBSTITUTE(Table1[[#This Row],[PitStopLaps]],",",""))+1)</f>
        <v>2</v>
      </c>
      <c r="U3596">
        <f>Table1[[#This Row],[StartPosition]]-Table1[[#This Row],[FinishPosition]]</f>
        <v>1</v>
      </c>
    </row>
    <row r="3597" spans="1:21" x14ac:dyDescent="0.3">
      <c r="A3597">
        <v>2026</v>
      </c>
      <c r="B3597">
        <v>8</v>
      </c>
      <c r="C3597" t="s">
        <v>149</v>
      </c>
      <c r="D3597" t="s">
        <v>1000</v>
      </c>
      <c r="E3597" t="s">
        <v>1001</v>
      </c>
      <c r="F3597" t="s">
        <v>37</v>
      </c>
      <c r="G3597">
        <v>7</v>
      </c>
      <c r="H3597">
        <v>4</v>
      </c>
      <c r="I3597">
        <v>12</v>
      </c>
      <c r="J3597" t="s">
        <v>34</v>
      </c>
      <c r="K3597" t="s">
        <v>24</v>
      </c>
      <c r="L3597">
        <v>71</v>
      </c>
      <c r="M3597">
        <v>70.594999999999999</v>
      </c>
      <c r="N3597">
        <v>72.025195999999994</v>
      </c>
      <c r="O3597">
        <v>17.085000000000001</v>
      </c>
      <c r="P3597">
        <v>31.733000000000001</v>
      </c>
      <c r="Q3597">
        <v>21.66</v>
      </c>
      <c r="R3597" t="s">
        <v>406</v>
      </c>
      <c r="S3597" t="s">
        <v>83</v>
      </c>
      <c r="T3597">
        <f>IF(TRIM(Table1[[#This Row],[PitStopLaps]])="",0,
LEN(Table1[[#This Row],[PitStopLaps]])-LEN(SUBSTITUTE(Table1[[#This Row],[PitStopLaps]],",",""))+1)</f>
        <v>2</v>
      </c>
      <c r="U3597">
        <f>Table1[[#This Row],[StartPosition]]-Table1[[#This Row],[FinishPosition]]</f>
        <v>3</v>
      </c>
    </row>
    <row r="3598" spans="1:21" x14ac:dyDescent="0.3">
      <c r="A3598">
        <v>2026</v>
      </c>
      <c r="B3598">
        <v>8</v>
      </c>
      <c r="C3598" t="s">
        <v>149</v>
      </c>
      <c r="D3598" t="s">
        <v>26</v>
      </c>
      <c r="E3598" t="s">
        <v>27</v>
      </c>
      <c r="F3598" t="s">
        <v>22</v>
      </c>
      <c r="G3598">
        <v>3</v>
      </c>
      <c r="H3598">
        <v>5</v>
      </c>
      <c r="I3598">
        <v>10</v>
      </c>
      <c r="J3598" t="s">
        <v>34</v>
      </c>
      <c r="K3598" t="s">
        <v>24</v>
      </c>
      <c r="L3598">
        <v>71</v>
      </c>
      <c r="M3598">
        <v>70.945999999999998</v>
      </c>
      <c r="N3598">
        <v>71.962644999999995</v>
      </c>
      <c r="O3598">
        <v>17.106000000000002</v>
      </c>
      <c r="P3598">
        <v>31.852</v>
      </c>
      <c r="Q3598">
        <v>21.786999999999999</v>
      </c>
      <c r="R3598" t="s">
        <v>1498</v>
      </c>
      <c r="S3598" t="s">
        <v>83</v>
      </c>
      <c r="T3598">
        <f>IF(TRIM(Table1[[#This Row],[PitStopLaps]])="",0,
LEN(Table1[[#This Row],[PitStopLaps]])-LEN(SUBSTITUTE(Table1[[#This Row],[PitStopLaps]],",",""))+1)</f>
        <v>3</v>
      </c>
      <c r="U3598">
        <f>Table1[[#This Row],[StartPosition]]-Table1[[#This Row],[FinishPosition]]</f>
        <v>-2</v>
      </c>
    </row>
    <row r="3599" spans="1:21" x14ac:dyDescent="0.3">
      <c r="A3599">
        <v>2026</v>
      </c>
      <c r="B3599">
        <v>8</v>
      </c>
      <c r="C3599" t="s">
        <v>149</v>
      </c>
      <c r="D3599" t="s">
        <v>1337</v>
      </c>
      <c r="E3599" t="s">
        <v>1338</v>
      </c>
      <c r="F3599" t="s">
        <v>33</v>
      </c>
      <c r="G3599">
        <v>8</v>
      </c>
      <c r="H3599">
        <v>6</v>
      </c>
      <c r="I3599">
        <v>8</v>
      </c>
      <c r="J3599" t="s">
        <v>34</v>
      </c>
      <c r="K3599" t="s">
        <v>24</v>
      </c>
      <c r="L3599">
        <v>71</v>
      </c>
      <c r="M3599">
        <v>70.947000000000003</v>
      </c>
      <c r="N3599">
        <v>72.182754000000003</v>
      </c>
      <c r="O3599">
        <v>16.945</v>
      </c>
      <c r="P3599">
        <v>31.92</v>
      </c>
      <c r="Q3599">
        <v>21.718</v>
      </c>
      <c r="R3599" t="s">
        <v>408</v>
      </c>
      <c r="S3599" t="s">
        <v>83</v>
      </c>
      <c r="T3599">
        <f>IF(TRIM(Table1[[#This Row],[PitStopLaps]])="",0,
LEN(Table1[[#This Row],[PitStopLaps]])-LEN(SUBSTITUTE(Table1[[#This Row],[PitStopLaps]],",",""))+1)</f>
        <v>2</v>
      </c>
      <c r="U3599">
        <f>Table1[[#This Row],[StartPosition]]-Table1[[#This Row],[FinishPosition]]</f>
        <v>2</v>
      </c>
    </row>
    <row r="3600" spans="1:21" x14ac:dyDescent="0.3">
      <c r="A3600">
        <v>2026</v>
      </c>
      <c r="B3600">
        <v>8</v>
      </c>
      <c r="C3600" t="s">
        <v>149</v>
      </c>
      <c r="D3600" t="s">
        <v>246</v>
      </c>
      <c r="E3600" t="s">
        <v>247</v>
      </c>
      <c r="F3600" t="s">
        <v>37</v>
      </c>
      <c r="G3600">
        <v>6</v>
      </c>
      <c r="H3600">
        <v>7</v>
      </c>
      <c r="I3600">
        <v>6</v>
      </c>
      <c r="J3600" t="s">
        <v>34</v>
      </c>
      <c r="K3600" t="s">
        <v>24</v>
      </c>
      <c r="L3600">
        <v>71</v>
      </c>
      <c r="M3600">
        <v>70.652000000000001</v>
      </c>
      <c r="N3600">
        <v>72.159693000000004</v>
      </c>
      <c r="O3600">
        <v>17.212</v>
      </c>
      <c r="P3600">
        <v>31.55</v>
      </c>
      <c r="Q3600">
        <v>21.731999999999999</v>
      </c>
      <c r="R3600" t="s">
        <v>416</v>
      </c>
      <c r="S3600" t="s">
        <v>83</v>
      </c>
      <c r="T3600">
        <f>IF(TRIM(Table1[[#This Row],[PitStopLaps]])="",0,
LEN(Table1[[#This Row],[PitStopLaps]])-LEN(SUBSTITUTE(Table1[[#This Row],[PitStopLaps]],",",""))+1)</f>
        <v>2</v>
      </c>
      <c r="U3600">
        <f>Table1[[#This Row],[StartPosition]]-Table1[[#This Row],[FinishPosition]]</f>
        <v>-1</v>
      </c>
    </row>
    <row r="3601" spans="1:21" x14ac:dyDescent="0.3">
      <c r="A3601">
        <v>2026</v>
      </c>
      <c r="B3601">
        <v>8</v>
      </c>
      <c r="C3601" t="s">
        <v>149</v>
      </c>
      <c r="D3601" t="s">
        <v>54</v>
      </c>
      <c r="E3601" t="s">
        <v>55</v>
      </c>
      <c r="F3601" t="s">
        <v>22</v>
      </c>
      <c r="G3601">
        <v>2</v>
      </c>
      <c r="H3601">
        <v>8</v>
      </c>
      <c r="I3601">
        <v>4</v>
      </c>
      <c r="J3601" t="s">
        <v>34</v>
      </c>
      <c r="K3601" t="s">
        <v>24</v>
      </c>
      <c r="L3601">
        <v>71</v>
      </c>
      <c r="M3601">
        <v>70.605999999999995</v>
      </c>
      <c r="N3601">
        <v>71.990233000000003</v>
      </c>
      <c r="O3601">
        <v>17.14</v>
      </c>
      <c r="P3601">
        <v>31.681000000000001</v>
      </c>
      <c r="Q3601">
        <v>21.527999999999999</v>
      </c>
      <c r="R3601" t="s">
        <v>1499</v>
      </c>
      <c r="S3601" t="s">
        <v>83</v>
      </c>
      <c r="T3601">
        <f>IF(TRIM(Table1[[#This Row],[PitStopLaps]])="",0,
LEN(Table1[[#This Row],[PitStopLaps]])-LEN(SUBSTITUTE(Table1[[#This Row],[PitStopLaps]],",",""))+1)</f>
        <v>3</v>
      </c>
      <c r="U3601">
        <f>Table1[[#This Row],[StartPosition]]-Table1[[#This Row],[FinishPosition]]</f>
        <v>-6</v>
      </c>
    </row>
    <row r="3602" spans="1:21" x14ac:dyDescent="0.3">
      <c r="A3602">
        <v>2026</v>
      </c>
      <c r="B3602">
        <v>8</v>
      </c>
      <c r="C3602" t="s">
        <v>149</v>
      </c>
      <c r="D3602" t="s">
        <v>1092</v>
      </c>
      <c r="E3602" t="s">
        <v>1093</v>
      </c>
      <c r="F3602" t="s">
        <v>1330</v>
      </c>
      <c r="G3602">
        <v>9</v>
      </c>
      <c r="H3602">
        <v>9</v>
      </c>
      <c r="I3602">
        <v>2</v>
      </c>
      <c r="J3602" t="s">
        <v>34</v>
      </c>
      <c r="K3602" t="s">
        <v>994</v>
      </c>
      <c r="L3602">
        <v>70</v>
      </c>
      <c r="M3602">
        <v>71.546999999999997</v>
      </c>
      <c r="N3602">
        <v>72.991232999999994</v>
      </c>
      <c r="O3602">
        <v>17.166</v>
      </c>
      <c r="P3602">
        <v>32.076000000000001</v>
      </c>
      <c r="Q3602">
        <v>21.984000000000002</v>
      </c>
      <c r="R3602" t="s">
        <v>869</v>
      </c>
      <c r="S3602" t="s">
        <v>83</v>
      </c>
      <c r="T3602">
        <f>IF(TRIM(Table1[[#This Row],[PitStopLaps]])="",0,
LEN(Table1[[#This Row],[PitStopLaps]])-LEN(SUBSTITUTE(Table1[[#This Row],[PitStopLaps]],",",""))+1)</f>
        <v>2</v>
      </c>
      <c r="U3602">
        <f>Table1[[#This Row],[StartPosition]]-Table1[[#This Row],[FinishPosition]]</f>
        <v>0</v>
      </c>
    </row>
    <row r="3603" spans="1:21" x14ac:dyDescent="0.3">
      <c r="A3603">
        <v>2026</v>
      </c>
      <c r="B3603">
        <v>8</v>
      </c>
      <c r="C3603" t="s">
        <v>149</v>
      </c>
      <c r="D3603" t="s">
        <v>1444</v>
      </c>
      <c r="E3603" t="s">
        <v>1445</v>
      </c>
      <c r="F3603" t="s">
        <v>1330</v>
      </c>
      <c r="G3603">
        <v>10</v>
      </c>
      <c r="H3603">
        <v>10</v>
      </c>
      <c r="I3603">
        <v>1</v>
      </c>
      <c r="J3603" t="s">
        <v>34</v>
      </c>
      <c r="K3603" t="s">
        <v>994</v>
      </c>
      <c r="L3603">
        <v>70</v>
      </c>
      <c r="M3603">
        <v>71.587000000000003</v>
      </c>
      <c r="N3603">
        <v>73.062282999999994</v>
      </c>
      <c r="O3603">
        <v>17.146000000000001</v>
      </c>
      <c r="P3603">
        <v>32.295000000000002</v>
      </c>
      <c r="Q3603">
        <v>21.969000000000001</v>
      </c>
      <c r="R3603" t="s">
        <v>1500</v>
      </c>
      <c r="S3603" t="s">
        <v>83</v>
      </c>
      <c r="T3603">
        <f>IF(TRIM(Table1[[#This Row],[PitStopLaps]])="",0,
LEN(Table1[[#This Row],[PitStopLaps]])-LEN(SUBSTITUTE(Table1[[#This Row],[PitStopLaps]],",",""))+1)</f>
        <v>2</v>
      </c>
      <c r="U3603">
        <f>Table1[[#This Row],[StartPosition]]-Table1[[#This Row],[FinishPosition]]</f>
        <v>0</v>
      </c>
    </row>
    <row r="3604" spans="1:21" x14ac:dyDescent="0.3">
      <c r="A3604">
        <v>2026</v>
      </c>
      <c r="B3604">
        <v>8</v>
      </c>
      <c r="C3604" t="s">
        <v>149</v>
      </c>
      <c r="D3604" t="s">
        <v>1334</v>
      </c>
      <c r="E3604" t="s">
        <v>1335</v>
      </c>
      <c r="F3604" t="s">
        <v>1446</v>
      </c>
      <c r="G3604">
        <v>12</v>
      </c>
      <c r="H3604">
        <v>11</v>
      </c>
      <c r="I3604">
        <v>0</v>
      </c>
      <c r="J3604" t="s">
        <v>34</v>
      </c>
      <c r="K3604" t="s">
        <v>994</v>
      </c>
      <c r="L3604">
        <v>70</v>
      </c>
      <c r="M3604">
        <v>71.866</v>
      </c>
      <c r="N3604">
        <v>73.214399999999998</v>
      </c>
      <c r="O3604">
        <v>17.460999999999999</v>
      </c>
      <c r="P3604">
        <v>32.170999999999999</v>
      </c>
      <c r="Q3604">
        <v>22.149000000000001</v>
      </c>
      <c r="R3604" t="s">
        <v>527</v>
      </c>
      <c r="S3604" t="s">
        <v>83</v>
      </c>
      <c r="T3604">
        <f>IF(TRIM(Table1[[#This Row],[PitStopLaps]])="",0,
LEN(Table1[[#This Row],[PitStopLaps]])-LEN(SUBSTITUTE(Table1[[#This Row],[PitStopLaps]],",",""))+1)</f>
        <v>2</v>
      </c>
      <c r="U3604">
        <f>Table1[[#This Row],[StartPosition]]-Table1[[#This Row],[FinishPosition]]</f>
        <v>1</v>
      </c>
    </row>
    <row r="3605" spans="1:21" x14ac:dyDescent="0.3">
      <c r="A3605">
        <v>2026</v>
      </c>
      <c r="B3605">
        <v>8</v>
      </c>
      <c r="C3605" t="s">
        <v>149</v>
      </c>
      <c r="D3605" t="s">
        <v>40</v>
      </c>
      <c r="E3605" t="s">
        <v>41</v>
      </c>
      <c r="F3605" t="s">
        <v>1446</v>
      </c>
      <c r="G3605">
        <v>14</v>
      </c>
      <c r="H3605">
        <v>12</v>
      </c>
      <c r="I3605">
        <v>0</v>
      </c>
      <c r="J3605" t="s">
        <v>34</v>
      </c>
      <c r="K3605" t="s">
        <v>994</v>
      </c>
      <c r="L3605">
        <v>70</v>
      </c>
      <c r="M3605">
        <v>71.634</v>
      </c>
      <c r="N3605">
        <v>73.363033000000001</v>
      </c>
      <c r="O3605">
        <v>17.338999999999999</v>
      </c>
      <c r="P3605">
        <v>32.036000000000001</v>
      </c>
      <c r="Q3605">
        <v>22.091999999999999</v>
      </c>
      <c r="R3605" t="s">
        <v>308</v>
      </c>
      <c r="S3605" t="s">
        <v>83</v>
      </c>
      <c r="T3605">
        <f>IF(TRIM(Table1[[#This Row],[PitStopLaps]])="",0,
LEN(Table1[[#This Row],[PitStopLaps]])-LEN(SUBSTITUTE(Table1[[#This Row],[PitStopLaps]],",",""))+1)</f>
        <v>2</v>
      </c>
      <c r="U3605">
        <f>Table1[[#This Row],[StartPosition]]-Table1[[#This Row],[FinishPosition]]</f>
        <v>2</v>
      </c>
    </row>
    <row r="3606" spans="1:21" x14ac:dyDescent="0.3">
      <c r="A3606">
        <v>2026</v>
      </c>
      <c r="B3606">
        <v>8</v>
      </c>
      <c r="C3606" t="s">
        <v>149</v>
      </c>
      <c r="D3606" t="s">
        <v>73</v>
      </c>
      <c r="E3606" t="s">
        <v>74</v>
      </c>
      <c r="F3606" t="s">
        <v>607</v>
      </c>
      <c r="G3606">
        <v>11</v>
      </c>
      <c r="H3606">
        <v>13</v>
      </c>
      <c r="I3606">
        <v>0</v>
      </c>
      <c r="J3606" t="s">
        <v>34</v>
      </c>
      <c r="K3606" t="s">
        <v>994</v>
      </c>
      <c r="L3606">
        <v>70</v>
      </c>
      <c r="M3606">
        <v>71.465999999999994</v>
      </c>
      <c r="N3606">
        <v>73.113650000000007</v>
      </c>
      <c r="O3606">
        <v>17.088999999999999</v>
      </c>
      <c r="P3606">
        <v>32.048999999999999</v>
      </c>
      <c r="Q3606">
        <v>22.003</v>
      </c>
      <c r="R3606" t="s">
        <v>1501</v>
      </c>
      <c r="S3606" t="s">
        <v>83</v>
      </c>
      <c r="T3606">
        <f>IF(TRIM(Table1[[#This Row],[PitStopLaps]])="",0,
LEN(Table1[[#This Row],[PitStopLaps]])-LEN(SUBSTITUTE(Table1[[#This Row],[PitStopLaps]],",",""))+1)</f>
        <v>3</v>
      </c>
      <c r="U3606">
        <f>Table1[[#This Row],[StartPosition]]-Table1[[#This Row],[FinishPosition]]</f>
        <v>-2</v>
      </c>
    </row>
    <row r="3607" spans="1:21" x14ac:dyDescent="0.3">
      <c r="A3607">
        <v>2026</v>
      </c>
      <c r="B3607">
        <v>8</v>
      </c>
      <c r="C3607" t="s">
        <v>149</v>
      </c>
      <c r="D3607" t="s">
        <v>1180</v>
      </c>
      <c r="E3607" t="s">
        <v>1181</v>
      </c>
      <c r="F3607" t="s">
        <v>69</v>
      </c>
      <c r="G3607">
        <v>13</v>
      </c>
      <c r="H3607">
        <v>14</v>
      </c>
      <c r="I3607">
        <v>0</v>
      </c>
      <c r="J3607" t="s">
        <v>34</v>
      </c>
      <c r="K3607" t="s">
        <v>994</v>
      </c>
      <c r="L3607">
        <v>70</v>
      </c>
      <c r="M3607">
        <v>72.206999999999994</v>
      </c>
      <c r="N3607">
        <v>73.864174000000006</v>
      </c>
      <c r="O3607">
        <v>17.417999999999999</v>
      </c>
      <c r="P3607">
        <v>32.366999999999997</v>
      </c>
      <c r="Q3607">
        <v>22.247</v>
      </c>
      <c r="R3607" t="s">
        <v>311</v>
      </c>
      <c r="S3607" t="s">
        <v>83</v>
      </c>
      <c r="T3607">
        <f>IF(TRIM(Table1[[#This Row],[PitStopLaps]])="",0,
LEN(Table1[[#This Row],[PitStopLaps]])-LEN(SUBSTITUTE(Table1[[#This Row],[PitStopLaps]],",",""))+1)</f>
        <v>2</v>
      </c>
      <c r="U3607">
        <f>Table1[[#This Row],[StartPosition]]-Table1[[#This Row],[FinishPosition]]</f>
        <v>-1</v>
      </c>
    </row>
    <row r="3608" spans="1:21" x14ac:dyDescent="0.3">
      <c r="A3608">
        <v>2026</v>
      </c>
      <c r="B3608">
        <v>8</v>
      </c>
      <c r="C3608" t="s">
        <v>149</v>
      </c>
      <c r="D3608" t="s">
        <v>1283</v>
      </c>
      <c r="E3608" t="s">
        <v>1284</v>
      </c>
      <c r="F3608" t="s">
        <v>607</v>
      </c>
      <c r="G3608">
        <v>16</v>
      </c>
      <c r="H3608">
        <v>15</v>
      </c>
      <c r="I3608">
        <v>0</v>
      </c>
      <c r="J3608" t="s">
        <v>34</v>
      </c>
      <c r="K3608" t="s">
        <v>994</v>
      </c>
      <c r="L3608">
        <v>70</v>
      </c>
      <c r="M3608">
        <v>71.795000000000002</v>
      </c>
      <c r="N3608">
        <v>73.678032000000002</v>
      </c>
      <c r="O3608">
        <v>17.292999999999999</v>
      </c>
      <c r="P3608">
        <v>32.299999999999997</v>
      </c>
      <c r="Q3608">
        <v>22.097000000000001</v>
      </c>
      <c r="R3608" t="s">
        <v>417</v>
      </c>
      <c r="S3608" t="s">
        <v>83</v>
      </c>
      <c r="T3608">
        <f>IF(TRIM(Table1[[#This Row],[PitStopLaps]])="",0,
LEN(Table1[[#This Row],[PitStopLaps]])-LEN(SUBSTITUTE(Table1[[#This Row],[PitStopLaps]],",",""))+1)</f>
        <v>2</v>
      </c>
      <c r="U3608">
        <f>Table1[[#This Row],[StartPosition]]-Table1[[#This Row],[FinishPosition]]</f>
        <v>1</v>
      </c>
    </row>
    <row r="3609" spans="1:21" x14ac:dyDescent="0.3">
      <c r="A3609">
        <v>2026</v>
      </c>
      <c r="B3609">
        <v>8</v>
      </c>
      <c r="C3609" t="s">
        <v>149</v>
      </c>
      <c r="D3609" t="s">
        <v>52</v>
      </c>
      <c r="E3609" t="s">
        <v>53</v>
      </c>
      <c r="F3609" t="s">
        <v>69</v>
      </c>
      <c r="G3609">
        <v>15</v>
      </c>
      <c r="H3609">
        <v>16</v>
      </c>
      <c r="I3609">
        <v>0</v>
      </c>
      <c r="J3609" t="s">
        <v>34</v>
      </c>
      <c r="K3609" t="s">
        <v>994</v>
      </c>
      <c r="L3609">
        <v>69</v>
      </c>
      <c r="M3609">
        <v>72.978999999999999</v>
      </c>
      <c r="N3609">
        <v>74.209050000000005</v>
      </c>
      <c r="O3609">
        <v>17.533999999999999</v>
      </c>
      <c r="P3609">
        <v>32.664000000000001</v>
      </c>
      <c r="Q3609">
        <v>22.622</v>
      </c>
      <c r="R3609" t="s">
        <v>859</v>
      </c>
      <c r="S3609" t="s">
        <v>83</v>
      </c>
      <c r="T3609">
        <f>IF(TRIM(Table1[[#This Row],[PitStopLaps]])="",0,
LEN(Table1[[#This Row],[PitStopLaps]])-LEN(SUBSTITUTE(Table1[[#This Row],[PitStopLaps]],",",""))+1)</f>
        <v>2</v>
      </c>
      <c r="U3609">
        <f>Table1[[#This Row],[StartPosition]]-Table1[[#This Row],[FinishPosition]]</f>
        <v>-1</v>
      </c>
    </row>
    <row r="3610" spans="1:21" x14ac:dyDescent="0.3">
      <c r="A3610">
        <v>2026</v>
      </c>
      <c r="B3610">
        <v>8</v>
      </c>
      <c r="C3610" t="s">
        <v>149</v>
      </c>
      <c r="D3610" t="s">
        <v>248</v>
      </c>
      <c r="E3610" t="s">
        <v>249</v>
      </c>
      <c r="F3610" t="s">
        <v>60</v>
      </c>
      <c r="G3610">
        <v>18</v>
      </c>
      <c r="H3610">
        <v>17</v>
      </c>
      <c r="I3610">
        <v>0</v>
      </c>
      <c r="J3610" t="s">
        <v>34</v>
      </c>
      <c r="K3610" t="s">
        <v>994</v>
      </c>
      <c r="L3610">
        <v>69</v>
      </c>
      <c r="M3610">
        <v>73.137</v>
      </c>
      <c r="N3610">
        <v>74.277766</v>
      </c>
      <c r="O3610">
        <v>17.524000000000001</v>
      </c>
      <c r="P3610">
        <v>32.722000000000001</v>
      </c>
      <c r="Q3610">
        <v>22.672000000000001</v>
      </c>
      <c r="R3610" t="s">
        <v>1132</v>
      </c>
      <c r="S3610" t="s">
        <v>83</v>
      </c>
      <c r="T3610">
        <f>IF(TRIM(Table1[[#This Row],[PitStopLaps]])="",0,
LEN(Table1[[#This Row],[PitStopLaps]])-LEN(SUBSTITUTE(Table1[[#This Row],[PitStopLaps]],",",""))+1)</f>
        <v>2</v>
      </c>
      <c r="U3610">
        <f>Table1[[#This Row],[StartPosition]]-Table1[[#This Row],[FinishPosition]]</f>
        <v>1</v>
      </c>
    </row>
    <row r="3611" spans="1:21" x14ac:dyDescent="0.3">
      <c r="A3611">
        <v>2026</v>
      </c>
      <c r="B3611">
        <v>8</v>
      </c>
      <c r="C3611" t="s">
        <v>149</v>
      </c>
      <c r="D3611" t="s">
        <v>35</v>
      </c>
      <c r="E3611" t="s">
        <v>36</v>
      </c>
      <c r="F3611" t="s">
        <v>603</v>
      </c>
      <c r="G3611">
        <v>21</v>
      </c>
      <c r="H3611">
        <v>18</v>
      </c>
      <c r="I3611">
        <v>0</v>
      </c>
      <c r="J3611" t="s">
        <v>34</v>
      </c>
      <c r="K3611" t="s">
        <v>994</v>
      </c>
      <c r="L3611">
        <v>68</v>
      </c>
      <c r="M3611">
        <v>72.501000000000005</v>
      </c>
      <c r="N3611">
        <v>75.058841000000001</v>
      </c>
      <c r="O3611">
        <v>17.427</v>
      </c>
      <c r="P3611">
        <v>32.695999999999998</v>
      </c>
      <c r="Q3611">
        <v>22.378</v>
      </c>
      <c r="R3611" t="s">
        <v>448</v>
      </c>
      <c r="S3611" t="s">
        <v>83</v>
      </c>
      <c r="T3611">
        <f>IF(TRIM(Table1[[#This Row],[PitStopLaps]])="",0,
LEN(Table1[[#This Row],[PitStopLaps]])-LEN(SUBSTITUTE(Table1[[#This Row],[PitStopLaps]],",",""))+1)</f>
        <v>2</v>
      </c>
      <c r="U3611">
        <f>Table1[[#This Row],[StartPosition]]-Table1[[#This Row],[FinishPosition]]</f>
        <v>3</v>
      </c>
    </row>
    <row r="3612" spans="1:21" x14ac:dyDescent="0.3">
      <c r="A3612">
        <v>2026</v>
      </c>
      <c r="B3612">
        <v>8</v>
      </c>
      <c r="C3612" t="s">
        <v>149</v>
      </c>
      <c r="D3612" t="s">
        <v>58</v>
      </c>
      <c r="E3612" t="s">
        <v>59</v>
      </c>
      <c r="F3612" t="s">
        <v>603</v>
      </c>
      <c r="G3612">
        <v>22</v>
      </c>
      <c r="H3612">
        <v>19</v>
      </c>
      <c r="I3612">
        <v>0</v>
      </c>
      <c r="J3612" t="s">
        <v>34</v>
      </c>
      <c r="K3612" t="s">
        <v>179</v>
      </c>
      <c r="L3612">
        <v>45</v>
      </c>
      <c r="M3612">
        <v>73.796000000000006</v>
      </c>
      <c r="N3612">
        <v>75.380950999999996</v>
      </c>
      <c r="O3612">
        <v>17.673999999999999</v>
      </c>
      <c r="P3612">
        <v>33.012</v>
      </c>
      <c r="Q3612">
        <v>22.879000000000001</v>
      </c>
      <c r="R3612" t="s">
        <v>311</v>
      </c>
      <c r="S3612" t="s">
        <v>83</v>
      </c>
      <c r="T3612">
        <f>IF(TRIM(Table1[[#This Row],[PitStopLaps]])="",0,
LEN(Table1[[#This Row],[PitStopLaps]])-LEN(SUBSTITUTE(Table1[[#This Row],[PitStopLaps]],",",""))+1)</f>
        <v>2</v>
      </c>
      <c r="U3612">
        <f>Table1[[#This Row],[StartPosition]]-Table1[[#This Row],[FinishPosition]]</f>
        <v>3</v>
      </c>
    </row>
    <row r="3613" spans="1:21" x14ac:dyDescent="0.3">
      <c r="A3613">
        <v>2026</v>
      </c>
      <c r="B3613">
        <v>8</v>
      </c>
      <c r="C3613" t="s">
        <v>149</v>
      </c>
      <c r="D3613" t="s">
        <v>47</v>
      </c>
      <c r="E3613" t="s">
        <v>48</v>
      </c>
      <c r="F3613" t="s">
        <v>60</v>
      </c>
      <c r="G3613">
        <v>17</v>
      </c>
      <c r="H3613">
        <v>20</v>
      </c>
      <c r="I3613">
        <v>0</v>
      </c>
      <c r="J3613" t="s">
        <v>34</v>
      </c>
      <c r="K3613" t="s">
        <v>179</v>
      </c>
      <c r="L3613">
        <v>24</v>
      </c>
      <c r="M3613">
        <v>73.694000000000003</v>
      </c>
      <c r="N3613">
        <v>74.550250000000005</v>
      </c>
      <c r="O3613">
        <v>17.579000000000001</v>
      </c>
      <c r="P3613">
        <v>32.906999999999996</v>
      </c>
      <c r="Q3613">
        <v>22.978000000000002</v>
      </c>
      <c r="R3613">
        <v>14</v>
      </c>
      <c r="S3613" t="s">
        <v>83</v>
      </c>
      <c r="T3613">
        <f>IF(TRIM(Table1[[#This Row],[PitStopLaps]])="",0,
LEN(Table1[[#This Row],[PitStopLaps]])-LEN(SUBSTITUTE(Table1[[#This Row],[PitStopLaps]],",",""))+1)</f>
        <v>1</v>
      </c>
      <c r="U3613">
        <f>Table1[[#This Row],[StartPosition]]-Table1[[#This Row],[FinishPosition]]</f>
        <v>-3</v>
      </c>
    </row>
    <row r="3614" spans="1:21" x14ac:dyDescent="0.3">
      <c r="A3614">
        <v>2026</v>
      </c>
      <c r="B3614">
        <v>8</v>
      </c>
      <c r="C3614" t="s">
        <v>149</v>
      </c>
      <c r="D3614" t="s">
        <v>49</v>
      </c>
      <c r="E3614" t="s">
        <v>50</v>
      </c>
      <c r="F3614" t="s">
        <v>1449</v>
      </c>
      <c r="G3614">
        <v>19</v>
      </c>
      <c r="H3614">
        <v>21</v>
      </c>
      <c r="I3614">
        <v>0</v>
      </c>
      <c r="J3614" t="s">
        <v>34</v>
      </c>
      <c r="K3614" t="s">
        <v>179</v>
      </c>
      <c r="L3614">
        <v>4</v>
      </c>
      <c r="M3614">
        <v>74.447999999999993</v>
      </c>
      <c r="N3614">
        <v>74.861500000000007</v>
      </c>
      <c r="O3614">
        <v>17.579000000000001</v>
      </c>
      <c r="P3614">
        <v>33.468000000000004</v>
      </c>
      <c r="Q3614">
        <v>23.401</v>
      </c>
      <c r="R3614">
        <v>4</v>
      </c>
      <c r="S3614" t="s">
        <v>83</v>
      </c>
      <c r="T3614">
        <f>IF(TRIM(Table1[[#This Row],[PitStopLaps]])="",0,
LEN(Table1[[#This Row],[PitStopLaps]])-LEN(SUBSTITUTE(Table1[[#This Row],[PitStopLaps]],",",""))+1)</f>
        <v>1</v>
      </c>
      <c r="U3614">
        <f>Table1[[#This Row],[StartPosition]]-Table1[[#This Row],[FinishPosition]]</f>
        <v>-2</v>
      </c>
    </row>
    <row r="3615" spans="1:21" x14ac:dyDescent="0.3">
      <c r="A3615">
        <v>2026</v>
      </c>
      <c r="B3615">
        <v>8</v>
      </c>
      <c r="C3615" t="s">
        <v>149</v>
      </c>
      <c r="D3615" t="s">
        <v>43</v>
      </c>
      <c r="E3615" t="s">
        <v>44</v>
      </c>
      <c r="F3615" t="s">
        <v>1449</v>
      </c>
      <c r="G3615">
        <v>20</v>
      </c>
      <c r="H3615">
        <v>22</v>
      </c>
      <c r="I3615">
        <v>0</v>
      </c>
      <c r="J3615" t="s">
        <v>34</v>
      </c>
      <c r="K3615" t="s">
        <v>179</v>
      </c>
      <c r="L3615">
        <v>2</v>
      </c>
      <c r="R3615">
        <v>2</v>
      </c>
      <c r="S3615" t="s">
        <v>83</v>
      </c>
      <c r="T3615">
        <f>IF(TRIM(Table1[[#This Row],[PitStopLaps]])="",0,
LEN(Table1[[#This Row],[PitStopLaps]])-LEN(SUBSTITUTE(Table1[[#This Row],[PitStopLaps]],",",""))+1)</f>
        <v>1</v>
      </c>
      <c r="U3615">
        <f>Table1[[#This Row],[StartPosition]]-Table1[[#This Row],[FinishPosition]]</f>
        <v>-2</v>
      </c>
    </row>
    <row r="3616" spans="1:21" x14ac:dyDescent="0.3">
      <c r="A3616">
        <v>2026</v>
      </c>
      <c r="B3616">
        <v>9</v>
      </c>
      <c r="C3616" t="s">
        <v>157</v>
      </c>
      <c r="D3616" t="s">
        <v>54</v>
      </c>
      <c r="E3616" t="s">
        <v>55</v>
      </c>
      <c r="F3616" t="s">
        <v>22</v>
      </c>
      <c r="G3616">
        <v>2</v>
      </c>
      <c r="H3616">
        <v>1</v>
      </c>
      <c r="I3616">
        <v>25</v>
      </c>
      <c r="J3616" t="s">
        <v>23</v>
      </c>
      <c r="K3616" t="s">
        <v>24</v>
      </c>
      <c r="L3616">
        <v>52</v>
      </c>
      <c r="M3616">
        <v>92.870999999999995</v>
      </c>
      <c r="N3616">
        <v>93.779976000000005</v>
      </c>
      <c r="O3616">
        <v>28.981000000000002</v>
      </c>
      <c r="P3616">
        <v>37.637</v>
      </c>
      <c r="Q3616">
        <v>25.268000000000001</v>
      </c>
      <c r="R3616" t="s">
        <v>234</v>
      </c>
      <c r="S3616" t="s">
        <v>83</v>
      </c>
      <c r="T3616">
        <f>IF(TRIM(Table1[[#This Row],[PitStopLaps]])="",0,
LEN(Table1[[#This Row],[PitStopLaps]])-LEN(SUBSTITUTE(Table1[[#This Row],[PitStopLaps]],",",""))+1)</f>
        <v>2</v>
      </c>
      <c r="U3616">
        <f>Table1[[#This Row],[StartPosition]]-Table1[[#This Row],[FinishPosition]]</f>
        <v>1</v>
      </c>
    </row>
    <row r="3617" spans="1:21" x14ac:dyDescent="0.3">
      <c r="A3617">
        <v>2026</v>
      </c>
      <c r="B3617">
        <v>9</v>
      </c>
      <c r="C3617" t="s">
        <v>157</v>
      </c>
      <c r="D3617" t="s">
        <v>252</v>
      </c>
      <c r="E3617" t="s">
        <v>253</v>
      </c>
      <c r="F3617" t="s">
        <v>28</v>
      </c>
      <c r="G3617">
        <v>4</v>
      </c>
      <c r="H3617">
        <v>2</v>
      </c>
      <c r="I3617">
        <v>18</v>
      </c>
      <c r="J3617" t="s">
        <v>23</v>
      </c>
      <c r="K3617" t="s">
        <v>24</v>
      </c>
      <c r="L3617">
        <v>52</v>
      </c>
      <c r="M3617">
        <v>92.489000000000004</v>
      </c>
      <c r="N3617">
        <v>94.012769000000006</v>
      </c>
      <c r="O3617">
        <v>29.544</v>
      </c>
      <c r="P3617">
        <v>37.277000000000001</v>
      </c>
      <c r="Q3617">
        <v>25.334</v>
      </c>
      <c r="R3617" t="s">
        <v>1147</v>
      </c>
      <c r="S3617" t="s">
        <v>83</v>
      </c>
      <c r="T3617">
        <f>IF(TRIM(Table1[[#This Row],[PitStopLaps]])="",0,
LEN(Table1[[#This Row],[PitStopLaps]])-LEN(SUBSTITUTE(Table1[[#This Row],[PitStopLaps]],",",""))+1)</f>
        <v>2</v>
      </c>
      <c r="U3617">
        <f>Table1[[#This Row],[StartPosition]]-Table1[[#This Row],[FinishPosition]]</f>
        <v>2</v>
      </c>
    </row>
    <row r="3618" spans="1:21" x14ac:dyDescent="0.3">
      <c r="A3618">
        <v>2026</v>
      </c>
      <c r="B3618">
        <v>9</v>
      </c>
      <c r="C3618" t="s">
        <v>157</v>
      </c>
      <c r="D3618" t="s">
        <v>26</v>
      </c>
      <c r="E3618" t="s">
        <v>27</v>
      </c>
      <c r="F3618" t="s">
        <v>22</v>
      </c>
      <c r="G3618">
        <v>3</v>
      </c>
      <c r="H3618">
        <v>3</v>
      </c>
      <c r="I3618">
        <v>15</v>
      </c>
      <c r="J3618" t="s">
        <v>23</v>
      </c>
      <c r="K3618" t="s">
        <v>24</v>
      </c>
      <c r="L3618">
        <v>52</v>
      </c>
      <c r="M3618">
        <v>92.308999999999997</v>
      </c>
      <c r="N3618">
        <v>94.066559999999996</v>
      </c>
      <c r="O3618">
        <v>28.966999999999999</v>
      </c>
      <c r="P3618">
        <v>37.734999999999999</v>
      </c>
      <c r="Q3618">
        <v>25.282</v>
      </c>
      <c r="R3618" t="s">
        <v>1281</v>
      </c>
      <c r="S3618" t="s">
        <v>83</v>
      </c>
      <c r="T3618">
        <f>IF(TRIM(Table1[[#This Row],[PitStopLaps]])="",0,
LEN(Table1[[#This Row],[PitStopLaps]])-LEN(SUBSTITUTE(Table1[[#This Row],[PitStopLaps]],",",""))+1)</f>
        <v>2</v>
      </c>
      <c r="U3618">
        <f>Table1[[#This Row],[StartPosition]]-Table1[[#This Row],[FinishPosition]]</f>
        <v>0</v>
      </c>
    </row>
    <row r="3619" spans="1:21" x14ac:dyDescent="0.3">
      <c r="A3619">
        <v>2026</v>
      </c>
      <c r="B3619">
        <v>9</v>
      </c>
      <c r="C3619" t="s">
        <v>157</v>
      </c>
      <c r="D3619" t="s">
        <v>246</v>
      </c>
      <c r="E3619" t="s">
        <v>247</v>
      </c>
      <c r="F3619" t="s">
        <v>37</v>
      </c>
      <c r="G3619">
        <v>6</v>
      </c>
      <c r="H3619">
        <v>4</v>
      </c>
      <c r="I3619">
        <v>12</v>
      </c>
      <c r="J3619" t="s">
        <v>34</v>
      </c>
      <c r="K3619" t="s">
        <v>24</v>
      </c>
      <c r="L3619">
        <v>52</v>
      </c>
      <c r="M3619">
        <v>92.625</v>
      </c>
      <c r="N3619">
        <v>94.340400000000002</v>
      </c>
      <c r="O3619">
        <v>29.542000000000002</v>
      </c>
      <c r="P3619">
        <v>37.49</v>
      </c>
      <c r="Q3619">
        <v>25.532</v>
      </c>
      <c r="R3619" t="s">
        <v>1502</v>
      </c>
      <c r="S3619" t="s">
        <v>83</v>
      </c>
      <c r="T3619">
        <f>IF(TRIM(Table1[[#This Row],[PitStopLaps]])="",0,
LEN(Table1[[#This Row],[PitStopLaps]])-LEN(SUBSTITUTE(Table1[[#This Row],[PitStopLaps]],",",""))+1)</f>
        <v>3</v>
      </c>
      <c r="U3619">
        <f>Table1[[#This Row],[StartPosition]]-Table1[[#This Row],[FinishPosition]]</f>
        <v>2</v>
      </c>
    </row>
    <row r="3620" spans="1:21" x14ac:dyDescent="0.3">
      <c r="A3620">
        <v>2026</v>
      </c>
      <c r="B3620">
        <v>9</v>
      </c>
      <c r="C3620" t="s">
        <v>157</v>
      </c>
      <c r="D3620" t="s">
        <v>1337</v>
      </c>
      <c r="E3620" t="s">
        <v>1338</v>
      </c>
      <c r="F3620" t="s">
        <v>33</v>
      </c>
      <c r="G3620">
        <v>5</v>
      </c>
      <c r="H3620">
        <v>5</v>
      </c>
      <c r="I3620">
        <v>10</v>
      </c>
      <c r="J3620" t="s">
        <v>34</v>
      </c>
      <c r="K3620" t="s">
        <v>24</v>
      </c>
      <c r="L3620">
        <v>52</v>
      </c>
      <c r="M3620">
        <v>92.268000000000001</v>
      </c>
      <c r="N3620">
        <v>94.520205000000004</v>
      </c>
      <c r="O3620">
        <v>29.516999999999999</v>
      </c>
      <c r="P3620">
        <v>37.380000000000003</v>
      </c>
      <c r="Q3620">
        <v>25.370999999999999</v>
      </c>
      <c r="R3620" t="s">
        <v>1503</v>
      </c>
      <c r="S3620" t="s">
        <v>83</v>
      </c>
      <c r="T3620">
        <f>IF(TRIM(Table1[[#This Row],[PitStopLaps]])="",0,
LEN(Table1[[#This Row],[PitStopLaps]])-LEN(SUBSTITUTE(Table1[[#This Row],[PitStopLaps]],",",""))+1)</f>
        <v>3</v>
      </c>
      <c r="U3620">
        <f>Table1[[#This Row],[StartPosition]]-Table1[[#This Row],[FinishPosition]]</f>
        <v>0</v>
      </c>
    </row>
    <row r="3621" spans="1:21" x14ac:dyDescent="0.3">
      <c r="A3621">
        <v>2026</v>
      </c>
      <c r="B3621">
        <v>9</v>
      </c>
      <c r="C3621" t="s">
        <v>157</v>
      </c>
      <c r="D3621" t="s">
        <v>1092</v>
      </c>
      <c r="E3621" t="s">
        <v>1093</v>
      </c>
      <c r="F3621" t="s">
        <v>1330</v>
      </c>
      <c r="G3621">
        <v>10</v>
      </c>
      <c r="H3621">
        <v>6</v>
      </c>
      <c r="I3621">
        <v>8</v>
      </c>
      <c r="J3621" t="s">
        <v>34</v>
      </c>
      <c r="K3621" t="s">
        <v>24</v>
      </c>
      <c r="L3621">
        <v>52</v>
      </c>
      <c r="M3621">
        <v>93.647999999999996</v>
      </c>
      <c r="N3621">
        <v>95.170450000000002</v>
      </c>
      <c r="O3621">
        <v>29.629000000000001</v>
      </c>
      <c r="P3621">
        <v>38.238999999999997</v>
      </c>
      <c r="Q3621">
        <v>25.652000000000001</v>
      </c>
      <c r="R3621" t="s">
        <v>715</v>
      </c>
      <c r="S3621" t="s">
        <v>83</v>
      </c>
      <c r="T3621">
        <f>IF(TRIM(Table1[[#This Row],[PitStopLaps]])="",0,
LEN(Table1[[#This Row],[PitStopLaps]])-LEN(SUBSTITUTE(Table1[[#This Row],[PitStopLaps]],",",""))+1)</f>
        <v>2</v>
      </c>
      <c r="U3621">
        <f>Table1[[#This Row],[StartPosition]]-Table1[[#This Row],[FinishPosition]]</f>
        <v>4</v>
      </c>
    </row>
    <row r="3622" spans="1:21" x14ac:dyDescent="0.3">
      <c r="A3622">
        <v>2026</v>
      </c>
      <c r="B3622">
        <v>9</v>
      </c>
      <c r="C3622" t="s">
        <v>157</v>
      </c>
      <c r="D3622" t="s">
        <v>1444</v>
      </c>
      <c r="E3622" t="s">
        <v>1445</v>
      </c>
      <c r="F3622" t="s">
        <v>1330</v>
      </c>
      <c r="G3622">
        <v>9</v>
      </c>
      <c r="H3622">
        <v>7</v>
      </c>
      <c r="I3622">
        <v>6</v>
      </c>
      <c r="J3622" t="s">
        <v>34</v>
      </c>
      <c r="K3622" t="s">
        <v>24</v>
      </c>
      <c r="L3622">
        <v>52</v>
      </c>
      <c r="M3622">
        <v>93.632000000000005</v>
      </c>
      <c r="N3622">
        <v>95.180640999999994</v>
      </c>
      <c r="O3622">
        <v>29.611000000000001</v>
      </c>
      <c r="P3622">
        <v>38.237000000000002</v>
      </c>
      <c r="Q3622">
        <v>25.52</v>
      </c>
      <c r="R3622" t="s">
        <v>547</v>
      </c>
      <c r="S3622" t="s">
        <v>83</v>
      </c>
      <c r="T3622">
        <f>IF(TRIM(Table1[[#This Row],[PitStopLaps]])="",0,
LEN(Table1[[#This Row],[PitStopLaps]])-LEN(SUBSTITUTE(Table1[[#This Row],[PitStopLaps]],",",""))+1)</f>
        <v>2</v>
      </c>
      <c r="U3622">
        <f>Table1[[#This Row],[StartPosition]]-Table1[[#This Row],[FinishPosition]]</f>
        <v>2</v>
      </c>
    </row>
    <row r="3623" spans="1:21" x14ac:dyDescent="0.3">
      <c r="A3623">
        <v>2026</v>
      </c>
      <c r="B3623">
        <v>9</v>
      </c>
      <c r="C3623" t="s">
        <v>157</v>
      </c>
      <c r="D3623" t="s">
        <v>1334</v>
      </c>
      <c r="E3623" t="s">
        <v>1335</v>
      </c>
      <c r="F3623" t="s">
        <v>1446</v>
      </c>
      <c r="G3623">
        <v>11</v>
      </c>
      <c r="H3623">
        <v>8</v>
      </c>
      <c r="I3623">
        <v>4</v>
      </c>
      <c r="J3623" t="s">
        <v>34</v>
      </c>
      <c r="K3623" t="s">
        <v>24</v>
      </c>
      <c r="L3623">
        <v>52</v>
      </c>
      <c r="M3623">
        <v>93.65</v>
      </c>
      <c r="N3623">
        <v>95.292563999999999</v>
      </c>
      <c r="O3623">
        <v>29.731000000000002</v>
      </c>
      <c r="P3623">
        <v>38.063000000000002</v>
      </c>
      <c r="Q3623">
        <v>25.806999999999999</v>
      </c>
      <c r="R3623" t="s">
        <v>1227</v>
      </c>
      <c r="S3623" t="s">
        <v>83</v>
      </c>
      <c r="T3623">
        <f>IF(TRIM(Table1[[#This Row],[PitStopLaps]])="",0,
LEN(Table1[[#This Row],[PitStopLaps]])-LEN(SUBSTITUTE(Table1[[#This Row],[PitStopLaps]],",",""))+1)</f>
        <v>2</v>
      </c>
      <c r="U3623">
        <f>Table1[[#This Row],[StartPosition]]-Table1[[#This Row],[FinishPosition]]</f>
        <v>3</v>
      </c>
    </row>
    <row r="3624" spans="1:21" x14ac:dyDescent="0.3">
      <c r="A3624">
        <v>2026</v>
      </c>
      <c r="B3624">
        <v>9</v>
      </c>
      <c r="C3624" t="s">
        <v>157</v>
      </c>
      <c r="D3624" t="s">
        <v>1283</v>
      </c>
      <c r="E3624" t="s">
        <v>1284</v>
      </c>
      <c r="F3624" t="s">
        <v>607</v>
      </c>
      <c r="G3624">
        <v>19</v>
      </c>
      <c r="H3624">
        <v>9</v>
      </c>
      <c r="I3624">
        <v>2</v>
      </c>
      <c r="J3624" t="s">
        <v>34</v>
      </c>
      <c r="K3624" t="s">
        <v>24</v>
      </c>
      <c r="L3624">
        <v>52</v>
      </c>
      <c r="M3624">
        <v>94.281000000000006</v>
      </c>
      <c r="N3624">
        <v>95.643535999999997</v>
      </c>
      <c r="O3624">
        <v>29.79</v>
      </c>
      <c r="P3624">
        <v>38.442</v>
      </c>
      <c r="Q3624">
        <v>26.021999999999998</v>
      </c>
      <c r="R3624" t="s">
        <v>415</v>
      </c>
      <c r="S3624" t="s">
        <v>83</v>
      </c>
      <c r="T3624">
        <f>IF(TRIM(Table1[[#This Row],[PitStopLaps]])="",0,
LEN(Table1[[#This Row],[PitStopLaps]])-LEN(SUBSTITUTE(Table1[[#This Row],[PitStopLaps]],",",""))+1)</f>
        <v>2</v>
      </c>
      <c r="U3624">
        <f>Table1[[#This Row],[StartPosition]]-Table1[[#This Row],[FinishPosition]]</f>
        <v>10</v>
      </c>
    </row>
    <row r="3625" spans="1:21" x14ac:dyDescent="0.3">
      <c r="A3625">
        <v>2026</v>
      </c>
      <c r="B3625">
        <v>9</v>
      </c>
      <c r="C3625" t="s">
        <v>157</v>
      </c>
      <c r="D3625" t="s">
        <v>73</v>
      </c>
      <c r="E3625" t="s">
        <v>74</v>
      </c>
      <c r="F3625" t="s">
        <v>607</v>
      </c>
      <c r="G3625">
        <v>15</v>
      </c>
      <c r="H3625">
        <v>10</v>
      </c>
      <c r="I3625">
        <v>1</v>
      </c>
      <c r="J3625" t="s">
        <v>34</v>
      </c>
      <c r="K3625" t="s">
        <v>24</v>
      </c>
      <c r="L3625">
        <v>52</v>
      </c>
      <c r="M3625">
        <v>94.179000000000002</v>
      </c>
      <c r="N3625">
        <v>95.557524999999998</v>
      </c>
      <c r="O3625">
        <v>29.798999999999999</v>
      </c>
      <c r="P3625">
        <v>38.200000000000003</v>
      </c>
      <c r="Q3625">
        <v>25.849</v>
      </c>
      <c r="R3625" t="s">
        <v>1281</v>
      </c>
      <c r="S3625" t="s">
        <v>83</v>
      </c>
      <c r="T3625">
        <f>IF(TRIM(Table1[[#This Row],[PitStopLaps]])="",0,
LEN(Table1[[#This Row],[PitStopLaps]])-LEN(SUBSTITUTE(Table1[[#This Row],[PitStopLaps]],",",""))+1)</f>
        <v>2</v>
      </c>
      <c r="U3625">
        <f>Table1[[#This Row],[StartPosition]]-Table1[[#This Row],[FinishPosition]]</f>
        <v>5</v>
      </c>
    </row>
    <row r="3626" spans="1:21" x14ac:dyDescent="0.3">
      <c r="A3626">
        <v>2026</v>
      </c>
      <c r="B3626">
        <v>9</v>
      </c>
      <c r="C3626" t="s">
        <v>157</v>
      </c>
      <c r="D3626" t="s">
        <v>1000</v>
      </c>
      <c r="E3626" t="s">
        <v>1001</v>
      </c>
      <c r="F3626" t="s">
        <v>37</v>
      </c>
      <c r="G3626">
        <v>8</v>
      </c>
      <c r="H3626">
        <v>11</v>
      </c>
      <c r="I3626">
        <v>0</v>
      </c>
      <c r="J3626" t="s">
        <v>34</v>
      </c>
      <c r="K3626" t="s">
        <v>24</v>
      </c>
      <c r="L3626">
        <v>52</v>
      </c>
      <c r="M3626">
        <v>92.917000000000002</v>
      </c>
      <c r="N3626">
        <v>94.868127999999999</v>
      </c>
      <c r="O3626">
        <v>29.221</v>
      </c>
      <c r="P3626">
        <v>37.616999999999997</v>
      </c>
      <c r="Q3626">
        <v>25.673999999999999</v>
      </c>
      <c r="R3626" t="s">
        <v>1504</v>
      </c>
      <c r="S3626" t="s">
        <v>83</v>
      </c>
      <c r="T3626">
        <f>IF(TRIM(Table1[[#This Row],[PitStopLaps]])="",0,
LEN(Table1[[#This Row],[PitStopLaps]])-LEN(SUBSTITUTE(Table1[[#This Row],[PitStopLaps]],",",""))+1)</f>
        <v>3</v>
      </c>
      <c r="U3626">
        <f>Table1[[#This Row],[StartPosition]]-Table1[[#This Row],[FinishPosition]]</f>
        <v>-3</v>
      </c>
    </row>
    <row r="3627" spans="1:21" x14ac:dyDescent="0.3">
      <c r="A3627">
        <v>2026</v>
      </c>
      <c r="B3627">
        <v>9</v>
      </c>
      <c r="C3627" t="s">
        <v>157</v>
      </c>
      <c r="D3627" t="s">
        <v>1180</v>
      </c>
      <c r="E3627" t="s">
        <v>1181</v>
      </c>
      <c r="F3627" t="s">
        <v>69</v>
      </c>
      <c r="G3627">
        <v>13</v>
      </c>
      <c r="H3627">
        <v>12</v>
      </c>
      <c r="I3627">
        <v>0</v>
      </c>
      <c r="J3627" t="s">
        <v>34</v>
      </c>
      <c r="K3627" t="s">
        <v>24</v>
      </c>
      <c r="L3627">
        <v>52</v>
      </c>
      <c r="M3627">
        <v>94.454999999999998</v>
      </c>
      <c r="N3627">
        <v>96.469384000000005</v>
      </c>
      <c r="O3627">
        <v>29.872</v>
      </c>
      <c r="P3627">
        <v>38.448</v>
      </c>
      <c r="Q3627">
        <v>25.646000000000001</v>
      </c>
      <c r="R3627" t="s">
        <v>1351</v>
      </c>
      <c r="S3627" t="s">
        <v>83</v>
      </c>
      <c r="T3627">
        <f>IF(TRIM(Table1[[#This Row],[PitStopLaps]])="",0,
LEN(Table1[[#This Row],[PitStopLaps]])-LEN(SUBSTITUTE(Table1[[#This Row],[PitStopLaps]],",",""))+1)</f>
        <v>2</v>
      </c>
      <c r="U3627">
        <f>Table1[[#This Row],[StartPosition]]-Table1[[#This Row],[FinishPosition]]</f>
        <v>1</v>
      </c>
    </row>
    <row r="3628" spans="1:21" x14ac:dyDescent="0.3">
      <c r="A3628">
        <v>2026</v>
      </c>
      <c r="B3628">
        <v>9</v>
      </c>
      <c r="C3628" t="s">
        <v>157</v>
      </c>
      <c r="D3628" t="s">
        <v>52</v>
      </c>
      <c r="E3628" t="s">
        <v>53</v>
      </c>
      <c r="F3628" t="s">
        <v>69</v>
      </c>
      <c r="G3628">
        <v>17</v>
      </c>
      <c r="H3628">
        <v>13</v>
      </c>
      <c r="I3628">
        <v>0</v>
      </c>
      <c r="J3628" t="s">
        <v>34</v>
      </c>
      <c r="K3628" t="s">
        <v>24</v>
      </c>
      <c r="L3628">
        <v>52</v>
      </c>
      <c r="M3628">
        <v>94.792000000000002</v>
      </c>
      <c r="N3628">
        <v>96.321250000000006</v>
      </c>
      <c r="O3628">
        <v>30.07</v>
      </c>
      <c r="P3628">
        <v>38.567999999999998</v>
      </c>
      <c r="Q3628">
        <v>25.885000000000002</v>
      </c>
      <c r="R3628" t="s">
        <v>416</v>
      </c>
      <c r="S3628" t="s">
        <v>83</v>
      </c>
      <c r="T3628">
        <f>IF(TRIM(Table1[[#This Row],[PitStopLaps]])="",0,
LEN(Table1[[#This Row],[PitStopLaps]])-LEN(SUBSTITUTE(Table1[[#This Row],[PitStopLaps]],",",""))+1)</f>
        <v>2</v>
      </c>
      <c r="U3628">
        <f>Table1[[#This Row],[StartPosition]]-Table1[[#This Row],[FinishPosition]]</f>
        <v>4</v>
      </c>
    </row>
    <row r="3629" spans="1:21" x14ac:dyDescent="0.3">
      <c r="A3629">
        <v>2026</v>
      </c>
      <c r="B3629">
        <v>9</v>
      </c>
      <c r="C3629" t="s">
        <v>157</v>
      </c>
      <c r="D3629" t="s">
        <v>49</v>
      </c>
      <c r="E3629" t="s">
        <v>50</v>
      </c>
      <c r="F3629" t="s">
        <v>1449</v>
      </c>
      <c r="G3629">
        <v>20</v>
      </c>
      <c r="H3629">
        <v>14</v>
      </c>
      <c r="I3629">
        <v>0</v>
      </c>
      <c r="J3629" t="s">
        <v>34</v>
      </c>
      <c r="K3629" t="s">
        <v>24</v>
      </c>
      <c r="L3629">
        <v>52</v>
      </c>
      <c r="M3629">
        <v>95.52</v>
      </c>
      <c r="N3629">
        <v>96.966200000000001</v>
      </c>
      <c r="O3629">
        <v>30.228999999999999</v>
      </c>
      <c r="P3629">
        <v>38.847000000000001</v>
      </c>
      <c r="Q3629">
        <v>26.227</v>
      </c>
      <c r="R3629" t="s">
        <v>1239</v>
      </c>
      <c r="S3629" t="s">
        <v>83</v>
      </c>
      <c r="T3629">
        <f>IF(TRIM(Table1[[#This Row],[PitStopLaps]])="",0,
LEN(Table1[[#This Row],[PitStopLaps]])-LEN(SUBSTITUTE(Table1[[#This Row],[PitStopLaps]],",",""))+1)</f>
        <v>2</v>
      </c>
      <c r="U3629">
        <f>Table1[[#This Row],[StartPosition]]-Table1[[#This Row],[FinishPosition]]</f>
        <v>6</v>
      </c>
    </row>
    <row r="3630" spans="1:21" x14ac:dyDescent="0.3">
      <c r="A3630">
        <v>2026</v>
      </c>
      <c r="B3630">
        <v>9</v>
      </c>
      <c r="C3630" t="s">
        <v>157</v>
      </c>
      <c r="D3630" t="s">
        <v>1339</v>
      </c>
      <c r="E3630" t="s">
        <v>1325</v>
      </c>
      <c r="F3630" t="s">
        <v>28</v>
      </c>
      <c r="G3630">
        <v>1</v>
      </c>
      <c r="H3630">
        <v>15</v>
      </c>
      <c r="I3630">
        <v>0</v>
      </c>
      <c r="J3630" t="s">
        <v>34</v>
      </c>
      <c r="K3630" t="s">
        <v>24</v>
      </c>
      <c r="L3630">
        <v>52</v>
      </c>
      <c r="M3630">
        <v>91.777000000000001</v>
      </c>
      <c r="N3630">
        <v>93.947215999999997</v>
      </c>
      <c r="O3630">
        <v>29.408000000000001</v>
      </c>
      <c r="P3630">
        <v>37.119</v>
      </c>
      <c r="Q3630">
        <v>25.157</v>
      </c>
      <c r="R3630" t="s">
        <v>1505</v>
      </c>
      <c r="S3630" t="s">
        <v>83</v>
      </c>
      <c r="T3630">
        <f>IF(TRIM(Table1[[#This Row],[PitStopLaps]])="",0,
LEN(Table1[[#This Row],[PitStopLaps]])-LEN(SUBSTITUTE(Table1[[#This Row],[PitStopLaps]],",",""))+1)</f>
        <v>3</v>
      </c>
      <c r="U3630">
        <f>Table1[[#This Row],[StartPosition]]-Table1[[#This Row],[FinishPosition]]</f>
        <v>-14</v>
      </c>
    </row>
    <row r="3631" spans="1:21" x14ac:dyDescent="0.3">
      <c r="A3631">
        <v>2026</v>
      </c>
      <c r="B3631">
        <v>9</v>
      </c>
      <c r="C3631" t="s">
        <v>157</v>
      </c>
      <c r="D3631" t="s">
        <v>43</v>
      </c>
      <c r="E3631" t="s">
        <v>44</v>
      </c>
      <c r="F3631" t="s">
        <v>1449</v>
      </c>
      <c r="G3631">
        <v>18</v>
      </c>
      <c r="H3631">
        <v>16</v>
      </c>
      <c r="I3631">
        <v>0</v>
      </c>
      <c r="J3631" t="s">
        <v>34</v>
      </c>
      <c r="K3631" t="s">
        <v>24</v>
      </c>
      <c r="L3631">
        <v>52</v>
      </c>
      <c r="M3631">
        <v>95.893000000000001</v>
      </c>
      <c r="N3631">
        <v>97.590665999999999</v>
      </c>
      <c r="O3631">
        <v>30.277999999999999</v>
      </c>
      <c r="P3631">
        <v>39.048000000000002</v>
      </c>
      <c r="Q3631">
        <v>26.323</v>
      </c>
      <c r="R3631" t="s">
        <v>1349</v>
      </c>
      <c r="S3631" t="s">
        <v>83</v>
      </c>
      <c r="T3631">
        <f>IF(TRIM(Table1[[#This Row],[PitStopLaps]])="",0,
LEN(Table1[[#This Row],[PitStopLaps]])-LEN(SUBSTITUTE(Table1[[#This Row],[PitStopLaps]],",",""))+1)</f>
        <v>2</v>
      </c>
      <c r="U3631">
        <f>Table1[[#This Row],[StartPosition]]-Table1[[#This Row],[FinishPosition]]</f>
        <v>2</v>
      </c>
    </row>
    <row r="3632" spans="1:21" x14ac:dyDescent="0.3">
      <c r="A3632">
        <v>2026</v>
      </c>
      <c r="B3632">
        <v>9</v>
      </c>
      <c r="C3632" t="s">
        <v>157</v>
      </c>
      <c r="D3632" t="s">
        <v>47</v>
      </c>
      <c r="E3632" t="s">
        <v>48</v>
      </c>
      <c r="F3632" t="s">
        <v>60</v>
      </c>
      <c r="G3632">
        <v>14</v>
      </c>
      <c r="H3632">
        <v>17</v>
      </c>
      <c r="I3632">
        <v>0</v>
      </c>
      <c r="J3632" t="s">
        <v>34</v>
      </c>
      <c r="K3632" t="s">
        <v>994</v>
      </c>
      <c r="L3632">
        <v>52</v>
      </c>
      <c r="M3632">
        <v>94.923000000000002</v>
      </c>
      <c r="N3632">
        <v>96.380571000000003</v>
      </c>
      <c r="O3632">
        <v>29.768000000000001</v>
      </c>
      <c r="P3632">
        <v>38.561999999999998</v>
      </c>
      <c r="Q3632">
        <v>26.14</v>
      </c>
      <c r="R3632" t="s">
        <v>1356</v>
      </c>
      <c r="S3632" t="s">
        <v>83</v>
      </c>
      <c r="T3632">
        <f>IF(TRIM(Table1[[#This Row],[PitStopLaps]])="",0,
LEN(Table1[[#This Row],[PitStopLaps]])-LEN(SUBSTITUTE(Table1[[#This Row],[PitStopLaps]],",",""))+1)</f>
        <v>2</v>
      </c>
      <c r="U3632">
        <f>Table1[[#This Row],[StartPosition]]-Table1[[#This Row],[FinishPosition]]</f>
        <v>-3</v>
      </c>
    </row>
    <row r="3633" spans="1:21" x14ac:dyDescent="0.3">
      <c r="A3633">
        <v>2026</v>
      </c>
      <c r="B3633">
        <v>9</v>
      </c>
      <c r="C3633" t="s">
        <v>157</v>
      </c>
      <c r="D3633" t="s">
        <v>35</v>
      </c>
      <c r="E3633" t="s">
        <v>36</v>
      </c>
      <c r="F3633" t="s">
        <v>603</v>
      </c>
      <c r="G3633">
        <v>21</v>
      </c>
      <c r="H3633">
        <v>18</v>
      </c>
      <c r="I3633">
        <v>0</v>
      </c>
      <c r="J3633" t="s">
        <v>34</v>
      </c>
      <c r="K3633" t="s">
        <v>994</v>
      </c>
      <c r="L3633">
        <v>51</v>
      </c>
      <c r="M3633">
        <v>96.694999999999993</v>
      </c>
      <c r="N3633">
        <v>98.539559999999994</v>
      </c>
      <c r="O3633">
        <v>30.713999999999999</v>
      </c>
      <c r="P3633">
        <v>39.378999999999998</v>
      </c>
      <c r="Q3633">
        <v>26.47</v>
      </c>
      <c r="R3633" t="s">
        <v>417</v>
      </c>
      <c r="S3633" t="s">
        <v>83</v>
      </c>
      <c r="T3633">
        <f>IF(TRIM(Table1[[#This Row],[PitStopLaps]])="",0,
LEN(Table1[[#This Row],[PitStopLaps]])-LEN(SUBSTITUTE(Table1[[#This Row],[PitStopLaps]],",",""))+1)</f>
        <v>2</v>
      </c>
      <c r="U3633">
        <f>Table1[[#This Row],[StartPosition]]-Table1[[#This Row],[FinishPosition]]</f>
        <v>3</v>
      </c>
    </row>
    <row r="3634" spans="1:21" x14ac:dyDescent="0.3">
      <c r="A3634">
        <v>2026</v>
      </c>
      <c r="B3634">
        <v>9</v>
      </c>
      <c r="C3634" t="s">
        <v>157</v>
      </c>
      <c r="D3634" t="s">
        <v>58</v>
      </c>
      <c r="E3634" t="s">
        <v>59</v>
      </c>
      <c r="F3634" t="s">
        <v>603</v>
      </c>
      <c r="G3634">
        <v>22</v>
      </c>
      <c r="H3634">
        <v>19</v>
      </c>
      <c r="I3634">
        <v>0</v>
      </c>
      <c r="J3634" t="s">
        <v>34</v>
      </c>
      <c r="K3634" t="s">
        <v>994</v>
      </c>
      <c r="L3634">
        <v>51</v>
      </c>
      <c r="M3634">
        <v>97.231999999999999</v>
      </c>
      <c r="N3634">
        <v>98.688128000000006</v>
      </c>
      <c r="O3634">
        <v>30.433</v>
      </c>
      <c r="P3634">
        <v>39.840000000000003</v>
      </c>
      <c r="Q3634">
        <v>26.523</v>
      </c>
      <c r="R3634" t="s">
        <v>1500</v>
      </c>
      <c r="S3634" t="s">
        <v>83</v>
      </c>
      <c r="T3634">
        <f>IF(TRIM(Table1[[#This Row],[PitStopLaps]])="",0,
LEN(Table1[[#This Row],[PitStopLaps]])-LEN(SUBSTITUTE(Table1[[#This Row],[PitStopLaps]],",",""))+1)</f>
        <v>2</v>
      </c>
      <c r="U3634">
        <f>Table1[[#This Row],[StartPosition]]-Table1[[#This Row],[FinishPosition]]</f>
        <v>3</v>
      </c>
    </row>
    <row r="3635" spans="1:21" x14ac:dyDescent="0.3">
      <c r="A3635">
        <v>2026</v>
      </c>
      <c r="B3635">
        <v>9</v>
      </c>
      <c r="C3635" t="s">
        <v>157</v>
      </c>
      <c r="D3635" t="s">
        <v>38</v>
      </c>
      <c r="E3635" t="s">
        <v>39</v>
      </c>
      <c r="F3635" t="s">
        <v>33</v>
      </c>
      <c r="G3635">
        <v>7</v>
      </c>
      <c r="H3635">
        <v>20</v>
      </c>
      <c r="I3635">
        <v>0</v>
      </c>
      <c r="J3635" t="s">
        <v>34</v>
      </c>
      <c r="K3635" t="s">
        <v>179</v>
      </c>
      <c r="L3635">
        <v>47</v>
      </c>
      <c r="M3635">
        <v>92.100999999999999</v>
      </c>
      <c r="N3635">
        <v>94.073724999999996</v>
      </c>
      <c r="O3635">
        <v>29.326000000000001</v>
      </c>
      <c r="P3635">
        <v>37.411999999999999</v>
      </c>
      <c r="Q3635">
        <v>25.29</v>
      </c>
      <c r="R3635" t="s">
        <v>481</v>
      </c>
      <c r="S3635" t="s">
        <v>83</v>
      </c>
      <c r="T3635">
        <f>IF(TRIM(Table1[[#This Row],[PitStopLaps]])="",0,
LEN(Table1[[#This Row],[PitStopLaps]])-LEN(SUBSTITUTE(Table1[[#This Row],[PitStopLaps]],",",""))+1)</f>
        <v>2</v>
      </c>
      <c r="U3635">
        <f>Table1[[#This Row],[StartPosition]]-Table1[[#This Row],[FinishPosition]]</f>
        <v>-13</v>
      </c>
    </row>
    <row r="3636" spans="1:21" x14ac:dyDescent="0.3">
      <c r="A3636">
        <v>2026</v>
      </c>
      <c r="B3636">
        <v>9</v>
      </c>
      <c r="C3636" t="s">
        <v>157</v>
      </c>
      <c r="D3636" t="s">
        <v>248</v>
      </c>
      <c r="E3636" t="s">
        <v>249</v>
      </c>
      <c r="F3636" t="s">
        <v>60</v>
      </c>
      <c r="G3636">
        <v>16</v>
      </c>
      <c r="H3636">
        <v>21</v>
      </c>
      <c r="I3636">
        <v>0</v>
      </c>
      <c r="J3636" t="s">
        <v>34</v>
      </c>
      <c r="K3636" t="s">
        <v>179</v>
      </c>
      <c r="L3636">
        <v>43</v>
      </c>
      <c r="M3636">
        <v>93.867000000000004</v>
      </c>
      <c r="N3636">
        <v>96.727800000000002</v>
      </c>
      <c r="O3636">
        <v>29.658000000000001</v>
      </c>
      <c r="P3636">
        <v>38.295999999999999</v>
      </c>
      <c r="Q3636">
        <v>25.913</v>
      </c>
      <c r="R3636" t="s">
        <v>1506</v>
      </c>
      <c r="S3636" t="s">
        <v>83</v>
      </c>
      <c r="T3636">
        <f>IF(TRIM(Table1[[#This Row],[PitStopLaps]])="",0,
LEN(Table1[[#This Row],[PitStopLaps]])-LEN(SUBSTITUTE(Table1[[#This Row],[PitStopLaps]],",",""))+1)</f>
        <v>6</v>
      </c>
      <c r="U3636">
        <f>Table1[[#This Row],[StartPosition]]-Table1[[#This Row],[FinishPosition]]</f>
        <v>-5</v>
      </c>
    </row>
    <row r="3637" spans="1:21" x14ac:dyDescent="0.3">
      <c r="A3637">
        <v>2026</v>
      </c>
      <c r="B3637">
        <v>9</v>
      </c>
      <c r="C3637" t="s">
        <v>157</v>
      </c>
      <c r="D3637" t="s">
        <v>40</v>
      </c>
      <c r="E3637" t="s">
        <v>41</v>
      </c>
      <c r="F3637" t="s">
        <v>1446</v>
      </c>
      <c r="G3637">
        <v>12</v>
      </c>
      <c r="H3637">
        <v>22</v>
      </c>
      <c r="I3637">
        <v>0</v>
      </c>
      <c r="J3637" t="s">
        <v>34</v>
      </c>
      <c r="K3637" t="s">
        <v>179</v>
      </c>
      <c r="L3637">
        <v>37</v>
      </c>
      <c r="M3637">
        <v>93.433000000000007</v>
      </c>
      <c r="N3637">
        <v>96.029499999999999</v>
      </c>
      <c r="O3637">
        <v>29.75</v>
      </c>
      <c r="P3637">
        <v>38.090000000000003</v>
      </c>
      <c r="Q3637">
        <v>25.593</v>
      </c>
      <c r="R3637" t="s">
        <v>280</v>
      </c>
      <c r="S3637" t="s">
        <v>83</v>
      </c>
      <c r="T3637">
        <f>IF(TRIM(Table1[[#This Row],[PitStopLaps]])="",0,
LEN(Table1[[#This Row],[PitStopLaps]])-LEN(SUBSTITUTE(Table1[[#This Row],[PitStopLaps]],",",""))+1)</f>
        <v>2</v>
      </c>
      <c r="U3637">
        <f>Table1[[#This Row],[StartPosition]]-Table1[[#This Row],[FinishPosition]]</f>
        <v>-10</v>
      </c>
    </row>
    <row r="3638" spans="1:21" x14ac:dyDescent="0.3">
      <c r="A3638">
        <v>2026</v>
      </c>
      <c r="B3638">
        <v>10</v>
      </c>
      <c r="C3638" t="s">
        <v>188</v>
      </c>
      <c r="D3638" t="s">
        <v>1339</v>
      </c>
      <c r="E3638" t="s">
        <v>1325</v>
      </c>
      <c r="F3638" t="s">
        <v>28</v>
      </c>
      <c r="G3638">
        <v>1</v>
      </c>
      <c r="H3638">
        <v>1</v>
      </c>
      <c r="I3638">
        <v>25</v>
      </c>
      <c r="J3638" t="s">
        <v>23</v>
      </c>
      <c r="K3638" t="s">
        <v>24</v>
      </c>
      <c r="L3638">
        <v>44</v>
      </c>
      <c r="M3638">
        <v>109.098</v>
      </c>
      <c r="N3638">
        <v>110.209611</v>
      </c>
      <c r="O3638">
        <v>30.576000000000001</v>
      </c>
      <c r="P3638">
        <v>48.904000000000003</v>
      </c>
      <c r="Q3638">
        <v>28.876000000000001</v>
      </c>
      <c r="R3638">
        <v>18</v>
      </c>
      <c r="S3638" t="s">
        <v>83</v>
      </c>
      <c r="T3638">
        <f>IF(TRIM(Table1[[#This Row],[PitStopLaps]])="",0,
LEN(Table1[[#This Row],[PitStopLaps]])-LEN(SUBSTITUTE(Table1[[#This Row],[PitStopLaps]],",",""))+1)</f>
        <v>1</v>
      </c>
      <c r="U3638">
        <f>Table1[[#This Row],[StartPosition]]-Table1[[#This Row],[FinishPosition]]</f>
        <v>0</v>
      </c>
    </row>
    <row r="3639" spans="1:21" x14ac:dyDescent="0.3">
      <c r="A3639">
        <v>2026</v>
      </c>
      <c r="B3639">
        <v>10</v>
      </c>
      <c r="C3639" t="s">
        <v>188</v>
      </c>
      <c r="D3639" t="s">
        <v>54</v>
      </c>
      <c r="E3639" t="s">
        <v>55</v>
      </c>
      <c r="F3639" t="s">
        <v>22</v>
      </c>
      <c r="G3639">
        <v>4</v>
      </c>
      <c r="H3639">
        <v>2</v>
      </c>
      <c r="I3639">
        <v>18</v>
      </c>
      <c r="J3639" t="s">
        <v>23</v>
      </c>
      <c r="K3639" t="s">
        <v>24</v>
      </c>
      <c r="L3639">
        <v>44</v>
      </c>
      <c r="M3639">
        <v>109.333</v>
      </c>
      <c r="N3639">
        <v>110.417918</v>
      </c>
      <c r="O3639">
        <v>30.731999999999999</v>
      </c>
      <c r="P3639">
        <v>48.456000000000003</v>
      </c>
      <c r="Q3639">
        <v>28.808</v>
      </c>
      <c r="R3639">
        <v>20</v>
      </c>
      <c r="S3639" t="s">
        <v>83</v>
      </c>
      <c r="T3639">
        <f>IF(TRIM(Table1[[#This Row],[PitStopLaps]])="",0,
LEN(Table1[[#This Row],[PitStopLaps]])-LEN(SUBSTITUTE(Table1[[#This Row],[PitStopLaps]],",",""))+1)</f>
        <v>1</v>
      </c>
      <c r="U3639">
        <f>Table1[[#This Row],[StartPosition]]-Table1[[#This Row],[FinishPosition]]</f>
        <v>2</v>
      </c>
    </row>
    <row r="3640" spans="1:21" x14ac:dyDescent="0.3">
      <c r="A3640">
        <v>2026</v>
      </c>
      <c r="B3640">
        <v>10</v>
      </c>
      <c r="C3640" t="s">
        <v>188</v>
      </c>
      <c r="D3640" t="s">
        <v>38</v>
      </c>
      <c r="E3640" t="s">
        <v>39</v>
      </c>
      <c r="F3640" t="s">
        <v>33</v>
      </c>
      <c r="G3640">
        <v>2</v>
      </c>
      <c r="H3640">
        <v>3</v>
      </c>
      <c r="I3640">
        <v>15</v>
      </c>
      <c r="J3640" t="s">
        <v>23</v>
      </c>
      <c r="K3640" t="s">
        <v>24</v>
      </c>
      <c r="L3640">
        <v>44</v>
      </c>
      <c r="M3640">
        <v>109.61799999999999</v>
      </c>
      <c r="N3640">
        <v>110.423777</v>
      </c>
      <c r="O3640">
        <v>30.751999999999999</v>
      </c>
      <c r="P3640">
        <v>48.668999999999997</v>
      </c>
      <c r="Q3640">
        <v>29.183</v>
      </c>
      <c r="R3640">
        <v>17</v>
      </c>
      <c r="S3640" t="s">
        <v>83</v>
      </c>
      <c r="T3640">
        <f>IF(TRIM(Table1[[#This Row],[PitStopLaps]])="",0,
LEN(Table1[[#This Row],[PitStopLaps]])-LEN(SUBSTITUTE(Table1[[#This Row],[PitStopLaps]],",",""))+1)</f>
        <v>1</v>
      </c>
      <c r="U3640">
        <f>Table1[[#This Row],[StartPosition]]-Table1[[#This Row],[FinishPosition]]</f>
        <v>-1</v>
      </c>
    </row>
    <row r="3641" spans="1:21" x14ac:dyDescent="0.3">
      <c r="A3641">
        <v>2026</v>
      </c>
      <c r="B3641">
        <v>10</v>
      </c>
      <c r="C3641" t="s">
        <v>188</v>
      </c>
      <c r="D3641" t="s">
        <v>26</v>
      </c>
      <c r="E3641" t="s">
        <v>27</v>
      </c>
      <c r="F3641" t="s">
        <v>22</v>
      </c>
      <c r="G3641">
        <v>5</v>
      </c>
      <c r="H3641">
        <v>4</v>
      </c>
      <c r="I3641">
        <v>12</v>
      </c>
      <c r="J3641" t="s">
        <v>34</v>
      </c>
      <c r="K3641" t="s">
        <v>24</v>
      </c>
      <c r="L3641">
        <v>44</v>
      </c>
      <c r="M3641">
        <v>109.45399999999999</v>
      </c>
      <c r="N3641">
        <v>110.52761099999999</v>
      </c>
      <c r="O3641">
        <v>30.734000000000002</v>
      </c>
      <c r="P3641">
        <v>48.912999999999997</v>
      </c>
      <c r="Q3641">
        <v>29.053000000000001</v>
      </c>
      <c r="R3641">
        <v>20</v>
      </c>
      <c r="S3641" t="s">
        <v>83</v>
      </c>
      <c r="T3641">
        <f>IF(TRIM(Table1[[#This Row],[PitStopLaps]])="",0,
LEN(Table1[[#This Row],[PitStopLaps]])-LEN(SUBSTITUTE(Table1[[#This Row],[PitStopLaps]],",",""))+1)</f>
        <v>1</v>
      </c>
      <c r="U3641">
        <f>Table1[[#This Row],[StartPosition]]-Table1[[#This Row],[FinishPosition]]</f>
        <v>1</v>
      </c>
    </row>
    <row r="3642" spans="1:21" x14ac:dyDescent="0.3">
      <c r="A3642">
        <v>2026</v>
      </c>
      <c r="B3642">
        <v>10</v>
      </c>
      <c r="C3642" t="s">
        <v>188</v>
      </c>
      <c r="D3642" t="s">
        <v>1000</v>
      </c>
      <c r="E3642" t="s">
        <v>1001</v>
      </c>
      <c r="F3642" t="s">
        <v>37</v>
      </c>
      <c r="G3642">
        <v>6</v>
      </c>
      <c r="H3642">
        <v>5</v>
      </c>
      <c r="I3642">
        <v>10</v>
      </c>
      <c r="J3642" t="s">
        <v>34</v>
      </c>
      <c r="K3642" t="s">
        <v>24</v>
      </c>
      <c r="L3642">
        <v>44</v>
      </c>
      <c r="M3642">
        <v>109.562</v>
      </c>
      <c r="N3642">
        <v>110.874702</v>
      </c>
      <c r="O3642">
        <v>30.878</v>
      </c>
      <c r="P3642">
        <v>49.033000000000001</v>
      </c>
      <c r="Q3642">
        <v>28.986000000000001</v>
      </c>
      <c r="R3642">
        <v>20</v>
      </c>
      <c r="S3642" t="s">
        <v>83</v>
      </c>
      <c r="T3642">
        <f>IF(TRIM(Table1[[#This Row],[PitStopLaps]])="",0,
LEN(Table1[[#This Row],[PitStopLaps]])-LEN(SUBSTITUTE(Table1[[#This Row],[PitStopLaps]],",",""))+1)</f>
        <v>1</v>
      </c>
      <c r="U3642">
        <f>Table1[[#This Row],[StartPosition]]-Table1[[#This Row],[FinishPosition]]</f>
        <v>1</v>
      </c>
    </row>
    <row r="3643" spans="1:21" x14ac:dyDescent="0.3">
      <c r="A3643">
        <v>2026</v>
      </c>
      <c r="B3643">
        <v>10</v>
      </c>
      <c r="C3643" t="s">
        <v>188</v>
      </c>
      <c r="D3643" t="s">
        <v>1337</v>
      </c>
      <c r="E3643" t="s">
        <v>1338</v>
      </c>
      <c r="F3643" t="s">
        <v>33</v>
      </c>
      <c r="G3643">
        <v>21</v>
      </c>
      <c r="H3643">
        <v>6</v>
      </c>
      <c r="I3643">
        <v>8</v>
      </c>
      <c r="J3643" t="s">
        <v>34</v>
      </c>
      <c r="K3643" t="s">
        <v>24</v>
      </c>
      <c r="L3643">
        <v>44</v>
      </c>
      <c r="M3643">
        <v>109.298</v>
      </c>
      <c r="N3643">
        <v>110.71367499999999</v>
      </c>
      <c r="O3643">
        <v>30.661000000000001</v>
      </c>
      <c r="P3643">
        <v>48.859000000000002</v>
      </c>
      <c r="Q3643">
        <v>28.875</v>
      </c>
      <c r="R3643" t="s">
        <v>1507</v>
      </c>
      <c r="S3643" t="s">
        <v>83</v>
      </c>
      <c r="T3643">
        <f>IF(TRIM(Table1[[#This Row],[PitStopLaps]])="",0,
LEN(Table1[[#This Row],[PitStopLaps]])-LEN(SUBSTITUTE(Table1[[#This Row],[PitStopLaps]],",",""))+1)</f>
        <v>3</v>
      </c>
      <c r="U3643">
        <f>Table1[[#This Row],[StartPosition]]-Table1[[#This Row],[FinishPosition]]</f>
        <v>15</v>
      </c>
    </row>
    <row r="3644" spans="1:21" x14ac:dyDescent="0.3">
      <c r="A3644">
        <v>2026</v>
      </c>
      <c r="B3644">
        <v>10</v>
      </c>
      <c r="C3644" t="s">
        <v>188</v>
      </c>
      <c r="D3644" t="s">
        <v>246</v>
      </c>
      <c r="E3644" t="s">
        <v>247</v>
      </c>
      <c r="F3644" t="s">
        <v>37</v>
      </c>
      <c r="G3644">
        <v>13</v>
      </c>
      <c r="H3644">
        <v>7</v>
      </c>
      <c r="I3644">
        <v>6</v>
      </c>
      <c r="J3644" t="s">
        <v>34</v>
      </c>
      <c r="K3644" t="s">
        <v>24</v>
      </c>
      <c r="L3644">
        <v>44</v>
      </c>
      <c r="M3644">
        <v>108.89</v>
      </c>
      <c r="N3644">
        <v>110.538742</v>
      </c>
      <c r="O3644">
        <v>30.922000000000001</v>
      </c>
      <c r="P3644">
        <v>48.593000000000004</v>
      </c>
      <c r="Q3644">
        <v>28.606000000000002</v>
      </c>
      <c r="R3644">
        <v>30</v>
      </c>
      <c r="S3644" t="s">
        <v>83</v>
      </c>
      <c r="T3644">
        <f>IF(TRIM(Table1[[#This Row],[PitStopLaps]])="",0,
LEN(Table1[[#This Row],[PitStopLaps]])-LEN(SUBSTITUTE(Table1[[#This Row],[PitStopLaps]],",",""))+1)</f>
        <v>1</v>
      </c>
      <c r="U3644">
        <f>Table1[[#This Row],[StartPosition]]-Table1[[#This Row],[FinishPosition]]</f>
        <v>6</v>
      </c>
    </row>
    <row r="3645" spans="1:21" x14ac:dyDescent="0.3">
      <c r="A3645">
        <v>2026</v>
      </c>
      <c r="B3645">
        <v>10</v>
      </c>
      <c r="C3645" t="s">
        <v>188</v>
      </c>
      <c r="D3645" t="s">
        <v>1334</v>
      </c>
      <c r="E3645" t="s">
        <v>1335</v>
      </c>
      <c r="F3645" t="s">
        <v>1446</v>
      </c>
      <c r="G3645">
        <v>8</v>
      </c>
      <c r="H3645">
        <v>8</v>
      </c>
      <c r="I3645">
        <v>4</v>
      </c>
      <c r="J3645" t="s">
        <v>34</v>
      </c>
      <c r="K3645" t="s">
        <v>24</v>
      </c>
      <c r="L3645">
        <v>44</v>
      </c>
      <c r="M3645">
        <v>110.334</v>
      </c>
      <c r="N3645">
        <v>111.609729</v>
      </c>
      <c r="O3645">
        <v>31.242999999999999</v>
      </c>
      <c r="P3645">
        <v>48.84</v>
      </c>
      <c r="Q3645">
        <v>29.71</v>
      </c>
      <c r="R3645">
        <v>20</v>
      </c>
      <c r="S3645" t="s">
        <v>83</v>
      </c>
      <c r="T3645">
        <f>IF(TRIM(Table1[[#This Row],[PitStopLaps]])="",0,
LEN(Table1[[#This Row],[PitStopLaps]])-LEN(SUBSTITUTE(Table1[[#This Row],[PitStopLaps]],",",""))+1)</f>
        <v>1</v>
      </c>
      <c r="U3645">
        <f>Table1[[#This Row],[StartPosition]]-Table1[[#This Row],[FinishPosition]]</f>
        <v>0</v>
      </c>
    </row>
    <row r="3646" spans="1:21" x14ac:dyDescent="0.3">
      <c r="A3646">
        <v>2026</v>
      </c>
      <c r="B3646">
        <v>10</v>
      </c>
      <c r="C3646" t="s">
        <v>188</v>
      </c>
      <c r="D3646" t="s">
        <v>1444</v>
      </c>
      <c r="E3646" t="s">
        <v>1445</v>
      </c>
      <c r="F3646" t="s">
        <v>1330</v>
      </c>
      <c r="G3646">
        <v>7</v>
      </c>
      <c r="H3646">
        <v>9</v>
      </c>
      <c r="I3646">
        <v>2</v>
      </c>
      <c r="J3646" t="s">
        <v>34</v>
      </c>
      <c r="K3646" t="s">
        <v>24</v>
      </c>
      <c r="L3646">
        <v>44</v>
      </c>
      <c r="M3646">
        <v>110.536</v>
      </c>
      <c r="N3646">
        <v>111.3398</v>
      </c>
      <c r="O3646">
        <v>31.013000000000002</v>
      </c>
      <c r="P3646">
        <v>49.58</v>
      </c>
      <c r="Q3646">
        <v>29.135000000000002</v>
      </c>
      <c r="R3646">
        <v>16</v>
      </c>
      <c r="S3646" t="s">
        <v>83</v>
      </c>
      <c r="T3646">
        <f>IF(TRIM(Table1[[#This Row],[PitStopLaps]])="",0,
LEN(Table1[[#This Row],[PitStopLaps]])-LEN(SUBSTITUTE(Table1[[#This Row],[PitStopLaps]],",",""))+1)</f>
        <v>1</v>
      </c>
      <c r="U3646">
        <f>Table1[[#This Row],[StartPosition]]-Table1[[#This Row],[FinishPosition]]</f>
        <v>-2</v>
      </c>
    </row>
    <row r="3647" spans="1:21" x14ac:dyDescent="0.3">
      <c r="A3647">
        <v>2026</v>
      </c>
      <c r="B3647">
        <v>10</v>
      </c>
      <c r="C3647" t="s">
        <v>188</v>
      </c>
      <c r="D3647" t="s">
        <v>1283</v>
      </c>
      <c r="E3647" t="s">
        <v>1284</v>
      </c>
      <c r="F3647" t="s">
        <v>607</v>
      </c>
      <c r="G3647">
        <v>11</v>
      </c>
      <c r="H3647">
        <v>10</v>
      </c>
      <c r="I3647">
        <v>1</v>
      </c>
      <c r="J3647" t="s">
        <v>34</v>
      </c>
      <c r="K3647" t="s">
        <v>24</v>
      </c>
      <c r="L3647">
        <v>44</v>
      </c>
      <c r="M3647">
        <v>111.16200000000001</v>
      </c>
      <c r="N3647">
        <v>112.026555</v>
      </c>
      <c r="O3647">
        <v>30.812999999999999</v>
      </c>
      <c r="P3647">
        <v>50.024999999999999</v>
      </c>
      <c r="Q3647">
        <v>29.35</v>
      </c>
      <c r="R3647">
        <v>15</v>
      </c>
      <c r="S3647" t="s">
        <v>83</v>
      </c>
      <c r="T3647">
        <f>IF(TRIM(Table1[[#This Row],[PitStopLaps]])="",0,
LEN(Table1[[#This Row],[PitStopLaps]])-LEN(SUBSTITUTE(Table1[[#This Row],[PitStopLaps]],",",""))+1)</f>
        <v>1</v>
      </c>
      <c r="U3647">
        <f>Table1[[#This Row],[StartPosition]]-Table1[[#This Row],[FinishPosition]]</f>
        <v>1</v>
      </c>
    </row>
    <row r="3648" spans="1:21" x14ac:dyDescent="0.3">
      <c r="A3648">
        <v>2026</v>
      </c>
      <c r="B3648">
        <v>10</v>
      </c>
      <c r="C3648" t="s">
        <v>188</v>
      </c>
      <c r="D3648" t="s">
        <v>73</v>
      </c>
      <c r="E3648" t="s">
        <v>74</v>
      </c>
      <c r="F3648" t="s">
        <v>607</v>
      </c>
      <c r="G3648">
        <v>10</v>
      </c>
      <c r="H3648">
        <v>11</v>
      </c>
      <c r="I3648">
        <v>0</v>
      </c>
      <c r="J3648" t="s">
        <v>34</v>
      </c>
      <c r="K3648" t="s">
        <v>24</v>
      </c>
      <c r="L3648">
        <v>44</v>
      </c>
      <c r="M3648">
        <v>111.101</v>
      </c>
      <c r="N3648">
        <v>112.005942</v>
      </c>
      <c r="O3648">
        <v>30.667000000000002</v>
      </c>
      <c r="P3648">
        <v>50.52</v>
      </c>
      <c r="Q3648">
        <v>29.283999999999999</v>
      </c>
      <c r="R3648">
        <v>14</v>
      </c>
      <c r="S3648" t="s">
        <v>83</v>
      </c>
      <c r="T3648">
        <f>IF(TRIM(Table1[[#This Row],[PitStopLaps]])="",0,
LEN(Table1[[#This Row],[PitStopLaps]])-LEN(SUBSTITUTE(Table1[[#This Row],[PitStopLaps]],",",""))+1)</f>
        <v>1</v>
      </c>
      <c r="U3648">
        <f>Table1[[#This Row],[StartPosition]]-Table1[[#This Row],[FinishPosition]]</f>
        <v>-1</v>
      </c>
    </row>
    <row r="3649" spans="1:21" x14ac:dyDescent="0.3">
      <c r="A3649">
        <v>2026</v>
      </c>
      <c r="B3649">
        <v>10</v>
      </c>
      <c r="C3649" t="s">
        <v>188</v>
      </c>
      <c r="D3649" t="s">
        <v>1092</v>
      </c>
      <c r="E3649" t="s">
        <v>1093</v>
      </c>
      <c r="F3649" t="s">
        <v>1330</v>
      </c>
      <c r="G3649">
        <v>9</v>
      </c>
      <c r="H3649">
        <v>12</v>
      </c>
      <c r="I3649">
        <v>0</v>
      </c>
      <c r="J3649" t="s">
        <v>34</v>
      </c>
      <c r="K3649" t="s">
        <v>24</v>
      </c>
      <c r="L3649">
        <v>44</v>
      </c>
      <c r="M3649">
        <v>111.075</v>
      </c>
      <c r="N3649">
        <v>112.108028</v>
      </c>
      <c r="O3649">
        <v>30.814</v>
      </c>
      <c r="P3649">
        <v>50.19</v>
      </c>
      <c r="Q3649">
        <v>29.117999999999999</v>
      </c>
      <c r="R3649">
        <v>15</v>
      </c>
      <c r="S3649" t="s">
        <v>83</v>
      </c>
      <c r="T3649">
        <f>IF(TRIM(Table1[[#This Row],[PitStopLaps]])="",0,
LEN(Table1[[#This Row],[PitStopLaps]])-LEN(SUBSTITUTE(Table1[[#This Row],[PitStopLaps]],",",""))+1)</f>
        <v>1</v>
      </c>
      <c r="U3649">
        <f>Table1[[#This Row],[StartPosition]]-Table1[[#This Row],[FinishPosition]]</f>
        <v>-3</v>
      </c>
    </row>
    <row r="3650" spans="1:21" x14ac:dyDescent="0.3">
      <c r="A3650">
        <v>2026</v>
      </c>
      <c r="B3650">
        <v>10</v>
      </c>
      <c r="C3650" t="s">
        <v>188</v>
      </c>
      <c r="D3650" t="s">
        <v>40</v>
      </c>
      <c r="E3650" t="s">
        <v>41</v>
      </c>
      <c r="F3650" t="s">
        <v>1446</v>
      </c>
      <c r="G3650">
        <v>12</v>
      </c>
      <c r="H3650">
        <v>13</v>
      </c>
      <c r="I3650">
        <v>0</v>
      </c>
      <c r="J3650" t="s">
        <v>34</v>
      </c>
      <c r="K3650" t="s">
        <v>24</v>
      </c>
      <c r="L3650">
        <v>44</v>
      </c>
      <c r="M3650">
        <v>110.503</v>
      </c>
      <c r="N3650">
        <v>112.18953999999999</v>
      </c>
      <c r="O3650">
        <v>30.96</v>
      </c>
      <c r="P3650">
        <v>49.606999999999999</v>
      </c>
      <c r="Q3650">
        <v>29.268999999999998</v>
      </c>
      <c r="R3650">
        <v>20</v>
      </c>
      <c r="S3650" t="s">
        <v>83</v>
      </c>
      <c r="T3650">
        <f>IF(TRIM(Table1[[#This Row],[PitStopLaps]])="",0,
LEN(Table1[[#This Row],[PitStopLaps]])-LEN(SUBSTITUTE(Table1[[#This Row],[PitStopLaps]],",",""))+1)</f>
        <v>1</v>
      </c>
      <c r="U3650">
        <f>Table1[[#This Row],[StartPosition]]-Table1[[#This Row],[FinishPosition]]</f>
        <v>-1</v>
      </c>
    </row>
    <row r="3651" spans="1:21" x14ac:dyDescent="0.3">
      <c r="A3651">
        <v>2026</v>
      </c>
      <c r="B3651">
        <v>10</v>
      </c>
      <c r="C3651" t="s">
        <v>188</v>
      </c>
      <c r="D3651" t="s">
        <v>1180</v>
      </c>
      <c r="E3651" t="s">
        <v>1181</v>
      </c>
      <c r="F3651" t="s">
        <v>69</v>
      </c>
      <c r="G3651">
        <v>14</v>
      </c>
      <c r="H3651">
        <v>14</v>
      </c>
      <c r="I3651">
        <v>0</v>
      </c>
      <c r="J3651" t="s">
        <v>34</v>
      </c>
      <c r="K3651" t="s">
        <v>24</v>
      </c>
      <c r="L3651">
        <v>44</v>
      </c>
      <c r="M3651">
        <v>111.10899999999999</v>
      </c>
      <c r="N3651">
        <v>112.350972</v>
      </c>
      <c r="O3651">
        <v>31.152000000000001</v>
      </c>
      <c r="P3651">
        <v>49.734999999999999</v>
      </c>
      <c r="Q3651">
        <v>29.5</v>
      </c>
      <c r="R3651" t="s">
        <v>885</v>
      </c>
      <c r="S3651" t="s">
        <v>83</v>
      </c>
      <c r="T3651">
        <f>IF(TRIM(Table1[[#This Row],[PitStopLaps]])="",0,
LEN(Table1[[#This Row],[PitStopLaps]])-LEN(SUBSTITUTE(Table1[[#This Row],[PitStopLaps]],",",""))+1)</f>
        <v>2</v>
      </c>
      <c r="U3651">
        <f>Table1[[#This Row],[StartPosition]]-Table1[[#This Row],[FinishPosition]]</f>
        <v>0</v>
      </c>
    </row>
    <row r="3652" spans="1:21" x14ac:dyDescent="0.3">
      <c r="A3652">
        <v>2026</v>
      </c>
      <c r="B3652">
        <v>10</v>
      </c>
      <c r="C3652" t="s">
        <v>188</v>
      </c>
      <c r="D3652" t="s">
        <v>248</v>
      </c>
      <c r="E3652" t="s">
        <v>249</v>
      </c>
      <c r="F3652" t="s">
        <v>60</v>
      </c>
      <c r="G3652">
        <v>15</v>
      </c>
      <c r="H3652">
        <v>15</v>
      </c>
      <c r="I3652">
        <v>0</v>
      </c>
      <c r="J3652" t="s">
        <v>34</v>
      </c>
      <c r="K3652" t="s">
        <v>24</v>
      </c>
      <c r="L3652">
        <v>44</v>
      </c>
      <c r="M3652">
        <v>111.89400000000001</v>
      </c>
      <c r="N3652">
        <v>112.802297</v>
      </c>
      <c r="O3652">
        <v>31.12</v>
      </c>
      <c r="P3652">
        <v>50.558</v>
      </c>
      <c r="Q3652">
        <v>29.64</v>
      </c>
      <c r="R3652">
        <v>18</v>
      </c>
      <c r="S3652" t="s">
        <v>83</v>
      </c>
      <c r="T3652">
        <f>IF(TRIM(Table1[[#This Row],[PitStopLaps]])="",0,
LEN(Table1[[#This Row],[PitStopLaps]])-LEN(SUBSTITUTE(Table1[[#This Row],[PitStopLaps]],",",""))+1)</f>
        <v>1</v>
      </c>
      <c r="U3652">
        <f>Table1[[#This Row],[StartPosition]]-Table1[[#This Row],[FinishPosition]]</f>
        <v>0</v>
      </c>
    </row>
    <row r="3653" spans="1:21" x14ac:dyDescent="0.3">
      <c r="A3653">
        <v>2026</v>
      </c>
      <c r="B3653">
        <v>10</v>
      </c>
      <c r="C3653" t="s">
        <v>188</v>
      </c>
      <c r="D3653" t="s">
        <v>47</v>
      </c>
      <c r="E3653" t="s">
        <v>48</v>
      </c>
      <c r="F3653" t="s">
        <v>60</v>
      </c>
      <c r="G3653">
        <v>19</v>
      </c>
      <c r="H3653">
        <v>16</v>
      </c>
      <c r="I3653">
        <v>0</v>
      </c>
      <c r="J3653" t="s">
        <v>34</v>
      </c>
      <c r="K3653" t="s">
        <v>24</v>
      </c>
      <c r="L3653">
        <v>44</v>
      </c>
      <c r="M3653">
        <v>111.363</v>
      </c>
      <c r="N3653">
        <v>112.372029</v>
      </c>
      <c r="O3653">
        <v>30.939</v>
      </c>
      <c r="P3653">
        <v>50.356999999999999</v>
      </c>
      <c r="Q3653">
        <v>29.332999999999998</v>
      </c>
      <c r="R3653">
        <v>14</v>
      </c>
      <c r="S3653" t="s">
        <v>83</v>
      </c>
      <c r="T3653">
        <f>IF(TRIM(Table1[[#This Row],[PitStopLaps]])="",0,
LEN(Table1[[#This Row],[PitStopLaps]])-LEN(SUBSTITUTE(Table1[[#This Row],[PitStopLaps]],",",""))+1)</f>
        <v>1</v>
      </c>
      <c r="U3653">
        <f>Table1[[#This Row],[StartPosition]]-Table1[[#This Row],[FinishPosition]]</f>
        <v>3</v>
      </c>
    </row>
    <row r="3654" spans="1:21" x14ac:dyDescent="0.3">
      <c r="A3654">
        <v>2026</v>
      </c>
      <c r="B3654">
        <v>10</v>
      </c>
      <c r="C3654" t="s">
        <v>188</v>
      </c>
      <c r="D3654" t="s">
        <v>52</v>
      </c>
      <c r="E3654" t="s">
        <v>53</v>
      </c>
      <c r="F3654" t="s">
        <v>69</v>
      </c>
      <c r="G3654">
        <v>16</v>
      </c>
      <c r="H3654">
        <v>17</v>
      </c>
      <c r="I3654">
        <v>0</v>
      </c>
      <c r="J3654" t="s">
        <v>34</v>
      </c>
      <c r="K3654" t="s">
        <v>24</v>
      </c>
      <c r="L3654">
        <v>44</v>
      </c>
      <c r="M3654">
        <v>111.9</v>
      </c>
      <c r="N3654">
        <v>112.748555</v>
      </c>
      <c r="O3654">
        <v>31.562999999999999</v>
      </c>
      <c r="P3654">
        <v>50.256</v>
      </c>
      <c r="Q3654">
        <v>29.19</v>
      </c>
      <c r="R3654" t="s">
        <v>276</v>
      </c>
      <c r="S3654" t="s">
        <v>83</v>
      </c>
      <c r="T3654">
        <f>IF(TRIM(Table1[[#This Row],[PitStopLaps]])="",0,
LEN(Table1[[#This Row],[PitStopLaps]])-LEN(SUBSTITUTE(Table1[[#This Row],[PitStopLaps]],",",""))+1)</f>
        <v>2</v>
      </c>
      <c r="U3654">
        <f>Table1[[#This Row],[StartPosition]]-Table1[[#This Row],[FinishPosition]]</f>
        <v>-1</v>
      </c>
    </row>
    <row r="3655" spans="1:21" x14ac:dyDescent="0.3">
      <c r="A3655">
        <v>2026</v>
      </c>
      <c r="B3655">
        <v>10</v>
      </c>
      <c r="C3655" t="s">
        <v>188</v>
      </c>
      <c r="D3655" t="s">
        <v>43</v>
      </c>
      <c r="E3655" t="s">
        <v>44</v>
      </c>
      <c r="F3655" t="s">
        <v>1449</v>
      </c>
      <c r="G3655">
        <v>17</v>
      </c>
      <c r="H3655">
        <v>18</v>
      </c>
      <c r="I3655">
        <v>0</v>
      </c>
      <c r="J3655" t="s">
        <v>34</v>
      </c>
      <c r="K3655" t="s">
        <v>994</v>
      </c>
      <c r="L3655">
        <v>43</v>
      </c>
      <c r="M3655">
        <v>112.011</v>
      </c>
      <c r="N3655">
        <v>114.289342</v>
      </c>
      <c r="O3655">
        <v>31.498999999999999</v>
      </c>
      <c r="P3655">
        <v>50.473999999999997</v>
      </c>
      <c r="Q3655">
        <v>29.715</v>
      </c>
      <c r="R3655" t="s">
        <v>1347</v>
      </c>
      <c r="S3655" t="s">
        <v>83</v>
      </c>
      <c r="T3655">
        <f>IF(TRIM(Table1[[#This Row],[PitStopLaps]])="",0,
LEN(Table1[[#This Row],[PitStopLaps]])-LEN(SUBSTITUTE(Table1[[#This Row],[PitStopLaps]],",",""))+1)</f>
        <v>2</v>
      </c>
      <c r="U3655">
        <f>Table1[[#This Row],[StartPosition]]-Table1[[#This Row],[FinishPosition]]</f>
        <v>-1</v>
      </c>
    </row>
    <row r="3656" spans="1:21" x14ac:dyDescent="0.3">
      <c r="A3656">
        <v>2026</v>
      </c>
      <c r="B3656">
        <v>10</v>
      </c>
      <c r="C3656" t="s">
        <v>188</v>
      </c>
      <c r="D3656" t="s">
        <v>35</v>
      </c>
      <c r="E3656" t="s">
        <v>36</v>
      </c>
      <c r="F3656" t="s">
        <v>603</v>
      </c>
      <c r="G3656">
        <v>22</v>
      </c>
      <c r="H3656">
        <v>19</v>
      </c>
      <c r="I3656">
        <v>0</v>
      </c>
      <c r="J3656" t="s">
        <v>34</v>
      </c>
      <c r="K3656" t="s">
        <v>994</v>
      </c>
      <c r="L3656">
        <v>42</v>
      </c>
      <c r="M3656">
        <v>112.94799999999999</v>
      </c>
      <c r="N3656">
        <v>116.05618699999999</v>
      </c>
      <c r="O3656">
        <v>31.855</v>
      </c>
      <c r="P3656">
        <v>50.473999999999997</v>
      </c>
      <c r="Q3656">
        <v>29.856999999999999</v>
      </c>
      <c r="R3656" t="s">
        <v>1508</v>
      </c>
      <c r="S3656" t="s">
        <v>83</v>
      </c>
      <c r="T3656">
        <f>IF(TRIM(Table1[[#This Row],[PitStopLaps]])="",0,
LEN(Table1[[#This Row],[PitStopLaps]])-LEN(SUBSTITUTE(Table1[[#This Row],[PitStopLaps]],",",""))+1)</f>
        <v>2</v>
      </c>
      <c r="U3656">
        <f>Table1[[#This Row],[StartPosition]]-Table1[[#This Row],[FinishPosition]]</f>
        <v>3</v>
      </c>
    </row>
    <row r="3657" spans="1:21" x14ac:dyDescent="0.3">
      <c r="A3657">
        <v>2026</v>
      </c>
      <c r="B3657">
        <v>10</v>
      </c>
      <c r="C3657" t="s">
        <v>188</v>
      </c>
      <c r="D3657" t="s">
        <v>58</v>
      </c>
      <c r="E3657" t="s">
        <v>59</v>
      </c>
      <c r="F3657" t="s">
        <v>603</v>
      </c>
      <c r="G3657">
        <v>20</v>
      </c>
      <c r="H3657">
        <v>20</v>
      </c>
      <c r="I3657">
        <v>0</v>
      </c>
      <c r="J3657" t="s">
        <v>34</v>
      </c>
      <c r="K3657" t="s">
        <v>179</v>
      </c>
      <c r="L3657">
        <v>25</v>
      </c>
      <c r="M3657">
        <v>113.98</v>
      </c>
      <c r="N3657">
        <v>115.86806199999999</v>
      </c>
      <c r="O3657">
        <v>32.298000000000002</v>
      </c>
      <c r="P3657">
        <v>50.884999999999998</v>
      </c>
      <c r="Q3657">
        <v>30.423999999999999</v>
      </c>
      <c r="R3657" t="s">
        <v>1509</v>
      </c>
      <c r="S3657" t="s">
        <v>83</v>
      </c>
      <c r="T3657">
        <f>IF(TRIM(Table1[[#This Row],[PitStopLaps]])="",0,
LEN(Table1[[#This Row],[PitStopLaps]])-LEN(SUBSTITUTE(Table1[[#This Row],[PitStopLaps]],",",""))+1)</f>
        <v>2</v>
      </c>
      <c r="U3657">
        <f>Table1[[#This Row],[StartPosition]]-Table1[[#This Row],[FinishPosition]]</f>
        <v>0</v>
      </c>
    </row>
    <row r="3658" spans="1:21" x14ac:dyDescent="0.3">
      <c r="A3658">
        <v>2026</v>
      </c>
      <c r="B3658">
        <v>10</v>
      </c>
      <c r="C3658" t="s">
        <v>188</v>
      </c>
      <c r="D3658" t="s">
        <v>49</v>
      </c>
      <c r="E3658" t="s">
        <v>50</v>
      </c>
      <c r="F3658" t="s">
        <v>1449</v>
      </c>
      <c r="G3658">
        <v>18</v>
      </c>
      <c r="H3658">
        <v>21</v>
      </c>
      <c r="I3658">
        <v>0</v>
      </c>
      <c r="J3658" t="s">
        <v>34</v>
      </c>
      <c r="K3658" t="s">
        <v>179</v>
      </c>
      <c r="L3658">
        <v>13</v>
      </c>
      <c r="M3658">
        <v>113.477</v>
      </c>
      <c r="N3658">
        <v>114.446285</v>
      </c>
      <c r="O3658">
        <v>31.917999999999999</v>
      </c>
      <c r="P3658">
        <v>51.237000000000002</v>
      </c>
      <c r="Q3658">
        <v>29.998999999999999</v>
      </c>
      <c r="R3658" t="s">
        <v>1510</v>
      </c>
      <c r="S3658" t="s">
        <v>83</v>
      </c>
      <c r="T3658">
        <f>IF(TRIM(Table1[[#This Row],[PitStopLaps]])="",0,
LEN(Table1[[#This Row],[PitStopLaps]])-LEN(SUBSTITUTE(Table1[[#This Row],[PitStopLaps]],",",""))+1)</f>
        <v>3</v>
      </c>
      <c r="U3658">
        <f>Table1[[#This Row],[StartPosition]]-Table1[[#This Row],[FinishPosition]]</f>
        <v>-3</v>
      </c>
    </row>
    <row r="3659" spans="1:21" x14ac:dyDescent="0.3">
      <c r="A3659">
        <v>2026</v>
      </c>
      <c r="B3659">
        <v>10</v>
      </c>
      <c r="C3659" t="s">
        <v>188</v>
      </c>
      <c r="D3659" t="s">
        <v>252</v>
      </c>
      <c r="E3659" t="s">
        <v>253</v>
      </c>
      <c r="F3659" t="s">
        <v>28</v>
      </c>
      <c r="G3659">
        <v>3</v>
      </c>
      <c r="H3659">
        <v>22</v>
      </c>
      <c r="I3659">
        <v>0</v>
      </c>
      <c r="J3659" t="s">
        <v>34</v>
      </c>
      <c r="K3659" t="s">
        <v>179</v>
      </c>
      <c r="L3659">
        <v>1</v>
      </c>
      <c r="S3659" t="s">
        <v>83</v>
      </c>
      <c r="T3659">
        <f>IF(TRIM(Table1[[#This Row],[PitStopLaps]])="",0,
LEN(Table1[[#This Row],[PitStopLaps]])-LEN(SUBSTITUTE(Table1[[#This Row],[PitStopLaps]],",",""))+1)</f>
        <v>0</v>
      </c>
      <c r="U3659">
        <f>Table1[[#This Row],[StartPosition]]-Table1[[#This Row],[FinishPosition]]</f>
        <v>-19</v>
      </c>
    </row>
    <row r="3660" spans="1:21" x14ac:dyDescent="0.3">
      <c r="A3660">
        <v>2026</v>
      </c>
      <c r="B3660">
        <v>11</v>
      </c>
      <c r="C3660" t="s">
        <v>183</v>
      </c>
      <c r="D3660" t="s">
        <v>246</v>
      </c>
      <c r="E3660" t="s">
        <v>247</v>
      </c>
      <c r="F3660" t="s">
        <v>37</v>
      </c>
      <c r="G3660">
        <v>1</v>
      </c>
      <c r="H3660">
        <v>1</v>
      </c>
      <c r="I3660">
        <v>25</v>
      </c>
      <c r="J3660" t="s">
        <v>23</v>
      </c>
      <c r="K3660" t="s">
        <v>24</v>
      </c>
      <c r="L3660">
        <v>70</v>
      </c>
      <c r="M3660">
        <v>82.491</v>
      </c>
      <c r="N3660">
        <v>84.417681999999999</v>
      </c>
      <c r="O3660">
        <v>28.844000000000001</v>
      </c>
      <c r="P3660">
        <v>29.852</v>
      </c>
      <c r="Q3660">
        <v>23.443000000000001</v>
      </c>
      <c r="R3660" t="s">
        <v>1511</v>
      </c>
      <c r="S3660" t="s">
        <v>83</v>
      </c>
      <c r="T3660">
        <f>IF(TRIM(Table1[[#This Row],[PitStopLaps]])="",0,
LEN(Table1[[#This Row],[PitStopLaps]])-LEN(SUBSTITUTE(Table1[[#This Row],[PitStopLaps]],",",""))+1)</f>
        <v>3</v>
      </c>
      <c r="U3660">
        <f>Table1[[#This Row],[StartPosition]]-Table1[[#This Row],[FinishPosition]]</f>
        <v>0</v>
      </c>
    </row>
    <row r="3661" spans="1:21" x14ac:dyDescent="0.3">
      <c r="A3661">
        <v>2026</v>
      </c>
      <c r="B3661">
        <v>11</v>
      </c>
      <c r="C3661" t="s">
        <v>183</v>
      </c>
      <c r="D3661" t="s">
        <v>38</v>
      </c>
      <c r="E3661" t="s">
        <v>39</v>
      </c>
      <c r="F3661" t="s">
        <v>33</v>
      </c>
      <c r="G3661">
        <v>4</v>
      </c>
      <c r="H3661">
        <v>2</v>
      </c>
      <c r="I3661">
        <v>18</v>
      </c>
      <c r="J3661" t="s">
        <v>23</v>
      </c>
      <c r="K3661" t="s">
        <v>24</v>
      </c>
      <c r="L3661">
        <v>70</v>
      </c>
      <c r="M3661">
        <v>83.433000000000007</v>
      </c>
      <c r="N3661">
        <v>84.824062999999995</v>
      </c>
      <c r="O3661">
        <v>29.158999999999999</v>
      </c>
      <c r="P3661">
        <v>30.186</v>
      </c>
      <c r="Q3661">
        <v>23.797000000000001</v>
      </c>
      <c r="R3661" t="s">
        <v>473</v>
      </c>
      <c r="S3661" t="s">
        <v>83</v>
      </c>
      <c r="T3661">
        <f>IF(TRIM(Table1[[#This Row],[PitStopLaps]])="",0,
LEN(Table1[[#This Row],[PitStopLaps]])-LEN(SUBSTITUTE(Table1[[#This Row],[PitStopLaps]],",",""))+1)</f>
        <v>2</v>
      </c>
      <c r="U3661">
        <f>Table1[[#This Row],[StartPosition]]-Table1[[#This Row],[FinishPosition]]</f>
        <v>2</v>
      </c>
    </row>
    <row r="3662" spans="1:21" x14ac:dyDescent="0.3">
      <c r="A3662">
        <v>2026</v>
      </c>
      <c r="B3662">
        <v>11</v>
      </c>
      <c r="C3662" t="s">
        <v>183</v>
      </c>
      <c r="D3662" t="s">
        <v>1339</v>
      </c>
      <c r="E3662" t="s">
        <v>1325</v>
      </c>
      <c r="F3662" t="s">
        <v>28</v>
      </c>
      <c r="G3662">
        <v>7</v>
      </c>
      <c r="H3662">
        <v>3</v>
      </c>
      <c r="I3662">
        <v>15</v>
      </c>
      <c r="J3662" t="s">
        <v>23</v>
      </c>
      <c r="K3662" t="s">
        <v>24</v>
      </c>
      <c r="L3662">
        <v>70</v>
      </c>
      <c r="M3662">
        <v>82.415000000000006</v>
      </c>
      <c r="N3662">
        <v>84.872491999999994</v>
      </c>
      <c r="O3662">
        <v>28.715</v>
      </c>
      <c r="P3662">
        <v>30.018000000000001</v>
      </c>
      <c r="Q3662">
        <v>23.478999999999999</v>
      </c>
      <c r="R3662" t="s">
        <v>1512</v>
      </c>
      <c r="S3662" t="s">
        <v>83</v>
      </c>
      <c r="T3662">
        <f>IF(TRIM(Table1[[#This Row],[PitStopLaps]])="",0,
LEN(Table1[[#This Row],[PitStopLaps]])-LEN(SUBSTITUTE(Table1[[#This Row],[PitStopLaps]],",",""))+1)</f>
        <v>2</v>
      </c>
      <c r="U3662">
        <f>Table1[[#This Row],[StartPosition]]-Table1[[#This Row],[FinishPosition]]</f>
        <v>4</v>
      </c>
    </row>
    <row r="3663" spans="1:21" x14ac:dyDescent="0.3">
      <c r="A3663">
        <v>2026</v>
      </c>
      <c r="B3663">
        <v>11</v>
      </c>
      <c r="C3663" t="s">
        <v>183</v>
      </c>
      <c r="D3663" t="s">
        <v>54</v>
      </c>
      <c r="E3663" t="s">
        <v>55</v>
      </c>
      <c r="F3663" t="s">
        <v>22</v>
      </c>
      <c r="G3663">
        <v>2</v>
      </c>
      <c r="H3663">
        <v>4</v>
      </c>
      <c r="I3663">
        <v>12</v>
      </c>
      <c r="J3663" t="s">
        <v>34</v>
      </c>
      <c r="K3663" t="s">
        <v>24</v>
      </c>
      <c r="L3663">
        <v>70</v>
      </c>
      <c r="M3663">
        <v>82</v>
      </c>
      <c r="N3663">
        <v>84.736268999999993</v>
      </c>
      <c r="O3663">
        <v>28.806999999999999</v>
      </c>
      <c r="P3663">
        <v>29.620999999999999</v>
      </c>
      <c r="Q3663">
        <v>23.439</v>
      </c>
      <c r="R3663" t="s">
        <v>1513</v>
      </c>
      <c r="S3663" t="s">
        <v>83</v>
      </c>
      <c r="T3663">
        <f>IF(TRIM(Table1[[#This Row],[PitStopLaps]])="",0,
LEN(Table1[[#This Row],[PitStopLaps]])-LEN(SUBSTITUTE(Table1[[#This Row],[PitStopLaps]],",",""))+1)</f>
        <v>3</v>
      </c>
      <c r="U3663">
        <f>Table1[[#This Row],[StartPosition]]-Table1[[#This Row],[FinishPosition]]</f>
        <v>-2</v>
      </c>
    </row>
    <row r="3664" spans="1:21" x14ac:dyDescent="0.3">
      <c r="A3664">
        <v>2026</v>
      </c>
      <c r="B3664">
        <v>11</v>
      </c>
      <c r="C3664" t="s">
        <v>183</v>
      </c>
      <c r="D3664" t="s">
        <v>26</v>
      </c>
      <c r="E3664" t="s">
        <v>27</v>
      </c>
      <c r="F3664" t="s">
        <v>22</v>
      </c>
      <c r="G3664">
        <v>5</v>
      </c>
      <c r="H3664">
        <v>5</v>
      </c>
      <c r="I3664">
        <v>10</v>
      </c>
      <c r="J3664" t="s">
        <v>34</v>
      </c>
      <c r="K3664" t="s">
        <v>24</v>
      </c>
      <c r="L3664">
        <v>70</v>
      </c>
      <c r="M3664">
        <v>82.3</v>
      </c>
      <c r="N3664">
        <v>84.707222000000002</v>
      </c>
      <c r="O3664">
        <v>28.568999999999999</v>
      </c>
      <c r="P3664">
        <v>30.215</v>
      </c>
      <c r="Q3664">
        <v>23.489000000000001</v>
      </c>
      <c r="R3664" t="s">
        <v>1514</v>
      </c>
      <c r="S3664" t="s">
        <v>83</v>
      </c>
      <c r="T3664">
        <f>IF(TRIM(Table1[[#This Row],[PitStopLaps]])="",0,
LEN(Table1[[#This Row],[PitStopLaps]])-LEN(SUBSTITUTE(Table1[[#This Row],[PitStopLaps]],",",""))+1)</f>
        <v>3</v>
      </c>
      <c r="U3664">
        <f>Table1[[#This Row],[StartPosition]]-Table1[[#This Row],[FinishPosition]]</f>
        <v>0</v>
      </c>
    </row>
    <row r="3665" spans="1:21" x14ac:dyDescent="0.3">
      <c r="A3665">
        <v>2026</v>
      </c>
      <c r="B3665">
        <v>11</v>
      </c>
      <c r="C3665" t="s">
        <v>183</v>
      </c>
      <c r="D3665" t="s">
        <v>1337</v>
      </c>
      <c r="E3665" t="s">
        <v>1338</v>
      </c>
      <c r="F3665" t="s">
        <v>33</v>
      </c>
      <c r="G3665">
        <v>8</v>
      </c>
      <c r="H3665">
        <v>6</v>
      </c>
      <c r="I3665">
        <v>8</v>
      </c>
      <c r="J3665" t="s">
        <v>34</v>
      </c>
      <c r="K3665" t="s">
        <v>24</v>
      </c>
      <c r="L3665">
        <v>70</v>
      </c>
      <c r="M3665">
        <v>83.218000000000004</v>
      </c>
      <c r="N3665">
        <v>85.369249999999994</v>
      </c>
      <c r="O3665">
        <v>29.036000000000001</v>
      </c>
      <c r="P3665">
        <v>30.277999999999999</v>
      </c>
      <c r="Q3665">
        <v>23.713000000000001</v>
      </c>
      <c r="R3665" t="s">
        <v>406</v>
      </c>
      <c r="S3665" t="s">
        <v>83</v>
      </c>
      <c r="T3665">
        <f>IF(TRIM(Table1[[#This Row],[PitStopLaps]])="",0,
LEN(Table1[[#This Row],[PitStopLaps]])-LEN(SUBSTITUTE(Table1[[#This Row],[PitStopLaps]],",",""))+1)</f>
        <v>2</v>
      </c>
      <c r="U3665">
        <f>Table1[[#This Row],[StartPosition]]-Table1[[#This Row],[FinishPosition]]</f>
        <v>2</v>
      </c>
    </row>
    <row r="3666" spans="1:21" x14ac:dyDescent="0.3">
      <c r="A3666">
        <v>2026</v>
      </c>
      <c r="B3666">
        <v>11</v>
      </c>
      <c r="C3666" t="s">
        <v>183</v>
      </c>
      <c r="D3666" t="s">
        <v>252</v>
      </c>
      <c r="E3666" t="s">
        <v>253</v>
      </c>
      <c r="F3666" t="s">
        <v>28</v>
      </c>
      <c r="G3666">
        <v>6</v>
      </c>
      <c r="H3666">
        <v>7</v>
      </c>
      <c r="I3666">
        <v>6</v>
      </c>
      <c r="J3666" t="s">
        <v>34</v>
      </c>
      <c r="K3666" t="s">
        <v>24</v>
      </c>
      <c r="L3666">
        <v>70</v>
      </c>
      <c r="M3666">
        <v>82.588999999999999</v>
      </c>
      <c r="N3666">
        <v>85.327312000000006</v>
      </c>
      <c r="O3666">
        <v>28.963000000000001</v>
      </c>
      <c r="P3666">
        <v>30.036000000000001</v>
      </c>
      <c r="Q3666">
        <v>23.417000000000002</v>
      </c>
      <c r="R3666" t="s">
        <v>1515</v>
      </c>
      <c r="S3666" t="s">
        <v>83</v>
      </c>
      <c r="T3666">
        <f>IF(TRIM(Table1[[#This Row],[PitStopLaps]])="",0,
LEN(Table1[[#This Row],[PitStopLaps]])-LEN(SUBSTITUTE(Table1[[#This Row],[PitStopLaps]],",",""))+1)</f>
        <v>2</v>
      </c>
      <c r="U3666">
        <f>Table1[[#This Row],[StartPosition]]-Table1[[#This Row],[FinishPosition]]</f>
        <v>-1</v>
      </c>
    </row>
    <row r="3667" spans="1:21" x14ac:dyDescent="0.3">
      <c r="A3667">
        <v>2026</v>
      </c>
      <c r="B3667">
        <v>11</v>
      </c>
      <c r="C3667" t="s">
        <v>183</v>
      </c>
      <c r="D3667" t="s">
        <v>1092</v>
      </c>
      <c r="E3667" t="s">
        <v>1093</v>
      </c>
      <c r="F3667" t="s">
        <v>1330</v>
      </c>
      <c r="G3667">
        <v>11</v>
      </c>
      <c r="H3667">
        <v>8</v>
      </c>
      <c r="I3667">
        <v>4</v>
      </c>
      <c r="J3667" t="s">
        <v>34</v>
      </c>
      <c r="K3667" t="s">
        <v>994</v>
      </c>
      <c r="L3667">
        <v>69</v>
      </c>
      <c r="M3667">
        <v>83.9</v>
      </c>
      <c r="N3667">
        <v>86.260015999999993</v>
      </c>
      <c r="O3667">
        <v>29.137</v>
      </c>
      <c r="P3667">
        <v>30.343</v>
      </c>
      <c r="Q3667">
        <v>24.234000000000002</v>
      </c>
      <c r="R3667" t="s">
        <v>389</v>
      </c>
      <c r="S3667" t="s">
        <v>83</v>
      </c>
      <c r="T3667">
        <f>IF(TRIM(Table1[[#This Row],[PitStopLaps]])="",0,
LEN(Table1[[#This Row],[PitStopLaps]])-LEN(SUBSTITUTE(Table1[[#This Row],[PitStopLaps]],",",""))+1)</f>
        <v>2</v>
      </c>
      <c r="U3667">
        <f>Table1[[#This Row],[StartPosition]]-Table1[[#This Row],[FinishPosition]]</f>
        <v>3</v>
      </c>
    </row>
    <row r="3668" spans="1:21" x14ac:dyDescent="0.3">
      <c r="A3668">
        <v>2026</v>
      </c>
      <c r="B3668">
        <v>11</v>
      </c>
      <c r="C3668" t="s">
        <v>183</v>
      </c>
      <c r="D3668" t="s">
        <v>40</v>
      </c>
      <c r="E3668" t="s">
        <v>41</v>
      </c>
      <c r="F3668" t="s">
        <v>1446</v>
      </c>
      <c r="G3668">
        <v>10</v>
      </c>
      <c r="H3668">
        <v>9</v>
      </c>
      <c r="I3668">
        <v>2</v>
      </c>
      <c r="J3668" t="s">
        <v>34</v>
      </c>
      <c r="K3668" t="s">
        <v>994</v>
      </c>
      <c r="L3668">
        <v>69</v>
      </c>
      <c r="M3668">
        <v>83.963999999999999</v>
      </c>
      <c r="N3668">
        <v>86.304338000000001</v>
      </c>
      <c r="O3668">
        <v>29.18</v>
      </c>
      <c r="P3668">
        <v>30.812000000000001</v>
      </c>
      <c r="Q3668">
        <v>23.959</v>
      </c>
      <c r="R3668" t="s">
        <v>1031</v>
      </c>
      <c r="S3668" t="s">
        <v>83</v>
      </c>
      <c r="T3668">
        <f>IF(TRIM(Table1[[#This Row],[PitStopLaps]])="",0,
LEN(Table1[[#This Row],[PitStopLaps]])-LEN(SUBSTITUTE(Table1[[#This Row],[PitStopLaps]],",",""))+1)</f>
        <v>2</v>
      </c>
      <c r="U3668">
        <f>Table1[[#This Row],[StartPosition]]-Table1[[#This Row],[FinishPosition]]</f>
        <v>1</v>
      </c>
    </row>
    <row r="3669" spans="1:21" x14ac:dyDescent="0.3">
      <c r="A3669">
        <v>2026</v>
      </c>
      <c r="B3669">
        <v>11</v>
      </c>
      <c r="C3669" t="s">
        <v>183</v>
      </c>
      <c r="D3669" t="s">
        <v>1444</v>
      </c>
      <c r="E3669" t="s">
        <v>1445</v>
      </c>
      <c r="F3669" t="s">
        <v>1330</v>
      </c>
      <c r="G3669">
        <v>9</v>
      </c>
      <c r="H3669">
        <v>10</v>
      </c>
      <c r="I3669">
        <v>1</v>
      </c>
      <c r="J3669" t="s">
        <v>34</v>
      </c>
      <c r="K3669" t="s">
        <v>994</v>
      </c>
      <c r="L3669">
        <v>69</v>
      </c>
      <c r="M3669">
        <v>85.930999999999997</v>
      </c>
      <c r="N3669">
        <v>86.918000000000006</v>
      </c>
      <c r="O3669">
        <v>29.875</v>
      </c>
      <c r="P3669">
        <v>31.381</v>
      </c>
      <c r="Q3669">
        <v>24.425000000000001</v>
      </c>
      <c r="R3669">
        <v>20</v>
      </c>
      <c r="S3669" t="s">
        <v>83</v>
      </c>
      <c r="T3669">
        <f>IF(TRIM(Table1[[#This Row],[PitStopLaps]])="",0,
LEN(Table1[[#This Row],[PitStopLaps]])-LEN(SUBSTITUTE(Table1[[#This Row],[PitStopLaps]],",",""))+1)</f>
        <v>1</v>
      </c>
      <c r="U3669">
        <f>Table1[[#This Row],[StartPosition]]-Table1[[#This Row],[FinishPosition]]</f>
        <v>-1</v>
      </c>
    </row>
    <row r="3670" spans="1:21" x14ac:dyDescent="0.3">
      <c r="A3670">
        <v>2026</v>
      </c>
      <c r="B3670">
        <v>11</v>
      </c>
      <c r="C3670" t="s">
        <v>183</v>
      </c>
      <c r="D3670" t="s">
        <v>1334</v>
      </c>
      <c r="E3670" t="s">
        <v>1335</v>
      </c>
      <c r="F3670" t="s">
        <v>1446</v>
      </c>
      <c r="G3670">
        <v>14</v>
      </c>
      <c r="H3670">
        <v>11</v>
      </c>
      <c r="I3670">
        <v>0</v>
      </c>
      <c r="J3670" t="s">
        <v>34</v>
      </c>
      <c r="K3670" t="s">
        <v>994</v>
      </c>
      <c r="L3670">
        <v>69</v>
      </c>
      <c r="M3670">
        <v>84.783000000000001</v>
      </c>
      <c r="N3670">
        <v>86.894655999999998</v>
      </c>
      <c r="O3670">
        <v>29.448</v>
      </c>
      <c r="P3670">
        <v>30.946999999999999</v>
      </c>
      <c r="Q3670">
        <v>24.173999999999999</v>
      </c>
      <c r="R3670">
        <v>29</v>
      </c>
      <c r="S3670" t="s">
        <v>83</v>
      </c>
      <c r="T3670">
        <f>IF(TRIM(Table1[[#This Row],[PitStopLaps]])="",0,
LEN(Table1[[#This Row],[PitStopLaps]])-LEN(SUBSTITUTE(Table1[[#This Row],[PitStopLaps]],",",""))+1)</f>
        <v>1</v>
      </c>
      <c r="U3670">
        <f>Table1[[#This Row],[StartPosition]]-Table1[[#This Row],[FinishPosition]]</f>
        <v>3</v>
      </c>
    </row>
    <row r="3671" spans="1:21" x14ac:dyDescent="0.3">
      <c r="A3671">
        <v>2026</v>
      </c>
      <c r="B3671">
        <v>11</v>
      </c>
      <c r="C3671" t="s">
        <v>183</v>
      </c>
      <c r="D3671" t="s">
        <v>73</v>
      </c>
      <c r="E3671" t="s">
        <v>74</v>
      </c>
      <c r="F3671" t="s">
        <v>607</v>
      </c>
      <c r="G3671">
        <v>12</v>
      </c>
      <c r="H3671">
        <v>12</v>
      </c>
      <c r="I3671">
        <v>0</v>
      </c>
      <c r="J3671" t="s">
        <v>34</v>
      </c>
      <c r="K3671" t="s">
        <v>994</v>
      </c>
      <c r="L3671">
        <v>69</v>
      </c>
      <c r="M3671">
        <v>82.870999999999995</v>
      </c>
      <c r="N3671">
        <v>86.333387000000002</v>
      </c>
      <c r="O3671">
        <v>28.687000000000001</v>
      </c>
      <c r="P3671">
        <v>30.422000000000001</v>
      </c>
      <c r="Q3671">
        <v>23.762</v>
      </c>
      <c r="R3671" t="s">
        <v>1516</v>
      </c>
      <c r="S3671" t="s">
        <v>83</v>
      </c>
      <c r="T3671">
        <f>IF(TRIM(Table1[[#This Row],[PitStopLaps]])="",0,
LEN(Table1[[#This Row],[PitStopLaps]])-LEN(SUBSTITUTE(Table1[[#This Row],[PitStopLaps]],",",""))+1)</f>
        <v>3</v>
      </c>
      <c r="U3671">
        <f>Table1[[#This Row],[StartPosition]]-Table1[[#This Row],[FinishPosition]]</f>
        <v>0</v>
      </c>
    </row>
    <row r="3672" spans="1:21" x14ac:dyDescent="0.3">
      <c r="A3672">
        <v>2026</v>
      </c>
      <c r="B3672">
        <v>11</v>
      </c>
      <c r="C3672" t="s">
        <v>183</v>
      </c>
      <c r="D3672" t="s">
        <v>58</v>
      </c>
      <c r="E3672" t="s">
        <v>59</v>
      </c>
      <c r="F3672" t="s">
        <v>603</v>
      </c>
      <c r="G3672">
        <v>20</v>
      </c>
      <c r="H3672">
        <v>13</v>
      </c>
      <c r="I3672">
        <v>0</v>
      </c>
      <c r="J3672" t="s">
        <v>34</v>
      </c>
      <c r="K3672" t="s">
        <v>994</v>
      </c>
      <c r="L3672">
        <v>69</v>
      </c>
      <c r="M3672">
        <v>84.718000000000004</v>
      </c>
      <c r="N3672">
        <v>86.706258000000005</v>
      </c>
      <c r="O3672">
        <v>29.581</v>
      </c>
      <c r="P3672">
        <v>30.858000000000001</v>
      </c>
      <c r="Q3672">
        <v>24.056999999999999</v>
      </c>
      <c r="R3672" t="s">
        <v>1184</v>
      </c>
      <c r="S3672" t="s">
        <v>83</v>
      </c>
      <c r="T3672">
        <f>IF(TRIM(Table1[[#This Row],[PitStopLaps]])="",0,
LEN(Table1[[#This Row],[PitStopLaps]])-LEN(SUBSTITUTE(Table1[[#This Row],[PitStopLaps]],",",""))+1)</f>
        <v>2</v>
      </c>
      <c r="U3672">
        <f>Table1[[#This Row],[StartPosition]]-Table1[[#This Row],[FinishPosition]]</f>
        <v>7</v>
      </c>
    </row>
    <row r="3673" spans="1:21" x14ac:dyDescent="0.3">
      <c r="A3673">
        <v>2026</v>
      </c>
      <c r="B3673">
        <v>11</v>
      </c>
      <c r="C3673" t="s">
        <v>183</v>
      </c>
      <c r="D3673" t="s">
        <v>35</v>
      </c>
      <c r="E3673" t="s">
        <v>36</v>
      </c>
      <c r="F3673" t="s">
        <v>603</v>
      </c>
      <c r="G3673">
        <v>16</v>
      </c>
      <c r="H3673">
        <v>14</v>
      </c>
      <c r="I3673">
        <v>0</v>
      </c>
      <c r="J3673" t="s">
        <v>34</v>
      </c>
      <c r="K3673" t="s">
        <v>994</v>
      </c>
      <c r="L3673">
        <v>69</v>
      </c>
      <c r="M3673">
        <v>83.679000000000002</v>
      </c>
      <c r="N3673">
        <v>86.833031000000005</v>
      </c>
      <c r="O3673">
        <v>29.218</v>
      </c>
      <c r="P3673">
        <v>30.437000000000001</v>
      </c>
      <c r="Q3673">
        <v>23.808</v>
      </c>
      <c r="R3673" t="s">
        <v>1517</v>
      </c>
      <c r="S3673" t="s">
        <v>83</v>
      </c>
      <c r="T3673">
        <f>IF(TRIM(Table1[[#This Row],[PitStopLaps]])="",0,
LEN(Table1[[#This Row],[PitStopLaps]])-LEN(SUBSTITUTE(Table1[[#This Row],[PitStopLaps]],",",""))+1)</f>
        <v>2</v>
      </c>
      <c r="U3673">
        <f>Table1[[#This Row],[StartPosition]]-Table1[[#This Row],[FinishPosition]]</f>
        <v>2</v>
      </c>
    </row>
    <row r="3674" spans="1:21" x14ac:dyDescent="0.3">
      <c r="A3674">
        <v>2026</v>
      </c>
      <c r="B3674">
        <v>11</v>
      </c>
      <c r="C3674" t="s">
        <v>183</v>
      </c>
      <c r="D3674" t="s">
        <v>1283</v>
      </c>
      <c r="E3674" t="s">
        <v>1284</v>
      </c>
      <c r="F3674" t="s">
        <v>607</v>
      </c>
      <c r="G3674">
        <v>13</v>
      </c>
      <c r="H3674">
        <v>15</v>
      </c>
      <c r="I3674">
        <v>0</v>
      </c>
      <c r="J3674" t="s">
        <v>34</v>
      </c>
      <c r="K3674" t="s">
        <v>994</v>
      </c>
      <c r="L3674">
        <v>68</v>
      </c>
      <c r="M3674">
        <v>84.623999999999995</v>
      </c>
      <c r="N3674">
        <v>87.118031999999999</v>
      </c>
      <c r="O3674">
        <v>29.256</v>
      </c>
      <c r="P3674">
        <v>30.91</v>
      </c>
      <c r="Q3674">
        <v>24.372</v>
      </c>
      <c r="R3674" t="s">
        <v>600</v>
      </c>
      <c r="S3674" t="s">
        <v>83</v>
      </c>
      <c r="T3674">
        <f>IF(TRIM(Table1[[#This Row],[PitStopLaps]])="",0,
LEN(Table1[[#This Row],[PitStopLaps]])-LEN(SUBSTITUTE(Table1[[#This Row],[PitStopLaps]],",",""))+1)</f>
        <v>2</v>
      </c>
      <c r="U3674">
        <f>Table1[[#This Row],[StartPosition]]-Table1[[#This Row],[FinishPosition]]</f>
        <v>-2</v>
      </c>
    </row>
    <row r="3675" spans="1:21" x14ac:dyDescent="0.3">
      <c r="A3675">
        <v>2026</v>
      </c>
      <c r="B3675">
        <v>11</v>
      </c>
      <c r="C3675" t="s">
        <v>183</v>
      </c>
      <c r="D3675" t="s">
        <v>52</v>
      </c>
      <c r="E3675" t="s">
        <v>53</v>
      </c>
      <c r="F3675" t="s">
        <v>69</v>
      </c>
      <c r="G3675">
        <v>15</v>
      </c>
      <c r="H3675">
        <v>16</v>
      </c>
      <c r="I3675">
        <v>0</v>
      </c>
      <c r="J3675" t="s">
        <v>34</v>
      </c>
      <c r="K3675" t="s">
        <v>994</v>
      </c>
      <c r="L3675">
        <v>68</v>
      </c>
      <c r="M3675">
        <v>85.888999999999996</v>
      </c>
      <c r="N3675">
        <v>87.256229000000005</v>
      </c>
      <c r="O3675">
        <v>29.724</v>
      </c>
      <c r="P3675">
        <v>31.504000000000001</v>
      </c>
      <c r="Q3675">
        <v>24.45</v>
      </c>
      <c r="R3675" t="s">
        <v>1130</v>
      </c>
      <c r="S3675" t="s">
        <v>83</v>
      </c>
      <c r="T3675">
        <f>IF(TRIM(Table1[[#This Row],[PitStopLaps]])="",0,
LEN(Table1[[#This Row],[PitStopLaps]])-LEN(SUBSTITUTE(Table1[[#This Row],[PitStopLaps]],",",""))+1)</f>
        <v>2</v>
      </c>
      <c r="U3675">
        <f>Table1[[#This Row],[StartPosition]]-Table1[[#This Row],[FinishPosition]]</f>
        <v>-1</v>
      </c>
    </row>
    <row r="3676" spans="1:21" x14ac:dyDescent="0.3">
      <c r="A3676">
        <v>2026</v>
      </c>
      <c r="B3676">
        <v>11</v>
      </c>
      <c r="C3676" t="s">
        <v>183</v>
      </c>
      <c r="D3676" t="s">
        <v>248</v>
      </c>
      <c r="E3676" t="s">
        <v>249</v>
      </c>
      <c r="F3676" t="s">
        <v>60</v>
      </c>
      <c r="G3676">
        <v>19</v>
      </c>
      <c r="H3676">
        <v>17</v>
      </c>
      <c r="I3676">
        <v>0</v>
      </c>
      <c r="J3676" t="s">
        <v>34</v>
      </c>
      <c r="K3676" t="s">
        <v>994</v>
      </c>
      <c r="L3676">
        <v>68</v>
      </c>
      <c r="M3676">
        <v>85.403000000000006</v>
      </c>
      <c r="N3676">
        <v>87.939808999999997</v>
      </c>
      <c r="O3676">
        <v>29.399000000000001</v>
      </c>
      <c r="P3676">
        <v>31.552</v>
      </c>
      <c r="Q3676">
        <v>24.111999999999998</v>
      </c>
      <c r="R3676" t="s">
        <v>585</v>
      </c>
      <c r="S3676" t="s">
        <v>83</v>
      </c>
      <c r="T3676">
        <f>IF(TRIM(Table1[[#This Row],[PitStopLaps]])="",0,
LEN(Table1[[#This Row],[PitStopLaps]])-LEN(SUBSTITUTE(Table1[[#This Row],[PitStopLaps]],",",""))+1)</f>
        <v>2</v>
      </c>
      <c r="U3676">
        <f>Table1[[#This Row],[StartPosition]]-Table1[[#This Row],[FinishPosition]]</f>
        <v>2</v>
      </c>
    </row>
    <row r="3677" spans="1:21" x14ac:dyDescent="0.3">
      <c r="A3677">
        <v>2026</v>
      </c>
      <c r="B3677">
        <v>11</v>
      </c>
      <c r="C3677" t="s">
        <v>183</v>
      </c>
      <c r="D3677" t="s">
        <v>47</v>
      </c>
      <c r="E3677" t="s">
        <v>48</v>
      </c>
      <c r="F3677" t="s">
        <v>60</v>
      </c>
      <c r="G3677">
        <v>18</v>
      </c>
      <c r="H3677">
        <v>18</v>
      </c>
      <c r="I3677">
        <v>0</v>
      </c>
      <c r="J3677" t="s">
        <v>34</v>
      </c>
      <c r="K3677" t="s">
        <v>994</v>
      </c>
      <c r="L3677">
        <v>68</v>
      </c>
      <c r="M3677">
        <v>84.864000000000004</v>
      </c>
      <c r="N3677">
        <v>87.643326999999999</v>
      </c>
      <c r="O3677">
        <v>29.488</v>
      </c>
      <c r="P3677">
        <v>31.073</v>
      </c>
      <c r="Q3677">
        <v>24.143999999999998</v>
      </c>
      <c r="R3677" t="s">
        <v>1518</v>
      </c>
      <c r="S3677" t="s">
        <v>83</v>
      </c>
      <c r="T3677">
        <f>IF(TRIM(Table1[[#This Row],[PitStopLaps]])="",0,
LEN(Table1[[#This Row],[PitStopLaps]])-LEN(SUBSTITUTE(Table1[[#This Row],[PitStopLaps]],",",""))+1)</f>
        <v>3</v>
      </c>
      <c r="U3677">
        <f>Table1[[#This Row],[StartPosition]]-Table1[[#This Row],[FinishPosition]]</f>
        <v>0</v>
      </c>
    </row>
    <row r="3678" spans="1:21" x14ac:dyDescent="0.3">
      <c r="A3678">
        <v>2026</v>
      </c>
      <c r="B3678">
        <v>11</v>
      </c>
      <c r="C3678" t="s">
        <v>183</v>
      </c>
      <c r="D3678" t="s">
        <v>1180</v>
      </c>
      <c r="E3678" t="s">
        <v>1181</v>
      </c>
      <c r="F3678" t="s">
        <v>69</v>
      </c>
      <c r="G3678">
        <v>17</v>
      </c>
      <c r="H3678">
        <v>19</v>
      </c>
      <c r="I3678">
        <v>0</v>
      </c>
      <c r="J3678" t="s">
        <v>34</v>
      </c>
      <c r="K3678" t="s">
        <v>994</v>
      </c>
      <c r="L3678">
        <v>68</v>
      </c>
      <c r="M3678">
        <v>85.884</v>
      </c>
      <c r="N3678">
        <v>87.912918000000005</v>
      </c>
      <c r="O3678">
        <v>29.78</v>
      </c>
      <c r="P3678">
        <v>31.495999999999999</v>
      </c>
      <c r="Q3678">
        <v>24.527999999999999</v>
      </c>
      <c r="R3678" t="s">
        <v>281</v>
      </c>
      <c r="S3678" t="s">
        <v>83</v>
      </c>
      <c r="T3678">
        <f>IF(TRIM(Table1[[#This Row],[PitStopLaps]])="",0,
LEN(Table1[[#This Row],[PitStopLaps]])-LEN(SUBSTITUTE(Table1[[#This Row],[PitStopLaps]],",",""))+1)</f>
        <v>2</v>
      </c>
      <c r="U3678">
        <f>Table1[[#This Row],[StartPosition]]-Table1[[#This Row],[FinishPosition]]</f>
        <v>-2</v>
      </c>
    </row>
    <row r="3679" spans="1:21" x14ac:dyDescent="0.3">
      <c r="A3679">
        <v>2026</v>
      </c>
      <c r="B3679">
        <v>11</v>
      </c>
      <c r="C3679" t="s">
        <v>183</v>
      </c>
      <c r="D3679" t="s">
        <v>1000</v>
      </c>
      <c r="E3679" t="s">
        <v>1001</v>
      </c>
      <c r="F3679" t="s">
        <v>37</v>
      </c>
      <c r="G3679">
        <v>3</v>
      </c>
      <c r="H3679">
        <v>20</v>
      </c>
      <c r="I3679">
        <v>0</v>
      </c>
      <c r="J3679" t="s">
        <v>34</v>
      </c>
      <c r="K3679" t="s">
        <v>179</v>
      </c>
      <c r="L3679">
        <v>56</v>
      </c>
      <c r="M3679">
        <v>83.896000000000001</v>
      </c>
      <c r="N3679">
        <v>85.009839999999997</v>
      </c>
      <c r="O3679">
        <v>29.353000000000002</v>
      </c>
      <c r="P3679">
        <v>30.687000000000001</v>
      </c>
      <c r="Q3679">
        <v>23.802</v>
      </c>
      <c r="R3679" t="s">
        <v>860</v>
      </c>
      <c r="S3679" t="s">
        <v>83</v>
      </c>
      <c r="T3679">
        <f>IF(TRIM(Table1[[#This Row],[PitStopLaps]])="",0,
LEN(Table1[[#This Row],[PitStopLaps]])-LEN(SUBSTITUTE(Table1[[#This Row],[PitStopLaps]],",",""))+1)</f>
        <v>2</v>
      </c>
      <c r="U3679">
        <f>Table1[[#This Row],[StartPosition]]-Table1[[#This Row],[FinishPosition]]</f>
        <v>-17</v>
      </c>
    </row>
    <row r="3680" spans="1:21" x14ac:dyDescent="0.3">
      <c r="A3680">
        <v>2026</v>
      </c>
      <c r="B3680">
        <v>11</v>
      </c>
      <c r="C3680" t="s">
        <v>183</v>
      </c>
      <c r="D3680" t="s">
        <v>49</v>
      </c>
      <c r="E3680" t="s">
        <v>50</v>
      </c>
      <c r="F3680" t="s">
        <v>1449</v>
      </c>
      <c r="G3680">
        <v>22</v>
      </c>
      <c r="H3680">
        <v>21</v>
      </c>
      <c r="I3680">
        <v>0</v>
      </c>
      <c r="J3680" t="s">
        <v>34</v>
      </c>
      <c r="K3680" t="s">
        <v>179</v>
      </c>
      <c r="L3680">
        <v>48</v>
      </c>
      <c r="M3680">
        <v>86.341999999999999</v>
      </c>
      <c r="N3680">
        <v>88.882333000000003</v>
      </c>
      <c r="O3680">
        <v>29.802</v>
      </c>
      <c r="P3680">
        <v>32.012</v>
      </c>
      <c r="Q3680">
        <v>24.527999999999999</v>
      </c>
      <c r="R3680" t="s">
        <v>1519</v>
      </c>
      <c r="S3680" t="s">
        <v>83</v>
      </c>
      <c r="T3680">
        <f>IF(TRIM(Table1[[#This Row],[PitStopLaps]])="",0,
LEN(Table1[[#This Row],[PitStopLaps]])-LEN(SUBSTITUTE(Table1[[#This Row],[PitStopLaps]],",",""))+1)</f>
        <v>3</v>
      </c>
      <c r="U3680">
        <f>Table1[[#This Row],[StartPosition]]-Table1[[#This Row],[FinishPosition]]</f>
        <v>1</v>
      </c>
    </row>
    <row r="3681" spans="1:21" x14ac:dyDescent="0.3">
      <c r="A3681">
        <v>2026</v>
      </c>
      <c r="B3681">
        <v>11</v>
      </c>
      <c r="C3681" t="s">
        <v>183</v>
      </c>
      <c r="D3681" t="s">
        <v>43</v>
      </c>
      <c r="E3681" t="s">
        <v>44</v>
      </c>
      <c r="F3681" t="s">
        <v>1449</v>
      </c>
      <c r="G3681">
        <v>21</v>
      </c>
      <c r="H3681">
        <v>22</v>
      </c>
      <c r="I3681">
        <v>0</v>
      </c>
      <c r="J3681" t="s">
        <v>34</v>
      </c>
      <c r="K3681" t="s">
        <v>179</v>
      </c>
      <c r="L3681">
        <v>14</v>
      </c>
      <c r="M3681">
        <v>87.959000000000003</v>
      </c>
      <c r="N3681">
        <v>89.037333000000004</v>
      </c>
      <c r="O3681">
        <v>30.228000000000002</v>
      </c>
      <c r="P3681">
        <v>32.521000000000001</v>
      </c>
      <c r="Q3681">
        <v>25.085999999999999</v>
      </c>
      <c r="R3681">
        <v>14</v>
      </c>
      <c r="S3681" t="s">
        <v>83</v>
      </c>
      <c r="T3681">
        <f>IF(TRIM(Table1[[#This Row],[PitStopLaps]])="",0,
LEN(Table1[[#This Row],[PitStopLaps]])-LEN(SUBSTITUTE(Table1[[#This Row],[PitStopLaps]],",",""))+1)</f>
        <v>1</v>
      </c>
      <c r="U3681">
        <f>Table1[[#This Row],[StartPosition]]-Table1[[#This Row],[FinishPosition]]</f>
        <v>-1</v>
      </c>
    </row>
    <row r="3682" spans="1:21" x14ac:dyDescent="0.3">
      <c r="A3682">
        <v>2026</v>
      </c>
      <c r="B3682">
        <v>12</v>
      </c>
      <c r="C3682" t="s">
        <v>702</v>
      </c>
      <c r="D3682" t="s">
        <v>246</v>
      </c>
      <c r="E3682" t="s">
        <v>247</v>
      </c>
      <c r="F3682" t="s">
        <v>37</v>
      </c>
      <c r="G3682">
        <v>1</v>
      </c>
      <c r="H3682">
        <v>1</v>
      </c>
      <c r="I3682">
        <v>25</v>
      </c>
      <c r="J3682" t="s">
        <v>23</v>
      </c>
      <c r="K3682" t="s">
        <v>24</v>
      </c>
      <c r="L3682">
        <v>72</v>
      </c>
      <c r="M3682">
        <v>74.320999999999998</v>
      </c>
      <c r="N3682">
        <v>77.352400000000003</v>
      </c>
      <c r="O3682">
        <v>25.266999999999999</v>
      </c>
      <c r="P3682">
        <v>26.475999999999999</v>
      </c>
      <c r="Q3682">
        <v>22.454000000000001</v>
      </c>
      <c r="R3682" t="s">
        <v>1520</v>
      </c>
      <c r="S3682" t="s">
        <v>25</v>
      </c>
      <c r="T3682">
        <f>IF(TRIM(Table1[[#This Row],[PitStopLaps]])="",0,
LEN(Table1[[#This Row],[PitStopLaps]])-LEN(SUBSTITUTE(Table1[[#This Row],[PitStopLaps]],",",""))+1)</f>
        <v>3</v>
      </c>
      <c r="U3682">
        <f>Table1[[#This Row],[StartPosition]]-Table1[[#This Row],[FinishPosition]]</f>
        <v>0</v>
      </c>
    </row>
    <row r="3683" spans="1:21" x14ac:dyDescent="0.3">
      <c r="A3683">
        <v>2026</v>
      </c>
      <c r="B3683">
        <v>12</v>
      </c>
      <c r="C3683" t="s">
        <v>702</v>
      </c>
      <c r="D3683" t="s">
        <v>1339</v>
      </c>
      <c r="E3683" t="s">
        <v>1325</v>
      </c>
      <c r="F3683" t="s">
        <v>28</v>
      </c>
      <c r="G3683">
        <v>3</v>
      </c>
      <c r="H3683">
        <v>2</v>
      </c>
      <c r="I3683">
        <v>18</v>
      </c>
      <c r="J3683" t="s">
        <v>23</v>
      </c>
      <c r="K3683" t="s">
        <v>24</v>
      </c>
      <c r="L3683">
        <v>72</v>
      </c>
      <c r="M3683">
        <v>74.570999999999998</v>
      </c>
      <c r="N3683">
        <v>77.286699999999996</v>
      </c>
      <c r="O3683">
        <v>25.361999999999998</v>
      </c>
      <c r="P3683">
        <v>26.64</v>
      </c>
      <c r="Q3683">
        <v>22.370999999999999</v>
      </c>
      <c r="R3683" t="s">
        <v>1521</v>
      </c>
      <c r="S3683" t="s">
        <v>25</v>
      </c>
      <c r="T3683">
        <f>IF(TRIM(Table1[[#This Row],[PitStopLaps]])="",0,
LEN(Table1[[#This Row],[PitStopLaps]])-LEN(SUBSTITUTE(Table1[[#This Row],[PitStopLaps]],",",""))+1)</f>
        <v>4</v>
      </c>
      <c r="U3683">
        <f>Table1[[#This Row],[StartPosition]]-Table1[[#This Row],[FinishPosition]]</f>
        <v>1</v>
      </c>
    </row>
    <row r="3684" spans="1:21" x14ac:dyDescent="0.3">
      <c r="A3684">
        <v>2026</v>
      </c>
      <c r="B3684">
        <v>12</v>
      </c>
      <c r="C3684" t="s">
        <v>702</v>
      </c>
      <c r="D3684" t="s">
        <v>252</v>
      </c>
      <c r="E3684" t="s">
        <v>253</v>
      </c>
      <c r="F3684" t="s">
        <v>28</v>
      </c>
      <c r="G3684">
        <v>2</v>
      </c>
      <c r="H3684">
        <v>3</v>
      </c>
      <c r="I3684">
        <v>15</v>
      </c>
      <c r="J3684" t="s">
        <v>23</v>
      </c>
      <c r="K3684" t="s">
        <v>24</v>
      </c>
      <c r="L3684">
        <v>72</v>
      </c>
      <c r="M3684">
        <v>75.393000000000001</v>
      </c>
      <c r="N3684">
        <v>77.538983000000002</v>
      </c>
      <c r="O3684">
        <v>25.492000000000001</v>
      </c>
      <c r="P3684">
        <v>27.152000000000001</v>
      </c>
      <c r="Q3684">
        <v>22.56</v>
      </c>
      <c r="R3684" t="s">
        <v>1522</v>
      </c>
      <c r="S3684" t="s">
        <v>25</v>
      </c>
      <c r="T3684">
        <f>IF(TRIM(Table1[[#This Row],[PitStopLaps]])="",0,
LEN(Table1[[#This Row],[PitStopLaps]])-LEN(SUBSTITUTE(Table1[[#This Row],[PitStopLaps]],",",""))+1)</f>
        <v>3</v>
      </c>
      <c r="U3684">
        <f>Table1[[#This Row],[StartPosition]]-Table1[[#This Row],[FinishPosition]]</f>
        <v>-1</v>
      </c>
    </row>
    <row r="3685" spans="1:21" x14ac:dyDescent="0.3">
      <c r="A3685">
        <v>2026</v>
      </c>
      <c r="B3685">
        <v>12</v>
      </c>
      <c r="C3685" t="s">
        <v>702</v>
      </c>
      <c r="D3685" t="s">
        <v>26</v>
      </c>
      <c r="E3685" t="s">
        <v>27</v>
      </c>
      <c r="F3685" t="s">
        <v>22</v>
      </c>
      <c r="G3685">
        <v>5</v>
      </c>
      <c r="H3685">
        <v>4</v>
      </c>
      <c r="I3685">
        <v>12</v>
      </c>
      <c r="J3685" t="s">
        <v>34</v>
      </c>
      <c r="K3685" t="s">
        <v>24</v>
      </c>
      <c r="L3685">
        <v>72</v>
      </c>
      <c r="M3685">
        <v>74.566000000000003</v>
      </c>
      <c r="N3685">
        <v>77.479049000000003</v>
      </c>
      <c r="O3685">
        <v>25.41</v>
      </c>
      <c r="P3685">
        <v>26.61</v>
      </c>
      <c r="Q3685">
        <v>22.501000000000001</v>
      </c>
      <c r="R3685" t="s">
        <v>1523</v>
      </c>
      <c r="S3685" t="s">
        <v>25</v>
      </c>
      <c r="T3685">
        <f>IF(TRIM(Table1[[#This Row],[PitStopLaps]])="",0,
LEN(Table1[[#This Row],[PitStopLaps]])-LEN(SUBSTITUTE(Table1[[#This Row],[PitStopLaps]],",",""))+1)</f>
        <v>3</v>
      </c>
      <c r="U3685">
        <f>Table1[[#This Row],[StartPosition]]-Table1[[#This Row],[FinishPosition]]</f>
        <v>1</v>
      </c>
    </row>
    <row r="3686" spans="1:21" x14ac:dyDescent="0.3">
      <c r="A3686">
        <v>2026</v>
      </c>
      <c r="B3686">
        <v>12</v>
      </c>
      <c r="C3686" t="s">
        <v>702</v>
      </c>
      <c r="D3686" t="s">
        <v>54</v>
      </c>
      <c r="E3686" t="s">
        <v>55</v>
      </c>
      <c r="F3686" t="s">
        <v>22</v>
      </c>
      <c r="G3686">
        <v>6</v>
      </c>
      <c r="H3686">
        <v>5</v>
      </c>
      <c r="I3686">
        <v>10</v>
      </c>
      <c r="J3686" t="s">
        <v>34</v>
      </c>
      <c r="K3686" t="s">
        <v>24</v>
      </c>
      <c r="L3686">
        <v>72</v>
      </c>
      <c r="M3686">
        <v>74.23</v>
      </c>
      <c r="N3686">
        <v>77.219237000000007</v>
      </c>
      <c r="O3686">
        <v>25.332999999999998</v>
      </c>
      <c r="P3686">
        <v>26.439</v>
      </c>
      <c r="Q3686">
        <v>22.29</v>
      </c>
      <c r="R3686" t="s">
        <v>1524</v>
      </c>
      <c r="S3686" t="s">
        <v>25</v>
      </c>
      <c r="T3686">
        <f>IF(TRIM(Table1[[#This Row],[PitStopLaps]])="",0,
LEN(Table1[[#This Row],[PitStopLaps]])-LEN(SUBSTITUTE(Table1[[#This Row],[PitStopLaps]],",",""))+1)</f>
        <v>4</v>
      </c>
      <c r="U3686">
        <f>Table1[[#This Row],[StartPosition]]-Table1[[#This Row],[FinishPosition]]</f>
        <v>1</v>
      </c>
    </row>
    <row r="3687" spans="1:21" x14ac:dyDescent="0.3">
      <c r="A3687">
        <v>2026</v>
      </c>
      <c r="B3687">
        <v>12</v>
      </c>
      <c r="C3687" t="s">
        <v>702</v>
      </c>
      <c r="D3687" t="s">
        <v>1000</v>
      </c>
      <c r="E3687" t="s">
        <v>1001</v>
      </c>
      <c r="F3687" t="s">
        <v>37</v>
      </c>
      <c r="G3687">
        <v>4</v>
      </c>
      <c r="H3687">
        <v>6</v>
      </c>
      <c r="I3687">
        <v>8</v>
      </c>
      <c r="J3687" t="s">
        <v>34</v>
      </c>
      <c r="K3687" t="s">
        <v>24</v>
      </c>
      <c r="L3687">
        <v>72</v>
      </c>
      <c r="M3687">
        <v>74.302999999999997</v>
      </c>
      <c r="N3687">
        <v>77.502508000000006</v>
      </c>
      <c r="O3687">
        <v>25.23</v>
      </c>
      <c r="P3687">
        <v>26.634</v>
      </c>
      <c r="Q3687">
        <v>22.414999999999999</v>
      </c>
      <c r="R3687" t="s">
        <v>1525</v>
      </c>
      <c r="S3687" t="s">
        <v>25</v>
      </c>
      <c r="T3687">
        <f>IF(TRIM(Table1[[#This Row],[PitStopLaps]])="",0,
LEN(Table1[[#This Row],[PitStopLaps]])-LEN(SUBSTITUTE(Table1[[#This Row],[PitStopLaps]],",",""))+1)</f>
        <v>4</v>
      </c>
      <c r="U3687">
        <f>Table1[[#This Row],[StartPosition]]-Table1[[#This Row],[FinishPosition]]</f>
        <v>-2</v>
      </c>
    </row>
    <row r="3688" spans="1:21" x14ac:dyDescent="0.3">
      <c r="A3688">
        <v>2026</v>
      </c>
      <c r="B3688">
        <v>12</v>
      </c>
      <c r="C3688" t="s">
        <v>702</v>
      </c>
      <c r="D3688" t="s">
        <v>1092</v>
      </c>
      <c r="E3688" t="s">
        <v>1093</v>
      </c>
      <c r="F3688" t="s">
        <v>33</v>
      </c>
      <c r="G3688">
        <v>8</v>
      </c>
      <c r="H3688">
        <v>7</v>
      </c>
      <c r="I3688">
        <v>6</v>
      </c>
      <c r="J3688" t="s">
        <v>34</v>
      </c>
      <c r="K3688" t="s">
        <v>24</v>
      </c>
      <c r="L3688">
        <v>72</v>
      </c>
      <c r="M3688">
        <v>75.435000000000002</v>
      </c>
      <c r="N3688">
        <v>77.479388999999998</v>
      </c>
      <c r="O3688">
        <v>25.648</v>
      </c>
      <c r="P3688">
        <v>27.096</v>
      </c>
      <c r="Q3688">
        <v>22.664000000000001</v>
      </c>
      <c r="R3688" t="s">
        <v>1520</v>
      </c>
      <c r="S3688" t="s">
        <v>25</v>
      </c>
      <c r="T3688">
        <f>IF(TRIM(Table1[[#This Row],[PitStopLaps]])="",0,
LEN(Table1[[#This Row],[PitStopLaps]])-LEN(SUBSTITUTE(Table1[[#This Row],[PitStopLaps]],",",""))+1)</f>
        <v>3</v>
      </c>
      <c r="U3688">
        <f>Table1[[#This Row],[StartPosition]]-Table1[[#This Row],[FinishPosition]]</f>
        <v>1</v>
      </c>
    </row>
    <row r="3689" spans="1:21" x14ac:dyDescent="0.3">
      <c r="A3689">
        <v>2026</v>
      </c>
      <c r="B3689">
        <v>12</v>
      </c>
      <c r="C3689" t="s">
        <v>702</v>
      </c>
      <c r="D3689" t="s">
        <v>40</v>
      </c>
      <c r="E3689" t="s">
        <v>41</v>
      </c>
      <c r="F3689" t="s">
        <v>1446</v>
      </c>
      <c r="G3689">
        <v>13</v>
      </c>
      <c r="H3689">
        <v>8</v>
      </c>
      <c r="I3689">
        <v>4</v>
      </c>
      <c r="J3689" t="s">
        <v>34</v>
      </c>
      <c r="K3689" t="s">
        <v>994</v>
      </c>
      <c r="L3689">
        <v>71</v>
      </c>
      <c r="M3689">
        <v>76.048000000000002</v>
      </c>
      <c r="N3689">
        <v>78.049205999999998</v>
      </c>
      <c r="O3689">
        <v>25.92</v>
      </c>
      <c r="P3689">
        <v>27.236000000000001</v>
      </c>
      <c r="Q3689">
        <v>22.715</v>
      </c>
      <c r="R3689" t="s">
        <v>1526</v>
      </c>
      <c r="S3689" t="s">
        <v>25</v>
      </c>
      <c r="T3689">
        <f>IF(TRIM(Table1[[#This Row],[PitStopLaps]])="",0,
LEN(Table1[[#This Row],[PitStopLaps]])-LEN(SUBSTITUTE(Table1[[#This Row],[PitStopLaps]],",",""))+1)</f>
        <v>3</v>
      </c>
      <c r="U3689">
        <f>Table1[[#This Row],[StartPosition]]-Table1[[#This Row],[FinishPosition]]</f>
        <v>5</v>
      </c>
    </row>
    <row r="3690" spans="1:21" x14ac:dyDescent="0.3">
      <c r="A3690">
        <v>2026</v>
      </c>
      <c r="B3690">
        <v>12</v>
      </c>
      <c r="C3690" t="s">
        <v>702</v>
      </c>
      <c r="D3690" t="s">
        <v>35</v>
      </c>
      <c r="E3690" t="s">
        <v>36</v>
      </c>
      <c r="F3690" t="s">
        <v>603</v>
      </c>
      <c r="G3690">
        <v>18</v>
      </c>
      <c r="H3690">
        <v>9</v>
      </c>
      <c r="I3690">
        <v>2</v>
      </c>
      <c r="J3690" t="s">
        <v>34</v>
      </c>
      <c r="K3690" t="s">
        <v>994</v>
      </c>
      <c r="L3690">
        <v>71</v>
      </c>
      <c r="M3690">
        <v>76.945999999999998</v>
      </c>
      <c r="N3690">
        <v>78.508633000000003</v>
      </c>
      <c r="O3690">
        <v>26.068999999999999</v>
      </c>
      <c r="P3690">
        <v>27.727</v>
      </c>
      <c r="Q3690">
        <v>23.128</v>
      </c>
      <c r="R3690" t="s">
        <v>1527</v>
      </c>
      <c r="S3690" t="s">
        <v>25</v>
      </c>
      <c r="T3690">
        <f>IF(TRIM(Table1[[#This Row],[PitStopLaps]])="",0,
LEN(Table1[[#This Row],[PitStopLaps]])-LEN(SUBSTITUTE(Table1[[#This Row],[PitStopLaps]],",",""))+1)</f>
        <v>2</v>
      </c>
      <c r="U3690">
        <f>Table1[[#This Row],[StartPosition]]-Table1[[#This Row],[FinishPosition]]</f>
        <v>9</v>
      </c>
    </row>
    <row r="3691" spans="1:21" x14ac:dyDescent="0.3">
      <c r="A3691">
        <v>2026</v>
      </c>
      <c r="B3691">
        <v>12</v>
      </c>
      <c r="C3691" t="s">
        <v>702</v>
      </c>
      <c r="D3691" t="s">
        <v>73</v>
      </c>
      <c r="E3691" t="s">
        <v>74</v>
      </c>
      <c r="F3691" t="s">
        <v>607</v>
      </c>
      <c r="G3691">
        <v>11</v>
      </c>
      <c r="H3691">
        <v>10</v>
      </c>
      <c r="I3691">
        <v>1</v>
      </c>
      <c r="J3691" t="s">
        <v>34</v>
      </c>
      <c r="K3691" t="s">
        <v>994</v>
      </c>
      <c r="L3691">
        <v>71</v>
      </c>
      <c r="M3691">
        <v>76.22</v>
      </c>
      <c r="N3691">
        <v>78.278516999999994</v>
      </c>
      <c r="O3691">
        <v>25.818000000000001</v>
      </c>
      <c r="P3691">
        <v>27.352</v>
      </c>
      <c r="Q3691">
        <v>22.826000000000001</v>
      </c>
      <c r="R3691" t="s">
        <v>1528</v>
      </c>
      <c r="S3691" t="s">
        <v>25</v>
      </c>
      <c r="T3691">
        <f>IF(TRIM(Table1[[#This Row],[PitStopLaps]])="",0,
LEN(Table1[[#This Row],[PitStopLaps]])-LEN(SUBSTITUTE(Table1[[#This Row],[PitStopLaps]],",",""))+1)</f>
        <v>3</v>
      </c>
      <c r="U3691">
        <f>Table1[[#This Row],[StartPosition]]-Table1[[#This Row],[FinishPosition]]</f>
        <v>1</v>
      </c>
    </row>
    <row r="3692" spans="1:21" x14ac:dyDescent="0.3">
      <c r="A3692">
        <v>2026</v>
      </c>
      <c r="B3692">
        <v>12</v>
      </c>
      <c r="C3692" t="s">
        <v>702</v>
      </c>
      <c r="D3692" t="s">
        <v>601</v>
      </c>
      <c r="E3692" t="s">
        <v>602</v>
      </c>
      <c r="F3692" t="s">
        <v>1330</v>
      </c>
      <c r="G3692">
        <v>12</v>
      </c>
      <c r="H3692">
        <v>11</v>
      </c>
      <c r="I3692">
        <v>0</v>
      </c>
      <c r="J3692" t="s">
        <v>34</v>
      </c>
      <c r="K3692" t="s">
        <v>994</v>
      </c>
      <c r="L3692">
        <v>71</v>
      </c>
      <c r="M3692">
        <v>76.638999999999996</v>
      </c>
      <c r="N3692">
        <v>78.321136999999993</v>
      </c>
      <c r="O3692">
        <v>25.896999999999998</v>
      </c>
      <c r="P3692">
        <v>27.651</v>
      </c>
      <c r="Q3692">
        <v>22.923999999999999</v>
      </c>
      <c r="R3692" t="s">
        <v>1529</v>
      </c>
      <c r="S3692" t="s">
        <v>25</v>
      </c>
      <c r="T3692">
        <f>IF(TRIM(Table1[[#This Row],[PitStopLaps]])="",0,
LEN(Table1[[#This Row],[PitStopLaps]])-LEN(SUBSTITUTE(Table1[[#This Row],[PitStopLaps]],",",""))+1)</f>
        <v>3</v>
      </c>
      <c r="U3692">
        <f>Table1[[#This Row],[StartPosition]]-Table1[[#This Row],[FinishPosition]]</f>
        <v>1</v>
      </c>
    </row>
    <row r="3693" spans="1:21" x14ac:dyDescent="0.3">
      <c r="A3693">
        <v>2026</v>
      </c>
      <c r="B3693">
        <v>12</v>
      </c>
      <c r="C3693" t="s">
        <v>702</v>
      </c>
      <c r="D3693" t="s">
        <v>1444</v>
      </c>
      <c r="E3693" t="s">
        <v>1445</v>
      </c>
      <c r="F3693" t="s">
        <v>1330</v>
      </c>
      <c r="G3693">
        <v>10</v>
      </c>
      <c r="H3693">
        <v>12</v>
      </c>
      <c r="I3693">
        <v>0</v>
      </c>
      <c r="J3693" t="s">
        <v>34</v>
      </c>
      <c r="K3693" t="s">
        <v>994</v>
      </c>
      <c r="L3693">
        <v>71</v>
      </c>
      <c r="M3693">
        <v>76.653000000000006</v>
      </c>
      <c r="N3693">
        <v>78.465534000000005</v>
      </c>
      <c r="O3693">
        <v>25.968</v>
      </c>
      <c r="P3693">
        <v>27.634</v>
      </c>
      <c r="Q3693">
        <v>23.042000000000002</v>
      </c>
      <c r="R3693" t="s">
        <v>1530</v>
      </c>
      <c r="S3693" t="s">
        <v>25</v>
      </c>
      <c r="T3693">
        <f>IF(TRIM(Table1[[#This Row],[PitStopLaps]])="",0,
LEN(Table1[[#This Row],[PitStopLaps]])-LEN(SUBSTITUTE(Table1[[#This Row],[PitStopLaps]],",",""))+1)</f>
        <v>3</v>
      </c>
      <c r="U3693">
        <f>Table1[[#This Row],[StartPosition]]-Table1[[#This Row],[FinishPosition]]</f>
        <v>-2</v>
      </c>
    </row>
    <row r="3694" spans="1:21" x14ac:dyDescent="0.3">
      <c r="A3694">
        <v>2026</v>
      </c>
      <c r="B3694">
        <v>12</v>
      </c>
      <c r="C3694" t="s">
        <v>702</v>
      </c>
      <c r="D3694" t="s">
        <v>1334</v>
      </c>
      <c r="E3694" t="s">
        <v>1335</v>
      </c>
      <c r="F3694" t="s">
        <v>1446</v>
      </c>
      <c r="G3694">
        <v>9</v>
      </c>
      <c r="H3694">
        <v>13</v>
      </c>
      <c r="I3694">
        <v>0</v>
      </c>
      <c r="J3694" t="s">
        <v>34</v>
      </c>
      <c r="K3694" t="s">
        <v>994</v>
      </c>
      <c r="L3694">
        <v>71</v>
      </c>
      <c r="M3694">
        <v>75.515000000000001</v>
      </c>
      <c r="N3694">
        <v>78.339775000000003</v>
      </c>
      <c r="O3694">
        <v>25.74</v>
      </c>
      <c r="P3694">
        <v>26.923999999999999</v>
      </c>
      <c r="Q3694">
        <v>22.742000000000001</v>
      </c>
      <c r="R3694" t="s">
        <v>1531</v>
      </c>
      <c r="S3694" t="s">
        <v>25</v>
      </c>
      <c r="T3694">
        <f>IF(TRIM(Table1[[#This Row],[PitStopLaps]])="",0,
LEN(Table1[[#This Row],[PitStopLaps]])-LEN(SUBSTITUTE(Table1[[#This Row],[PitStopLaps]],",",""))+1)</f>
        <v>4</v>
      </c>
      <c r="U3694">
        <f>Table1[[#This Row],[StartPosition]]-Table1[[#This Row],[FinishPosition]]</f>
        <v>-4</v>
      </c>
    </row>
    <row r="3695" spans="1:21" x14ac:dyDescent="0.3">
      <c r="A3695">
        <v>2026</v>
      </c>
      <c r="B3695">
        <v>12</v>
      </c>
      <c r="C3695" t="s">
        <v>702</v>
      </c>
      <c r="D3695" t="s">
        <v>1283</v>
      </c>
      <c r="E3695" t="s">
        <v>1284</v>
      </c>
      <c r="F3695" t="s">
        <v>607</v>
      </c>
      <c r="G3695">
        <v>14</v>
      </c>
      <c r="H3695">
        <v>14</v>
      </c>
      <c r="I3695">
        <v>0</v>
      </c>
      <c r="J3695" t="s">
        <v>34</v>
      </c>
      <c r="K3695" t="s">
        <v>994</v>
      </c>
      <c r="L3695">
        <v>70</v>
      </c>
      <c r="M3695">
        <v>75.578000000000003</v>
      </c>
      <c r="N3695">
        <v>78.654818000000006</v>
      </c>
      <c r="O3695">
        <v>25.626000000000001</v>
      </c>
      <c r="P3695">
        <v>27.111999999999998</v>
      </c>
      <c r="Q3695">
        <v>22.794</v>
      </c>
      <c r="R3695" t="s">
        <v>1532</v>
      </c>
      <c r="S3695" t="s">
        <v>25</v>
      </c>
      <c r="T3695">
        <f>IF(TRIM(Table1[[#This Row],[PitStopLaps]])="",0,
LEN(Table1[[#This Row],[PitStopLaps]])-LEN(SUBSTITUTE(Table1[[#This Row],[PitStopLaps]],",",""))+1)</f>
        <v>4</v>
      </c>
      <c r="U3695">
        <f>Table1[[#This Row],[StartPosition]]-Table1[[#This Row],[FinishPosition]]</f>
        <v>0</v>
      </c>
    </row>
    <row r="3696" spans="1:21" x14ac:dyDescent="0.3">
      <c r="A3696">
        <v>2026</v>
      </c>
      <c r="B3696">
        <v>12</v>
      </c>
      <c r="C3696" t="s">
        <v>702</v>
      </c>
      <c r="D3696" t="s">
        <v>49</v>
      </c>
      <c r="E3696" t="s">
        <v>50</v>
      </c>
      <c r="F3696" t="s">
        <v>1449</v>
      </c>
      <c r="G3696">
        <v>22</v>
      </c>
      <c r="H3696">
        <v>15</v>
      </c>
      <c r="I3696">
        <v>0</v>
      </c>
      <c r="J3696" t="s">
        <v>34</v>
      </c>
      <c r="K3696" t="s">
        <v>994</v>
      </c>
      <c r="L3696">
        <v>70</v>
      </c>
      <c r="M3696">
        <v>77.149000000000001</v>
      </c>
      <c r="N3696">
        <v>80.721812999999997</v>
      </c>
      <c r="O3696">
        <v>26.245000000000001</v>
      </c>
      <c r="P3696">
        <v>27.672999999999998</v>
      </c>
      <c r="Q3696">
        <v>23.11</v>
      </c>
      <c r="R3696" t="s">
        <v>1533</v>
      </c>
      <c r="S3696" t="s">
        <v>25</v>
      </c>
      <c r="T3696">
        <f>IF(TRIM(Table1[[#This Row],[PitStopLaps]])="",0,
LEN(Table1[[#This Row],[PitStopLaps]])-LEN(SUBSTITUTE(Table1[[#This Row],[PitStopLaps]],",",""))+1)</f>
        <v>3</v>
      </c>
      <c r="U3696">
        <f>Table1[[#This Row],[StartPosition]]-Table1[[#This Row],[FinishPosition]]</f>
        <v>7</v>
      </c>
    </row>
    <row r="3697" spans="1:21" x14ac:dyDescent="0.3">
      <c r="A3697">
        <v>2026</v>
      </c>
      <c r="B3697">
        <v>12</v>
      </c>
      <c r="C3697" t="s">
        <v>702</v>
      </c>
      <c r="D3697" t="s">
        <v>47</v>
      </c>
      <c r="E3697" t="s">
        <v>48</v>
      </c>
      <c r="F3697" t="s">
        <v>60</v>
      </c>
      <c r="G3697">
        <v>17</v>
      </c>
      <c r="H3697">
        <v>16</v>
      </c>
      <c r="I3697">
        <v>0</v>
      </c>
      <c r="J3697" t="s">
        <v>34</v>
      </c>
      <c r="K3697" t="s">
        <v>994</v>
      </c>
      <c r="L3697">
        <v>70</v>
      </c>
      <c r="M3697">
        <v>77.328000000000003</v>
      </c>
      <c r="N3697">
        <v>79.314499999999995</v>
      </c>
      <c r="O3697">
        <v>26.268000000000001</v>
      </c>
      <c r="P3697">
        <v>27.829000000000001</v>
      </c>
      <c r="Q3697">
        <v>23.202999999999999</v>
      </c>
      <c r="R3697" t="s">
        <v>1534</v>
      </c>
      <c r="S3697" t="s">
        <v>25</v>
      </c>
      <c r="T3697">
        <f>IF(TRIM(Table1[[#This Row],[PitStopLaps]])="",0,
LEN(Table1[[#This Row],[PitStopLaps]])-LEN(SUBSTITUTE(Table1[[#This Row],[PitStopLaps]],",",""))+1)</f>
        <v>3</v>
      </c>
      <c r="U3697">
        <f>Table1[[#This Row],[StartPosition]]-Table1[[#This Row],[FinishPosition]]</f>
        <v>1</v>
      </c>
    </row>
    <row r="3698" spans="1:21" x14ac:dyDescent="0.3">
      <c r="A3698">
        <v>2026</v>
      </c>
      <c r="B3698">
        <v>12</v>
      </c>
      <c r="C3698" t="s">
        <v>702</v>
      </c>
      <c r="D3698" t="s">
        <v>248</v>
      </c>
      <c r="E3698" t="s">
        <v>249</v>
      </c>
      <c r="F3698" t="s">
        <v>60</v>
      </c>
      <c r="G3698">
        <v>16</v>
      </c>
      <c r="H3698">
        <v>17</v>
      </c>
      <c r="I3698">
        <v>0</v>
      </c>
      <c r="J3698" t="s">
        <v>34</v>
      </c>
      <c r="K3698" t="s">
        <v>179</v>
      </c>
      <c r="L3698">
        <v>66</v>
      </c>
      <c r="M3698">
        <v>77.147000000000006</v>
      </c>
      <c r="N3698">
        <v>79.402754000000002</v>
      </c>
      <c r="O3698">
        <v>25.995000000000001</v>
      </c>
      <c r="P3698">
        <v>27.773</v>
      </c>
      <c r="Q3698">
        <v>22.959</v>
      </c>
      <c r="R3698" t="s">
        <v>1535</v>
      </c>
      <c r="S3698" t="s">
        <v>25</v>
      </c>
      <c r="T3698">
        <f>IF(TRIM(Table1[[#This Row],[PitStopLaps]])="",0,
LEN(Table1[[#This Row],[PitStopLaps]])-LEN(SUBSTITUTE(Table1[[#This Row],[PitStopLaps]],",",""))+1)</f>
        <v>4</v>
      </c>
      <c r="U3698">
        <f>Table1[[#This Row],[StartPosition]]-Table1[[#This Row],[FinishPosition]]</f>
        <v>-1</v>
      </c>
    </row>
    <row r="3699" spans="1:21" x14ac:dyDescent="0.3">
      <c r="A3699">
        <v>2026</v>
      </c>
      <c r="B3699">
        <v>12</v>
      </c>
      <c r="C3699" t="s">
        <v>702</v>
      </c>
      <c r="D3699" t="s">
        <v>43</v>
      </c>
      <c r="E3699" t="s">
        <v>44</v>
      </c>
      <c r="F3699" t="s">
        <v>1449</v>
      </c>
      <c r="G3699">
        <v>21</v>
      </c>
      <c r="H3699">
        <v>18</v>
      </c>
      <c r="I3699">
        <v>0</v>
      </c>
      <c r="J3699" t="s">
        <v>34</v>
      </c>
      <c r="K3699" t="s">
        <v>179</v>
      </c>
      <c r="L3699">
        <v>61</v>
      </c>
      <c r="M3699">
        <v>77.822000000000003</v>
      </c>
      <c r="N3699">
        <v>80.025734</v>
      </c>
      <c r="O3699">
        <v>26.408000000000001</v>
      </c>
      <c r="P3699">
        <v>28.010999999999999</v>
      </c>
      <c r="Q3699">
        <v>23.26</v>
      </c>
      <c r="R3699" t="s">
        <v>1536</v>
      </c>
      <c r="S3699" t="s">
        <v>25</v>
      </c>
      <c r="T3699">
        <f>IF(TRIM(Table1[[#This Row],[PitStopLaps]])="",0,
LEN(Table1[[#This Row],[PitStopLaps]])-LEN(SUBSTITUTE(Table1[[#This Row],[PitStopLaps]],",",""))+1)</f>
        <v>4</v>
      </c>
      <c r="U3699">
        <f>Table1[[#This Row],[StartPosition]]-Table1[[#This Row],[FinishPosition]]</f>
        <v>3</v>
      </c>
    </row>
    <row r="3700" spans="1:21" x14ac:dyDescent="0.3">
      <c r="A3700">
        <v>2026</v>
      </c>
      <c r="B3700">
        <v>12</v>
      </c>
      <c r="C3700" t="s">
        <v>702</v>
      </c>
      <c r="D3700" t="s">
        <v>52</v>
      </c>
      <c r="E3700" t="s">
        <v>53</v>
      </c>
      <c r="F3700" t="s">
        <v>69</v>
      </c>
      <c r="G3700">
        <v>15</v>
      </c>
      <c r="H3700">
        <v>19</v>
      </c>
      <c r="I3700">
        <v>0</v>
      </c>
      <c r="J3700" t="s">
        <v>34</v>
      </c>
      <c r="K3700" t="s">
        <v>179</v>
      </c>
      <c r="L3700">
        <v>53</v>
      </c>
      <c r="M3700">
        <v>77.587999999999994</v>
      </c>
      <c r="N3700">
        <v>79.004022000000006</v>
      </c>
      <c r="O3700">
        <v>26.210999999999999</v>
      </c>
      <c r="P3700">
        <v>28.004000000000001</v>
      </c>
      <c r="Q3700">
        <v>23.149000000000001</v>
      </c>
      <c r="R3700" t="s">
        <v>1537</v>
      </c>
      <c r="S3700" t="s">
        <v>25</v>
      </c>
      <c r="T3700">
        <f>IF(TRIM(Table1[[#This Row],[PitStopLaps]])="",0,
LEN(Table1[[#This Row],[PitStopLaps]])-LEN(SUBSTITUTE(Table1[[#This Row],[PitStopLaps]],",",""))+1)</f>
        <v>3</v>
      </c>
      <c r="U3700">
        <f>Table1[[#This Row],[StartPosition]]-Table1[[#This Row],[FinishPosition]]</f>
        <v>-4</v>
      </c>
    </row>
    <row r="3701" spans="1:21" x14ac:dyDescent="0.3">
      <c r="A3701">
        <v>2026</v>
      </c>
      <c r="B3701">
        <v>12</v>
      </c>
      <c r="C3701" t="s">
        <v>702</v>
      </c>
      <c r="D3701" t="s">
        <v>58</v>
      </c>
      <c r="E3701" t="s">
        <v>59</v>
      </c>
      <c r="F3701" t="s">
        <v>603</v>
      </c>
      <c r="G3701">
        <v>19</v>
      </c>
      <c r="H3701">
        <v>20</v>
      </c>
      <c r="I3701">
        <v>0</v>
      </c>
      <c r="J3701" t="s">
        <v>34</v>
      </c>
      <c r="K3701" t="s">
        <v>179</v>
      </c>
      <c r="L3701">
        <v>45</v>
      </c>
      <c r="M3701">
        <v>77.882999999999996</v>
      </c>
      <c r="N3701">
        <v>79.311277000000004</v>
      </c>
      <c r="O3701">
        <v>26.475000000000001</v>
      </c>
      <c r="P3701">
        <v>27.768999999999998</v>
      </c>
      <c r="Q3701">
        <v>23.259</v>
      </c>
      <c r="R3701" t="s">
        <v>1538</v>
      </c>
      <c r="S3701" t="s">
        <v>25</v>
      </c>
      <c r="T3701">
        <f>IF(TRIM(Table1[[#This Row],[PitStopLaps]])="",0,
LEN(Table1[[#This Row],[PitStopLaps]])-LEN(SUBSTITUTE(Table1[[#This Row],[PitStopLaps]],",",""))+1)</f>
        <v>4</v>
      </c>
      <c r="U3701">
        <f>Table1[[#This Row],[StartPosition]]-Table1[[#This Row],[FinishPosition]]</f>
        <v>-1</v>
      </c>
    </row>
    <row r="3702" spans="1:21" x14ac:dyDescent="0.3">
      <c r="A3702">
        <v>2026</v>
      </c>
      <c r="B3702">
        <v>12</v>
      </c>
      <c r="C3702" t="s">
        <v>702</v>
      </c>
      <c r="D3702" t="s">
        <v>1180</v>
      </c>
      <c r="E3702" t="s">
        <v>1181</v>
      </c>
      <c r="F3702" t="s">
        <v>69</v>
      </c>
      <c r="G3702">
        <v>20</v>
      </c>
      <c r="H3702">
        <v>21</v>
      </c>
      <c r="I3702">
        <v>0</v>
      </c>
      <c r="J3702" t="s">
        <v>34</v>
      </c>
      <c r="K3702" t="s">
        <v>179</v>
      </c>
      <c r="L3702">
        <v>2</v>
      </c>
      <c r="R3702">
        <v>2</v>
      </c>
      <c r="S3702" t="s">
        <v>25</v>
      </c>
      <c r="T3702">
        <f>IF(TRIM(Table1[[#This Row],[PitStopLaps]])="",0,
LEN(Table1[[#This Row],[PitStopLaps]])-LEN(SUBSTITUTE(Table1[[#This Row],[PitStopLaps]],",",""))+1)</f>
        <v>1</v>
      </c>
      <c r="U3702">
        <f>Table1[[#This Row],[StartPosition]]-Table1[[#This Row],[FinishPosition]]</f>
        <v>-1</v>
      </c>
    </row>
    <row r="3703" spans="1:21" x14ac:dyDescent="0.3">
      <c r="A3703">
        <v>2026</v>
      </c>
      <c r="B3703">
        <v>12</v>
      </c>
      <c r="C3703" t="s">
        <v>702</v>
      </c>
      <c r="D3703" t="s">
        <v>38</v>
      </c>
      <c r="E3703" t="s">
        <v>39</v>
      </c>
      <c r="F3703" t="s">
        <v>33</v>
      </c>
      <c r="G3703">
        <v>7</v>
      </c>
      <c r="H3703">
        <v>22</v>
      </c>
      <c r="I3703">
        <v>0</v>
      </c>
      <c r="J3703" t="s">
        <v>34</v>
      </c>
      <c r="K3703" t="s">
        <v>179</v>
      </c>
      <c r="L3703">
        <v>1</v>
      </c>
      <c r="S3703" t="s">
        <v>25</v>
      </c>
      <c r="T3703">
        <f>IF(TRIM(Table1[[#This Row],[PitStopLaps]])="",0,
LEN(Table1[[#This Row],[PitStopLaps]])-LEN(SUBSTITUTE(Table1[[#This Row],[PitStopLaps]],",",""))+1)</f>
        <v>0</v>
      </c>
      <c r="U3703">
        <f>Table1[[#This Row],[StartPosition]]-Table1[[#This Row],[FinishPosition]]</f>
        <v>-15</v>
      </c>
    </row>
    <row r="3704" spans="1:21" x14ac:dyDescent="0.3">
      <c r="A3704">
        <v>2026</v>
      </c>
      <c r="B3704">
        <v>13</v>
      </c>
      <c r="C3704" t="s">
        <v>367</v>
      </c>
      <c r="D3704" t="s">
        <v>1339</v>
      </c>
      <c r="E3704" t="s">
        <v>1325</v>
      </c>
      <c r="F3704" t="s">
        <v>28</v>
      </c>
      <c r="G3704">
        <v>19</v>
      </c>
      <c r="H3704">
        <v>1</v>
      </c>
      <c r="I3704">
        <v>25</v>
      </c>
      <c r="J3704" t="s">
        <v>23</v>
      </c>
      <c r="K3704" t="s">
        <v>24</v>
      </c>
      <c r="L3704">
        <v>53</v>
      </c>
      <c r="M3704">
        <v>83.504000000000005</v>
      </c>
      <c r="N3704">
        <v>86.410552999999993</v>
      </c>
      <c r="O3704">
        <v>27.225000000000001</v>
      </c>
      <c r="P3704">
        <v>28.686</v>
      </c>
      <c r="Q3704">
        <v>27.484000000000002</v>
      </c>
      <c r="R3704" t="s">
        <v>1539</v>
      </c>
      <c r="S3704" t="s">
        <v>83</v>
      </c>
      <c r="T3704">
        <f>IF(TRIM(Table1[[#This Row],[PitStopLaps]])="",0,
LEN(Table1[[#This Row],[PitStopLaps]])-LEN(SUBSTITUTE(Table1[[#This Row],[PitStopLaps]],",",""))+1)</f>
        <v>2</v>
      </c>
      <c r="U3704">
        <f>Table1[[#This Row],[StartPosition]]-Table1[[#This Row],[FinishPosition]]</f>
        <v>18</v>
      </c>
    </row>
    <row r="3705" spans="1:21" x14ac:dyDescent="0.3">
      <c r="A3705">
        <v>2026</v>
      </c>
      <c r="B3705">
        <v>13</v>
      </c>
      <c r="C3705" t="s">
        <v>367</v>
      </c>
      <c r="D3705" t="s">
        <v>252</v>
      </c>
      <c r="E3705" t="s">
        <v>253</v>
      </c>
      <c r="F3705" t="s">
        <v>28</v>
      </c>
      <c r="G3705">
        <v>2</v>
      </c>
      <c r="H3705">
        <v>2</v>
      </c>
      <c r="I3705">
        <v>18</v>
      </c>
      <c r="J3705" t="s">
        <v>23</v>
      </c>
      <c r="K3705" t="s">
        <v>24</v>
      </c>
      <c r="L3705">
        <v>53</v>
      </c>
      <c r="M3705">
        <v>84.39</v>
      </c>
      <c r="N3705">
        <v>85.702759999999998</v>
      </c>
      <c r="O3705">
        <v>27.603000000000002</v>
      </c>
      <c r="P3705">
        <v>28.966999999999999</v>
      </c>
      <c r="Q3705">
        <v>27.82</v>
      </c>
      <c r="R3705">
        <v>3</v>
      </c>
      <c r="S3705" t="s">
        <v>83</v>
      </c>
      <c r="T3705">
        <f>IF(TRIM(Table1[[#This Row],[PitStopLaps]])="",0,
LEN(Table1[[#This Row],[PitStopLaps]])-LEN(SUBSTITUTE(Table1[[#This Row],[PitStopLaps]],",",""))+1)</f>
        <v>1</v>
      </c>
      <c r="U3705">
        <f>Table1[[#This Row],[StartPosition]]-Table1[[#This Row],[FinishPosition]]</f>
        <v>0</v>
      </c>
    </row>
    <row r="3706" spans="1:21" x14ac:dyDescent="0.3">
      <c r="A3706">
        <v>2026</v>
      </c>
      <c r="B3706">
        <v>13</v>
      </c>
      <c r="C3706" t="s">
        <v>367</v>
      </c>
      <c r="D3706" t="s">
        <v>38</v>
      </c>
      <c r="E3706" t="s">
        <v>39</v>
      </c>
      <c r="F3706" t="s">
        <v>33</v>
      </c>
      <c r="G3706">
        <v>5</v>
      </c>
      <c r="H3706">
        <v>3</v>
      </c>
      <c r="I3706">
        <v>15</v>
      </c>
      <c r="J3706" t="s">
        <v>23</v>
      </c>
      <c r="K3706" t="s">
        <v>24</v>
      </c>
      <c r="L3706">
        <v>53</v>
      </c>
      <c r="M3706">
        <v>84.242000000000004</v>
      </c>
      <c r="N3706">
        <v>85.621869000000004</v>
      </c>
      <c r="O3706">
        <v>27.425000000000001</v>
      </c>
      <c r="P3706">
        <v>28.852</v>
      </c>
      <c r="Q3706">
        <v>27.574999999999999</v>
      </c>
      <c r="R3706" t="s">
        <v>1539</v>
      </c>
      <c r="S3706" t="s">
        <v>83</v>
      </c>
      <c r="T3706">
        <f>IF(TRIM(Table1[[#This Row],[PitStopLaps]])="",0,
LEN(Table1[[#This Row],[PitStopLaps]])-LEN(SUBSTITUTE(Table1[[#This Row],[PitStopLaps]],",",""))+1)</f>
        <v>2</v>
      </c>
      <c r="U3706">
        <f>Table1[[#This Row],[StartPosition]]-Table1[[#This Row],[FinishPosition]]</f>
        <v>2</v>
      </c>
    </row>
    <row r="3707" spans="1:21" x14ac:dyDescent="0.3">
      <c r="A3707">
        <v>2026</v>
      </c>
      <c r="B3707">
        <v>13</v>
      </c>
      <c r="C3707" t="s">
        <v>367</v>
      </c>
      <c r="D3707" t="s">
        <v>246</v>
      </c>
      <c r="E3707" t="s">
        <v>247</v>
      </c>
      <c r="F3707" t="s">
        <v>37</v>
      </c>
      <c r="G3707">
        <v>8</v>
      </c>
      <c r="H3707">
        <v>4</v>
      </c>
      <c r="I3707">
        <v>12</v>
      </c>
      <c r="J3707" t="s">
        <v>34</v>
      </c>
      <c r="K3707" t="s">
        <v>24</v>
      </c>
      <c r="L3707">
        <v>53</v>
      </c>
      <c r="M3707">
        <v>84.864000000000004</v>
      </c>
      <c r="N3707">
        <v>85.974564999999998</v>
      </c>
      <c r="O3707">
        <v>27.536000000000001</v>
      </c>
      <c r="P3707">
        <v>28.984000000000002</v>
      </c>
      <c r="Q3707">
        <v>27.925000000000001</v>
      </c>
      <c r="R3707">
        <v>3</v>
      </c>
      <c r="S3707" t="s">
        <v>83</v>
      </c>
      <c r="T3707">
        <f>IF(TRIM(Table1[[#This Row],[PitStopLaps]])="",0,
LEN(Table1[[#This Row],[PitStopLaps]])-LEN(SUBSTITUTE(Table1[[#This Row],[PitStopLaps]],",",""))+1)</f>
        <v>1</v>
      </c>
      <c r="U3707">
        <f>Table1[[#This Row],[StartPosition]]-Table1[[#This Row],[FinishPosition]]</f>
        <v>4</v>
      </c>
    </row>
    <row r="3708" spans="1:21" x14ac:dyDescent="0.3">
      <c r="A3708">
        <v>2026</v>
      </c>
      <c r="B3708">
        <v>13</v>
      </c>
      <c r="C3708" t="s">
        <v>367</v>
      </c>
      <c r="D3708" t="s">
        <v>1000</v>
      </c>
      <c r="E3708" t="s">
        <v>1001</v>
      </c>
      <c r="F3708" t="s">
        <v>37</v>
      </c>
      <c r="G3708">
        <v>6</v>
      </c>
      <c r="H3708">
        <v>5</v>
      </c>
      <c r="I3708">
        <v>10</v>
      </c>
      <c r="J3708" t="s">
        <v>34</v>
      </c>
      <c r="K3708" t="s">
        <v>24</v>
      </c>
      <c r="L3708">
        <v>53</v>
      </c>
      <c r="M3708">
        <v>85.125</v>
      </c>
      <c r="N3708">
        <v>86.042304000000001</v>
      </c>
      <c r="O3708">
        <v>27.751000000000001</v>
      </c>
      <c r="P3708">
        <v>29.132000000000001</v>
      </c>
      <c r="Q3708">
        <v>27.98</v>
      </c>
      <c r="R3708">
        <v>3</v>
      </c>
      <c r="S3708" t="s">
        <v>83</v>
      </c>
      <c r="T3708">
        <f>IF(TRIM(Table1[[#This Row],[PitStopLaps]])="",0,
LEN(Table1[[#This Row],[PitStopLaps]])-LEN(SUBSTITUTE(Table1[[#This Row],[PitStopLaps]],",",""))+1)</f>
        <v>1</v>
      </c>
      <c r="U3708">
        <f>Table1[[#This Row],[StartPosition]]-Table1[[#This Row],[FinishPosition]]</f>
        <v>1</v>
      </c>
    </row>
    <row r="3709" spans="1:21" x14ac:dyDescent="0.3">
      <c r="A3709">
        <v>2026</v>
      </c>
      <c r="B3709">
        <v>13</v>
      </c>
      <c r="C3709" t="s">
        <v>367</v>
      </c>
      <c r="D3709" t="s">
        <v>26</v>
      </c>
      <c r="E3709" t="s">
        <v>27</v>
      </c>
      <c r="F3709" t="s">
        <v>22</v>
      </c>
      <c r="G3709">
        <v>4</v>
      </c>
      <c r="H3709">
        <v>6</v>
      </c>
      <c r="I3709">
        <v>8</v>
      </c>
      <c r="J3709" t="s">
        <v>34</v>
      </c>
      <c r="K3709" t="s">
        <v>24</v>
      </c>
      <c r="L3709">
        <v>53</v>
      </c>
      <c r="M3709">
        <v>85.3</v>
      </c>
      <c r="N3709">
        <v>86.130673000000002</v>
      </c>
      <c r="O3709">
        <v>27.484999999999999</v>
      </c>
      <c r="P3709">
        <v>29.253</v>
      </c>
      <c r="Q3709">
        <v>27.927</v>
      </c>
      <c r="R3709">
        <v>3</v>
      </c>
      <c r="S3709" t="s">
        <v>83</v>
      </c>
      <c r="T3709">
        <f>IF(TRIM(Table1[[#This Row],[PitStopLaps]])="",0,
LEN(Table1[[#This Row],[PitStopLaps]])-LEN(SUBSTITUTE(Table1[[#This Row],[PitStopLaps]],",",""))+1)</f>
        <v>1</v>
      </c>
      <c r="U3709">
        <f>Table1[[#This Row],[StartPosition]]-Table1[[#This Row],[FinishPosition]]</f>
        <v>-2</v>
      </c>
    </row>
    <row r="3710" spans="1:21" x14ac:dyDescent="0.3">
      <c r="A3710">
        <v>2026</v>
      </c>
      <c r="B3710">
        <v>13</v>
      </c>
      <c r="C3710" t="s">
        <v>367</v>
      </c>
      <c r="D3710" t="s">
        <v>73</v>
      </c>
      <c r="E3710" t="s">
        <v>74</v>
      </c>
      <c r="F3710" t="s">
        <v>607</v>
      </c>
      <c r="G3710">
        <v>1</v>
      </c>
      <c r="H3710">
        <v>7</v>
      </c>
      <c r="I3710">
        <v>6</v>
      </c>
      <c r="J3710" t="s">
        <v>34</v>
      </c>
      <c r="K3710" t="s">
        <v>24</v>
      </c>
      <c r="L3710">
        <v>53</v>
      </c>
      <c r="M3710">
        <v>84.927000000000007</v>
      </c>
      <c r="N3710">
        <v>86.232826000000003</v>
      </c>
      <c r="O3710">
        <v>27.57</v>
      </c>
      <c r="P3710">
        <v>29.151</v>
      </c>
      <c r="Q3710">
        <v>27.89</v>
      </c>
      <c r="R3710">
        <v>3</v>
      </c>
      <c r="S3710" t="s">
        <v>83</v>
      </c>
      <c r="T3710">
        <f>IF(TRIM(Table1[[#This Row],[PitStopLaps]])="",0,
LEN(Table1[[#This Row],[PitStopLaps]])-LEN(SUBSTITUTE(Table1[[#This Row],[PitStopLaps]],",",""))+1)</f>
        <v>1</v>
      </c>
      <c r="U3710">
        <f>Table1[[#This Row],[StartPosition]]-Table1[[#This Row],[FinishPosition]]</f>
        <v>-6</v>
      </c>
    </row>
    <row r="3711" spans="1:21" x14ac:dyDescent="0.3">
      <c r="A3711">
        <v>2026</v>
      </c>
      <c r="B3711">
        <v>13</v>
      </c>
      <c r="C3711" t="s">
        <v>367</v>
      </c>
      <c r="D3711" t="s">
        <v>1444</v>
      </c>
      <c r="E3711" t="s">
        <v>1445</v>
      </c>
      <c r="F3711" t="s">
        <v>1330</v>
      </c>
      <c r="G3711">
        <v>9</v>
      </c>
      <c r="H3711">
        <v>8</v>
      </c>
      <c r="I3711">
        <v>4</v>
      </c>
      <c r="J3711" t="s">
        <v>34</v>
      </c>
      <c r="K3711" t="s">
        <v>24</v>
      </c>
      <c r="L3711">
        <v>53</v>
      </c>
      <c r="M3711">
        <v>86.028000000000006</v>
      </c>
      <c r="N3711">
        <v>86.545368999999994</v>
      </c>
      <c r="O3711">
        <v>28.32</v>
      </c>
      <c r="P3711">
        <v>29.347000000000001</v>
      </c>
      <c r="Q3711">
        <v>28.155000000000001</v>
      </c>
      <c r="R3711">
        <v>3</v>
      </c>
      <c r="S3711" t="s">
        <v>83</v>
      </c>
      <c r="T3711">
        <f>IF(TRIM(Table1[[#This Row],[PitStopLaps]])="",0,
LEN(Table1[[#This Row],[PitStopLaps]])-LEN(SUBSTITUTE(Table1[[#This Row],[PitStopLaps]],",",""))+1)</f>
        <v>1</v>
      </c>
      <c r="U3711">
        <f>Table1[[#This Row],[StartPosition]]-Table1[[#This Row],[FinishPosition]]</f>
        <v>1</v>
      </c>
    </row>
    <row r="3712" spans="1:21" x14ac:dyDescent="0.3">
      <c r="A3712">
        <v>2026</v>
      </c>
      <c r="B3712">
        <v>13</v>
      </c>
      <c r="C3712" t="s">
        <v>367</v>
      </c>
      <c r="D3712" t="s">
        <v>1283</v>
      </c>
      <c r="E3712" t="s">
        <v>1284</v>
      </c>
      <c r="F3712" t="s">
        <v>607</v>
      </c>
      <c r="G3712">
        <v>7</v>
      </c>
      <c r="H3712">
        <v>9</v>
      </c>
      <c r="I3712">
        <v>2</v>
      </c>
      <c r="J3712" t="s">
        <v>34</v>
      </c>
      <c r="K3712" t="s">
        <v>24</v>
      </c>
      <c r="L3712">
        <v>53</v>
      </c>
      <c r="M3712">
        <v>84.933000000000007</v>
      </c>
      <c r="N3712">
        <v>86.492934000000005</v>
      </c>
      <c r="O3712">
        <v>27.507000000000001</v>
      </c>
      <c r="P3712">
        <v>29.21</v>
      </c>
      <c r="Q3712">
        <v>27.972999999999999</v>
      </c>
      <c r="R3712">
        <v>3</v>
      </c>
      <c r="S3712" t="s">
        <v>83</v>
      </c>
      <c r="T3712">
        <f>IF(TRIM(Table1[[#This Row],[PitStopLaps]])="",0,
LEN(Table1[[#This Row],[PitStopLaps]])-LEN(SUBSTITUTE(Table1[[#This Row],[PitStopLaps]],",",""))+1)</f>
        <v>1</v>
      </c>
      <c r="U3712">
        <f>Table1[[#This Row],[StartPosition]]-Table1[[#This Row],[FinishPosition]]</f>
        <v>-2</v>
      </c>
    </row>
    <row r="3713" spans="1:21" x14ac:dyDescent="0.3">
      <c r="A3713">
        <v>2026</v>
      </c>
      <c r="B3713">
        <v>13</v>
      </c>
      <c r="C3713" t="s">
        <v>367</v>
      </c>
      <c r="D3713" t="s">
        <v>601</v>
      </c>
      <c r="E3713" t="s">
        <v>602</v>
      </c>
      <c r="F3713" t="s">
        <v>1330</v>
      </c>
      <c r="G3713">
        <v>15</v>
      </c>
      <c r="H3713">
        <v>10</v>
      </c>
      <c r="I3713">
        <v>1</v>
      </c>
      <c r="J3713" t="s">
        <v>34</v>
      </c>
      <c r="K3713" t="s">
        <v>24</v>
      </c>
      <c r="L3713">
        <v>53</v>
      </c>
      <c r="M3713">
        <v>86.32</v>
      </c>
      <c r="N3713">
        <v>87.869872000000001</v>
      </c>
      <c r="O3713">
        <v>28.187000000000001</v>
      </c>
      <c r="P3713">
        <v>29.603999999999999</v>
      </c>
      <c r="Q3713">
        <v>28.297999999999998</v>
      </c>
      <c r="R3713">
        <v>3</v>
      </c>
      <c r="S3713" t="s">
        <v>83</v>
      </c>
      <c r="T3713">
        <f>IF(TRIM(Table1[[#This Row],[PitStopLaps]])="",0,
LEN(Table1[[#This Row],[PitStopLaps]])-LEN(SUBSTITUTE(Table1[[#This Row],[PitStopLaps]],",",""))+1)</f>
        <v>1</v>
      </c>
      <c r="U3713">
        <f>Table1[[#This Row],[StartPosition]]-Table1[[#This Row],[FinishPosition]]</f>
        <v>5</v>
      </c>
    </row>
    <row r="3714" spans="1:21" x14ac:dyDescent="0.3">
      <c r="A3714">
        <v>2026</v>
      </c>
      <c r="B3714">
        <v>13</v>
      </c>
      <c r="C3714" t="s">
        <v>367</v>
      </c>
      <c r="D3714" t="s">
        <v>1334</v>
      </c>
      <c r="E3714" t="s">
        <v>1335</v>
      </c>
      <c r="F3714" t="s">
        <v>1446</v>
      </c>
      <c r="G3714">
        <v>10</v>
      </c>
      <c r="H3714">
        <v>11</v>
      </c>
      <c r="I3714">
        <v>0</v>
      </c>
      <c r="J3714" t="s">
        <v>34</v>
      </c>
      <c r="K3714" t="s">
        <v>24</v>
      </c>
      <c r="L3714">
        <v>53</v>
      </c>
      <c r="M3714">
        <v>86.188000000000002</v>
      </c>
      <c r="N3714">
        <v>88.209297000000007</v>
      </c>
      <c r="O3714">
        <v>28.056999999999999</v>
      </c>
      <c r="P3714">
        <v>29.405000000000001</v>
      </c>
      <c r="Q3714">
        <v>28.282</v>
      </c>
      <c r="R3714">
        <v>3</v>
      </c>
      <c r="S3714" t="s">
        <v>83</v>
      </c>
      <c r="T3714">
        <f>IF(TRIM(Table1[[#This Row],[PitStopLaps]])="",0,
LEN(Table1[[#This Row],[PitStopLaps]])-LEN(SUBSTITUTE(Table1[[#This Row],[PitStopLaps]],",",""))+1)</f>
        <v>1</v>
      </c>
      <c r="U3714">
        <f>Table1[[#This Row],[StartPosition]]-Table1[[#This Row],[FinishPosition]]</f>
        <v>-1</v>
      </c>
    </row>
    <row r="3715" spans="1:21" x14ac:dyDescent="0.3">
      <c r="A3715">
        <v>2026</v>
      </c>
      <c r="B3715">
        <v>13</v>
      </c>
      <c r="C3715" t="s">
        <v>367</v>
      </c>
      <c r="D3715" t="s">
        <v>40</v>
      </c>
      <c r="E3715" t="s">
        <v>41</v>
      </c>
      <c r="F3715" t="s">
        <v>1446</v>
      </c>
      <c r="G3715">
        <v>12</v>
      </c>
      <c r="H3715">
        <v>12</v>
      </c>
      <c r="I3715">
        <v>0</v>
      </c>
      <c r="J3715" t="s">
        <v>34</v>
      </c>
      <c r="K3715" t="s">
        <v>24</v>
      </c>
      <c r="L3715">
        <v>53</v>
      </c>
      <c r="M3715">
        <v>84.364000000000004</v>
      </c>
      <c r="N3715">
        <v>87.792404000000005</v>
      </c>
      <c r="O3715">
        <v>27.768999999999998</v>
      </c>
      <c r="P3715">
        <v>28.585000000000001</v>
      </c>
      <c r="Q3715">
        <v>27.754999999999999</v>
      </c>
      <c r="R3715" t="s">
        <v>1540</v>
      </c>
      <c r="S3715" t="s">
        <v>83</v>
      </c>
      <c r="T3715">
        <f>IF(TRIM(Table1[[#This Row],[PitStopLaps]])="",0,
LEN(Table1[[#This Row],[PitStopLaps]])-LEN(SUBSTITUTE(Table1[[#This Row],[PitStopLaps]],",",""))+1)</f>
        <v>2</v>
      </c>
      <c r="U3715">
        <f>Table1[[#This Row],[StartPosition]]-Table1[[#This Row],[FinishPosition]]</f>
        <v>0</v>
      </c>
    </row>
    <row r="3716" spans="1:21" x14ac:dyDescent="0.3">
      <c r="A3716">
        <v>2026</v>
      </c>
      <c r="B3716">
        <v>13</v>
      </c>
      <c r="C3716" t="s">
        <v>367</v>
      </c>
      <c r="D3716" t="s">
        <v>47</v>
      </c>
      <c r="E3716" t="s">
        <v>48</v>
      </c>
      <c r="F3716" t="s">
        <v>60</v>
      </c>
      <c r="G3716">
        <v>13</v>
      </c>
      <c r="H3716">
        <v>13</v>
      </c>
      <c r="I3716">
        <v>0</v>
      </c>
      <c r="J3716" t="s">
        <v>34</v>
      </c>
      <c r="K3716" t="s">
        <v>24</v>
      </c>
      <c r="L3716">
        <v>53</v>
      </c>
      <c r="M3716">
        <v>85.683000000000007</v>
      </c>
      <c r="N3716">
        <v>87.780893000000006</v>
      </c>
      <c r="O3716">
        <v>27.771999999999998</v>
      </c>
      <c r="P3716">
        <v>29.43</v>
      </c>
      <c r="Q3716">
        <v>28.334</v>
      </c>
      <c r="R3716" t="s">
        <v>1540</v>
      </c>
      <c r="S3716" t="s">
        <v>83</v>
      </c>
      <c r="T3716">
        <f>IF(TRIM(Table1[[#This Row],[PitStopLaps]])="",0,
LEN(Table1[[#This Row],[PitStopLaps]])-LEN(SUBSTITUTE(Table1[[#This Row],[PitStopLaps]],",",""))+1)</f>
        <v>2</v>
      </c>
      <c r="U3716">
        <f>Table1[[#This Row],[StartPosition]]-Table1[[#This Row],[FinishPosition]]</f>
        <v>0</v>
      </c>
    </row>
    <row r="3717" spans="1:21" x14ac:dyDescent="0.3">
      <c r="A3717">
        <v>2026</v>
      </c>
      <c r="B3717">
        <v>13</v>
      </c>
      <c r="C3717" t="s">
        <v>367</v>
      </c>
      <c r="D3717" t="s">
        <v>1092</v>
      </c>
      <c r="E3717" t="s">
        <v>1093</v>
      </c>
      <c r="F3717" t="s">
        <v>33</v>
      </c>
      <c r="G3717">
        <v>22</v>
      </c>
      <c r="H3717">
        <v>14</v>
      </c>
      <c r="I3717">
        <v>0</v>
      </c>
      <c r="J3717" t="s">
        <v>34</v>
      </c>
      <c r="K3717" t="s">
        <v>24</v>
      </c>
      <c r="L3717">
        <v>53</v>
      </c>
      <c r="M3717">
        <v>85.578000000000003</v>
      </c>
      <c r="N3717">
        <v>87.476977000000005</v>
      </c>
      <c r="O3717">
        <v>27.922999999999998</v>
      </c>
      <c r="P3717">
        <v>29.202999999999999</v>
      </c>
      <c r="Q3717">
        <v>28.117999999999999</v>
      </c>
      <c r="R3717" t="s">
        <v>1541</v>
      </c>
      <c r="S3717" t="s">
        <v>83</v>
      </c>
      <c r="T3717">
        <f>IF(TRIM(Table1[[#This Row],[PitStopLaps]])="",0,
LEN(Table1[[#This Row],[PitStopLaps]])-LEN(SUBSTITUTE(Table1[[#This Row],[PitStopLaps]],",",""))+1)</f>
        <v>2</v>
      </c>
      <c r="U3717">
        <f>Table1[[#This Row],[StartPosition]]-Table1[[#This Row],[FinishPosition]]</f>
        <v>8</v>
      </c>
    </row>
    <row r="3718" spans="1:21" x14ac:dyDescent="0.3">
      <c r="A3718">
        <v>2026</v>
      </c>
      <c r="B3718">
        <v>13</v>
      </c>
      <c r="C3718" t="s">
        <v>367</v>
      </c>
      <c r="D3718" t="s">
        <v>1180</v>
      </c>
      <c r="E3718" t="s">
        <v>1181</v>
      </c>
      <c r="F3718" t="s">
        <v>69</v>
      </c>
      <c r="G3718">
        <v>11</v>
      </c>
      <c r="H3718">
        <v>15</v>
      </c>
      <c r="I3718">
        <v>0</v>
      </c>
      <c r="J3718" t="s">
        <v>34</v>
      </c>
      <c r="K3718" t="s">
        <v>24</v>
      </c>
      <c r="L3718">
        <v>53</v>
      </c>
      <c r="M3718">
        <v>86.355999999999995</v>
      </c>
      <c r="N3718">
        <v>87.239260000000002</v>
      </c>
      <c r="O3718">
        <v>28.030999999999999</v>
      </c>
      <c r="P3718">
        <v>29.565000000000001</v>
      </c>
      <c r="Q3718">
        <v>28.341000000000001</v>
      </c>
      <c r="R3718">
        <v>3</v>
      </c>
      <c r="S3718" t="s">
        <v>83</v>
      </c>
      <c r="T3718">
        <f>IF(TRIM(Table1[[#This Row],[PitStopLaps]])="",0,
LEN(Table1[[#This Row],[PitStopLaps]])-LEN(SUBSTITUTE(Table1[[#This Row],[PitStopLaps]],",",""))+1)</f>
        <v>1</v>
      </c>
      <c r="U3718">
        <f>Table1[[#This Row],[StartPosition]]-Table1[[#This Row],[FinishPosition]]</f>
        <v>-4</v>
      </c>
    </row>
    <row r="3719" spans="1:21" x14ac:dyDescent="0.3">
      <c r="A3719">
        <v>2026</v>
      </c>
      <c r="B3719">
        <v>13</v>
      </c>
      <c r="C3719" t="s">
        <v>367</v>
      </c>
      <c r="D3719" t="s">
        <v>52</v>
      </c>
      <c r="E3719" t="s">
        <v>53</v>
      </c>
      <c r="F3719" t="s">
        <v>69</v>
      </c>
      <c r="G3719">
        <v>14</v>
      </c>
      <c r="H3719">
        <v>16</v>
      </c>
      <c r="I3719">
        <v>0</v>
      </c>
      <c r="J3719" t="s">
        <v>34</v>
      </c>
      <c r="K3719" t="s">
        <v>994</v>
      </c>
      <c r="L3719">
        <v>52</v>
      </c>
      <c r="M3719">
        <v>85.710999999999999</v>
      </c>
      <c r="N3719">
        <v>87.144510999999994</v>
      </c>
      <c r="O3719">
        <v>28.062999999999999</v>
      </c>
      <c r="P3719">
        <v>29.007999999999999</v>
      </c>
      <c r="Q3719">
        <v>28.085999999999999</v>
      </c>
      <c r="R3719" t="s">
        <v>1540</v>
      </c>
      <c r="S3719" t="s">
        <v>83</v>
      </c>
      <c r="T3719">
        <f>IF(TRIM(Table1[[#This Row],[PitStopLaps]])="",0,
LEN(Table1[[#This Row],[PitStopLaps]])-LEN(SUBSTITUTE(Table1[[#This Row],[PitStopLaps]],",",""))+1)</f>
        <v>2</v>
      </c>
      <c r="U3719">
        <f>Table1[[#This Row],[StartPosition]]-Table1[[#This Row],[FinishPosition]]</f>
        <v>-2</v>
      </c>
    </row>
    <row r="3720" spans="1:21" x14ac:dyDescent="0.3">
      <c r="A3720">
        <v>2026</v>
      </c>
      <c r="B3720">
        <v>13</v>
      </c>
      <c r="C3720" t="s">
        <v>367</v>
      </c>
      <c r="D3720" t="s">
        <v>248</v>
      </c>
      <c r="E3720" t="s">
        <v>249</v>
      </c>
      <c r="F3720" t="s">
        <v>60</v>
      </c>
      <c r="G3720">
        <v>20</v>
      </c>
      <c r="H3720">
        <v>17</v>
      </c>
      <c r="I3720">
        <v>0</v>
      </c>
      <c r="J3720" t="s">
        <v>34</v>
      </c>
      <c r="K3720" t="s">
        <v>994</v>
      </c>
      <c r="L3720">
        <v>52</v>
      </c>
      <c r="M3720">
        <v>85.340999999999994</v>
      </c>
      <c r="N3720">
        <v>88.289203999999998</v>
      </c>
      <c r="O3720">
        <v>27.574999999999999</v>
      </c>
      <c r="P3720">
        <v>29.302</v>
      </c>
      <c r="Q3720">
        <v>28.119</v>
      </c>
      <c r="R3720" t="s">
        <v>1542</v>
      </c>
      <c r="S3720" t="s">
        <v>83</v>
      </c>
      <c r="T3720">
        <f>IF(TRIM(Table1[[#This Row],[PitStopLaps]])="",0,
LEN(Table1[[#This Row],[PitStopLaps]])-LEN(SUBSTITUTE(Table1[[#This Row],[PitStopLaps]],",",""))+1)</f>
        <v>2</v>
      </c>
      <c r="U3720">
        <f>Table1[[#This Row],[StartPosition]]-Table1[[#This Row],[FinishPosition]]</f>
        <v>3</v>
      </c>
    </row>
    <row r="3721" spans="1:21" x14ac:dyDescent="0.3">
      <c r="A3721">
        <v>2026</v>
      </c>
      <c r="B3721">
        <v>13</v>
      </c>
      <c r="C3721" t="s">
        <v>367</v>
      </c>
      <c r="D3721" t="s">
        <v>49</v>
      </c>
      <c r="E3721" t="s">
        <v>50</v>
      </c>
      <c r="F3721" t="s">
        <v>1449</v>
      </c>
      <c r="G3721">
        <v>17</v>
      </c>
      <c r="H3721">
        <v>18</v>
      </c>
      <c r="I3721">
        <v>0</v>
      </c>
      <c r="J3721" t="s">
        <v>34</v>
      </c>
      <c r="K3721" t="s">
        <v>994</v>
      </c>
      <c r="L3721">
        <v>52</v>
      </c>
      <c r="M3721">
        <v>86.914000000000001</v>
      </c>
      <c r="N3721">
        <v>89.375152</v>
      </c>
      <c r="O3721">
        <v>28.411999999999999</v>
      </c>
      <c r="P3721">
        <v>29.66</v>
      </c>
      <c r="Q3721">
        <v>28.445</v>
      </c>
      <c r="R3721" t="s">
        <v>1540</v>
      </c>
      <c r="S3721" t="s">
        <v>83</v>
      </c>
      <c r="T3721">
        <f>IF(TRIM(Table1[[#This Row],[PitStopLaps]])="",0,
LEN(Table1[[#This Row],[PitStopLaps]])-LEN(SUBSTITUTE(Table1[[#This Row],[PitStopLaps]],",",""))+1)</f>
        <v>2</v>
      </c>
      <c r="U3721">
        <f>Table1[[#This Row],[StartPosition]]-Table1[[#This Row],[FinishPosition]]</f>
        <v>-1</v>
      </c>
    </row>
    <row r="3722" spans="1:21" x14ac:dyDescent="0.3">
      <c r="A3722">
        <v>2026</v>
      </c>
      <c r="B3722">
        <v>13</v>
      </c>
      <c r="C3722" t="s">
        <v>367</v>
      </c>
      <c r="D3722" t="s">
        <v>43</v>
      </c>
      <c r="E3722" t="s">
        <v>44</v>
      </c>
      <c r="F3722" t="s">
        <v>1449</v>
      </c>
      <c r="G3722">
        <v>16</v>
      </c>
      <c r="H3722">
        <v>19</v>
      </c>
      <c r="I3722">
        <v>0</v>
      </c>
      <c r="J3722" t="s">
        <v>34</v>
      </c>
      <c r="K3722" t="s">
        <v>994</v>
      </c>
      <c r="L3722">
        <v>51</v>
      </c>
      <c r="M3722">
        <v>87.325000000000003</v>
      </c>
      <c r="N3722">
        <v>89.927288000000004</v>
      </c>
      <c r="O3722">
        <v>28.556000000000001</v>
      </c>
      <c r="P3722">
        <v>29.707000000000001</v>
      </c>
      <c r="Q3722">
        <v>28.466000000000001</v>
      </c>
      <c r="R3722" t="s">
        <v>1540</v>
      </c>
      <c r="S3722" t="s">
        <v>83</v>
      </c>
      <c r="T3722">
        <f>IF(TRIM(Table1[[#This Row],[PitStopLaps]])="",0,
LEN(Table1[[#This Row],[PitStopLaps]])-LEN(SUBSTITUTE(Table1[[#This Row],[PitStopLaps]],",",""))+1)</f>
        <v>2</v>
      </c>
      <c r="U3722">
        <f>Table1[[#This Row],[StartPosition]]-Table1[[#This Row],[FinishPosition]]</f>
        <v>-3</v>
      </c>
    </row>
    <row r="3723" spans="1:21" x14ac:dyDescent="0.3">
      <c r="A3723">
        <v>2026</v>
      </c>
      <c r="B3723">
        <v>13</v>
      </c>
      <c r="C3723" t="s">
        <v>367</v>
      </c>
      <c r="D3723" t="s">
        <v>58</v>
      </c>
      <c r="E3723" t="s">
        <v>59</v>
      </c>
      <c r="F3723" t="s">
        <v>603</v>
      </c>
      <c r="G3723">
        <v>18</v>
      </c>
      <c r="H3723">
        <v>20</v>
      </c>
      <c r="I3723">
        <v>0</v>
      </c>
      <c r="J3723" t="s">
        <v>34</v>
      </c>
      <c r="K3723" t="s">
        <v>179</v>
      </c>
      <c r="L3723">
        <v>27</v>
      </c>
      <c r="M3723">
        <v>88.415000000000006</v>
      </c>
      <c r="N3723">
        <v>91.3215</v>
      </c>
      <c r="O3723">
        <v>28.686</v>
      </c>
      <c r="P3723">
        <v>30.175000000000001</v>
      </c>
      <c r="Q3723">
        <v>28.978000000000002</v>
      </c>
      <c r="R3723">
        <v>3</v>
      </c>
      <c r="S3723" t="s">
        <v>83</v>
      </c>
      <c r="T3723">
        <f>IF(TRIM(Table1[[#This Row],[PitStopLaps]])="",0,
LEN(Table1[[#This Row],[PitStopLaps]])-LEN(SUBSTITUTE(Table1[[#This Row],[PitStopLaps]],",",""))+1)</f>
        <v>1</v>
      </c>
      <c r="U3723">
        <f>Table1[[#This Row],[StartPosition]]-Table1[[#This Row],[FinishPosition]]</f>
        <v>-2</v>
      </c>
    </row>
    <row r="3724" spans="1:21" x14ac:dyDescent="0.3">
      <c r="A3724">
        <v>2026</v>
      </c>
      <c r="B3724">
        <v>13</v>
      </c>
      <c r="C3724" t="s">
        <v>367</v>
      </c>
      <c r="D3724" t="s">
        <v>35</v>
      </c>
      <c r="E3724" t="s">
        <v>36</v>
      </c>
      <c r="F3724" t="s">
        <v>603</v>
      </c>
      <c r="G3724">
        <v>21</v>
      </c>
      <c r="H3724">
        <v>21</v>
      </c>
      <c r="I3724">
        <v>0</v>
      </c>
      <c r="J3724" t="s">
        <v>34</v>
      </c>
      <c r="K3724" t="s">
        <v>179</v>
      </c>
      <c r="L3724">
        <v>23</v>
      </c>
      <c r="M3724">
        <v>87.960999999999999</v>
      </c>
      <c r="N3724">
        <v>90.795665999999997</v>
      </c>
      <c r="O3724">
        <v>28.67</v>
      </c>
      <c r="P3724">
        <v>30.114000000000001</v>
      </c>
      <c r="Q3724">
        <v>28.576000000000001</v>
      </c>
      <c r="R3724" t="s">
        <v>1543</v>
      </c>
      <c r="S3724" t="s">
        <v>83</v>
      </c>
      <c r="T3724">
        <f>IF(TRIM(Table1[[#This Row],[PitStopLaps]])="",0,
LEN(Table1[[#This Row],[PitStopLaps]])-LEN(SUBSTITUTE(Table1[[#This Row],[PitStopLaps]],",",""))+1)</f>
        <v>2</v>
      </c>
      <c r="U3724">
        <f>Table1[[#This Row],[StartPosition]]-Table1[[#This Row],[FinishPosition]]</f>
        <v>0</v>
      </c>
    </row>
    <row r="3725" spans="1:21" x14ac:dyDescent="0.3">
      <c r="A3725">
        <v>2026</v>
      </c>
      <c r="B3725">
        <v>13</v>
      </c>
      <c r="C3725" t="s">
        <v>367</v>
      </c>
      <c r="D3725" t="s">
        <v>54</v>
      </c>
      <c r="E3725" t="s">
        <v>55</v>
      </c>
      <c r="F3725" t="s">
        <v>22</v>
      </c>
      <c r="G3725">
        <v>3</v>
      </c>
      <c r="H3725">
        <v>22</v>
      </c>
      <c r="I3725">
        <v>0</v>
      </c>
      <c r="J3725" t="s">
        <v>34</v>
      </c>
      <c r="K3725" t="s">
        <v>179</v>
      </c>
      <c r="L3725">
        <v>2</v>
      </c>
      <c r="R3725">
        <v>2</v>
      </c>
      <c r="S3725" t="s">
        <v>83</v>
      </c>
      <c r="T3725">
        <f>IF(TRIM(Table1[[#This Row],[PitStopLaps]])="",0,
LEN(Table1[[#This Row],[PitStopLaps]])-LEN(SUBSTITUTE(Table1[[#This Row],[PitStopLaps]],",",""))+1)</f>
        <v>1</v>
      </c>
      <c r="U3725">
        <f>Table1[[#This Row],[StartPosition]]-Table1[[#This Row],[FinishPosition]]</f>
        <v>-19</v>
      </c>
    </row>
    <row r="3726" spans="1:21" x14ac:dyDescent="0.3">
      <c r="A3726">
        <v>2026</v>
      </c>
      <c r="B3726">
        <v>14</v>
      </c>
      <c r="C3726" t="s">
        <v>125</v>
      </c>
      <c r="D3726" t="s">
        <v>1339</v>
      </c>
      <c r="E3726" t="s">
        <v>1325</v>
      </c>
      <c r="F3726" t="s">
        <v>28</v>
      </c>
      <c r="G3726">
        <v>2</v>
      </c>
      <c r="H3726">
        <v>1</v>
      </c>
      <c r="I3726">
        <v>25</v>
      </c>
      <c r="J3726" t="s">
        <v>23</v>
      </c>
      <c r="K3726" t="s">
        <v>24</v>
      </c>
      <c r="L3726">
        <v>57</v>
      </c>
      <c r="M3726">
        <v>96.03</v>
      </c>
      <c r="N3726">
        <v>98.265111000000005</v>
      </c>
      <c r="O3726">
        <v>29.137</v>
      </c>
      <c r="P3726">
        <v>34.661000000000001</v>
      </c>
      <c r="Q3726">
        <v>32.158000000000001</v>
      </c>
      <c r="R3726">
        <v>14</v>
      </c>
      <c r="S3726" t="s">
        <v>83</v>
      </c>
      <c r="T3726">
        <f>IF(TRIM(Table1[[#This Row],[PitStopLaps]])="",0,
LEN(Table1[[#This Row],[PitStopLaps]])-LEN(SUBSTITUTE(Table1[[#This Row],[PitStopLaps]],",",""))+1)</f>
        <v>1</v>
      </c>
      <c r="U3726">
        <f>Table1[[#This Row],[StartPosition]]-Table1[[#This Row],[FinishPosition]]</f>
        <v>1</v>
      </c>
    </row>
    <row r="3727" spans="1:21" x14ac:dyDescent="0.3">
      <c r="A3727">
        <v>2026</v>
      </c>
      <c r="B3727">
        <v>14</v>
      </c>
      <c r="C3727" t="s">
        <v>125</v>
      </c>
      <c r="D3727" t="s">
        <v>38</v>
      </c>
      <c r="E3727" t="s">
        <v>39</v>
      </c>
      <c r="F3727" t="s">
        <v>33</v>
      </c>
      <c r="G3727">
        <v>3</v>
      </c>
      <c r="H3727">
        <v>2</v>
      </c>
      <c r="I3727">
        <v>18</v>
      </c>
      <c r="J3727" t="s">
        <v>23</v>
      </c>
      <c r="K3727" t="s">
        <v>24</v>
      </c>
      <c r="L3727">
        <v>57</v>
      </c>
      <c r="M3727">
        <v>96.76</v>
      </c>
      <c r="N3727">
        <v>98.386961999999997</v>
      </c>
      <c r="O3727">
        <v>29.254000000000001</v>
      </c>
      <c r="P3727">
        <v>34.494999999999997</v>
      </c>
      <c r="Q3727">
        <v>32.473999999999997</v>
      </c>
      <c r="R3727">
        <v>14</v>
      </c>
      <c r="S3727" t="s">
        <v>83</v>
      </c>
      <c r="T3727">
        <f>IF(TRIM(Table1[[#This Row],[PitStopLaps]])="",0,
LEN(Table1[[#This Row],[PitStopLaps]])-LEN(SUBSTITUTE(Table1[[#This Row],[PitStopLaps]],",",""))+1)</f>
        <v>1</v>
      </c>
      <c r="U3727">
        <f>Table1[[#This Row],[StartPosition]]-Table1[[#This Row],[FinishPosition]]</f>
        <v>1</v>
      </c>
    </row>
    <row r="3728" spans="1:21" x14ac:dyDescent="0.3">
      <c r="A3728">
        <v>2026</v>
      </c>
      <c r="B3728">
        <v>14</v>
      </c>
      <c r="C3728" t="s">
        <v>125</v>
      </c>
      <c r="D3728" t="s">
        <v>246</v>
      </c>
      <c r="E3728" t="s">
        <v>247</v>
      </c>
      <c r="F3728" t="s">
        <v>37</v>
      </c>
      <c r="G3728">
        <v>1</v>
      </c>
      <c r="H3728">
        <v>3</v>
      </c>
      <c r="I3728">
        <v>15</v>
      </c>
      <c r="J3728" t="s">
        <v>23</v>
      </c>
      <c r="K3728" t="s">
        <v>24</v>
      </c>
      <c r="L3728">
        <v>57</v>
      </c>
      <c r="M3728">
        <v>96.68</v>
      </c>
      <c r="N3728">
        <v>98.001244999999997</v>
      </c>
      <c r="O3728">
        <v>29.268000000000001</v>
      </c>
      <c r="P3728">
        <v>34.658000000000001</v>
      </c>
      <c r="Q3728">
        <v>32.418999999999997</v>
      </c>
      <c r="R3728">
        <v>15</v>
      </c>
      <c r="S3728" t="s">
        <v>83</v>
      </c>
      <c r="T3728">
        <f>IF(TRIM(Table1[[#This Row],[PitStopLaps]])="",0,
LEN(Table1[[#This Row],[PitStopLaps]])-LEN(SUBSTITUTE(Table1[[#This Row],[PitStopLaps]],",",""))+1)</f>
        <v>1</v>
      </c>
      <c r="U3728">
        <f>Table1[[#This Row],[StartPosition]]-Table1[[#This Row],[FinishPosition]]</f>
        <v>-2</v>
      </c>
    </row>
    <row r="3729" spans="1:21" x14ac:dyDescent="0.3">
      <c r="A3729">
        <v>2026</v>
      </c>
      <c r="B3729">
        <v>14</v>
      </c>
      <c r="C3729" t="s">
        <v>125</v>
      </c>
      <c r="D3729" t="s">
        <v>54</v>
      </c>
      <c r="E3729" t="s">
        <v>55</v>
      </c>
      <c r="F3729" t="s">
        <v>22</v>
      </c>
      <c r="G3729">
        <v>5</v>
      </c>
      <c r="H3729">
        <v>4</v>
      </c>
      <c r="I3729">
        <v>12</v>
      </c>
      <c r="J3729" t="s">
        <v>34</v>
      </c>
      <c r="K3729" t="s">
        <v>24</v>
      </c>
      <c r="L3729">
        <v>57</v>
      </c>
      <c r="M3729">
        <v>96.063000000000002</v>
      </c>
      <c r="N3729">
        <v>98.511133999999998</v>
      </c>
      <c r="O3729">
        <v>29.465</v>
      </c>
      <c r="P3729">
        <v>34.427999999999997</v>
      </c>
      <c r="Q3729">
        <v>32.17</v>
      </c>
      <c r="R3729">
        <v>48</v>
      </c>
      <c r="S3729" t="s">
        <v>83</v>
      </c>
      <c r="T3729">
        <f>IF(TRIM(Table1[[#This Row],[PitStopLaps]])="",0,
LEN(Table1[[#This Row],[PitStopLaps]])-LEN(SUBSTITUTE(Table1[[#This Row],[PitStopLaps]],",",""))+1)</f>
        <v>1</v>
      </c>
      <c r="U3729">
        <f>Table1[[#This Row],[StartPosition]]-Table1[[#This Row],[FinishPosition]]</f>
        <v>1</v>
      </c>
    </row>
    <row r="3730" spans="1:21" x14ac:dyDescent="0.3">
      <c r="A3730">
        <v>2026</v>
      </c>
      <c r="B3730">
        <v>14</v>
      </c>
      <c r="C3730" t="s">
        <v>125</v>
      </c>
      <c r="D3730" t="s">
        <v>252</v>
      </c>
      <c r="E3730" t="s">
        <v>253</v>
      </c>
      <c r="F3730" t="s">
        <v>28</v>
      </c>
      <c r="G3730">
        <v>6</v>
      </c>
      <c r="H3730">
        <v>5</v>
      </c>
      <c r="I3730">
        <v>10</v>
      </c>
      <c r="J3730" t="s">
        <v>34</v>
      </c>
      <c r="K3730" t="s">
        <v>24</v>
      </c>
      <c r="L3730">
        <v>57</v>
      </c>
      <c r="M3730">
        <v>95.587000000000003</v>
      </c>
      <c r="N3730">
        <v>98.332250000000002</v>
      </c>
      <c r="O3730">
        <v>29.099</v>
      </c>
      <c r="P3730">
        <v>34.497</v>
      </c>
      <c r="Q3730">
        <v>31.873000000000001</v>
      </c>
      <c r="R3730" t="s">
        <v>923</v>
      </c>
      <c r="S3730" t="s">
        <v>83</v>
      </c>
      <c r="T3730">
        <f>IF(TRIM(Table1[[#This Row],[PitStopLaps]])="",0,
LEN(Table1[[#This Row],[PitStopLaps]])-LEN(SUBSTITUTE(Table1[[#This Row],[PitStopLaps]],",",""))+1)</f>
        <v>2</v>
      </c>
      <c r="U3730">
        <f>Table1[[#This Row],[StartPosition]]-Table1[[#This Row],[FinishPosition]]</f>
        <v>1</v>
      </c>
    </row>
    <row r="3731" spans="1:21" x14ac:dyDescent="0.3">
      <c r="A3731">
        <v>2026</v>
      </c>
      <c r="B3731">
        <v>14</v>
      </c>
      <c r="C3731" t="s">
        <v>125</v>
      </c>
      <c r="D3731" t="s">
        <v>1092</v>
      </c>
      <c r="E3731" t="s">
        <v>1093</v>
      </c>
      <c r="F3731" t="s">
        <v>33</v>
      </c>
      <c r="G3731">
        <v>8</v>
      </c>
      <c r="H3731">
        <v>6</v>
      </c>
      <c r="I3731">
        <v>8</v>
      </c>
      <c r="J3731" t="s">
        <v>34</v>
      </c>
      <c r="K3731" t="s">
        <v>24</v>
      </c>
      <c r="L3731">
        <v>57</v>
      </c>
      <c r="M3731">
        <v>96.846000000000004</v>
      </c>
      <c r="N3731">
        <v>99.534384000000003</v>
      </c>
      <c r="O3731">
        <v>29.666</v>
      </c>
      <c r="P3731">
        <v>34.674999999999997</v>
      </c>
      <c r="Q3731">
        <v>32.296999999999997</v>
      </c>
      <c r="R3731">
        <v>44</v>
      </c>
      <c r="S3731" t="s">
        <v>83</v>
      </c>
      <c r="T3731">
        <f>IF(TRIM(Table1[[#This Row],[PitStopLaps]])="",0,
LEN(Table1[[#This Row],[PitStopLaps]])-LEN(SUBSTITUTE(Table1[[#This Row],[PitStopLaps]],",",""))+1)</f>
        <v>1</v>
      </c>
      <c r="U3731">
        <f>Table1[[#This Row],[StartPosition]]-Table1[[#This Row],[FinishPosition]]</f>
        <v>2</v>
      </c>
    </row>
    <row r="3732" spans="1:21" x14ac:dyDescent="0.3">
      <c r="A3732">
        <v>2026</v>
      </c>
      <c r="B3732">
        <v>14</v>
      </c>
      <c r="C3732" t="s">
        <v>125</v>
      </c>
      <c r="D3732" t="s">
        <v>1283</v>
      </c>
      <c r="E3732" t="s">
        <v>1284</v>
      </c>
      <c r="F3732" t="s">
        <v>607</v>
      </c>
      <c r="G3732">
        <v>9</v>
      </c>
      <c r="H3732">
        <v>7</v>
      </c>
      <c r="I3732">
        <v>6</v>
      </c>
      <c r="J3732" t="s">
        <v>34</v>
      </c>
      <c r="K3732" t="s">
        <v>24</v>
      </c>
      <c r="L3732">
        <v>57</v>
      </c>
      <c r="M3732">
        <v>97.320999999999998</v>
      </c>
      <c r="N3732">
        <v>99.879759000000007</v>
      </c>
      <c r="O3732">
        <v>29.565999999999999</v>
      </c>
      <c r="P3732">
        <v>34.825000000000003</v>
      </c>
      <c r="Q3732">
        <v>32.659999999999997</v>
      </c>
      <c r="R3732">
        <v>14</v>
      </c>
      <c r="S3732" t="s">
        <v>83</v>
      </c>
      <c r="T3732">
        <f>IF(TRIM(Table1[[#This Row],[PitStopLaps]])="",0,
LEN(Table1[[#This Row],[PitStopLaps]])-LEN(SUBSTITUTE(Table1[[#This Row],[PitStopLaps]],",",""))+1)</f>
        <v>1</v>
      </c>
      <c r="U3732">
        <f>Table1[[#This Row],[StartPosition]]-Table1[[#This Row],[FinishPosition]]</f>
        <v>2</v>
      </c>
    </row>
    <row r="3733" spans="1:21" x14ac:dyDescent="0.3">
      <c r="A3733">
        <v>2026</v>
      </c>
      <c r="B3733">
        <v>14</v>
      </c>
      <c r="C3733" t="s">
        <v>125</v>
      </c>
      <c r="D3733" t="s">
        <v>1000</v>
      </c>
      <c r="E3733" t="s">
        <v>1001</v>
      </c>
      <c r="F3733" t="s">
        <v>37</v>
      </c>
      <c r="G3733">
        <v>7</v>
      </c>
      <c r="H3733">
        <v>8</v>
      </c>
      <c r="I3733">
        <v>4</v>
      </c>
      <c r="J3733" t="s">
        <v>34</v>
      </c>
      <c r="K3733" t="s">
        <v>24</v>
      </c>
      <c r="L3733">
        <v>57</v>
      </c>
      <c r="M3733">
        <v>97.225999999999999</v>
      </c>
      <c r="N3733">
        <v>99.638480000000001</v>
      </c>
      <c r="O3733">
        <v>29.757000000000001</v>
      </c>
      <c r="P3733">
        <v>34.723999999999997</v>
      </c>
      <c r="Q3733">
        <v>32.613</v>
      </c>
      <c r="R3733">
        <v>42</v>
      </c>
      <c r="S3733" t="s">
        <v>83</v>
      </c>
      <c r="T3733">
        <f>IF(TRIM(Table1[[#This Row],[PitStopLaps]])="",0,
LEN(Table1[[#This Row],[PitStopLaps]])-LEN(SUBSTITUTE(Table1[[#This Row],[PitStopLaps]],",",""))+1)</f>
        <v>1</v>
      </c>
      <c r="U3733">
        <f>Table1[[#This Row],[StartPosition]]-Table1[[#This Row],[FinishPosition]]</f>
        <v>-1</v>
      </c>
    </row>
    <row r="3734" spans="1:21" x14ac:dyDescent="0.3">
      <c r="A3734">
        <v>2026</v>
      </c>
      <c r="B3734">
        <v>14</v>
      </c>
      <c r="C3734" t="s">
        <v>125</v>
      </c>
      <c r="D3734" t="s">
        <v>1444</v>
      </c>
      <c r="E3734" t="s">
        <v>1445</v>
      </c>
      <c r="F3734" t="s">
        <v>1330</v>
      </c>
      <c r="G3734">
        <v>10</v>
      </c>
      <c r="H3734">
        <v>9</v>
      </c>
      <c r="I3734">
        <v>2</v>
      </c>
      <c r="J3734" t="s">
        <v>34</v>
      </c>
      <c r="K3734" t="s">
        <v>994</v>
      </c>
      <c r="L3734">
        <v>56</v>
      </c>
      <c r="M3734">
        <v>98.210999999999999</v>
      </c>
      <c r="N3734">
        <v>100.166792</v>
      </c>
      <c r="O3734">
        <v>29.84</v>
      </c>
      <c r="P3734">
        <v>35.133000000000003</v>
      </c>
      <c r="Q3734">
        <v>32.920999999999999</v>
      </c>
      <c r="R3734">
        <v>14</v>
      </c>
      <c r="S3734" t="s">
        <v>83</v>
      </c>
      <c r="T3734">
        <f>IF(TRIM(Table1[[#This Row],[PitStopLaps]])="",0,
LEN(Table1[[#This Row],[PitStopLaps]])-LEN(SUBSTITUTE(Table1[[#This Row],[PitStopLaps]],",",""))+1)</f>
        <v>1</v>
      </c>
      <c r="U3734">
        <f>Table1[[#This Row],[StartPosition]]-Table1[[#This Row],[FinishPosition]]</f>
        <v>1</v>
      </c>
    </row>
    <row r="3735" spans="1:21" x14ac:dyDescent="0.3">
      <c r="A3735">
        <v>2026</v>
      </c>
      <c r="B3735">
        <v>14</v>
      </c>
      <c r="C3735" t="s">
        <v>125</v>
      </c>
      <c r="D3735" t="s">
        <v>40</v>
      </c>
      <c r="E3735" t="s">
        <v>41</v>
      </c>
      <c r="F3735" t="s">
        <v>1446</v>
      </c>
      <c r="G3735">
        <v>11</v>
      </c>
      <c r="H3735">
        <v>10</v>
      </c>
      <c r="I3735">
        <v>1</v>
      </c>
      <c r="J3735" t="s">
        <v>34</v>
      </c>
      <c r="K3735" t="s">
        <v>994</v>
      </c>
      <c r="L3735">
        <v>56</v>
      </c>
      <c r="M3735">
        <v>98.114000000000004</v>
      </c>
      <c r="N3735">
        <v>100.177415</v>
      </c>
      <c r="O3735">
        <v>29.687999999999999</v>
      </c>
      <c r="P3735">
        <v>35.402000000000001</v>
      </c>
      <c r="Q3735">
        <v>32.801000000000002</v>
      </c>
      <c r="R3735">
        <v>14</v>
      </c>
      <c r="S3735" t="s">
        <v>83</v>
      </c>
      <c r="T3735">
        <f>IF(TRIM(Table1[[#This Row],[PitStopLaps]])="",0,
LEN(Table1[[#This Row],[PitStopLaps]])-LEN(SUBSTITUTE(Table1[[#This Row],[PitStopLaps]],",",""))+1)</f>
        <v>1</v>
      </c>
      <c r="U3735">
        <f>Table1[[#This Row],[StartPosition]]-Table1[[#This Row],[FinishPosition]]</f>
        <v>1</v>
      </c>
    </row>
    <row r="3736" spans="1:21" x14ac:dyDescent="0.3">
      <c r="A3736">
        <v>2026</v>
      </c>
      <c r="B3736">
        <v>14</v>
      </c>
      <c r="C3736" t="s">
        <v>125</v>
      </c>
      <c r="D3736" t="s">
        <v>52</v>
      </c>
      <c r="E3736" t="s">
        <v>53</v>
      </c>
      <c r="F3736" t="s">
        <v>69</v>
      </c>
      <c r="G3736">
        <v>13</v>
      </c>
      <c r="H3736">
        <v>11</v>
      </c>
      <c r="I3736">
        <v>0</v>
      </c>
      <c r="J3736" t="s">
        <v>34</v>
      </c>
      <c r="K3736" t="s">
        <v>994</v>
      </c>
      <c r="L3736">
        <v>56</v>
      </c>
      <c r="M3736">
        <v>98.119</v>
      </c>
      <c r="N3736">
        <v>100.219792</v>
      </c>
      <c r="O3736">
        <v>29.780999999999999</v>
      </c>
      <c r="P3736">
        <v>35.213000000000001</v>
      </c>
      <c r="Q3736">
        <v>32.902999999999999</v>
      </c>
      <c r="R3736">
        <v>14</v>
      </c>
      <c r="S3736" t="s">
        <v>83</v>
      </c>
      <c r="T3736">
        <f>IF(TRIM(Table1[[#This Row],[PitStopLaps]])="",0,
LEN(Table1[[#This Row],[PitStopLaps]])-LEN(SUBSTITUTE(Table1[[#This Row],[PitStopLaps]],",",""))+1)</f>
        <v>1</v>
      </c>
      <c r="U3736">
        <f>Table1[[#This Row],[StartPosition]]-Table1[[#This Row],[FinishPosition]]</f>
        <v>2</v>
      </c>
    </row>
    <row r="3737" spans="1:21" x14ac:dyDescent="0.3">
      <c r="A3737">
        <v>2026</v>
      </c>
      <c r="B3737">
        <v>14</v>
      </c>
      <c r="C3737" t="s">
        <v>125</v>
      </c>
      <c r="D3737" t="s">
        <v>73</v>
      </c>
      <c r="E3737" t="s">
        <v>74</v>
      </c>
      <c r="F3737" t="s">
        <v>607</v>
      </c>
      <c r="G3737">
        <v>14</v>
      </c>
      <c r="H3737">
        <v>12</v>
      </c>
      <c r="I3737">
        <v>0</v>
      </c>
      <c r="J3737" t="s">
        <v>34</v>
      </c>
      <c r="K3737" t="s">
        <v>994</v>
      </c>
      <c r="L3737">
        <v>56</v>
      </c>
      <c r="M3737">
        <v>98.141000000000005</v>
      </c>
      <c r="N3737">
        <v>100.043705</v>
      </c>
      <c r="O3737">
        <v>29.795999999999999</v>
      </c>
      <c r="P3737">
        <v>35.091000000000001</v>
      </c>
      <c r="Q3737">
        <v>33.088999999999999</v>
      </c>
      <c r="R3737">
        <v>55</v>
      </c>
      <c r="S3737" t="s">
        <v>83</v>
      </c>
      <c r="T3737">
        <f>IF(TRIM(Table1[[#This Row],[PitStopLaps]])="",0,
LEN(Table1[[#This Row],[PitStopLaps]])-LEN(SUBSTITUTE(Table1[[#This Row],[PitStopLaps]],",",""))+1)</f>
        <v>1</v>
      </c>
      <c r="U3737">
        <f>Table1[[#This Row],[StartPosition]]-Table1[[#This Row],[FinishPosition]]</f>
        <v>2</v>
      </c>
    </row>
    <row r="3738" spans="1:21" x14ac:dyDescent="0.3">
      <c r="A3738">
        <v>2026</v>
      </c>
      <c r="B3738">
        <v>14</v>
      </c>
      <c r="C3738" t="s">
        <v>125</v>
      </c>
      <c r="D3738" t="s">
        <v>1334</v>
      </c>
      <c r="E3738" t="s">
        <v>1335</v>
      </c>
      <c r="F3738" t="s">
        <v>1446</v>
      </c>
      <c r="G3738">
        <v>12</v>
      </c>
      <c r="H3738">
        <v>13</v>
      </c>
      <c r="I3738">
        <v>0</v>
      </c>
      <c r="J3738" t="s">
        <v>34</v>
      </c>
      <c r="K3738" t="s">
        <v>994</v>
      </c>
      <c r="L3738">
        <v>56</v>
      </c>
      <c r="M3738">
        <v>97.837000000000003</v>
      </c>
      <c r="N3738">
        <v>100.182098</v>
      </c>
      <c r="O3738">
        <v>29.776</v>
      </c>
      <c r="P3738">
        <v>35.402000000000001</v>
      </c>
      <c r="Q3738">
        <v>32.567999999999998</v>
      </c>
      <c r="R3738">
        <v>47</v>
      </c>
      <c r="S3738" t="s">
        <v>83</v>
      </c>
      <c r="T3738">
        <f>IF(TRIM(Table1[[#This Row],[PitStopLaps]])="",0,
LEN(Table1[[#This Row],[PitStopLaps]])-LEN(SUBSTITUTE(Table1[[#This Row],[PitStopLaps]],",",""))+1)</f>
        <v>1</v>
      </c>
      <c r="U3738">
        <f>Table1[[#This Row],[StartPosition]]-Table1[[#This Row],[FinishPosition]]</f>
        <v>-1</v>
      </c>
    </row>
    <row r="3739" spans="1:21" x14ac:dyDescent="0.3">
      <c r="A3739">
        <v>2026</v>
      </c>
      <c r="B3739">
        <v>14</v>
      </c>
      <c r="C3739" t="s">
        <v>125</v>
      </c>
      <c r="D3739" t="s">
        <v>601</v>
      </c>
      <c r="E3739" t="s">
        <v>602</v>
      </c>
      <c r="F3739" t="s">
        <v>1330</v>
      </c>
      <c r="G3739">
        <v>15</v>
      </c>
      <c r="H3739">
        <v>14</v>
      </c>
      <c r="I3739">
        <v>0</v>
      </c>
      <c r="J3739" t="s">
        <v>34</v>
      </c>
      <c r="K3739" t="s">
        <v>994</v>
      </c>
      <c r="L3739">
        <v>56</v>
      </c>
      <c r="M3739">
        <v>98.396000000000001</v>
      </c>
      <c r="N3739">
        <v>100.776607</v>
      </c>
      <c r="O3739">
        <v>29.94</v>
      </c>
      <c r="P3739">
        <v>35.47</v>
      </c>
      <c r="Q3739">
        <v>32.939</v>
      </c>
      <c r="R3739">
        <v>36</v>
      </c>
      <c r="S3739" t="s">
        <v>83</v>
      </c>
      <c r="T3739">
        <f>IF(TRIM(Table1[[#This Row],[PitStopLaps]])="",0,
LEN(Table1[[#This Row],[PitStopLaps]])-LEN(SUBSTITUTE(Table1[[#This Row],[PitStopLaps]],",",""))+1)</f>
        <v>1</v>
      </c>
      <c r="U3739">
        <f>Table1[[#This Row],[StartPosition]]-Table1[[#This Row],[FinishPosition]]</f>
        <v>1</v>
      </c>
    </row>
    <row r="3740" spans="1:21" x14ac:dyDescent="0.3">
      <c r="A3740">
        <v>2026</v>
      </c>
      <c r="B3740">
        <v>14</v>
      </c>
      <c r="C3740" t="s">
        <v>125</v>
      </c>
      <c r="D3740" t="s">
        <v>248</v>
      </c>
      <c r="E3740" t="s">
        <v>249</v>
      </c>
      <c r="F3740" t="s">
        <v>60</v>
      </c>
      <c r="G3740">
        <v>16</v>
      </c>
      <c r="H3740">
        <v>15</v>
      </c>
      <c r="I3740">
        <v>0</v>
      </c>
      <c r="J3740" t="s">
        <v>34</v>
      </c>
      <c r="K3740" t="s">
        <v>994</v>
      </c>
      <c r="L3740">
        <v>56</v>
      </c>
      <c r="M3740">
        <v>99.397000000000006</v>
      </c>
      <c r="N3740">
        <v>101.515547</v>
      </c>
      <c r="O3740">
        <v>29.863</v>
      </c>
      <c r="P3740">
        <v>35.941000000000003</v>
      </c>
      <c r="Q3740">
        <v>33.466000000000001</v>
      </c>
      <c r="R3740">
        <v>14</v>
      </c>
      <c r="S3740" t="s">
        <v>83</v>
      </c>
      <c r="T3740">
        <f>IF(TRIM(Table1[[#This Row],[PitStopLaps]])="",0,
LEN(Table1[[#This Row],[PitStopLaps]])-LEN(SUBSTITUTE(Table1[[#This Row],[PitStopLaps]],",",""))+1)</f>
        <v>1</v>
      </c>
      <c r="U3740">
        <f>Table1[[#This Row],[StartPosition]]-Table1[[#This Row],[FinishPosition]]</f>
        <v>1</v>
      </c>
    </row>
    <row r="3741" spans="1:21" x14ac:dyDescent="0.3">
      <c r="A3741">
        <v>2026</v>
      </c>
      <c r="B3741">
        <v>14</v>
      </c>
      <c r="C3741" t="s">
        <v>125</v>
      </c>
      <c r="D3741" t="s">
        <v>1180</v>
      </c>
      <c r="E3741" t="s">
        <v>1181</v>
      </c>
      <c r="F3741" t="s">
        <v>69</v>
      </c>
      <c r="G3741">
        <v>22</v>
      </c>
      <c r="H3741">
        <v>16</v>
      </c>
      <c r="I3741">
        <v>0</v>
      </c>
      <c r="J3741" t="s">
        <v>34</v>
      </c>
      <c r="K3741" t="s">
        <v>994</v>
      </c>
      <c r="L3741">
        <v>56</v>
      </c>
      <c r="M3741">
        <v>97.308000000000007</v>
      </c>
      <c r="N3741">
        <v>100.816061</v>
      </c>
      <c r="O3741">
        <v>29.594000000000001</v>
      </c>
      <c r="P3741">
        <v>35.045000000000002</v>
      </c>
      <c r="Q3741">
        <v>32.524000000000001</v>
      </c>
      <c r="R3741" t="s">
        <v>1544</v>
      </c>
      <c r="S3741" t="s">
        <v>83</v>
      </c>
      <c r="T3741">
        <f>IF(TRIM(Table1[[#This Row],[PitStopLaps]])="",0,
LEN(Table1[[#This Row],[PitStopLaps]])-LEN(SUBSTITUTE(Table1[[#This Row],[PitStopLaps]],",",""))+1)</f>
        <v>2</v>
      </c>
      <c r="U3741">
        <f>Table1[[#This Row],[StartPosition]]-Table1[[#This Row],[FinishPosition]]</f>
        <v>6</v>
      </c>
    </row>
    <row r="3742" spans="1:21" x14ac:dyDescent="0.3">
      <c r="A3742">
        <v>2026</v>
      </c>
      <c r="B3742">
        <v>14</v>
      </c>
      <c r="C3742" t="s">
        <v>125</v>
      </c>
      <c r="D3742" t="s">
        <v>35</v>
      </c>
      <c r="E3742" t="s">
        <v>36</v>
      </c>
      <c r="F3742" t="s">
        <v>603</v>
      </c>
      <c r="G3742">
        <v>17</v>
      </c>
      <c r="H3742">
        <v>17</v>
      </c>
      <c r="I3742">
        <v>0</v>
      </c>
      <c r="J3742" t="s">
        <v>34</v>
      </c>
      <c r="K3742" t="s">
        <v>994</v>
      </c>
      <c r="L3742">
        <v>55</v>
      </c>
      <c r="M3742">
        <v>99.003</v>
      </c>
      <c r="N3742">
        <v>101.66030000000001</v>
      </c>
      <c r="O3742">
        <v>30.138999999999999</v>
      </c>
      <c r="P3742">
        <v>35.534999999999997</v>
      </c>
      <c r="Q3742">
        <v>32.795000000000002</v>
      </c>
      <c r="R3742" t="s">
        <v>1494</v>
      </c>
      <c r="S3742" t="s">
        <v>83</v>
      </c>
      <c r="T3742">
        <f>IF(TRIM(Table1[[#This Row],[PitStopLaps]])="",0,
LEN(Table1[[#This Row],[PitStopLaps]])-LEN(SUBSTITUTE(Table1[[#This Row],[PitStopLaps]],",",""))+1)</f>
        <v>2</v>
      </c>
      <c r="U3742">
        <f>Table1[[#This Row],[StartPosition]]-Table1[[#This Row],[FinishPosition]]</f>
        <v>0</v>
      </c>
    </row>
    <row r="3743" spans="1:21" x14ac:dyDescent="0.3">
      <c r="A3743">
        <v>2026</v>
      </c>
      <c r="B3743">
        <v>14</v>
      </c>
      <c r="C3743" t="s">
        <v>125</v>
      </c>
      <c r="D3743" t="s">
        <v>43</v>
      </c>
      <c r="E3743" t="s">
        <v>44</v>
      </c>
      <c r="F3743" t="s">
        <v>1449</v>
      </c>
      <c r="G3743">
        <v>19</v>
      </c>
      <c r="H3743">
        <v>18</v>
      </c>
      <c r="I3743">
        <v>0</v>
      </c>
      <c r="J3743" t="s">
        <v>34</v>
      </c>
      <c r="K3743" t="s">
        <v>994</v>
      </c>
      <c r="L3743">
        <v>54</v>
      </c>
      <c r="M3743">
        <v>99.13</v>
      </c>
      <c r="N3743">
        <v>103.88851</v>
      </c>
      <c r="O3743">
        <v>30.16</v>
      </c>
      <c r="P3743">
        <v>35.777000000000001</v>
      </c>
      <c r="Q3743">
        <v>33.192999999999998</v>
      </c>
      <c r="R3743" t="s">
        <v>1436</v>
      </c>
      <c r="S3743" t="s">
        <v>83</v>
      </c>
      <c r="T3743">
        <f>IF(TRIM(Table1[[#This Row],[PitStopLaps]])="",0,
LEN(Table1[[#This Row],[PitStopLaps]])-LEN(SUBSTITUTE(Table1[[#This Row],[PitStopLaps]],",",""))+1)</f>
        <v>2</v>
      </c>
      <c r="U3743">
        <f>Table1[[#This Row],[StartPosition]]-Table1[[#This Row],[FinishPosition]]</f>
        <v>1</v>
      </c>
    </row>
    <row r="3744" spans="1:21" x14ac:dyDescent="0.3">
      <c r="A3744">
        <v>2026</v>
      </c>
      <c r="B3744">
        <v>14</v>
      </c>
      <c r="C3744" t="s">
        <v>125</v>
      </c>
      <c r="D3744" t="s">
        <v>47</v>
      </c>
      <c r="E3744" t="s">
        <v>48</v>
      </c>
      <c r="F3744" t="s">
        <v>60</v>
      </c>
      <c r="G3744">
        <v>20</v>
      </c>
      <c r="H3744">
        <v>19</v>
      </c>
      <c r="I3744">
        <v>0</v>
      </c>
      <c r="J3744" t="s">
        <v>34</v>
      </c>
      <c r="K3744" t="s">
        <v>179</v>
      </c>
      <c r="L3744">
        <v>43</v>
      </c>
      <c r="M3744">
        <v>100.19499999999999</v>
      </c>
      <c r="N3744">
        <v>102.8746</v>
      </c>
      <c r="O3744">
        <v>30.309000000000001</v>
      </c>
      <c r="P3744">
        <v>36.296999999999997</v>
      </c>
      <c r="Q3744">
        <v>33.457000000000001</v>
      </c>
      <c r="R3744" t="s">
        <v>1545</v>
      </c>
      <c r="S3744" t="s">
        <v>83</v>
      </c>
      <c r="T3744">
        <f>IF(TRIM(Table1[[#This Row],[PitStopLaps]])="",0,
LEN(Table1[[#This Row],[PitStopLaps]])-LEN(SUBSTITUTE(Table1[[#This Row],[PitStopLaps]],",",""))+1)</f>
        <v>3</v>
      </c>
      <c r="U3744">
        <f>Table1[[#This Row],[StartPosition]]-Table1[[#This Row],[FinishPosition]]</f>
        <v>1</v>
      </c>
    </row>
    <row r="3745" spans="1:21" x14ac:dyDescent="0.3">
      <c r="A3745">
        <v>2026</v>
      </c>
      <c r="B3745">
        <v>14</v>
      </c>
      <c r="C3745" t="s">
        <v>125</v>
      </c>
      <c r="D3745" t="s">
        <v>49</v>
      </c>
      <c r="E3745" t="s">
        <v>50</v>
      </c>
      <c r="F3745" t="s">
        <v>1449</v>
      </c>
      <c r="G3745">
        <v>18</v>
      </c>
      <c r="H3745">
        <v>20</v>
      </c>
      <c r="I3745">
        <v>0</v>
      </c>
      <c r="J3745" t="s">
        <v>34</v>
      </c>
      <c r="K3745" t="s">
        <v>179</v>
      </c>
      <c r="L3745">
        <v>31</v>
      </c>
      <c r="M3745">
        <v>101.116</v>
      </c>
      <c r="N3745">
        <v>103.381888</v>
      </c>
      <c r="O3745">
        <v>30.655000000000001</v>
      </c>
      <c r="P3745">
        <v>36.469000000000001</v>
      </c>
      <c r="Q3745">
        <v>33.784999999999997</v>
      </c>
      <c r="R3745" t="s">
        <v>1546</v>
      </c>
      <c r="S3745" t="s">
        <v>83</v>
      </c>
      <c r="T3745">
        <f>IF(TRIM(Table1[[#This Row],[PitStopLaps]])="",0,
LEN(Table1[[#This Row],[PitStopLaps]])-LEN(SUBSTITUTE(Table1[[#This Row],[PitStopLaps]],",",""))+1)</f>
        <v>2</v>
      </c>
      <c r="U3745">
        <f>Table1[[#This Row],[StartPosition]]-Table1[[#This Row],[FinishPosition]]</f>
        <v>-2</v>
      </c>
    </row>
    <row r="3746" spans="1:21" x14ac:dyDescent="0.3">
      <c r="A3746">
        <v>2026</v>
      </c>
      <c r="B3746">
        <v>14</v>
      </c>
      <c r="C3746" t="s">
        <v>125</v>
      </c>
      <c r="D3746" t="s">
        <v>58</v>
      </c>
      <c r="E3746" t="s">
        <v>59</v>
      </c>
      <c r="F3746" t="s">
        <v>603</v>
      </c>
      <c r="G3746">
        <v>21</v>
      </c>
      <c r="H3746">
        <v>21</v>
      </c>
      <c r="I3746">
        <v>0</v>
      </c>
      <c r="J3746" t="s">
        <v>34</v>
      </c>
      <c r="K3746" t="s">
        <v>179</v>
      </c>
      <c r="L3746">
        <v>13</v>
      </c>
      <c r="M3746">
        <v>103.462</v>
      </c>
      <c r="N3746">
        <v>104.341818</v>
      </c>
      <c r="O3746">
        <v>31.376999999999999</v>
      </c>
      <c r="P3746">
        <v>37.316000000000003</v>
      </c>
      <c r="Q3746">
        <v>34.317999999999998</v>
      </c>
      <c r="S3746" t="s">
        <v>83</v>
      </c>
      <c r="T3746">
        <f>IF(TRIM(Table1[[#This Row],[PitStopLaps]])="",0,
LEN(Table1[[#This Row],[PitStopLaps]])-LEN(SUBSTITUTE(Table1[[#This Row],[PitStopLaps]],",",""))+1)</f>
        <v>0</v>
      </c>
      <c r="U3746">
        <f>Table1[[#This Row],[StartPosition]]-Table1[[#This Row],[FinishPosition]]</f>
        <v>0</v>
      </c>
    </row>
    <row r="3747" spans="1:21" x14ac:dyDescent="0.3">
      <c r="A3747">
        <v>2026</v>
      </c>
      <c r="B3747">
        <v>14</v>
      </c>
      <c r="C3747" t="s">
        <v>125</v>
      </c>
      <c r="D3747" t="s">
        <v>26</v>
      </c>
      <c r="E3747" t="s">
        <v>27</v>
      </c>
      <c r="F3747" t="s">
        <v>22</v>
      </c>
      <c r="G3747">
        <v>4</v>
      </c>
      <c r="H3747">
        <v>22</v>
      </c>
      <c r="I3747">
        <v>0</v>
      </c>
      <c r="J3747" t="s">
        <v>34</v>
      </c>
      <c r="K3747" t="s">
        <v>179</v>
      </c>
      <c r="L3747">
        <v>6</v>
      </c>
      <c r="M3747">
        <v>99.838999999999999</v>
      </c>
      <c r="N3747">
        <v>103.95274999999999</v>
      </c>
      <c r="O3747">
        <v>30.042999999999999</v>
      </c>
      <c r="P3747">
        <v>36.404000000000003</v>
      </c>
      <c r="Q3747">
        <v>33.392000000000003</v>
      </c>
      <c r="R3747">
        <v>6</v>
      </c>
      <c r="S3747" t="s">
        <v>83</v>
      </c>
      <c r="T3747">
        <f>IF(TRIM(Table1[[#This Row],[PitStopLaps]])="",0,
LEN(Table1[[#This Row],[PitStopLaps]])-LEN(SUBSTITUTE(Table1[[#This Row],[PitStopLaps]],",",""))+1)</f>
        <v>1</v>
      </c>
      <c r="U3747">
        <f>Table1[[#This Row],[StartPosition]]-Table1[[#This Row],[FinishPosition]]</f>
        <v>-18</v>
      </c>
    </row>
    <row r="3748" spans="1:21" x14ac:dyDescent="0.3">
      <c r="M3748">
        <f>COUNTIF(M3726:M3747,"&gt;80")</f>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02E5-0FB7-4DA0-8BC3-310B1120FA18}">
  <dimension ref="A1:X52"/>
  <sheetViews>
    <sheetView tabSelected="1" zoomScale="86" workbookViewId="0">
      <selection sqref="A1:W3"/>
    </sheetView>
  </sheetViews>
  <sheetFormatPr defaultRowHeight="14.4" x14ac:dyDescent="0.3"/>
  <cols>
    <col min="3" max="3" width="4.6640625" customWidth="1"/>
    <col min="6" max="6" width="8.88671875" customWidth="1"/>
    <col min="17" max="17" width="8.88671875" customWidth="1"/>
    <col min="21" max="21" width="30.6640625" customWidth="1"/>
    <col min="23" max="23" width="27.21875" customWidth="1"/>
    <col min="24" max="24" width="0.33203125" customWidth="1"/>
  </cols>
  <sheetData>
    <row r="1" spans="1:23" x14ac:dyDescent="0.3">
      <c r="A1" s="11" t="s">
        <v>1578</v>
      </c>
      <c r="B1" s="11"/>
      <c r="C1" s="11"/>
      <c r="D1" s="11"/>
      <c r="E1" s="11"/>
      <c r="F1" s="11"/>
      <c r="G1" s="11"/>
      <c r="H1" s="11"/>
      <c r="I1" s="11"/>
      <c r="J1" s="11"/>
      <c r="K1" s="11"/>
      <c r="L1" s="11"/>
      <c r="M1" s="11"/>
      <c r="N1" s="11"/>
      <c r="O1" s="11"/>
      <c r="P1" s="11"/>
      <c r="Q1" s="11"/>
      <c r="R1" s="11"/>
      <c r="S1" s="11"/>
      <c r="T1" s="11"/>
      <c r="U1" s="11"/>
      <c r="V1" s="11"/>
      <c r="W1" s="11"/>
    </row>
    <row r="2" spans="1:23" ht="14.4" customHeight="1" x14ac:dyDescent="0.3">
      <c r="A2" s="11"/>
      <c r="B2" s="11"/>
      <c r="C2" s="11"/>
      <c r="D2" s="11"/>
      <c r="E2" s="11"/>
      <c r="F2" s="11"/>
      <c r="G2" s="11"/>
      <c r="H2" s="11"/>
      <c r="I2" s="11"/>
      <c r="J2" s="11"/>
      <c r="K2" s="11"/>
      <c r="L2" s="11"/>
      <c r="M2" s="11"/>
      <c r="N2" s="11"/>
      <c r="O2" s="11"/>
      <c r="P2" s="11"/>
      <c r="Q2" s="11"/>
      <c r="R2" s="11"/>
      <c r="S2" s="11"/>
      <c r="T2" s="11"/>
      <c r="U2" s="11"/>
      <c r="V2" s="11"/>
      <c r="W2" s="11"/>
    </row>
    <row r="3" spans="1:23" ht="14.4" customHeight="1" x14ac:dyDescent="0.3">
      <c r="A3" s="12"/>
      <c r="B3" s="12"/>
      <c r="C3" s="12"/>
      <c r="D3" s="12"/>
      <c r="E3" s="12"/>
      <c r="F3" s="12"/>
      <c r="G3" s="12"/>
      <c r="H3" s="12"/>
      <c r="I3" s="12"/>
      <c r="J3" s="12"/>
      <c r="K3" s="12"/>
      <c r="L3" s="12"/>
      <c r="M3" s="12"/>
      <c r="N3" s="12"/>
      <c r="O3" s="12"/>
      <c r="P3" s="12"/>
      <c r="Q3" s="12"/>
      <c r="R3" s="12"/>
      <c r="S3" s="12"/>
      <c r="T3" s="12"/>
      <c r="U3" s="12"/>
      <c r="V3" s="12"/>
      <c r="W3" s="12"/>
    </row>
    <row r="4" spans="1:23" x14ac:dyDescent="0.3">
      <c r="A4" s="13" t="s">
        <v>1562</v>
      </c>
      <c r="B4" s="13"/>
      <c r="C4" s="13"/>
      <c r="D4" s="13"/>
      <c r="E4" s="13"/>
      <c r="F4" s="13"/>
      <c r="G4" s="13"/>
      <c r="H4" s="13"/>
      <c r="I4" s="13"/>
      <c r="J4" s="13"/>
      <c r="K4" s="13"/>
      <c r="L4" s="13"/>
      <c r="M4" s="13"/>
      <c r="N4" s="13"/>
      <c r="O4" s="13"/>
      <c r="P4" s="13"/>
      <c r="Q4" s="13"/>
      <c r="R4" s="13"/>
      <c r="S4" s="13"/>
      <c r="T4" s="13"/>
      <c r="U4" s="13"/>
      <c r="V4" s="13"/>
      <c r="W4" s="13"/>
    </row>
    <row r="5" spans="1:23" x14ac:dyDescent="0.3">
      <c r="A5" s="9" t="s">
        <v>1565</v>
      </c>
      <c r="B5" s="9"/>
      <c r="C5" s="9"/>
      <c r="V5" s="8" t="s">
        <v>1571</v>
      </c>
      <c r="W5" s="8"/>
    </row>
    <row r="6" spans="1:23" x14ac:dyDescent="0.3">
      <c r="A6" s="10"/>
      <c r="B6" s="10"/>
      <c r="C6" s="10"/>
      <c r="V6" s="6"/>
      <c r="W6" s="6"/>
    </row>
    <row r="7" spans="1:23" x14ac:dyDescent="0.3">
      <c r="A7" s="5">
        <f>'Weather vs Race Performance'!D199</f>
        <v>186</v>
      </c>
      <c r="B7" s="5"/>
      <c r="C7" s="5"/>
      <c r="V7" s="7">
        <f>MIN(F1_2018_2026_RACE_DATA!M2:M3747)</f>
        <v>55.404000000000003</v>
      </c>
      <c r="W7" s="7"/>
    </row>
    <row r="8" spans="1:23" x14ac:dyDescent="0.3">
      <c r="A8" s="5"/>
      <c r="B8" s="5"/>
      <c r="C8" s="5"/>
      <c r="V8" s="5"/>
      <c r="W8" s="5"/>
    </row>
    <row r="9" spans="1:23" x14ac:dyDescent="0.3">
      <c r="A9" s="10" t="s">
        <v>1563</v>
      </c>
      <c r="B9" s="10"/>
      <c r="C9" s="10"/>
      <c r="V9" s="8" t="s">
        <v>1572</v>
      </c>
      <c r="W9" s="8"/>
    </row>
    <row r="10" spans="1:23" x14ac:dyDescent="0.3">
      <c r="A10" s="10"/>
      <c r="B10" s="10"/>
      <c r="C10" s="10"/>
      <c r="V10" s="6"/>
      <c r="W10" s="6"/>
    </row>
    <row r="11" spans="1:23" x14ac:dyDescent="0.3">
      <c r="A11" s="5">
        <f>COUNTA(_xlfn.UNIQUE('Weather vs Race Performance'!A10:A54))</f>
        <v>45</v>
      </c>
      <c r="B11" s="5"/>
      <c r="C11" s="5"/>
      <c r="V11" s="7" t="str">
        <f>_xlfn.XLOOKUP(MIN(F1_2018_2026_RACE_DATA!M2:M3747),F1_2018_2026_RACE_DATA!M2:M3747,F1_2018_2026_RACE_DATA!D2:D3747)</f>
        <v>George Russell</v>
      </c>
      <c r="W11" s="7"/>
    </row>
    <row r="12" spans="1:23" x14ac:dyDescent="0.3">
      <c r="A12" s="5"/>
      <c r="B12" s="5"/>
      <c r="C12" s="5"/>
      <c r="V12" s="5"/>
      <c r="W12" s="5"/>
    </row>
    <row r="13" spans="1:23" x14ac:dyDescent="0.3">
      <c r="A13" s="10" t="s">
        <v>1568</v>
      </c>
      <c r="B13" s="10"/>
      <c r="C13" s="10"/>
      <c r="V13" s="8" t="s">
        <v>1573</v>
      </c>
      <c r="W13" s="8"/>
    </row>
    <row r="14" spans="1:23" x14ac:dyDescent="0.3">
      <c r="A14" s="10"/>
      <c r="B14" s="10"/>
      <c r="C14" s="10"/>
      <c r="V14" s="6"/>
      <c r="W14" s="6"/>
    </row>
    <row r="15" spans="1:23" x14ac:dyDescent="0.3">
      <c r="A15" s="5">
        <f>COUNTA('Weather vs Race Performance'!G2:G22)</f>
        <v>21</v>
      </c>
      <c r="B15" s="5"/>
      <c r="C15" s="5"/>
      <c r="V15" s="7" t="str">
        <f>_xlfn.XLOOKUP(MIN(F1_2018_2026_RACE_DATA!M2:M3747),F1_2018_2026_RACE_DATA!M2:M3747,F1_2018_2026_RACE_DATA!C2:C3747)</f>
        <v>Sakhir Grand Prix</v>
      </c>
      <c r="W15" s="7"/>
    </row>
    <row r="16" spans="1:23" x14ac:dyDescent="0.3">
      <c r="A16" s="5"/>
      <c r="B16" s="5"/>
      <c r="C16" s="5"/>
      <c r="V16" s="5"/>
      <c r="W16" s="5"/>
    </row>
    <row r="17" spans="1:24" x14ac:dyDescent="0.3">
      <c r="A17" s="10" t="s">
        <v>1569</v>
      </c>
      <c r="B17" s="10"/>
      <c r="C17" s="10"/>
      <c r="V17" s="8" t="s">
        <v>1574</v>
      </c>
      <c r="W17" s="8"/>
    </row>
    <row r="18" spans="1:24" x14ac:dyDescent="0.3">
      <c r="A18" s="10"/>
      <c r="B18" s="10"/>
      <c r="C18" s="10"/>
      <c r="V18" s="6"/>
      <c r="W18" s="6"/>
    </row>
    <row r="19" spans="1:24" x14ac:dyDescent="0.3">
      <c r="A19" s="5">
        <f>GETPIVOTDATA("RacePoints",'Weather vs Race Performance'!$J$1)</f>
        <v>18848.5</v>
      </c>
      <c r="B19" s="5"/>
      <c r="C19" s="5"/>
      <c r="V19" s="7">
        <f>MAX(F1_2018_2026_RACE_DATA!N2:N3747)</f>
        <v>127.0968</v>
      </c>
      <c r="W19" s="7"/>
    </row>
    <row r="20" spans="1:24" x14ac:dyDescent="0.3">
      <c r="A20" s="5"/>
      <c r="B20" s="5"/>
      <c r="C20" s="5"/>
      <c r="V20" s="5"/>
      <c r="W20" s="5"/>
    </row>
    <row r="21" spans="1:24" x14ac:dyDescent="0.3">
      <c r="A21" s="10" t="s">
        <v>1570</v>
      </c>
      <c r="B21" s="10"/>
      <c r="C21" s="10"/>
      <c r="V21" s="8" t="s">
        <v>1575</v>
      </c>
      <c r="W21" s="8"/>
    </row>
    <row r="22" spans="1:24" x14ac:dyDescent="0.3">
      <c r="A22" s="10"/>
      <c r="B22" s="10"/>
      <c r="C22" s="10"/>
      <c r="V22" s="6"/>
      <c r="W22" s="6"/>
    </row>
    <row r="23" spans="1:24" x14ac:dyDescent="0.3">
      <c r="A23" s="5">
        <f>COUNTIF(F1_2018_2026_RACE_DATA!J2:J3747,"=Yes")</f>
        <v>558</v>
      </c>
      <c r="B23" s="5"/>
      <c r="C23" s="5"/>
      <c r="V23" s="7" t="str">
        <f>_xlfn.XLOOKUP(MAX(F1_2018_2026_RACE_DATA!N2:N3747),F1_2018_2026_RACE_DATA!N2:N3747,F1_2018_2026_RACE_DATA!D2:D3747)</f>
        <v>Nicholas Latifi</v>
      </c>
      <c r="W23" s="7"/>
    </row>
    <row r="24" spans="1:24" x14ac:dyDescent="0.3">
      <c r="A24" s="5"/>
      <c r="B24" s="5"/>
      <c r="C24" s="5"/>
      <c r="V24" s="5"/>
      <c r="W24" s="5"/>
    </row>
    <row r="25" spans="1:24" x14ac:dyDescent="0.3">
      <c r="A25" s="10" t="s">
        <v>1577</v>
      </c>
      <c r="B25" s="10"/>
      <c r="C25" s="10"/>
      <c r="V25" s="8" t="s">
        <v>1576</v>
      </c>
      <c r="W25" s="8"/>
    </row>
    <row r="26" spans="1:24" x14ac:dyDescent="0.3">
      <c r="A26" s="10"/>
      <c r="B26" s="10"/>
      <c r="C26" s="10"/>
      <c r="V26" s="6"/>
      <c r="W26" s="6"/>
    </row>
    <row r="27" spans="1:24" x14ac:dyDescent="0.3">
      <c r="A27" s="5">
        <f>'Weather vs Race Performance'!M3</f>
        <v>0</v>
      </c>
      <c r="B27" s="5"/>
      <c r="C27" s="5"/>
      <c r="V27" s="7" t="str">
        <f>_xlfn.XLOOKUP(MAX(F1_2018_2026_RACE_DATA!N2:N3747),F1_2018_2026_RACE_DATA!N2:N3747,F1_2018_2026_RACE_DATA!C2:C3747)</f>
        <v>Singapore Grand Prix</v>
      </c>
      <c r="W27" s="7"/>
    </row>
    <row r="28" spans="1:24" ht="21" customHeight="1" x14ac:dyDescent="0.3">
      <c r="A28" s="5"/>
      <c r="B28" s="5"/>
      <c r="C28" s="5"/>
      <c r="V28" s="5"/>
      <c r="W28" s="5"/>
    </row>
    <row r="29" spans="1:24" x14ac:dyDescent="0.3">
      <c r="V29" s="8" t="s">
        <v>1565</v>
      </c>
      <c r="W29" s="8"/>
      <c r="X29" s="8"/>
    </row>
    <row r="30" spans="1:24" x14ac:dyDescent="0.3">
      <c r="V30" s="6"/>
      <c r="W30" s="6"/>
      <c r="X30" s="6"/>
    </row>
    <row r="31" spans="1:24" x14ac:dyDescent="0.3">
      <c r="V31" s="5">
        <f>'Weather vs Race Performance'!D199</f>
        <v>186</v>
      </c>
      <c r="W31" s="5"/>
      <c r="X31" s="5"/>
    </row>
    <row r="32" spans="1:24" x14ac:dyDescent="0.3">
      <c r="V32" s="5"/>
      <c r="W32" s="5"/>
      <c r="X32" s="5"/>
    </row>
    <row r="33" spans="22:24" x14ac:dyDescent="0.3">
      <c r="V33" s="6" t="s">
        <v>1563</v>
      </c>
      <c r="W33" s="6"/>
      <c r="X33" s="6"/>
    </row>
    <row r="34" spans="22:24" x14ac:dyDescent="0.3">
      <c r="V34" s="6"/>
      <c r="W34" s="6"/>
      <c r="X34" s="6"/>
    </row>
    <row r="35" spans="22:24" x14ac:dyDescent="0.3">
      <c r="V35" s="5">
        <f>COUNTA(_xlfn.UNIQUE('Weather vs Race Performance'!M3:M47))</f>
        <v>12</v>
      </c>
      <c r="W35" s="5"/>
      <c r="X35" s="5"/>
    </row>
    <row r="36" spans="22:24" x14ac:dyDescent="0.3">
      <c r="V36" s="5"/>
      <c r="W36" s="5"/>
      <c r="X36" s="5"/>
    </row>
    <row r="37" spans="22:24" x14ac:dyDescent="0.3">
      <c r="V37" s="6" t="s">
        <v>1568</v>
      </c>
      <c r="W37" s="6"/>
      <c r="X37" s="6"/>
    </row>
    <row r="38" spans="22:24" x14ac:dyDescent="0.3">
      <c r="V38" s="6"/>
      <c r="W38" s="6"/>
      <c r="X38" s="6"/>
    </row>
    <row r="39" spans="22:24" x14ac:dyDescent="0.3">
      <c r="V39" s="5">
        <f>COUNTA('Weather vs Race Performance'!G2:G22)</f>
        <v>21</v>
      </c>
      <c r="W39" s="5"/>
      <c r="X39" s="5"/>
    </row>
    <row r="40" spans="22:24" x14ac:dyDescent="0.3">
      <c r="V40" s="5"/>
      <c r="W40" s="5"/>
      <c r="X40" s="5"/>
    </row>
    <row r="41" spans="22:24" x14ac:dyDescent="0.3">
      <c r="V41" s="6" t="s">
        <v>1569</v>
      </c>
      <c r="W41" s="6"/>
      <c r="X41" s="6"/>
    </row>
    <row r="42" spans="22:24" x14ac:dyDescent="0.3">
      <c r="V42" s="6"/>
      <c r="W42" s="6"/>
      <c r="X42" s="6"/>
    </row>
    <row r="43" spans="22:24" x14ac:dyDescent="0.3">
      <c r="V43" s="5">
        <f>GETPIVOTDATA("RacePoints",'Weather vs Race Performance'!$J$1)</f>
        <v>18848.5</v>
      </c>
      <c r="W43" s="5"/>
      <c r="X43" s="5"/>
    </row>
    <row r="44" spans="22:24" x14ac:dyDescent="0.3">
      <c r="V44" s="5"/>
      <c r="W44" s="5"/>
      <c r="X44" s="5"/>
    </row>
    <row r="45" spans="22:24" x14ac:dyDescent="0.3">
      <c r="V45" s="6" t="s">
        <v>1570</v>
      </c>
      <c r="W45" s="6"/>
      <c r="X45" s="6"/>
    </row>
    <row r="46" spans="22:24" x14ac:dyDescent="0.3">
      <c r="V46" s="6"/>
      <c r="W46" s="6"/>
      <c r="X46" s="6"/>
    </row>
    <row r="47" spans="22:24" x14ac:dyDescent="0.3">
      <c r="V47" s="5">
        <f>COUNTIF(F1_2018_2026_RACE_DATA!J2:J3747,"=Yes")</f>
        <v>558</v>
      </c>
      <c r="W47" s="5"/>
      <c r="X47" s="5"/>
    </row>
    <row r="48" spans="22:24" x14ac:dyDescent="0.3">
      <c r="V48" s="5"/>
      <c r="W48" s="5"/>
      <c r="X48" s="5"/>
    </row>
    <row r="49" spans="22:24" x14ac:dyDescent="0.3">
      <c r="V49" s="6" t="s">
        <v>1577</v>
      </c>
      <c r="W49" s="6"/>
      <c r="X49" s="6"/>
    </row>
    <row r="50" spans="22:24" x14ac:dyDescent="0.3">
      <c r="V50" s="6"/>
      <c r="W50" s="6"/>
      <c r="X50" s="6"/>
    </row>
    <row r="51" spans="22:24" x14ac:dyDescent="0.3">
      <c r="V51" s="5">
        <f>'Weather vs Race Performance'!M3</f>
        <v>0</v>
      </c>
      <c r="W51" s="5"/>
      <c r="X51" s="5"/>
    </row>
    <row r="52" spans="22:24" x14ac:dyDescent="0.3">
      <c r="V52" s="5"/>
      <c r="W52" s="5"/>
      <c r="X52" s="5"/>
    </row>
  </sheetData>
  <mergeCells count="38">
    <mergeCell ref="A1:W3"/>
    <mergeCell ref="V7:W8"/>
    <mergeCell ref="V9:W10"/>
    <mergeCell ref="V5:W6"/>
    <mergeCell ref="A4:W4"/>
    <mergeCell ref="A27:C28"/>
    <mergeCell ref="A5:C6"/>
    <mergeCell ref="A7:C8"/>
    <mergeCell ref="A9:C10"/>
    <mergeCell ref="A11:C12"/>
    <mergeCell ref="A13:C14"/>
    <mergeCell ref="A15:C16"/>
    <mergeCell ref="A17:C18"/>
    <mergeCell ref="A19:C20"/>
    <mergeCell ref="A21:C22"/>
    <mergeCell ref="A23:C24"/>
    <mergeCell ref="A25:C26"/>
    <mergeCell ref="V33:X34"/>
    <mergeCell ref="V11:W12"/>
    <mergeCell ref="V13:W14"/>
    <mergeCell ref="V15:W16"/>
    <mergeCell ref="V17:W18"/>
    <mergeCell ref="V19:W20"/>
    <mergeCell ref="V21:W22"/>
    <mergeCell ref="V23:W24"/>
    <mergeCell ref="V25:W26"/>
    <mergeCell ref="V27:W28"/>
    <mergeCell ref="V29:X30"/>
    <mergeCell ref="V31:X32"/>
    <mergeCell ref="V47:X48"/>
    <mergeCell ref="V49:X50"/>
    <mergeCell ref="V51:X52"/>
    <mergeCell ref="V35:X36"/>
    <mergeCell ref="V37:X38"/>
    <mergeCell ref="V39:X40"/>
    <mergeCell ref="V41:X42"/>
    <mergeCell ref="V43:X44"/>
    <mergeCell ref="V45:X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29D8-185A-4178-8106-4343A8F6FCB1}">
  <dimension ref="A1:M199"/>
  <sheetViews>
    <sheetView workbookViewId="0">
      <selection activeCell="G69" sqref="G69"/>
    </sheetView>
  </sheetViews>
  <sheetFormatPr defaultRowHeight="14.4" x14ac:dyDescent="0.3"/>
  <cols>
    <col min="1" max="1" width="18.109375" bestFit="1" customWidth="1"/>
    <col min="2" max="2" width="13.21875" bestFit="1" customWidth="1"/>
    <col min="4" max="4" width="12.44140625" bestFit="1" customWidth="1"/>
    <col min="5" max="5" width="12.21875" bestFit="1" customWidth="1"/>
    <col min="6" max="6" width="2" bestFit="1" customWidth="1"/>
    <col min="7" max="7" width="16" bestFit="1" customWidth="1"/>
    <col min="8" max="8" width="12.6640625" bestFit="1" customWidth="1"/>
    <col min="9" max="9" width="2" bestFit="1" customWidth="1"/>
    <col min="10" max="10" width="21.88671875" bestFit="1" customWidth="1"/>
    <col min="11" max="11" width="7" customWidth="1"/>
    <col min="12" max="12" width="9.33203125" customWidth="1"/>
    <col min="13" max="13" width="13.33203125" bestFit="1" customWidth="1"/>
    <col min="14" max="14" width="16.44140625" bestFit="1" customWidth="1"/>
    <col min="15" max="28" width="3" bestFit="1" customWidth="1"/>
    <col min="29" max="29" width="10.5546875" bestFit="1" customWidth="1"/>
  </cols>
  <sheetData>
    <row r="1" spans="1:13" x14ac:dyDescent="0.3">
      <c r="A1" s="1" t="s">
        <v>5</v>
      </c>
      <c r="B1" t="s">
        <v>1550</v>
      </c>
      <c r="D1" s="1" t="s">
        <v>1547</v>
      </c>
      <c r="E1" t="s">
        <v>1564</v>
      </c>
      <c r="G1" s="1" t="s">
        <v>1547</v>
      </c>
      <c r="H1" t="s">
        <v>1567</v>
      </c>
      <c r="J1" t="s">
        <v>1549</v>
      </c>
    </row>
    <row r="2" spans="1:13" x14ac:dyDescent="0.3">
      <c r="A2" s="1" t="s">
        <v>0</v>
      </c>
      <c r="B2" t="s">
        <v>1550</v>
      </c>
      <c r="D2" s="2">
        <v>2018</v>
      </c>
      <c r="E2">
        <v>400</v>
      </c>
      <c r="G2" s="2" t="s">
        <v>789</v>
      </c>
      <c r="H2">
        <v>88</v>
      </c>
      <c r="J2">
        <v>18848.5</v>
      </c>
      <c r="M2" s="14" t="e" vm="1">
        <v>#VALUE!</v>
      </c>
    </row>
    <row r="3" spans="1:13" x14ac:dyDescent="0.3">
      <c r="D3" s="4">
        <v>1</v>
      </c>
      <c r="E3">
        <v>20</v>
      </c>
      <c r="G3" s="2" t="s">
        <v>243</v>
      </c>
      <c r="H3">
        <v>120</v>
      </c>
    </row>
    <row r="4" spans="1:13" x14ac:dyDescent="0.3">
      <c r="A4" s="1" t="s">
        <v>1547</v>
      </c>
      <c r="B4" t="s">
        <v>1553</v>
      </c>
      <c r="D4" s="4">
        <v>2</v>
      </c>
      <c r="E4">
        <v>20</v>
      </c>
      <c r="G4" s="2" t="s">
        <v>438</v>
      </c>
      <c r="H4">
        <v>166</v>
      </c>
      <c r="J4" t="s">
        <v>1553</v>
      </c>
    </row>
    <row r="5" spans="1:13" x14ac:dyDescent="0.3">
      <c r="A5" s="2" t="s">
        <v>83</v>
      </c>
      <c r="B5">
        <v>10.576259246213455</v>
      </c>
      <c r="D5" s="4">
        <v>3</v>
      </c>
      <c r="E5">
        <v>20</v>
      </c>
      <c r="G5" s="2" t="s">
        <v>607</v>
      </c>
      <c r="H5">
        <v>256</v>
      </c>
      <c r="J5">
        <v>10.569596580283195</v>
      </c>
    </row>
    <row r="6" spans="1:13" x14ac:dyDescent="0.3">
      <c r="A6" s="2" t="s">
        <v>25</v>
      </c>
      <c r="B6">
        <v>10.548672566371682</v>
      </c>
      <c r="D6" s="4">
        <v>4</v>
      </c>
      <c r="E6">
        <v>20</v>
      </c>
      <c r="G6" s="2" t="s">
        <v>603</v>
      </c>
      <c r="H6">
        <v>255</v>
      </c>
    </row>
    <row r="7" spans="1:13" x14ac:dyDescent="0.3">
      <c r="A7" s="2" t="s">
        <v>1548</v>
      </c>
      <c r="B7">
        <v>10.569596580283195</v>
      </c>
      <c r="D7" s="4">
        <v>5</v>
      </c>
      <c r="E7">
        <v>20</v>
      </c>
      <c r="G7" s="2" t="s">
        <v>1446</v>
      </c>
      <c r="H7">
        <v>28</v>
      </c>
      <c r="J7" s="1" t="s">
        <v>1579</v>
      </c>
      <c r="K7" s="1" t="s">
        <v>1551</v>
      </c>
    </row>
    <row r="8" spans="1:13" x14ac:dyDescent="0.3">
      <c r="D8" s="4">
        <v>6</v>
      </c>
      <c r="E8">
        <v>20</v>
      </c>
      <c r="G8" s="2" t="s">
        <v>1449</v>
      </c>
      <c r="H8">
        <v>28</v>
      </c>
      <c r="J8" s="1" t="s">
        <v>1547</v>
      </c>
      <c r="K8" t="s">
        <v>83</v>
      </c>
      <c r="L8" t="s">
        <v>25</v>
      </c>
      <c r="M8" t="s">
        <v>1548</v>
      </c>
    </row>
    <row r="9" spans="1:13" x14ac:dyDescent="0.3">
      <c r="A9" s="1" t="s">
        <v>1547</v>
      </c>
      <c r="B9" t="s">
        <v>1566</v>
      </c>
      <c r="D9" s="4">
        <v>7</v>
      </c>
      <c r="E9">
        <v>20</v>
      </c>
      <c r="G9" s="2" t="s">
        <v>22</v>
      </c>
      <c r="H9">
        <v>372</v>
      </c>
      <c r="J9" s="2">
        <v>2018</v>
      </c>
      <c r="K9">
        <v>20521.811475999988</v>
      </c>
      <c r="L9">
        <v>13971.023844999998</v>
      </c>
      <c r="M9">
        <v>34492.835320999984</v>
      </c>
    </row>
    <row r="10" spans="1:13" x14ac:dyDescent="0.3">
      <c r="A10" s="2" t="s">
        <v>248</v>
      </c>
      <c r="B10">
        <v>143</v>
      </c>
      <c r="D10" s="4">
        <v>8</v>
      </c>
      <c r="E10">
        <v>20</v>
      </c>
      <c r="G10" s="2" t="s">
        <v>51</v>
      </c>
      <c r="H10">
        <v>24</v>
      </c>
      <c r="J10" s="2">
        <v>2019</v>
      </c>
      <c r="K10">
        <v>33017.725941000004</v>
      </c>
      <c r="L10">
        <v>5182.3854939999992</v>
      </c>
      <c r="M10">
        <v>38200.111435000006</v>
      </c>
    </row>
    <row r="11" spans="1:13" x14ac:dyDescent="0.3">
      <c r="A11" s="2" t="s">
        <v>1324</v>
      </c>
      <c r="B11">
        <v>1</v>
      </c>
      <c r="D11" s="4">
        <v>9</v>
      </c>
      <c r="E11">
        <v>20</v>
      </c>
      <c r="G11" s="2" t="s">
        <v>69</v>
      </c>
      <c r="H11">
        <v>372</v>
      </c>
      <c r="J11" s="2">
        <v>2020</v>
      </c>
      <c r="K11">
        <v>21464.969361999989</v>
      </c>
      <c r="L11">
        <v>6894.3342059999995</v>
      </c>
      <c r="M11">
        <v>28359.303567999988</v>
      </c>
    </row>
    <row r="12" spans="1:13" x14ac:dyDescent="0.3">
      <c r="A12" s="2" t="s">
        <v>250</v>
      </c>
      <c r="B12">
        <v>60</v>
      </c>
      <c r="D12" s="4">
        <v>10</v>
      </c>
      <c r="E12">
        <v>20</v>
      </c>
      <c r="G12" s="2" t="s">
        <v>1175</v>
      </c>
      <c r="H12">
        <v>96</v>
      </c>
      <c r="J12" s="2">
        <v>2021</v>
      </c>
      <c r="K12">
        <v>27596.044637000021</v>
      </c>
      <c r="L12">
        <v>7969.8813210000035</v>
      </c>
      <c r="M12">
        <v>35565.925958000022</v>
      </c>
    </row>
    <row r="13" spans="1:13" x14ac:dyDescent="0.3">
      <c r="A13" s="2" t="s">
        <v>1444</v>
      </c>
      <c r="B13">
        <v>14</v>
      </c>
      <c r="D13" s="4">
        <v>11</v>
      </c>
      <c r="E13">
        <v>20</v>
      </c>
      <c r="G13" s="2" t="s">
        <v>37</v>
      </c>
      <c r="H13">
        <v>372</v>
      </c>
      <c r="J13" s="2">
        <v>2022</v>
      </c>
      <c r="K13">
        <v>28094.377015999984</v>
      </c>
      <c r="L13">
        <v>11313.278344999999</v>
      </c>
      <c r="M13">
        <v>39407.655360999983</v>
      </c>
    </row>
    <row r="14" spans="1:13" x14ac:dyDescent="0.3">
      <c r="A14" s="2" t="s">
        <v>62</v>
      </c>
      <c r="B14">
        <v>20</v>
      </c>
      <c r="D14" s="4">
        <v>12</v>
      </c>
      <c r="E14">
        <v>20</v>
      </c>
      <c r="G14" s="2" t="s">
        <v>28</v>
      </c>
      <c r="H14">
        <v>372</v>
      </c>
      <c r="J14" s="2">
        <v>2023</v>
      </c>
      <c r="K14">
        <v>30398.501496000001</v>
      </c>
      <c r="L14">
        <v>8137.3924289999986</v>
      </c>
      <c r="M14">
        <v>38535.893924999997</v>
      </c>
    </row>
    <row r="15" spans="1:13" x14ac:dyDescent="0.3">
      <c r="A15" s="2" t="s">
        <v>47</v>
      </c>
      <c r="B15">
        <v>185</v>
      </c>
      <c r="D15" s="4">
        <v>13</v>
      </c>
      <c r="E15">
        <v>20</v>
      </c>
      <c r="G15" s="2" t="s">
        <v>1330</v>
      </c>
      <c r="H15">
        <v>76</v>
      </c>
      <c r="J15" s="2">
        <v>2024</v>
      </c>
      <c r="K15">
        <v>33738.919946000031</v>
      </c>
      <c r="L15">
        <v>8119.7046300000011</v>
      </c>
      <c r="M15">
        <v>41858.624576000031</v>
      </c>
    </row>
    <row r="16" spans="1:13" x14ac:dyDescent="0.3">
      <c r="A16" s="2" t="s">
        <v>54</v>
      </c>
      <c r="B16">
        <v>186</v>
      </c>
      <c r="D16" s="4">
        <v>15</v>
      </c>
      <c r="E16">
        <v>20</v>
      </c>
      <c r="G16" s="2" t="s">
        <v>192</v>
      </c>
      <c r="H16">
        <v>92</v>
      </c>
      <c r="J16" s="2">
        <v>2025</v>
      </c>
      <c r="K16">
        <v>30450.406478000019</v>
      </c>
      <c r="L16">
        <v>10751.246356999996</v>
      </c>
      <c r="M16">
        <v>41201.652835000015</v>
      </c>
    </row>
    <row r="17" spans="1:13" x14ac:dyDescent="0.3">
      <c r="A17" s="2" t="s">
        <v>31</v>
      </c>
      <c r="B17">
        <v>127</v>
      </c>
      <c r="D17" s="4">
        <v>16</v>
      </c>
      <c r="E17">
        <v>20</v>
      </c>
      <c r="G17" s="2" t="s">
        <v>1176</v>
      </c>
      <c r="H17">
        <v>48</v>
      </c>
      <c r="J17" s="2">
        <v>2026</v>
      </c>
      <c r="K17">
        <v>22680.457791999994</v>
      </c>
      <c r="L17">
        <v>3651.8949269999998</v>
      </c>
      <c r="M17">
        <v>26332.352718999995</v>
      </c>
    </row>
    <row r="18" spans="1:13" x14ac:dyDescent="0.3">
      <c r="A18" s="2" t="s">
        <v>244</v>
      </c>
      <c r="B18">
        <v>38</v>
      </c>
      <c r="D18" s="4">
        <v>17</v>
      </c>
      <c r="E18">
        <v>20</v>
      </c>
      <c r="G18" s="2" t="s">
        <v>33</v>
      </c>
      <c r="H18">
        <v>372</v>
      </c>
      <c r="J18" s="2" t="s">
        <v>1548</v>
      </c>
      <c r="K18">
        <v>247963.21414400006</v>
      </c>
      <c r="L18">
        <v>75991.141553999987</v>
      </c>
      <c r="M18">
        <v>323954.35569800006</v>
      </c>
    </row>
    <row r="19" spans="1:13" x14ac:dyDescent="0.3">
      <c r="A19" s="2" t="s">
        <v>52</v>
      </c>
      <c r="B19">
        <v>164</v>
      </c>
      <c r="D19" s="4">
        <v>18</v>
      </c>
      <c r="E19">
        <v>20</v>
      </c>
      <c r="G19" s="2" t="s">
        <v>42</v>
      </c>
      <c r="H19">
        <v>116</v>
      </c>
    </row>
    <row r="20" spans="1:13" x14ac:dyDescent="0.3">
      <c r="A20" s="2" t="s">
        <v>35</v>
      </c>
      <c r="B20">
        <v>148</v>
      </c>
      <c r="D20" s="4">
        <v>19</v>
      </c>
      <c r="E20">
        <v>20</v>
      </c>
      <c r="G20" s="2" t="s">
        <v>56</v>
      </c>
      <c r="H20">
        <v>40</v>
      </c>
    </row>
    <row r="21" spans="1:13" x14ac:dyDescent="0.3">
      <c r="A21" s="2" t="s">
        <v>1283</v>
      </c>
      <c r="B21">
        <v>41</v>
      </c>
      <c r="D21" s="4">
        <v>20</v>
      </c>
      <c r="E21">
        <v>20</v>
      </c>
      <c r="G21" s="2" t="s">
        <v>64</v>
      </c>
      <c r="H21">
        <v>82</v>
      </c>
    </row>
    <row r="22" spans="1:13" x14ac:dyDescent="0.3">
      <c r="A22" s="2" t="s">
        <v>1334</v>
      </c>
      <c r="B22">
        <v>38</v>
      </c>
      <c r="D22" s="4">
        <v>21</v>
      </c>
      <c r="E22">
        <v>20</v>
      </c>
      <c r="G22" s="2" t="s">
        <v>60</v>
      </c>
      <c r="H22">
        <v>371</v>
      </c>
    </row>
    <row r="23" spans="1:13" x14ac:dyDescent="0.3">
      <c r="A23" s="2" t="s">
        <v>252</v>
      </c>
      <c r="B23">
        <v>166</v>
      </c>
      <c r="D23" s="2">
        <v>2019</v>
      </c>
      <c r="E23">
        <v>420</v>
      </c>
      <c r="G23" s="2" t="s">
        <v>1548</v>
      </c>
      <c r="H23">
        <v>3746</v>
      </c>
    </row>
    <row r="24" spans="1:13" x14ac:dyDescent="0.3">
      <c r="A24" s="2" t="s">
        <v>794</v>
      </c>
      <c r="B24">
        <v>68</v>
      </c>
      <c r="D24" s="4">
        <v>1</v>
      </c>
      <c r="E24">
        <v>20</v>
      </c>
    </row>
    <row r="25" spans="1:13" x14ac:dyDescent="0.3">
      <c r="A25" s="2" t="s">
        <v>1337</v>
      </c>
      <c r="B25">
        <v>35</v>
      </c>
      <c r="D25" s="4">
        <v>2</v>
      </c>
      <c r="E25">
        <v>20</v>
      </c>
    </row>
    <row r="26" spans="1:13" x14ac:dyDescent="0.3">
      <c r="A26" s="2" t="s">
        <v>587</v>
      </c>
      <c r="B26">
        <v>1</v>
      </c>
      <c r="D26" s="4">
        <v>3</v>
      </c>
      <c r="E26">
        <v>20</v>
      </c>
    </row>
    <row r="27" spans="1:13" x14ac:dyDescent="0.3">
      <c r="A27" s="2" t="s">
        <v>1318</v>
      </c>
      <c r="B27">
        <v>7</v>
      </c>
      <c r="D27" s="4">
        <v>4</v>
      </c>
      <c r="E27">
        <v>20</v>
      </c>
    </row>
    <row r="28" spans="1:13" x14ac:dyDescent="0.3">
      <c r="A28" s="2" t="s">
        <v>71</v>
      </c>
      <c r="B28">
        <v>124</v>
      </c>
      <c r="D28" s="4">
        <v>5</v>
      </c>
      <c r="E28">
        <v>20</v>
      </c>
    </row>
    <row r="29" spans="1:13" x14ac:dyDescent="0.3">
      <c r="A29" s="2" t="s">
        <v>1339</v>
      </c>
      <c r="B29">
        <v>37</v>
      </c>
      <c r="D29" s="4">
        <v>6</v>
      </c>
      <c r="E29">
        <v>20</v>
      </c>
    </row>
    <row r="30" spans="1:13" x14ac:dyDescent="0.3">
      <c r="A30" s="2" t="s">
        <v>29</v>
      </c>
      <c r="B30">
        <v>78</v>
      </c>
      <c r="D30" s="4">
        <v>7</v>
      </c>
      <c r="E30">
        <v>20</v>
      </c>
    </row>
    <row r="31" spans="1:13" x14ac:dyDescent="0.3">
      <c r="A31" s="2" t="s">
        <v>58</v>
      </c>
      <c r="B31">
        <v>184</v>
      </c>
      <c r="D31" s="4">
        <v>8</v>
      </c>
      <c r="E31">
        <v>20</v>
      </c>
    </row>
    <row r="32" spans="1:13" x14ac:dyDescent="0.3">
      <c r="A32" s="2" t="s">
        <v>246</v>
      </c>
      <c r="B32">
        <v>166</v>
      </c>
      <c r="D32" s="4">
        <v>9</v>
      </c>
      <c r="E32">
        <v>20</v>
      </c>
    </row>
    <row r="33" spans="1:5" x14ac:dyDescent="0.3">
      <c r="A33" s="2" t="s">
        <v>26</v>
      </c>
      <c r="B33">
        <v>185</v>
      </c>
      <c r="D33" s="4">
        <v>10</v>
      </c>
      <c r="E33">
        <v>20</v>
      </c>
    </row>
    <row r="34" spans="1:5" x14ac:dyDescent="0.3">
      <c r="A34" s="2" t="s">
        <v>1092</v>
      </c>
      <c r="B34">
        <v>49</v>
      </c>
      <c r="D34" s="4">
        <v>11</v>
      </c>
      <c r="E34">
        <v>20</v>
      </c>
    </row>
    <row r="35" spans="1:5" x14ac:dyDescent="0.3">
      <c r="A35" s="2" t="s">
        <v>992</v>
      </c>
      <c r="B35">
        <v>36</v>
      </c>
      <c r="D35" s="4">
        <v>12</v>
      </c>
      <c r="E35">
        <v>20</v>
      </c>
    </row>
    <row r="36" spans="1:5" x14ac:dyDescent="0.3">
      <c r="A36" s="2" t="s">
        <v>76</v>
      </c>
      <c r="B36">
        <v>20</v>
      </c>
      <c r="D36" s="4">
        <v>13</v>
      </c>
      <c r="E36">
        <v>20</v>
      </c>
    </row>
    <row r="37" spans="1:5" x14ac:dyDescent="0.3">
      <c r="A37" s="2" t="s">
        <v>38</v>
      </c>
      <c r="B37">
        <v>186</v>
      </c>
      <c r="D37" s="4">
        <v>14</v>
      </c>
      <c r="E37">
        <v>20</v>
      </c>
    </row>
    <row r="38" spans="1:5" x14ac:dyDescent="0.3">
      <c r="A38" s="2" t="s">
        <v>608</v>
      </c>
      <c r="B38">
        <v>44</v>
      </c>
      <c r="D38" s="4">
        <v>15</v>
      </c>
      <c r="E38">
        <v>20</v>
      </c>
    </row>
    <row r="39" spans="1:5" x14ac:dyDescent="0.3">
      <c r="A39" s="2" t="s">
        <v>440</v>
      </c>
      <c r="B39">
        <v>61</v>
      </c>
      <c r="D39" s="4">
        <v>16</v>
      </c>
      <c r="E39">
        <v>20</v>
      </c>
    </row>
    <row r="40" spans="1:5" x14ac:dyDescent="0.3">
      <c r="A40" s="2" t="s">
        <v>40</v>
      </c>
      <c r="B40">
        <v>130</v>
      </c>
      <c r="D40" s="4">
        <v>17</v>
      </c>
      <c r="E40">
        <v>20</v>
      </c>
    </row>
    <row r="41" spans="1:5" x14ac:dyDescent="0.3">
      <c r="A41" s="2" t="s">
        <v>613</v>
      </c>
      <c r="B41">
        <v>22</v>
      </c>
      <c r="D41" s="4">
        <v>18</v>
      </c>
      <c r="E41">
        <v>20</v>
      </c>
    </row>
    <row r="42" spans="1:5" x14ac:dyDescent="0.3">
      <c r="A42" s="2" t="s">
        <v>951</v>
      </c>
      <c r="B42">
        <v>11</v>
      </c>
      <c r="D42" s="4">
        <v>19</v>
      </c>
      <c r="E42">
        <v>20</v>
      </c>
    </row>
    <row r="43" spans="1:5" x14ac:dyDescent="0.3">
      <c r="A43" s="2" t="s">
        <v>1180</v>
      </c>
      <c r="B43">
        <v>41</v>
      </c>
      <c r="D43" s="4">
        <v>20</v>
      </c>
      <c r="E43">
        <v>20</v>
      </c>
    </row>
    <row r="44" spans="1:5" x14ac:dyDescent="0.3">
      <c r="A44" s="2" t="s">
        <v>1000</v>
      </c>
      <c r="B44">
        <v>84</v>
      </c>
      <c r="D44" s="4">
        <v>21</v>
      </c>
      <c r="E44">
        <v>20</v>
      </c>
    </row>
    <row r="45" spans="1:5" x14ac:dyDescent="0.3">
      <c r="A45" s="2" t="s">
        <v>73</v>
      </c>
      <c r="B45">
        <v>186</v>
      </c>
      <c r="D45" s="2">
        <v>2020</v>
      </c>
      <c r="E45">
        <v>340</v>
      </c>
    </row>
    <row r="46" spans="1:5" x14ac:dyDescent="0.3">
      <c r="A46" s="2" t="s">
        <v>590</v>
      </c>
      <c r="B46">
        <v>2</v>
      </c>
      <c r="D46" s="4">
        <v>1</v>
      </c>
      <c r="E46">
        <v>20</v>
      </c>
    </row>
    <row r="47" spans="1:5" x14ac:dyDescent="0.3">
      <c r="A47" s="2" t="s">
        <v>255</v>
      </c>
      <c r="B47">
        <v>23</v>
      </c>
      <c r="D47" s="4">
        <v>2</v>
      </c>
      <c r="E47">
        <v>20</v>
      </c>
    </row>
    <row r="48" spans="1:5" x14ac:dyDescent="0.3">
      <c r="A48" s="2" t="s">
        <v>67</v>
      </c>
      <c r="B48">
        <v>56</v>
      </c>
      <c r="D48" s="4">
        <v>3</v>
      </c>
      <c r="E48">
        <v>20</v>
      </c>
    </row>
    <row r="49" spans="1:5" x14ac:dyDescent="0.3">
      <c r="A49" s="2" t="s">
        <v>20</v>
      </c>
      <c r="B49">
        <v>100</v>
      </c>
      <c r="D49" s="4">
        <v>4</v>
      </c>
      <c r="E49">
        <v>20</v>
      </c>
    </row>
    <row r="50" spans="1:5" x14ac:dyDescent="0.3">
      <c r="A50" s="2" t="s">
        <v>79</v>
      </c>
      <c r="B50">
        <v>20</v>
      </c>
      <c r="D50" s="4">
        <v>5</v>
      </c>
      <c r="E50">
        <v>20</v>
      </c>
    </row>
    <row r="51" spans="1:5" x14ac:dyDescent="0.3">
      <c r="A51" s="2" t="s">
        <v>49</v>
      </c>
      <c r="B51">
        <v>160</v>
      </c>
      <c r="D51" s="4">
        <v>6</v>
      </c>
      <c r="E51">
        <v>20</v>
      </c>
    </row>
    <row r="52" spans="1:5" x14ac:dyDescent="0.3">
      <c r="A52" s="2" t="s">
        <v>45</v>
      </c>
      <c r="B52">
        <v>20</v>
      </c>
      <c r="D52" s="4">
        <v>7</v>
      </c>
      <c r="E52">
        <v>20</v>
      </c>
    </row>
    <row r="53" spans="1:5" x14ac:dyDescent="0.3">
      <c r="A53" s="2" t="s">
        <v>43</v>
      </c>
      <c r="B53">
        <v>162</v>
      </c>
      <c r="D53" s="4">
        <v>8</v>
      </c>
      <c r="E53">
        <v>20</v>
      </c>
    </row>
    <row r="54" spans="1:5" x14ac:dyDescent="0.3">
      <c r="A54" s="2" t="s">
        <v>601</v>
      </c>
      <c r="B54">
        <v>117</v>
      </c>
      <c r="D54" s="4">
        <v>9</v>
      </c>
      <c r="E54">
        <v>20</v>
      </c>
    </row>
    <row r="55" spans="1:5" x14ac:dyDescent="0.3">
      <c r="A55" s="2" t="s">
        <v>1548</v>
      </c>
      <c r="B55">
        <v>3746</v>
      </c>
      <c r="D55" s="4">
        <v>10</v>
      </c>
      <c r="E55">
        <v>20</v>
      </c>
    </row>
    <row r="56" spans="1:5" x14ac:dyDescent="0.3">
      <c r="D56" s="4">
        <v>11</v>
      </c>
      <c r="E56">
        <v>20</v>
      </c>
    </row>
    <row r="57" spans="1:5" x14ac:dyDescent="0.3">
      <c r="D57" s="4">
        <v>12</v>
      </c>
      <c r="E57">
        <v>20</v>
      </c>
    </row>
    <row r="58" spans="1:5" x14ac:dyDescent="0.3">
      <c r="D58" s="4">
        <v>13</v>
      </c>
      <c r="E58">
        <v>20</v>
      </c>
    </row>
    <row r="59" spans="1:5" x14ac:dyDescent="0.3">
      <c r="D59" s="4">
        <v>14</v>
      </c>
      <c r="E59">
        <v>20</v>
      </c>
    </row>
    <row r="60" spans="1:5" x14ac:dyDescent="0.3">
      <c r="D60" s="4">
        <v>15</v>
      </c>
      <c r="E60">
        <v>20</v>
      </c>
    </row>
    <row r="61" spans="1:5" x14ac:dyDescent="0.3">
      <c r="D61" s="4">
        <v>16</v>
      </c>
      <c r="E61">
        <v>20</v>
      </c>
    </row>
    <row r="62" spans="1:5" x14ac:dyDescent="0.3">
      <c r="D62" s="4">
        <v>17</v>
      </c>
      <c r="E62">
        <v>20</v>
      </c>
    </row>
    <row r="63" spans="1:5" x14ac:dyDescent="0.3">
      <c r="D63" s="2">
        <v>2021</v>
      </c>
      <c r="E63">
        <v>440</v>
      </c>
    </row>
    <row r="64" spans="1:5" x14ac:dyDescent="0.3">
      <c r="D64" s="4">
        <v>1</v>
      </c>
      <c r="E64">
        <v>20</v>
      </c>
    </row>
    <row r="65" spans="4:5" x14ac:dyDescent="0.3">
      <c r="D65" s="4">
        <v>2</v>
      </c>
      <c r="E65">
        <v>20</v>
      </c>
    </row>
    <row r="66" spans="4:5" x14ac:dyDescent="0.3">
      <c r="D66" s="4">
        <v>3</v>
      </c>
      <c r="E66">
        <v>20</v>
      </c>
    </row>
    <row r="67" spans="4:5" x14ac:dyDescent="0.3">
      <c r="D67" s="4">
        <v>4</v>
      </c>
      <c r="E67">
        <v>20</v>
      </c>
    </row>
    <row r="68" spans="4:5" x14ac:dyDescent="0.3">
      <c r="D68" s="4">
        <v>5</v>
      </c>
      <c r="E68">
        <v>20</v>
      </c>
    </row>
    <row r="69" spans="4:5" x14ac:dyDescent="0.3">
      <c r="D69" s="4">
        <v>6</v>
      </c>
      <c r="E69">
        <v>20</v>
      </c>
    </row>
    <row r="70" spans="4:5" x14ac:dyDescent="0.3">
      <c r="D70" s="4">
        <v>7</v>
      </c>
      <c r="E70">
        <v>20</v>
      </c>
    </row>
    <row r="71" spans="4:5" x14ac:dyDescent="0.3">
      <c r="D71" s="4">
        <v>8</v>
      </c>
      <c r="E71">
        <v>20</v>
      </c>
    </row>
    <row r="72" spans="4:5" x14ac:dyDescent="0.3">
      <c r="D72" s="4">
        <v>9</v>
      </c>
      <c r="E72">
        <v>20</v>
      </c>
    </row>
    <row r="73" spans="4:5" x14ac:dyDescent="0.3">
      <c r="D73" s="4">
        <v>10</v>
      </c>
      <c r="E73">
        <v>20</v>
      </c>
    </row>
    <row r="74" spans="4:5" x14ac:dyDescent="0.3">
      <c r="D74" s="4">
        <v>11</v>
      </c>
      <c r="E74">
        <v>20</v>
      </c>
    </row>
    <row r="75" spans="4:5" x14ac:dyDescent="0.3">
      <c r="D75" s="4">
        <v>12</v>
      </c>
      <c r="E75">
        <v>20</v>
      </c>
    </row>
    <row r="76" spans="4:5" x14ac:dyDescent="0.3">
      <c r="D76" s="4">
        <v>13</v>
      </c>
      <c r="E76">
        <v>20</v>
      </c>
    </row>
    <row r="77" spans="4:5" x14ac:dyDescent="0.3">
      <c r="D77" s="4">
        <v>14</v>
      </c>
      <c r="E77">
        <v>20</v>
      </c>
    </row>
    <row r="78" spans="4:5" x14ac:dyDescent="0.3">
      <c r="D78" s="4">
        <v>15</v>
      </c>
      <c r="E78">
        <v>20</v>
      </c>
    </row>
    <row r="79" spans="4:5" x14ac:dyDescent="0.3">
      <c r="D79" s="4">
        <v>16</v>
      </c>
      <c r="E79">
        <v>20</v>
      </c>
    </row>
    <row r="80" spans="4:5" x14ac:dyDescent="0.3">
      <c r="D80" s="4">
        <v>17</v>
      </c>
      <c r="E80">
        <v>20</v>
      </c>
    </row>
    <row r="81" spans="4:5" x14ac:dyDescent="0.3">
      <c r="D81" s="4">
        <v>18</v>
      </c>
      <c r="E81">
        <v>20</v>
      </c>
    </row>
    <row r="82" spans="4:5" x14ac:dyDescent="0.3">
      <c r="D82" s="4">
        <v>19</v>
      </c>
      <c r="E82">
        <v>20</v>
      </c>
    </row>
    <row r="83" spans="4:5" x14ac:dyDescent="0.3">
      <c r="D83" s="4">
        <v>20</v>
      </c>
      <c r="E83">
        <v>20</v>
      </c>
    </row>
    <row r="84" spans="4:5" x14ac:dyDescent="0.3">
      <c r="D84" s="4">
        <v>21</v>
      </c>
      <c r="E84">
        <v>20</v>
      </c>
    </row>
    <row r="85" spans="4:5" x14ac:dyDescent="0.3">
      <c r="D85" s="4">
        <v>22</v>
      </c>
      <c r="E85">
        <v>20</v>
      </c>
    </row>
    <row r="86" spans="4:5" x14ac:dyDescent="0.3">
      <c r="D86" s="2">
        <v>2022</v>
      </c>
      <c r="E86">
        <v>440</v>
      </c>
    </row>
    <row r="87" spans="4:5" x14ac:dyDescent="0.3">
      <c r="D87" s="4">
        <v>1</v>
      </c>
      <c r="E87">
        <v>20</v>
      </c>
    </row>
    <row r="88" spans="4:5" x14ac:dyDescent="0.3">
      <c r="D88" s="4">
        <v>2</v>
      </c>
      <c r="E88">
        <v>20</v>
      </c>
    </row>
    <row r="89" spans="4:5" x14ac:dyDescent="0.3">
      <c r="D89" s="4">
        <v>3</v>
      </c>
      <c r="E89">
        <v>20</v>
      </c>
    </row>
    <row r="90" spans="4:5" x14ac:dyDescent="0.3">
      <c r="D90" s="4">
        <v>4</v>
      </c>
      <c r="E90">
        <v>20</v>
      </c>
    </row>
    <row r="91" spans="4:5" x14ac:dyDescent="0.3">
      <c r="D91" s="4">
        <v>5</v>
      </c>
      <c r="E91">
        <v>20</v>
      </c>
    </row>
    <row r="92" spans="4:5" x14ac:dyDescent="0.3">
      <c r="D92" s="4">
        <v>6</v>
      </c>
      <c r="E92">
        <v>20</v>
      </c>
    </row>
    <row r="93" spans="4:5" x14ac:dyDescent="0.3">
      <c r="D93" s="4">
        <v>7</v>
      </c>
      <c r="E93">
        <v>20</v>
      </c>
    </row>
    <row r="94" spans="4:5" x14ac:dyDescent="0.3">
      <c r="D94" s="4">
        <v>8</v>
      </c>
      <c r="E94">
        <v>20</v>
      </c>
    </row>
    <row r="95" spans="4:5" x14ac:dyDescent="0.3">
      <c r="D95" s="4">
        <v>9</v>
      </c>
      <c r="E95">
        <v>20</v>
      </c>
    </row>
    <row r="96" spans="4:5" x14ac:dyDescent="0.3">
      <c r="D96" s="4">
        <v>10</v>
      </c>
      <c r="E96">
        <v>20</v>
      </c>
    </row>
    <row r="97" spans="4:5" x14ac:dyDescent="0.3">
      <c r="D97" s="4">
        <v>11</v>
      </c>
      <c r="E97">
        <v>20</v>
      </c>
    </row>
    <row r="98" spans="4:5" x14ac:dyDescent="0.3">
      <c r="D98" s="4">
        <v>12</v>
      </c>
      <c r="E98">
        <v>20</v>
      </c>
    </row>
    <row r="99" spans="4:5" x14ac:dyDescent="0.3">
      <c r="D99" s="4">
        <v>13</v>
      </c>
      <c r="E99">
        <v>20</v>
      </c>
    </row>
    <row r="100" spans="4:5" x14ac:dyDescent="0.3">
      <c r="D100" s="4">
        <v>14</v>
      </c>
      <c r="E100">
        <v>20</v>
      </c>
    </row>
    <row r="101" spans="4:5" x14ac:dyDescent="0.3">
      <c r="D101" s="4">
        <v>15</v>
      </c>
      <c r="E101">
        <v>20</v>
      </c>
    </row>
    <row r="102" spans="4:5" x14ac:dyDescent="0.3">
      <c r="D102" s="4">
        <v>16</v>
      </c>
      <c r="E102">
        <v>20</v>
      </c>
    </row>
    <row r="103" spans="4:5" x14ac:dyDescent="0.3">
      <c r="D103" s="4">
        <v>17</v>
      </c>
      <c r="E103">
        <v>20</v>
      </c>
    </row>
    <row r="104" spans="4:5" x14ac:dyDescent="0.3">
      <c r="D104" s="4">
        <v>18</v>
      </c>
      <c r="E104">
        <v>20</v>
      </c>
    </row>
    <row r="105" spans="4:5" x14ac:dyDescent="0.3">
      <c r="D105" s="4">
        <v>19</v>
      </c>
      <c r="E105">
        <v>20</v>
      </c>
    </row>
    <row r="106" spans="4:5" x14ac:dyDescent="0.3">
      <c r="D106" s="4">
        <v>20</v>
      </c>
      <c r="E106">
        <v>20</v>
      </c>
    </row>
    <row r="107" spans="4:5" x14ac:dyDescent="0.3">
      <c r="D107" s="4">
        <v>21</v>
      </c>
      <c r="E107">
        <v>20</v>
      </c>
    </row>
    <row r="108" spans="4:5" x14ac:dyDescent="0.3">
      <c r="D108" s="4">
        <v>22</v>
      </c>
      <c r="E108">
        <v>20</v>
      </c>
    </row>
    <row r="109" spans="4:5" x14ac:dyDescent="0.3">
      <c r="D109" s="2">
        <v>2023</v>
      </c>
      <c r="E109">
        <v>440</v>
      </c>
    </row>
    <row r="110" spans="4:5" x14ac:dyDescent="0.3">
      <c r="D110" s="4">
        <v>1</v>
      </c>
      <c r="E110">
        <v>20</v>
      </c>
    </row>
    <row r="111" spans="4:5" x14ac:dyDescent="0.3">
      <c r="D111" s="4">
        <v>2</v>
      </c>
      <c r="E111">
        <v>20</v>
      </c>
    </row>
    <row r="112" spans="4:5" x14ac:dyDescent="0.3">
      <c r="D112" s="4">
        <v>3</v>
      </c>
      <c r="E112">
        <v>20</v>
      </c>
    </row>
    <row r="113" spans="4:5" x14ac:dyDescent="0.3">
      <c r="D113" s="4">
        <v>4</v>
      </c>
      <c r="E113">
        <v>20</v>
      </c>
    </row>
    <row r="114" spans="4:5" x14ac:dyDescent="0.3">
      <c r="D114" s="4">
        <v>5</v>
      </c>
      <c r="E114">
        <v>20</v>
      </c>
    </row>
    <row r="115" spans="4:5" x14ac:dyDescent="0.3">
      <c r="D115" s="4">
        <v>6</v>
      </c>
      <c r="E115">
        <v>20</v>
      </c>
    </row>
    <row r="116" spans="4:5" x14ac:dyDescent="0.3">
      <c r="D116" s="4">
        <v>7</v>
      </c>
      <c r="E116">
        <v>20</v>
      </c>
    </row>
    <row r="117" spans="4:5" x14ac:dyDescent="0.3">
      <c r="D117" s="4">
        <v>8</v>
      </c>
      <c r="E117">
        <v>20</v>
      </c>
    </row>
    <row r="118" spans="4:5" x14ac:dyDescent="0.3">
      <c r="D118" s="4">
        <v>9</v>
      </c>
      <c r="E118">
        <v>20</v>
      </c>
    </row>
    <row r="119" spans="4:5" x14ac:dyDescent="0.3">
      <c r="D119" s="4">
        <v>10</v>
      </c>
      <c r="E119">
        <v>20</v>
      </c>
    </row>
    <row r="120" spans="4:5" x14ac:dyDescent="0.3">
      <c r="D120" s="4">
        <v>11</v>
      </c>
      <c r="E120">
        <v>20</v>
      </c>
    </row>
    <row r="121" spans="4:5" x14ac:dyDescent="0.3">
      <c r="D121" s="4">
        <v>12</v>
      </c>
      <c r="E121">
        <v>20</v>
      </c>
    </row>
    <row r="122" spans="4:5" x14ac:dyDescent="0.3">
      <c r="D122" s="4">
        <v>13</v>
      </c>
      <c r="E122">
        <v>20</v>
      </c>
    </row>
    <row r="123" spans="4:5" x14ac:dyDescent="0.3">
      <c r="D123" s="4">
        <v>14</v>
      </c>
      <c r="E123">
        <v>20</v>
      </c>
    </row>
    <row r="124" spans="4:5" x14ac:dyDescent="0.3">
      <c r="D124" s="4">
        <v>15</v>
      </c>
      <c r="E124">
        <v>20</v>
      </c>
    </row>
    <row r="125" spans="4:5" x14ac:dyDescent="0.3">
      <c r="D125" s="4">
        <v>16</v>
      </c>
      <c r="E125">
        <v>20</v>
      </c>
    </row>
    <row r="126" spans="4:5" x14ac:dyDescent="0.3">
      <c r="D126" s="4">
        <v>17</v>
      </c>
      <c r="E126">
        <v>20</v>
      </c>
    </row>
    <row r="127" spans="4:5" x14ac:dyDescent="0.3">
      <c r="D127" s="4">
        <v>18</v>
      </c>
      <c r="E127">
        <v>20</v>
      </c>
    </row>
    <row r="128" spans="4:5" x14ac:dyDescent="0.3">
      <c r="D128" s="4">
        <v>19</v>
      </c>
      <c r="E128">
        <v>20</v>
      </c>
    </row>
    <row r="129" spans="4:5" x14ac:dyDescent="0.3">
      <c r="D129" s="4">
        <v>20</v>
      </c>
      <c r="E129">
        <v>20</v>
      </c>
    </row>
    <row r="130" spans="4:5" x14ac:dyDescent="0.3">
      <c r="D130" s="4">
        <v>21</v>
      </c>
      <c r="E130">
        <v>20</v>
      </c>
    </row>
    <row r="131" spans="4:5" x14ac:dyDescent="0.3">
      <c r="D131" s="4">
        <v>22</v>
      </c>
      <c r="E131">
        <v>20</v>
      </c>
    </row>
    <row r="132" spans="4:5" x14ac:dyDescent="0.3">
      <c r="D132" s="2">
        <v>2024</v>
      </c>
      <c r="E132">
        <v>479</v>
      </c>
    </row>
    <row r="133" spans="4:5" x14ac:dyDescent="0.3">
      <c r="D133" s="4">
        <v>1</v>
      </c>
      <c r="E133">
        <v>20</v>
      </c>
    </row>
    <row r="134" spans="4:5" x14ac:dyDescent="0.3">
      <c r="D134" s="4">
        <v>2</v>
      </c>
      <c r="E134">
        <v>20</v>
      </c>
    </row>
    <row r="135" spans="4:5" x14ac:dyDescent="0.3">
      <c r="D135" s="4">
        <v>3</v>
      </c>
      <c r="E135">
        <v>19</v>
      </c>
    </row>
    <row r="136" spans="4:5" x14ac:dyDescent="0.3">
      <c r="D136" s="4">
        <v>4</v>
      </c>
      <c r="E136">
        <v>20</v>
      </c>
    </row>
    <row r="137" spans="4:5" x14ac:dyDescent="0.3">
      <c r="D137" s="4">
        <v>5</v>
      </c>
      <c r="E137">
        <v>20</v>
      </c>
    </row>
    <row r="138" spans="4:5" x14ac:dyDescent="0.3">
      <c r="D138" s="4">
        <v>6</v>
      </c>
      <c r="E138">
        <v>20</v>
      </c>
    </row>
    <row r="139" spans="4:5" x14ac:dyDescent="0.3">
      <c r="D139" s="4">
        <v>7</v>
      </c>
      <c r="E139">
        <v>20</v>
      </c>
    </row>
    <row r="140" spans="4:5" x14ac:dyDescent="0.3">
      <c r="D140" s="4">
        <v>8</v>
      </c>
      <c r="E140">
        <v>20</v>
      </c>
    </row>
    <row r="141" spans="4:5" x14ac:dyDescent="0.3">
      <c r="D141" s="4">
        <v>9</v>
      </c>
      <c r="E141">
        <v>20</v>
      </c>
    </row>
    <row r="142" spans="4:5" x14ac:dyDescent="0.3">
      <c r="D142" s="4">
        <v>10</v>
      </c>
      <c r="E142">
        <v>20</v>
      </c>
    </row>
    <row r="143" spans="4:5" x14ac:dyDescent="0.3">
      <c r="D143" s="4">
        <v>11</v>
      </c>
      <c r="E143">
        <v>20</v>
      </c>
    </row>
    <row r="144" spans="4:5" x14ac:dyDescent="0.3">
      <c r="D144" s="4">
        <v>12</v>
      </c>
      <c r="E144">
        <v>20</v>
      </c>
    </row>
    <row r="145" spans="4:5" x14ac:dyDescent="0.3">
      <c r="D145" s="4">
        <v>13</v>
      </c>
      <c r="E145">
        <v>20</v>
      </c>
    </row>
    <row r="146" spans="4:5" x14ac:dyDescent="0.3">
      <c r="D146" s="4">
        <v>14</v>
      </c>
      <c r="E146">
        <v>20</v>
      </c>
    </row>
    <row r="147" spans="4:5" x14ac:dyDescent="0.3">
      <c r="D147" s="4">
        <v>15</v>
      </c>
      <c r="E147">
        <v>20</v>
      </c>
    </row>
    <row r="148" spans="4:5" x14ac:dyDescent="0.3">
      <c r="D148" s="4">
        <v>16</v>
      </c>
      <c r="E148">
        <v>20</v>
      </c>
    </row>
    <row r="149" spans="4:5" x14ac:dyDescent="0.3">
      <c r="D149" s="4">
        <v>17</v>
      </c>
      <c r="E149">
        <v>20</v>
      </c>
    </row>
    <row r="150" spans="4:5" x14ac:dyDescent="0.3">
      <c r="D150" s="4">
        <v>18</v>
      </c>
      <c r="E150">
        <v>20</v>
      </c>
    </row>
    <row r="151" spans="4:5" x14ac:dyDescent="0.3">
      <c r="D151" s="4">
        <v>19</v>
      </c>
      <c r="E151">
        <v>20</v>
      </c>
    </row>
    <row r="152" spans="4:5" x14ac:dyDescent="0.3">
      <c r="D152" s="4">
        <v>20</v>
      </c>
      <c r="E152">
        <v>20</v>
      </c>
    </row>
    <row r="153" spans="4:5" x14ac:dyDescent="0.3">
      <c r="D153" s="4">
        <v>21</v>
      </c>
      <c r="E153">
        <v>20</v>
      </c>
    </row>
    <row r="154" spans="4:5" x14ac:dyDescent="0.3">
      <c r="D154" s="4">
        <v>22</v>
      </c>
      <c r="E154">
        <v>20</v>
      </c>
    </row>
    <row r="155" spans="4:5" x14ac:dyDescent="0.3">
      <c r="D155" s="4">
        <v>23</v>
      </c>
      <c r="E155">
        <v>20</v>
      </c>
    </row>
    <row r="156" spans="4:5" x14ac:dyDescent="0.3">
      <c r="D156" s="4">
        <v>24</v>
      </c>
      <c r="E156">
        <v>20</v>
      </c>
    </row>
    <row r="157" spans="4:5" x14ac:dyDescent="0.3">
      <c r="D157" s="2">
        <v>2025</v>
      </c>
      <c r="E157">
        <v>479</v>
      </c>
    </row>
    <row r="158" spans="4:5" x14ac:dyDescent="0.3">
      <c r="D158" s="4">
        <v>1</v>
      </c>
      <c r="E158">
        <v>20</v>
      </c>
    </row>
    <row r="159" spans="4:5" x14ac:dyDescent="0.3">
      <c r="D159" s="4">
        <v>2</v>
      </c>
      <c r="E159">
        <v>20</v>
      </c>
    </row>
    <row r="160" spans="4:5" x14ac:dyDescent="0.3">
      <c r="D160" s="4">
        <v>3</v>
      </c>
      <c r="E160">
        <v>20</v>
      </c>
    </row>
    <row r="161" spans="4:5" x14ac:dyDescent="0.3">
      <c r="D161" s="4">
        <v>4</v>
      </c>
      <c r="E161">
        <v>20</v>
      </c>
    </row>
    <row r="162" spans="4:5" x14ac:dyDescent="0.3">
      <c r="D162" s="4">
        <v>5</v>
      </c>
      <c r="E162">
        <v>20</v>
      </c>
    </row>
    <row r="163" spans="4:5" x14ac:dyDescent="0.3">
      <c r="D163" s="4">
        <v>6</v>
      </c>
      <c r="E163">
        <v>20</v>
      </c>
    </row>
    <row r="164" spans="4:5" x14ac:dyDescent="0.3">
      <c r="D164" s="4">
        <v>7</v>
      </c>
      <c r="E164">
        <v>20</v>
      </c>
    </row>
    <row r="165" spans="4:5" x14ac:dyDescent="0.3">
      <c r="D165" s="4">
        <v>8</v>
      </c>
      <c r="E165">
        <v>20</v>
      </c>
    </row>
    <row r="166" spans="4:5" x14ac:dyDescent="0.3">
      <c r="D166" s="4">
        <v>9</v>
      </c>
      <c r="E166">
        <v>19</v>
      </c>
    </row>
    <row r="167" spans="4:5" x14ac:dyDescent="0.3">
      <c r="D167" s="4">
        <v>10</v>
      </c>
      <c r="E167">
        <v>20</v>
      </c>
    </row>
    <row r="168" spans="4:5" x14ac:dyDescent="0.3">
      <c r="D168" s="4">
        <v>11</v>
      </c>
      <c r="E168">
        <v>20</v>
      </c>
    </row>
    <row r="169" spans="4:5" x14ac:dyDescent="0.3">
      <c r="D169" s="4">
        <v>12</v>
      </c>
      <c r="E169">
        <v>20</v>
      </c>
    </row>
    <row r="170" spans="4:5" x14ac:dyDescent="0.3">
      <c r="D170" s="4">
        <v>13</v>
      </c>
      <c r="E170">
        <v>20</v>
      </c>
    </row>
    <row r="171" spans="4:5" x14ac:dyDescent="0.3">
      <c r="D171" s="4">
        <v>14</v>
      </c>
      <c r="E171">
        <v>20</v>
      </c>
    </row>
    <row r="172" spans="4:5" x14ac:dyDescent="0.3">
      <c r="D172" s="4">
        <v>15</v>
      </c>
      <c r="E172">
        <v>20</v>
      </c>
    </row>
    <row r="173" spans="4:5" x14ac:dyDescent="0.3">
      <c r="D173" s="4">
        <v>16</v>
      </c>
      <c r="E173">
        <v>20</v>
      </c>
    </row>
    <row r="174" spans="4:5" x14ac:dyDescent="0.3">
      <c r="D174" s="4">
        <v>17</v>
      </c>
      <c r="E174">
        <v>20</v>
      </c>
    </row>
    <row r="175" spans="4:5" x14ac:dyDescent="0.3">
      <c r="D175" s="4">
        <v>18</v>
      </c>
      <c r="E175">
        <v>20</v>
      </c>
    </row>
    <row r="176" spans="4:5" x14ac:dyDescent="0.3">
      <c r="D176" s="4">
        <v>19</v>
      </c>
      <c r="E176">
        <v>20</v>
      </c>
    </row>
    <row r="177" spans="4:5" x14ac:dyDescent="0.3">
      <c r="D177" s="4">
        <v>20</v>
      </c>
      <c r="E177">
        <v>20</v>
      </c>
    </row>
    <row r="178" spans="4:5" x14ac:dyDescent="0.3">
      <c r="D178" s="4">
        <v>21</v>
      </c>
      <c r="E178">
        <v>20</v>
      </c>
    </row>
    <row r="179" spans="4:5" x14ac:dyDescent="0.3">
      <c r="D179" s="4">
        <v>22</v>
      </c>
      <c r="E179">
        <v>20</v>
      </c>
    </row>
    <row r="180" spans="4:5" x14ac:dyDescent="0.3">
      <c r="D180" s="4">
        <v>23</v>
      </c>
      <c r="E180">
        <v>20</v>
      </c>
    </row>
    <row r="181" spans="4:5" x14ac:dyDescent="0.3">
      <c r="D181" s="4">
        <v>24</v>
      </c>
      <c r="E181">
        <v>20</v>
      </c>
    </row>
    <row r="182" spans="4:5" x14ac:dyDescent="0.3">
      <c r="D182" s="2">
        <v>2026</v>
      </c>
      <c r="E182">
        <v>308</v>
      </c>
    </row>
    <row r="183" spans="4:5" x14ac:dyDescent="0.3">
      <c r="D183" s="4">
        <v>1</v>
      </c>
      <c r="E183">
        <v>22</v>
      </c>
    </row>
    <row r="184" spans="4:5" x14ac:dyDescent="0.3">
      <c r="D184" s="4">
        <v>2</v>
      </c>
      <c r="E184">
        <v>22</v>
      </c>
    </row>
    <row r="185" spans="4:5" x14ac:dyDescent="0.3">
      <c r="D185" s="4">
        <v>3</v>
      </c>
      <c r="E185">
        <v>22</v>
      </c>
    </row>
    <row r="186" spans="4:5" x14ac:dyDescent="0.3">
      <c r="D186" s="4">
        <v>4</v>
      </c>
      <c r="E186">
        <v>22</v>
      </c>
    </row>
    <row r="187" spans="4:5" x14ac:dyDescent="0.3">
      <c r="D187" s="4">
        <v>5</v>
      </c>
      <c r="E187">
        <v>22</v>
      </c>
    </row>
    <row r="188" spans="4:5" x14ac:dyDescent="0.3">
      <c r="D188" s="4">
        <v>6</v>
      </c>
      <c r="E188">
        <v>22</v>
      </c>
    </row>
    <row r="189" spans="4:5" x14ac:dyDescent="0.3">
      <c r="D189" s="4">
        <v>7</v>
      </c>
      <c r="E189">
        <v>22</v>
      </c>
    </row>
    <row r="190" spans="4:5" x14ac:dyDescent="0.3">
      <c r="D190" s="4">
        <v>8</v>
      </c>
      <c r="E190">
        <v>22</v>
      </c>
    </row>
    <row r="191" spans="4:5" x14ac:dyDescent="0.3">
      <c r="D191" s="4">
        <v>9</v>
      </c>
      <c r="E191">
        <v>22</v>
      </c>
    </row>
    <row r="192" spans="4:5" x14ac:dyDescent="0.3">
      <c r="D192" s="4">
        <v>10</v>
      </c>
      <c r="E192">
        <v>22</v>
      </c>
    </row>
    <row r="193" spans="4:5" x14ac:dyDescent="0.3">
      <c r="D193" s="4">
        <v>11</v>
      </c>
      <c r="E193">
        <v>22</v>
      </c>
    </row>
    <row r="194" spans="4:5" x14ac:dyDescent="0.3">
      <c r="D194" s="4">
        <v>12</v>
      </c>
      <c r="E194">
        <v>22</v>
      </c>
    </row>
    <row r="195" spans="4:5" x14ac:dyDescent="0.3">
      <c r="D195" s="4">
        <v>13</v>
      </c>
      <c r="E195">
        <v>22</v>
      </c>
    </row>
    <row r="196" spans="4:5" x14ac:dyDescent="0.3">
      <c r="D196" s="4">
        <v>14</v>
      </c>
      <c r="E196">
        <v>22</v>
      </c>
    </row>
    <row r="197" spans="4:5" x14ac:dyDescent="0.3">
      <c r="D197" s="2" t="s">
        <v>1548</v>
      </c>
      <c r="E197">
        <v>3746</v>
      </c>
    </row>
    <row r="199" spans="4:5" x14ac:dyDescent="0.3">
      <c r="D199">
        <f>COUNT(D2:D196)-9</f>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DF0D-B213-47F0-A866-E252E3F632DD}">
  <dimension ref="A1:F29"/>
  <sheetViews>
    <sheetView topLeftCell="A2" workbookViewId="0">
      <selection activeCell="B8" sqref="B8"/>
    </sheetView>
  </sheetViews>
  <sheetFormatPr defaultRowHeight="14.4" x14ac:dyDescent="0.3"/>
  <cols>
    <col min="1" max="1" width="12.44140625" bestFit="1" customWidth="1"/>
    <col min="2" max="2" width="21.88671875" bestFit="1" customWidth="1"/>
    <col min="3" max="3" width="16.33203125" bestFit="1" customWidth="1"/>
    <col min="4" max="4" width="9.88671875" bestFit="1" customWidth="1"/>
    <col min="5" max="5" width="6.33203125" bestFit="1" customWidth="1"/>
    <col min="6" max="6" width="11.33203125" bestFit="1" customWidth="1"/>
    <col min="7" max="7" width="4.77734375" bestFit="1" customWidth="1"/>
    <col min="8" max="8" width="8" bestFit="1" customWidth="1"/>
    <col min="9" max="9" width="6.5546875" bestFit="1" customWidth="1"/>
    <col min="10" max="10" width="10.21875" bestFit="1" customWidth="1"/>
    <col min="11" max="11" width="12.44140625" bestFit="1" customWidth="1"/>
    <col min="12" max="12" width="10.88671875" bestFit="1" customWidth="1"/>
    <col min="13" max="13" width="8" bestFit="1" customWidth="1"/>
    <col min="14" max="14" width="9.109375" bestFit="1" customWidth="1"/>
    <col min="15" max="15" width="11" bestFit="1" customWidth="1"/>
    <col min="16" max="16" width="11.21875" bestFit="1" customWidth="1"/>
    <col min="17" max="17" width="4" bestFit="1" customWidth="1"/>
    <col min="18" max="18" width="13.77734375" bestFit="1" customWidth="1"/>
    <col min="19" max="19" width="7.33203125" bestFit="1" customWidth="1"/>
    <col min="20" max="20" width="6.88671875" bestFit="1" customWidth="1"/>
    <col min="21" max="21" width="9.77734375" bestFit="1" customWidth="1"/>
    <col min="22" max="22" width="8.44140625" bestFit="1" customWidth="1"/>
    <col min="23" max="23" width="10.5546875" bestFit="1" customWidth="1"/>
  </cols>
  <sheetData>
    <row r="1" spans="1:6" x14ac:dyDescent="0.3">
      <c r="A1" s="1" t="s">
        <v>0</v>
      </c>
      <c r="B1" t="s">
        <v>1550</v>
      </c>
    </row>
    <row r="2" spans="1:6" x14ac:dyDescent="0.3">
      <c r="A2" s="1" t="s">
        <v>5</v>
      </c>
      <c r="B2" t="s">
        <v>1550</v>
      </c>
    </row>
    <row r="4" spans="1:6" x14ac:dyDescent="0.3">
      <c r="A4" s="1" t="s">
        <v>1547</v>
      </c>
      <c r="B4" t="s">
        <v>1553</v>
      </c>
    </row>
    <row r="5" spans="1:6" x14ac:dyDescent="0.3">
      <c r="A5" s="2">
        <v>0</v>
      </c>
      <c r="B5">
        <v>14.13953488372093</v>
      </c>
      <c r="E5" t="s">
        <v>1560</v>
      </c>
      <c r="F5" t="s">
        <v>1561</v>
      </c>
    </row>
    <row r="6" spans="1:6" x14ac:dyDescent="0.3">
      <c r="A6" s="2">
        <v>1</v>
      </c>
      <c r="B6">
        <v>3.553763440860215</v>
      </c>
      <c r="E6" s="2">
        <v>0</v>
      </c>
      <c r="F6">
        <v>14.13953488372093</v>
      </c>
    </row>
    <row r="7" spans="1:6" x14ac:dyDescent="0.3">
      <c r="A7" s="2">
        <v>2</v>
      </c>
      <c r="B7">
        <v>4.064516129032258</v>
      </c>
      <c r="E7" s="2">
        <v>1</v>
      </c>
      <c r="F7">
        <v>3.553763440860215</v>
      </c>
    </row>
    <row r="8" spans="1:6" x14ac:dyDescent="0.3">
      <c r="A8" s="2">
        <v>3</v>
      </c>
      <c r="B8">
        <v>5.467741935483871</v>
      </c>
      <c r="E8" s="2">
        <v>2</v>
      </c>
      <c r="F8">
        <v>4.064516129032258</v>
      </c>
    </row>
    <row r="9" spans="1:6" x14ac:dyDescent="0.3">
      <c r="A9" s="2">
        <v>4</v>
      </c>
      <c r="B9">
        <v>5.903225806451613</v>
      </c>
      <c r="E9" s="2">
        <v>3</v>
      </c>
      <c r="F9">
        <v>5.467741935483871</v>
      </c>
    </row>
    <row r="10" spans="1:6" x14ac:dyDescent="0.3">
      <c r="A10" s="2">
        <v>5</v>
      </c>
      <c r="B10">
        <v>7.263440860215054</v>
      </c>
      <c r="E10" s="2">
        <v>4</v>
      </c>
      <c r="F10">
        <v>5.903225806451613</v>
      </c>
    </row>
    <row r="11" spans="1:6" x14ac:dyDescent="0.3">
      <c r="A11" s="2">
        <v>6</v>
      </c>
      <c r="B11">
        <v>7.731182795698925</v>
      </c>
      <c r="E11" s="2">
        <v>5</v>
      </c>
      <c r="F11">
        <v>7.263440860215054</v>
      </c>
    </row>
    <row r="12" spans="1:6" x14ac:dyDescent="0.3">
      <c r="A12" s="2">
        <v>7</v>
      </c>
      <c r="B12">
        <v>8.7297297297297298</v>
      </c>
      <c r="E12" s="2">
        <v>6</v>
      </c>
      <c r="F12">
        <v>7.731182795698925</v>
      </c>
    </row>
    <row r="13" spans="1:6" x14ac:dyDescent="0.3">
      <c r="A13" s="2">
        <v>8</v>
      </c>
      <c r="B13">
        <v>9.9405405405405407</v>
      </c>
      <c r="E13" s="2">
        <v>7</v>
      </c>
      <c r="F13">
        <v>8.7297297297297298</v>
      </c>
    </row>
    <row r="14" spans="1:6" x14ac:dyDescent="0.3">
      <c r="A14" s="2">
        <v>9</v>
      </c>
      <c r="B14">
        <v>10.32258064516129</v>
      </c>
      <c r="E14" s="2">
        <v>8</v>
      </c>
      <c r="F14">
        <v>9.9405405405405407</v>
      </c>
    </row>
    <row r="15" spans="1:6" x14ac:dyDescent="0.3">
      <c r="A15" s="2">
        <v>10</v>
      </c>
      <c r="B15">
        <v>11.210810810810811</v>
      </c>
      <c r="E15" s="2">
        <v>9</v>
      </c>
      <c r="F15">
        <v>10.32258064516129</v>
      </c>
    </row>
    <row r="16" spans="1:6" x14ac:dyDescent="0.3">
      <c r="A16" s="2">
        <v>11</v>
      </c>
      <c r="B16">
        <v>11.470270270270269</v>
      </c>
      <c r="E16" s="2">
        <v>10</v>
      </c>
      <c r="F16">
        <v>11.210810810810811</v>
      </c>
    </row>
    <row r="17" spans="1:6" x14ac:dyDescent="0.3">
      <c r="A17" s="2">
        <v>12</v>
      </c>
      <c r="B17">
        <v>12.053763440860216</v>
      </c>
      <c r="E17" s="2">
        <v>11</v>
      </c>
      <c r="F17">
        <v>11.470270270270269</v>
      </c>
    </row>
    <row r="18" spans="1:6" x14ac:dyDescent="0.3">
      <c r="A18" s="2">
        <v>13</v>
      </c>
      <c r="B18">
        <v>12.630434782608695</v>
      </c>
      <c r="E18" s="2">
        <v>12</v>
      </c>
      <c r="F18">
        <v>12.053763440860216</v>
      </c>
    </row>
    <row r="19" spans="1:6" x14ac:dyDescent="0.3">
      <c r="A19" s="2">
        <v>14</v>
      </c>
      <c r="B19">
        <v>13.45945945945946</v>
      </c>
      <c r="E19" s="2">
        <v>13</v>
      </c>
      <c r="F19">
        <v>12.630434782608695</v>
      </c>
    </row>
    <row r="20" spans="1:6" x14ac:dyDescent="0.3">
      <c r="A20" s="2">
        <v>15</v>
      </c>
      <c r="B20">
        <v>13.416216216216217</v>
      </c>
      <c r="E20" s="2">
        <v>14</v>
      </c>
      <c r="F20">
        <v>13.45945945945946</v>
      </c>
    </row>
    <row r="21" spans="1:6" x14ac:dyDescent="0.3">
      <c r="A21" s="2">
        <v>16</v>
      </c>
      <c r="B21">
        <v>14.286486486486487</v>
      </c>
      <c r="E21" s="2">
        <v>15</v>
      </c>
      <c r="F21">
        <v>13.416216216216217</v>
      </c>
    </row>
    <row r="22" spans="1:6" x14ac:dyDescent="0.3">
      <c r="A22" s="2">
        <v>17</v>
      </c>
      <c r="B22">
        <v>14.53225806451613</v>
      </c>
      <c r="E22" s="2">
        <v>16</v>
      </c>
      <c r="F22">
        <v>14.286486486486487</v>
      </c>
    </row>
    <row r="23" spans="1:6" x14ac:dyDescent="0.3">
      <c r="A23" s="2">
        <v>18</v>
      </c>
      <c r="B23">
        <v>14.972677595628415</v>
      </c>
      <c r="E23" s="2">
        <v>17</v>
      </c>
      <c r="F23">
        <v>14.53225806451613</v>
      </c>
    </row>
    <row r="24" spans="1:6" x14ac:dyDescent="0.3">
      <c r="A24" s="2">
        <v>19</v>
      </c>
      <c r="B24">
        <v>14.597826086956522</v>
      </c>
      <c r="E24" s="2">
        <v>18</v>
      </c>
      <c r="F24">
        <v>14.972677595628415</v>
      </c>
    </row>
    <row r="25" spans="1:6" x14ac:dyDescent="0.3">
      <c r="A25" s="2">
        <v>20</v>
      </c>
      <c r="B25">
        <v>14.894736842105264</v>
      </c>
      <c r="E25" s="2">
        <v>19</v>
      </c>
      <c r="F25">
        <v>14.597826086956522</v>
      </c>
    </row>
    <row r="26" spans="1:6" x14ac:dyDescent="0.3">
      <c r="A26" s="2">
        <v>21</v>
      </c>
      <c r="B26">
        <v>16.571428571428573</v>
      </c>
      <c r="E26" s="2">
        <v>20</v>
      </c>
      <c r="F26">
        <v>14.894736842105264</v>
      </c>
    </row>
    <row r="27" spans="1:6" x14ac:dyDescent="0.3">
      <c r="A27" s="2">
        <v>22</v>
      </c>
      <c r="B27">
        <v>18.357142857142858</v>
      </c>
      <c r="E27" s="2">
        <v>21</v>
      </c>
      <c r="F27">
        <v>16.571428571428573</v>
      </c>
    </row>
    <row r="28" spans="1:6" x14ac:dyDescent="0.3">
      <c r="A28" s="2" t="s">
        <v>1552</v>
      </c>
      <c r="E28" s="2">
        <v>22</v>
      </c>
      <c r="F28">
        <v>18.357142857142858</v>
      </c>
    </row>
    <row r="29" spans="1:6" x14ac:dyDescent="0.3">
      <c r="A29" s="2" t="s">
        <v>1548</v>
      </c>
      <c r="B29">
        <v>10.569596580283195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6F87-7C65-48DB-8E2D-918C3FCE6D7D}">
  <dimension ref="A1:D49"/>
  <sheetViews>
    <sheetView workbookViewId="0">
      <selection activeCell="G7" sqref="G7"/>
    </sheetView>
  </sheetViews>
  <sheetFormatPr defaultRowHeight="14.4" x14ac:dyDescent="0.3"/>
  <cols>
    <col min="1" max="1" width="18.109375" bestFit="1" customWidth="1"/>
    <col min="2" max="4" width="18.21875" bestFit="1" customWidth="1"/>
  </cols>
  <sheetData>
    <row r="1" spans="1:4" x14ac:dyDescent="0.3">
      <c r="A1" s="1" t="s">
        <v>0</v>
      </c>
      <c r="B1" t="s">
        <v>1550</v>
      </c>
    </row>
    <row r="3" spans="1:4" x14ac:dyDescent="0.3">
      <c r="A3" s="1" t="s">
        <v>1547</v>
      </c>
      <c r="B3" t="s">
        <v>1556</v>
      </c>
      <c r="C3" t="s">
        <v>1557</v>
      </c>
      <c r="D3" t="s">
        <v>1558</v>
      </c>
    </row>
    <row r="4" spans="1:4" x14ac:dyDescent="0.3">
      <c r="A4" s="2" t="s">
        <v>590</v>
      </c>
      <c r="B4">
        <v>18.899000000000001</v>
      </c>
      <c r="C4">
        <v>31.880000000000003</v>
      </c>
      <c r="D4">
        <v>28.8735</v>
      </c>
    </row>
    <row r="5" spans="1:4" x14ac:dyDescent="0.3">
      <c r="A5" s="2" t="s">
        <v>587</v>
      </c>
      <c r="B5">
        <v>20.010999999999999</v>
      </c>
      <c r="C5">
        <v>20.414999999999999</v>
      </c>
      <c r="D5">
        <v>16.888999999999999</v>
      </c>
    </row>
    <row r="6" spans="1:4" x14ac:dyDescent="0.3">
      <c r="A6" s="2" t="s">
        <v>79</v>
      </c>
      <c r="B6">
        <v>25.58538888888889</v>
      </c>
      <c r="C6">
        <v>35.933555555555557</v>
      </c>
      <c r="D6">
        <v>28.357833333333332</v>
      </c>
    </row>
    <row r="7" spans="1:4" x14ac:dyDescent="0.3">
      <c r="A7" s="2" t="s">
        <v>29</v>
      </c>
      <c r="B7">
        <v>26.285565789473686</v>
      </c>
      <c r="C7">
        <v>34.301815789473672</v>
      </c>
      <c r="D7">
        <v>27.192710526315786</v>
      </c>
    </row>
    <row r="8" spans="1:4" x14ac:dyDescent="0.3">
      <c r="A8" s="2" t="s">
        <v>244</v>
      </c>
      <c r="B8">
        <v>26.328263157894732</v>
      </c>
      <c r="C8">
        <v>34.086631578947369</v>
      </c>
      <c r="D8">
        <v>27.204973684210525</v>
      </c>
    </row>
    <row r="9" spans="1:4" x14ac:dyDescent="0.3">
      <c r="A9" s="2" t="s">
        <v>1283</v>
      </c>
      <c r="B9">
        <v>26.337358974358967</v>
      </c>
      <c r="C9">
        <v>34.087205128205134</v>
      </c>
      <c r="D9">
        <v>26.660641025641027</v>
      </c>
    </row>
    <row r="10" spans="1:4" x14ac:dyDescent="0.3">
      <c r="A10" s="2" t="s">
        <v>45</v>
      </c>
      <c r="B10">
        <v>26.338749999999997</v>
      </c>
      <c r="C10">
        <v>35.52825</v>
      </c>
      <c r="D10">
        <v>28.361900000000002</v>
      </c>
    </row>
    <row r="11" spans="1:4" x14ac:dyDescent="0.3">
      <c r="A11" s="2" t="s">
        <v>20</v>
      </c>
      <c r="B11">
        <v>26.440489795918364</v>
      </c>
      <c r="C11">
        <v>34.064877551020409</v>
      </c>
      <c r="D11">
        <v>27.242204081632647</v>
      </c>
    </row>
    <row r="12" spans="1:4" x14ac:dyDescent="0.3">
      <c r="A12" s="2" t="s">
        <v>26</v>
      </c>
      <c r="B12">
        <v>26.474453038674049</v>
      </c>
      <c r="C12">
        <v>33.504502762430938</v>
      </c>
      <c r="D12">
        <v>26.615469613259666</v>
      </c>
    </row>
    <row r="13" spans="1:4" x14ac:dyDescent="0.3">
      <c r="A13" s="2" t="s">
        <v>76</v>
      </c>
      <c r="B13">
        <v>26.476600000000001</v>
      </c>
      <c r="C13">
        <v>35.703949999999999</v>
      </c>
      <c r="D13">
        <v>28.677900000000001</v>
      </c>
    </row>
    <row r="14" spans="1:4" x14ac:dyDescent="0.3">
      <c r="A14" s="2" t="s">
        <v>250</v>
      </c>
      <c r="B14">
        <v>26.509327586206883</v>
      </c>
      <c r="C14">
        <v>34.133258620689659</v>
      </c>
      <c r="D14">
        <v>26.935206896551723</v>
      </c>
    </row>
    <row r="15" spans="1:4" x14ac:dyDescent="0.3">
      <c r="A15" s="2" t="s">
        <v>47</v>
      </c>
      <c r="B15">
        <v>26.535595375722554</v>
      </c>
      <c r="C15">
        <v>33.975057803468218</v>
      </c>
      <c r="D15">
        <v>26.778768786127156</v>
      </c>
    </row>
    <row r="16" spans="1:4" x14ac:dyDescent="0.3">
      <c r="A16" s="2" t="s">
        <v>62</v>
      </c>
      <c r="B16">
        <v>26.539166666666667</v>
      </c>
      <c r="C16">
        <v>36.214277777777781</v>
      </c>
      <c r="D16">
        <v>28.641777777777779</v>
      </c>
    </row>
    <row r="17" spans="1:4" x14ac:dyDescent="0.3">
      <c r="A17" s="2" t="s">
        <v>38</v>
      </c>
      <c r="B17">
        <v>26.545346590909109</v>
      </c>
      <c r="C17">
        <v>33.556914772727268</v>
      </c>
      <c r="D17">
        <v>26.773090909090921</v>
      </c>
    </row>
    <row r="18" spans="1:4" x14ac:dyDescent="0.3">
      <c r="A18" s="2" t="s">
        <v>67</v>
      </c>
      <c r="B18">
        <v>26.563653846153848</v>
      </c>
      <c r="C18">
        <v>34.649326923076913</v>
      </c>
      <c r="D18">
        <v>27.623923076923067</v>
      </c>
    </row>
    <row r="19" spans="1:4" x14ac:dyDescent="0.3">
      <c r="A19" s="2" t="s">
        <v>246</v>
      </c>
      <c r="B19">
        <v>26.719580246913576</v>
      </c>
      <c r="C19">
        <v>33.669907407407401</v>
      </c>
      <c r="D19">
        <v>26.49685802469136</v>
      </c>
    </row>
    <row r="20" spans="1:4" x14ac:dyDescent="0.3">
      <c r="A20" s="2" t="s">
        <v>1000</v>
      </c>
      <c r="B20">
        <v>26.747150000000005</v>
      </c>
      <c r="C20">
        <v>33.369900000000008</v>
      </c>
      <c r="D20">
        <v>26.059524999999997</v>
      </c>
    </row>
    <row r="21" spans="1:4" x14ac:dyDescent="0.3">
      <c r="A21" s="2" t="s">
        <v>255</v>
      </c>
      <c r="B21">
        <v>26.749391304347832</v>
      </c>
      <c r="C21">
        <v>34.968347826086955</v>
      </c>
      <c r="D21">
        <v>28.49930434782609</v>
      </c>
    </row>
    <row r="22" spans="1:4" x14ac:dyDescent="0.3">
      <c r="A22" s="2" t="s">
        <v>31</v>
      </c>
      <c r="B22">
        <v>26.751081967213114</v>
      </c>
      <c r="C22">
        <v>34.127213114754099</v>
      </c>
      <c r="D22">
        <v>27.388983606557385</v>
      </c>
    </row>
    <row r="23" spans="1:4" x14ac:dyDescent="0.3">
      <c r="A23" s="2" t="s">
        <v>43</v>
      </c>
      <c r="B23">
        <v>26.795208860759494</v>
      </c>
      <c r="C23">
        <v>34.063892405063292</v>
      </c>
      <c r="D23">
        <v>27.015411392405071</v>
      </c>
    </row>
    <row r="24" spans="1:4" x14ac:dyDescent="0.3">
      <c r="A24" s="2" t="s">
        <v>252</v>
      </c>
      <c r="B24">
        <v>26.828312883435601</v>
      </c>
      <c r="C24">
        <v>33.645705521472394</v>
      </c>
      <c r="D24">
        <v>26.787233128834362</v>
      </c>
    </row>
    <row r="25" spans="1:4" x14ac:dyDescent="0.3">
      <c r="A25" s="2" t="s">
        <v>73</v>
      </c>
      <c r="B25">
        <v>26.832259887005648</v>
      </c>
      <c r="C25">
        <v>34.238661016949138</v>
      </c>
      <c r="D25">
        <v>26.940474576271182</v>
      </c>
    </row>
    <row r="26" spans="1:4" x14ac:dyDescent="0.3">
      <c r="A26" s="2" t="s">
        <v>1337</v>
      </c>
      <c r="B26">
        <v>26.832411764705885</v>
      </c>
      <c r="C26">
        <v>33.846117647058826</v>
      </c>
      <c r="D26">
        <v>26.567735294117639</v>
      </c>
    </row>
    <row r="27" spans="1:4" x14ac:dyDescent="0.3">
      <c r="A27" s="2" t="s">
        <v>54</v>
      </c>
      <c r="B27">
        <v>26.8336857142857</v>
      </c>
      <c r="C27">
        <v>33.889828571428552</v>
      </c>
      <c r="D27">
        <v>27.042462857142848</v>
      </c>
    </row>
    <row r="28" spans="1:4" x14ac:dyDescent="0.3">
      <c r="A28" s="2" t="s">
        <v>49</v>
      </c>
      <c r="B28">
        <v>26.868259740259724</v>
      </c>
      <c r="C28">
        <v>33.892311688311686</v>
      </c>
      <c r="D28">
        <v>27.069266233766232</v>
      </c>
    </row>
    <row r="29" spans="1:4" x14ac:dyDescent="0.3">
      <c r="A29" s="2" t="s">
        <v>1339</v>
      </c>
      <c r="B29">
        <v>26.921638888888893</v>
      </c>
      <c r="C29">
        <v>33.316000000000003</v>
      </c>
      <c r="D29">
        <v>26.554444444444442</v>
      </c>
    </row>
    <row r="30" spans="1:4" x14ac:dyDescent="0.3">
      <c r="A30" s="2" t="s">
        <v>58</v>
      </c>
      <c r="B30">
        <v>26.932539772727285</v>
      </c>
      <c r="C30">
        <v>34.104454545454558</v>
      </c>
      <c r="D30">
        <v>27.178005681818195</v>
      </c>
    </row>
    <row r="31" spans="1:4" x14ac:dyDescent="0.3">
      <c r="A31" s="2" t="s">
        <v>248</v>
      </c>
      <c r="B31">
        <v>26.96287499999999</v>
      </c>
      <c r="C31">
        <v>33.832852941176469</v>
      </c>
      <c r="D31">
        <v>27.133588235294116</v>
      </c>
    </row>
    <row r="32" spans="1:4" x14ac:dyDescent="0.3">
      <c r="A32" s="2" t="s">
        <v>608</v>
      </c>
      <c r="B32">
        <v>26.976853658536584</v>
      </c>
      <c r="C32">
        <v>34.311439024390246</v>
      </c>
      <c r="D32">
        <v>27.204707317073172</v>
      </c>
    </row>
    <row r="33" spans="1:4" x14ac:dyDescent="0.3">
      <c r="A33" s="2" t="s">
        <v>35</v>
      </c>
      <c r="B33">
        <v>26.989372413793106</v>
      </c>
      <c r="C33">
        <v>33.922275862068965</v>
      </c>
      <c r="D33">
        <v>26.942524137931059</v>
      </c>
    </row>
    <row r="34" spans="1:4" x14ac:dyDescent="0.3">
      <c r="A34" s="2" t="s">
        <v>601</v>
      </c>
      <c r="B34">
        <v>27.025477064220183</v>
      </c>
      <c r="C34">
        <v>34.072954128440358</v>
      </c>
      <c r="D34">
        <v>26.838844036697243</v>
      </c>
    </row>
    <row r="35" spans="1:4" x14ac:dyDescent="0.3">
      <c r="A35" s="2" t="s">
        <v>52</v>
      </c>
      <c r="B35">
        <v>27.066122580645178</v>
      </c>
      <c r="C35">
        <v>34.099012903225791</v>
      </c>
      <c r="D35">
        <v>26.883329032258079</v>
      </c>
    </row>
    <row r="36" spans="1:4" x14ac:dyDescent="0.3">
      <c r="A36" s="2" t="s">
        <v>1092</v>
      </c>
      <c r="B36">
        <v>27.066666666666659</v>
      </c>
      <c r="C36">
        <v>33.532375000000002</v>
      </c>
      <c r="D36">
        <v>26.752312499999984</v>
      </c>
    </row>
    <row r="37" spans="1:4" x14ac:dyDescent="0.3">
      <c r="A37" s="2" t="s">
        <v>71</v>
      </c>
      <c r="B37">
        <v>27.085271186440686</v>
      </c>
      <c r="C37">
        <v>34.338237288135595</v>
      </c>
      <c r="D37">
        <v>27.691610169491526</v>
      </c>
    </row>
    <row r="38" spans="1:4" x14ac:dyDescent="0.3">
      <c r="A38" s="2" t="s">
        <v>440</v>
      </c>
      <c r="B38">
        <v>27.090603448275868</v>
      </c>
      <c r="C38">
        <v>34.406568965517245</v>
      </c>
      <c r="D38">
        <v>26.957293103448283</v>
      </c>
    </row>
    <row r="39" spans="1:4" x14ac:dyDescent="0.3">
      <c r="A39" s="2" t="s">
        <v>40</v>
      </c>
      <c r="B39">
        <v>27.122219512195137</v>
      </c>
      <c r="C39">
        <v>34.385406504065038</v>
      </c>
      <c r="D39">
        <v>26.993804878048774</v>
      </c>
    </row>
    <row r="40" spans="1:4" x14ac:dyDescent="0.3">
      <c r="A40" s="2" t="s">
        <v>613</v>
      </c>
      <c r="B40">
        <v>27.199666666666666</v>
      </c>
      <c r="C40">
        <v>33.116</v>
      </c>
      <c r="D40">
        <v>26.679555555555552</v>
      </c>
    </row>
    <row r="41" spans="1:4" x14ac:dyDescent="0.3">
      <c r="A41" s="2" t="s">
        <v>1334</v>
      </c>
      <c r="B41">
        <v>27.20397058823529</v>
      </c>
      <c r="C41">
        <v>33.128441176470595</v>
      </c>
      <c r="D41">
        <v>26.510588235294112</v>
      </c>
    </row>
    <row r="42" spans="1:4" x14ac:dyDescent="0.3">
      <c r="A42" s="2" t="s">
        <v>1180</v>
      </c>
      <c r="B42">
        <v>27.32835</v>
      </c>
      <c r="C42">
        <v>33.862000000000002</v>
      </c>
      <c r="D42">
        <v>26.831875000000004</v>
      </c>
    </row>
    <row r="43" spans="1:4" x14ac:dyDescent="0.3">
      <c r="A43" s="2" t="s">
        <v>794</v>
      </c>
      <c r="B43">
        <v>27.470910447761195</v>
      </c>
      <c r="C43">
        <v>34.53589552238806</v>
      </c>
      <c r="D43">
        <v>27.007328358208952</v>
      </c>
    </row>
    <row r="44" spans="1:4" x14ac:dyDescent="0.3">
      <c r="A44" s="2" t="s">
        <v>951</v>
      </c>
      <c r="B44">
        <v>27.481272727272724</v>
      </c>
      <c r="C44">
        <v>32.788545454545449</v>
      </c>
      <c r="D44">
        <v>26.334363636363637</v>
      </c>
    </row>
    <row r="45" spans="1:4" x14ac:dyDescent="0.3">
      <c r="A45" s="2" t="s">
        <v>1444</v>
      </c>
      <c r="B45">
        <v>27.497999999999998</v>
      </c>
      <c r="C45">
        <v>33.543692307692311</v>
      </c>
      <c r="D45">
        <v>27.104846153846154</v>
      </c>
    </row>
    <row r="46" spans="1:4" x14ac:dyDescent="0.3">
      <c r="A46" s="2" t="s">
        <v>992</v>
      </c>
      <c r="B46">
        <v>27.534749999999999</v>
      </c>
      <c r="C46">
        <v>34.345333333333343</v>
      </c>
      <c r="D46">
        <v>26.263305555555558</v>
      </c>
    </row>
    <row r="47" spans="1:4" x14ac:dyDescent="0.3">
      <c r="A47" s="2" t="s">
        <v>1318</v>
      </c>
      <c r="B47">
        <v>28.166399999999999</v>
      </c>
      <c r="C47">
        <v>36.046799999999998</v>
      </c>
      <c r="D47">
        <v>29.221999999999998</v>
      </c>
    </row>
    <row r="48" spans="1:4" x14ac:dyDescent="0.3">
      <c r="A48" s="2" t="s">
        <v>1324</v>
      </c>
      <c r="B48">
        <v>29.606000000000002</v>
      </c>
      <c r="C48">
        <v>18.341000000000001</v>
      </c>
      <c r="D48">
        <v>36.834000000000003</v>
      </c>
    </row>
    <row r="49" spans="1:4" x14ac:dyDescent="0.3">
      <c r="A49" s="2" t="s">
        <v>1548</v>
      </c>
      <c r="B49">
        <v>26.811685897435918</v>
      </c>
      <c r="C49">
        <v>33.991986622073561</v>
      </c>
      <c r="D49">
        <v>26.981109253065789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1A31-704D-4A52-B11E-0C8C317CA23D}">
  <dimension ref="A1:B50"/>
  <sheetViews>
    <sheetView workbookViewId="0">
      <selection activeCell="B5" sqref="B5"/>
    </sheetView>
  </sheetViews>
  <sheetFormatPr defaultRowHeight="14.4" x14ac:dyDescent="0.3"/>
  <cols>
    <col min="1" max="1" width="18.109375" bestFit="1" customWidth="1"/>
    <col min="2" max="2" width="23.77734375" bestFit="1" customWidth="1"/>
    <col min="3" max="37" width="24" bestFit="1" customWidth="1"/>
    <col min="38" max="38" width="10.5546875" bestFit="1" customWidth="1"/>
  </cols>
  <sheetData>
    <row r="1" spans="1:2" x14ac:dyDescent="0.3">
      <c r="A1" s="1" t="s">
        <v>2</v>
      </c>
      <c r="B1" t="s">
        <v>1550</v>
      </c>
    </row>
    <row r="2" spans="1:2" x14ac:dyDescent="0.3">
      <c r="A2" s="1" t="s">
        <v>5</v>
      </c>
      <c r="B2" t="s">
        <v>1550</v>
      </c>
    </row>
    <row r="4" spans="1:2" x14ac:dyDescent="0.3">
      <c r="A4" s="1" t="s">
        <v>1547</v>
      </c>
      <c r="B4" t="s">
        <v>1554</v>
      </c>
    </row>
    <row r="5" spans="1:2" x14ac:dyDescent="0.3">
      <c r="A5" s="2" t="s">
        <v>587</v>
      </c>
      <c r="B5">
        <v>58.980910000000002</v>
      </c>
    </row>
    <row r="6" spans="1:2" x14ac:dyDescent="0.3">
      <c r="A6" s="2" t="s">
        <v>590</v>
      </c>
      <c r="B6">
        <v>82.415328000000002</v>
      </c>
    </row>
    <row r="7" spans="1:2" x14ac:dyDescent="0.3">
      <c r="A7" s="2" t="s">
        <v>1000</v>
      </c>
      <c r="B7">
        <v>88.577323849999999</v>
      </c>
    </row>
    <row r="8" spans="1:2" x14ac:dyDescent="0.3">
      <c r="A8" s="2" t="s">
        <v>951</v>
      </c>
      <c r="B8">
        <v>88.928917727272733</v>
      </c>
    </row>
    <row r="9" spans="1:2" x14ac:dyDescent="0.3">
      <c r="A9" s="2" t="s">
        <v>1339</v>
      </c>
      <c r="B9">
        <v>89.136842611111135</v>
      </c>
    </row>
    <row r="10" spans="1:2" x14ac:dyDescent="0.3">
      <c r="A10" s="2" t="s">
        <v>26</v>
      </c>
      <c r="B10">
        <v>89.174326607734827</v>
      </c>
    </row>
    <row r="11" spans="1:2" x14ac:dyDescent="0.3">
      <c r="A11" s="2" t="s">
        <v>1334</v>
      </c>
      <c r="B11">
        <v>89.244755529411762</v>
      </c>
    </row>
    <row r="12" spans="1:2" x14ac:dyDescent="0.3">
      <c r="A12" s="2" t="s">
        <v>38</v>
      </c>
      <c r="B12">
        <v>89.271892920454562</v>
      </c>
    </row>
    <row r="13" spans="1:2" x14ac:dyDescent="0.3">
      <c r="A13" s="2" t="s">
        <v>1337</v>
      </c>
      <c r="B13">
        <v>89.325621941176479</v>
      </c>
    </row>
    <row r="14" spans="1:2" x14ac:dyDescent="0.3">
      <c r="A14" s="2" t="s">
        <v>1283</v>
      </c>
      <c r="B14">
        <v>89.366833871794853</v>
      </c>
    </row>
    <row r="15" spans="1:2" x14ac:dyDescent="0.3">
      <c r="A15" s="2" t="s">
        <v>246</v>
      </c>
      <c r="B15">
        <v>89.416974240740785</v>
      </c>
    </row>
    <row r="16" spans="1:2" x14ac:dyDescent="0.3">
      <c r="A16" s="2" t="s">
        <v>1092</v>
      </c>
      <c r="B16">
        <v>89.59564329166669</v>
      </c>
    </row>
    <row r="17" spans="1:2" x14ac:dyDescent="0.3">
      <c r="A17" s="2" t="s">
        <v>47</v>
      </c>
      <c r="B17">
        <v>89.694263578034679</v>
      </c>
    </row>
    <row r="18" spans="1:2" x14ac:dyDescent="0.3">
      <c r="A18" s="2" t="s">
        <v>613</v>
      </c>
      <c r="B18">
        <v>89.785251722222199</v>
      </c>
    </row>
    <row r="19" spans="1:2" x14ac:dyDescent="0.3">
      <c r="A19" s="2" t="s">
        <v>252</v>
      </c>
      <c r="B19">
        <v>89.821864582822073</v>
      </c>
    </row>
    <row r="20" spans="1:2" x14ac:dyDescent="0.3">
      <c r="A20" s="2" t="s">
        <v>1444</v>
      </c>
      <c r="B20">
        <v>90.077127307692308</v>
      </c>
    </row>
    <row r="21" spans="1:2" x14ac:dyDescent="0.3">
      <c r="A21" s="2" t="s">
        <v>54</v>
      </c>
      <c r="B21">
        <v>90.150052800000054</v>
      </c>
    </row>
    <row r="22" spans="1:2" x14ac:dyDescent="0.3">
      <c r="A22" s="2" t="s">
        <v>20</v>
      </c>
      <c r="B22">
        <v>90.159468612244922</v>
      </c>
    </row>
    <row r="23" spans="1:2" x14ac:dyDescent="0.3">
      <c r="A23" s="2" t="s">
        <v>250</v>
      </c>
      <c r="B23">
        <v>90.189253775862028</v>
      </c>
    </row>
    <row r="24" spans="1:2" x14ac:dyDescent="0.3">
      <c r="A24" s="2" t="s">
        <v>49</v>
      </c>
      <c r="B24">
        <v>90.280069071428599</v>
      </c>
    </row>
    <row r="25" spans="1:2" x14ac:dyDescent="0.3">
      <c r="A25" s="2" t="s">
        <v>244</v>
      </c>
      <c r="B25">
        <v>90.294906447368419</v>
      </c>
    </row>
    <row r="26" spans="1:2" x14ac:dyDescent="0.3">
      <c r="A26" s="2" t="s">
        <v>52</v>
      </c>
      <c r="B26">
        <v>90.385736174193525</v>
      </c>
    </row>
    <row r="27" spans="1:2" x14ac:dyDescent="0.3">
      <c r="A27" s="2" t="s">
        <v>29</v>
      </c>
      <c r="B27">
        <v>90.40765106578948</v>
      </c>
    </row>
    <row r="28" spans="1:2" x14ac:dyDescent="0.3">
      <c r="A28" s="2" t="s">
        <v>1180</v>
      </c>
      <c r="B28">
        <v>90.443966474999996</v>
      </c>
    </row>
    <row r="29" spans="1:2" x14ac:dyDescent="0.3">
      <c r="A29" s="2" t="s">
        <v>35</v>
      </c>
      <c r="B29">
        <v>90.448159289655152</v>
      </c>
    </row>
    <row r="30" spans="1:2" x14ac:dyDescent="0.3">
      <c r="A30" s="2" t="s">
        <v>43</v>
      </c>
      <c r="B30">
        <v>90.485221088607602</v>
      </c>
    </row>
    <row r="31" spans="1:2" x14ac:dyDescent="0.3">
      <c r="A31" s="2" t="s">
        <v>601</v>
      </c>
      <c r="B31">
        <v>90.509395899082591</v>
      </c>
    </row>
    <row r="32" spans="1:2" x14ac:dyDescent="0.3">
      <c r="A32" s="2" t="s">
        <v>73</v>
      </c>
      <c r="B32">
        <v>90.520495672316386</v>
      </c>
    </row>
    <row r="33" spans="1:2" x14ac:dyDescent="0.3">
      <c r="A33" s="2" t="s">
        <v>248</v>
      </c>
      <c r="B33">
        <v>90.556931845588267</v>
      </c>
    </row>
    <row r="34" spans="1:2" x14ac:dyDescent="0.3">
      <c r="A34" s="2" t="s">
        <v>58</v>
      </c>
      <c r="B34">
        <v>90.691497085227255</v>
      </c>
    </row>
    <row r="35" spans="1:2" x14ac:dyDescent="0.3">
      <c r="A35" s="2" t="s">
        <v>31</v>
      </c>
      <c r="B35">
        <v>90.726158237704979</v>
      </c>
    </row>
    <row r="36" spans="1:2" x14ac:dyDescent="0.3">
      <c r="A36" s="2" t="s">
        <v>440</v>
      </c>
      <c r="B36">
        <v>90.928409241379299</v>
      </c>
    </row>
    <row r="37" spans="1:2" x14ac:dyDescent="0.3">
      <c r="A37" s="2" t="s">
        <v>40</v>
      </c>
      <c r="B37">
        <v>90.944367178861768</v>
      </c>
    </row>
    <row r="38" spans="1:2" x14ac:dyDescent="0.3">
      <c r="A38" s="2" t="s">
        <v>992</v>
      </c>
      <c r="B38">
        <v>91.127679027777788</v>
      </c>
    </row>
    <row r="39" spans="1:2" x14ac:dyDescent="0.3">
      <c r="A39" s="2" t="s">
        <v>67</v>
      </c>
      <c r="B39">
        <v>91.426328884615387</v>
      </c>
    </row>
    <row r="40" spans="1:2" x14ac:dyDescent="0.3">
      <c r="A40" s="2" t="s">
        <v>608</v>
      </c>
      <c r="B40">
        <v>91.54327419512191</v>
      </c>
    </row>
    <row r="41" spans="1:2" x14ac:dyDescent="0.3">
      <c r="A41" s="2" t="s">
        <v>1324</v>
      </c>
      <c r="B41">
        <v>91.734381999999997</v>
      </c>
    </row>
    <row r="42" spans="1:2" x14ac:dyDescent="0.3">
      <c r="A42" s="2" t="s">
        <v>71</v>
      </c>
      <c r="B42">
        <v>91.755425457627112</v>
      </c>
    </row>
    <row r="43" spans="1:2" x14ac:dyDescent="0.3">
      <c r="A43" s="2" t="s">
        <v>794</v>
      </c>
      <c r="B43">
        <v>91.786302388059696</v>
      </c>
    </row>
    <row r="44" spans="1:2" x14ac:dyDescent="0.3">
      <c r="A44" s="2" t="s">
        <v>79</v>
      </c>
      <c r="B44">
        <v>92.367388999999989</v>
      </c>
    </row>
    <row r="45" spans="1:2" x14ac:dyDescent="0.3">
      <c r="A45" s="2" t="s">
        <v>45</v>
      </c>
      <c r="B45">
        <v>92.702863300000004</v>
      </c>
    </row>
    <row r="46" spans="1:2" x14ac:dyDescent="0.3">
      <c r="A46" s="2" t="s">
        <v>76</v>
      </c>
      <c r="B46">
        <v>92.935482400000012</v>
      </c>
    </row>
    <row r="47" spans="1:2" x14ac:dyDescent="0.3">
      <c r="A47" s="2" t="s">
        <v>255</v>
      </c>
      <c r="B47">
        <v>92.997250478260852</v>
      </c>
    </row>
    <row r="48" spans="1:2" x14ac:dyDescent="0.3">
      <c r="A48" s="2" t="s">
        <v>62</v>
      </c>
      <c r="B48">
        <v>93.789967277777777</v>
      </c>
    </row>
    <row r="49" spans="1:2" x14ac:dyDescent="0.3">
      <c r="A49" s="2" t="s">
        <v>1318</v>
      </c>
      <c r="B49">
        <v>95.310696000000007</v>
      </c>
    </row>
    <row r="50" spans="1:2" x14ac:dyDescent="0.3">
      <c r="A50" s="2" t="s">
        <v>1548</v>
      </c>
      <c r="B50">
        <v>90.288281967112425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7FD5-112A-4228-83DC-48F22016BAF1}">
  <dimension ref="A1:AA52"/>
  <sheetViews>
    <sheetView zoomScale="91" workbookViewId="0">
      <selection activeCell="S6" sqref="S6"/>
    </sheetView>
  </sheetViews>
  <sheetFormatPr defaultRowHeight="14.4" x14ac:dyDescent="0.3"/>
  <cols>
    <col min="1" max="1" width="19" bestFit="1" customWidth="1"/>
    <col min="2" max="2" width="17.21875" bestFit="1" customWidth="1"/>
    <col min="5" max="5" width="19" bestFit="1" customWidth="1"/>
    <col min="6" max="6" width="16.5546875" bestFit="1" customWidth="1"/>
    <col min="7" max="7" width="17.21875" bestFit="1" customWidth="1"/>
    <col min="8" max="8" width="10.21875" bestFit="1" customWidth="1"/>
    <col min="9" max="9" width="6.5546875" bestFit="1" customWidth="1"/>
    <col min="10" max="10" width="11.6640625" bestFit="1" customWidth="1"/>
    <col min="11" max="11" width="4.88671875" bestFit="1" customWidth="1"/>
    <col min="12" max="12" width="8.21875" bestFit="1" customWidth="1"/>
    <col min="13" max="13" width="7.6640625" bestFit="1" customWidth="1"/>
    <col min="14" max="14" width="10.6640625" bestFit="1" customWidth="1"/>
    <col min="15" max="15" width="12.88671875" bestFit="1" customWidth="1"/>
    <col min="16" max="16" width="11.21875" bestFit="1" customWidth="1"/>
    <col min="17" max="17" width="8.44140625" bestFit="1" customWidth="1"/>
    <col min="18" max="18" width="9.6640625" bestFit="1" customWidth="1"/>
    <col min="19" max="20" width="11.5546875" bestFit="1" customWidth="1"/>
    <col min="21" max="21" width="3.44140625" bestFit="1" customWidth="1"/>
    <col min="22" max="22" width="14.5546875" bestFit="1" customWidth="1"/>
    <col min="23" max="23" width="7.77734375" bestFit="1" customWidth="1"/>
    <col min="24" max="24" width="7.21875" bestFit="1" customWidth="1"/>
    <col min="25" max="25" width="10.77734375" bestFit="1" customWidth="1"/>
    <col min="26" max="26" width="8.6640625" bestFit="1" customWidth="1"/>
    <col min="27" max="27" width="11" bestFit="1" customWidth="1"/>
  </cols>
  <sheetData>
    <row r="1" spans="1:27" x14ac:dyDescent="0.3">
      <c r="A1" s="1" t="s">
        <v>0</v>
      </c>
      <c r="B1" t="s">
        <v>1550</v>
      </c>
    </row>
    <row r="2" spans="1:27" x14ac:dyDescent="0.3">
      <c r="A2" s="1" t="s">
        <v>5</v>
      </c>
      <c r="B2" t="s">
        <v>1550</v>
      </c>
    </row>
    <row r="4" spans="1:27" x14ac:dyDescent="0.3">
      <c r="A4" s="1" t="s">
        <v>1547</v>
      </c>
      <c r="B4" t="s">
        <v>1549</v>
      </c>
    </row>
    <row r="5" spans="1:27" x14ac:dyDescent="0.3">
      <c r="A5" s="2" t="s">
        <v>38</v>
      </c>
      <c r="B5">
        <v>3003.5</v>
      </c>
      <c r="E5" s="1" t="s">
        <v>1549</v>
      </c>
      <c r="F5" s="1" t="s">
        <v>1551</v>
      </c>
    </row>
    <row r="6" spans="1:27" x14ac:dyDescent="0.3">
      <c r="A6" s="2" t="s">
        <v>26</v>
      </c>
      <c r="B6">
        <v>2491.5</v>
      </c>
      <c r="E6" s="1" t="s">
        <v>1547</v>
      </c>
      <c r="F6" t="s">
        <v>789</v>
      </c>
      <c r="G6" t="s">
        <v>243</v>
      </c>
      <c r="H6" t="s">
        <v>438</v>
      </c>
      <c r="I6" t="s">
        <v>607</v>
      </c>
      <c r="J6" t="s">
        <v>603</v>
      </c>
      <c r="K6" t="s">
        <v>1446</v>
      </c>
      <c r="L6" t="s">
        <v>1449</v>
      </c>
      <c r="M6" t="s">
        <v>22</v>
      </c>
      <c r="N6" t="s">
        <v>51</v>
      </c>
      <c r="O6" t="s">
        <v>69</v>
      </c>
      <c r="P6" t="s">
        <v>1175</v>
      </c>
      <c r="Q6" t="s">
        <v>37</v>
      </c>
      <c r="R6" t="s">
        <v>28</v>
      </c>
      <c r="S6" t="s">
        <v>1330</v>
      </c>
      <c r="T6" t="s">
        <v>192</v>
      </c>
      <c r="U6" t="s">
        <v>1176</v>
      </c>
      <c r="V6" t="s">
        <v>33</v>
      </c>
      <c r="W6" t="s">
        <v>42</v>
      </c>
      <c r="X6" t="s">
        <v>56</v>
      </c>
      <c r="Y6" t="s">
        <v>64</v>
      </c>
      <c r="Z6" t="s">
        <v>60</v>
      </c>
      <c r="AA6" t="s">
        <v>1548</v>
      </c>
    </row>
    <row r="7" spans="1:27" x14ac:dyDescent="0.3">
      <c r="A7" s="2" t="s">
        <v>54</v>
      </c>
      <c r="B7">
        <v>1727</v>
      </c>
      <c r="E7" s="2" t="s">
        <v>38</v>
      </c>
      <c r="V7">
        <v>3003.5</v>
      </c>
      <c r="AA7">
        <v>3003.5</v>
      </c>
    </row>
    <row r="8" spans="1:27" x14ac:dyDescent="0.3">
      <c r="A8" s="2" t="s">
        <v>246</v>
      </c>
      <c r="B8">
        <v>1498</v>
      </c>
      <c r="E8" s="2" t="s">
        <v>26</v>
      </c>
      <c r="M8">
        <v>306</v>
      </c>
      <c r="R8">
        <v>2185.5</v>
      </c>
      <c r="AA8">
        <v>2491.5</v>
      </c>
    </row>
    <row r="9" spans="1:27" x14ac:dyDescent="0.3">
      <c r="A9" s="2" t="s">
        <v>47</v>
      </c>
      <c r="B9">
        <v>1141.5</v>
      </c>
      <c r="E9" s="2" t="s">
        <v>54</v>
      </c>
      <c r="M9">
        <v>1688</v>
      </c>
      <c r="X9">
        <v>39</v>
      </c>
      <c r="AA9">
        <v>1727</v>
      </c>
    </row>
    <row r="10" spans="1:27" x14ac:dyDescent="0.3">
      <c r="A10" s="2" t="s">
        <v>252</v>
      </c>
      <c r="B10">
        <v>1130</v>
      </c>
      <c r="E10" s="2" t="s">
        <v>246</v>
      </c>
      <c r="Q10">
        <v>1498</v>
      </c>
      <c r="AA10">
        <v>1498</v>
      </c>
    </row>
    <row r="11" spans="1:27" x14ac:dyDescent="0.3">
      <c r="A11" s="2" t="s">
        <v>49</v>
      </c>
      <c r="B11">
        <v>1112</v>
      </c>
      <c r="E11" s="2" t="s">
        <v>47</v>
      </c>
      <c r="M11">
        <v>831.5</v>
      </c>
      <c r="Q11">
        <v>201</v>
      </c>
      <c r="W11">
        <v>49</v>
      </c>
      <c r="Z11">
        <v>60</v>
      </c>
      <c r="AA11">
        <v>1141.5</v>
      </c>
    </row>
    <row r="12" spans="1:27" x14ac:dyDescent="0.3">
      <c r="A12" s="2" t="s">
        <v>43</v>
      </c>
      <c r="B12">
        <v>1057</v>
      </c>
      <c r="E12" s="2" t="s">
        <v>252</v>
      </c>
      <c r="R12">
        <v>1114</v>
      </c>
      <c r="Z12">
        <v>16</v>
      </c>
      <c r="AA12">
        <v>1130</v>
      </c>
    </row>
    <row r="13" spans="1:27" x14ac:dyDescent="0.3">
      <c r="A13" s="2" t="s">
        <v>1000</v>
      </c>
      <c r="B13">
        <v>827</v>
      </c>
      <c r="E13" s="2" t="s">
        <v>49</v>
      </c>
      <c r="L13">
        <v>0</v>
      </c>
      <c r="N13">
        <v>30</v>
      </c>
      <c r="T13">
        <v>203</v>
      </c>
      <c r="V13">
        <v>879</v>
      </c>
      <c r="AA13">
        <v>1112</v>
      </c>
    </row>
    <row r="14" spans="1:27" x14ac:dyDescent="0.3">
      <c r="A14" s="2" t="s">
        <v>20</v>
      </c>
      <c r="B14">
        <v>661</v>
      </c>
      <c r="E14" s="2" t="s">
        <v>43</v>
      </c>
      <c r="F14">
        <v>57</v>
      </c>
      <c r="L14">
        <v>0</v>
      </c>
      <c r="P14">
        <v>0</v>
      </c>
      <c r="R14">
        <v>1000</v>
      </c>
      <c r="AA14">
        <v>1057</v>
      </c>
    </row>
    <row r="15" spans="1:27" x14ac:dyDescent="0.3">
      <c r="A15" s="2" t="s">
        <v>35</v>
      </c>
      <c r="B15">
        <v>534</v>
      </c>
      <c r="E15" s="2" t="s">
        <v>1000</v>
      </c>
      <c r="Q15">
        <v>827</v>
      </c>
      <c r="AA15">
        <v>827</v>
      </c>
    </row>
    <row r="16" spans="1:27" x14ac:dyDescent="0.3">
      <c r="A16" s="2" t="s">
        <v>31</v>
      </c>
      <c r="B16">
        <v>504</v>
      </c>
      <c r="E16" s="2" t="s">
        <v>20</v>
      </c>
      <c r="J16">
        <v>80</v>
      </c>
      <c r="M16">
        <v>581</v>
      </c>
      <c r="AA16">
        <v>661</v>
      </c>
    </row>
    <row r="17" spans="1:27" x14ac:dyDescent="0.3">
      <c r="A17" s="2" t="s">
        <v>73</v>
      </c>
      <c r="B17">
        <v>485</v>
      </c>
      <c r="E17" s="2" t="s">
        <v>35</v>
      </c>
      <c r="I17">
        <v>162</v>
      </c>
      <c r="J17">
        <v>322</v>
      </c>
      <c r="Q17">
        <v>50</v>
      </c>
      <c r="AA17">
        <v>534</v>
      </c>
    </row>
    <row r="18" spans="1:27" x14ac:dyDescent="0.3">
      <c r="A18" s="2" t="s">
        <v>1339</v>
      </c>
      <c r="B18">
        <v>389</v>
      </c>
      <c r="E18" s="2" t="s">
        <v>31</v>
      </c>
      <c r="H18">
        <v>6</v>
      </c>
      <c r="Q18">
        <v>148</v>
      </c>
      <c r="U18">
        <v>7</v>
      </c>
      <c r="V18">
        <v>170</v>
      </c>
      <c r="W18">
        <v>173</v>
      </c>
      <c r="AA18">
        <v>504</v>
      </c>
    </row>
    <row r="19" spans="1:27" x14ac:dyDescent="0.3">
      <c r="A19" s="2" t="s">
        <v>52</v>
      </c>
      <c r="B19">
        <v>382</v>
      </c>
      <c r="E19" s="2" t="s">
        <v>73</v>
      </c>
      <c r="H19">
        <v>208</v>
      </c>
      <c r="I19">
        <v>153</v>
      </c>
      <c r="V19">
        <v>63</v>
      </c>
      <c r="Y19">
        <v>61</v>
      </c>
      <c r="AA19">
        <v>485</v>
      </c>
    </row>
    <row r="20" spans="1:27" x14ac:dyDescent="0.3">
      <c r="A20" s="2" t="s">
        <v>248</v>
      </c>
      <c r="B20">
        <v>313</v>
      </c>
      <c r="E20" s="2" t="s">
        <v>1339</v>
      </c>
      <c r="R20">
        <v>389</v>
      </c>
      <c r="AA20">
        <v>389</v>
      </c>
    </row>
    <row r="21" spans="1:27" x14ac:dyDescent="0.3">
      <c r="A21" s="2" t="s">
        <v>29</v>
      </c>
      <c r="B21">
        <v>290</v>
      </c>
      <c r="E21" s="2" t="s">
        <v>52</v>
      </c>
      <c r="I21">
        <v>242</v>
      </c>
      <c r="N21">
        <v>29</v>
      </c>
      <c r="O21">
        <v>37</v>
      </c>
      <c r="T21">
        <v>12</v>
      </c>
      <c r="W21">
        <v>62</v>
      </c>
      <c r="AA21">
        <v>382</v>
      </c>
    </row>
    <row r="22" spans="1:27" x14ac:dyDescent="0.3">
      <c r="A22" s="2" t="s">
        <v>58</v>
      </c>
      <c r="B22">
        <v>273</v>
      </c>
      <c r="E22" s="2" t="s">
        <v>248</v>
      </c>
      <c r="V22">
        <v>181</v>
      </c>
      <c r="Y22">
        <v>16</v>
      </c>
      <c r="Z22">
        <v>116</v>
      </c>
      <c r="AA22">
        <v>313</v>
      </c>
    </row>
    <row r="23" spans="1:27" x14ac:dyDescent="0.3">
      <c r="A23" s="2" t="s">
        <v>40</v>
      </c>
      <c r="B23">
        <v>216</v>
      </c>
      <c r="E23" s="2" t="s">
        <v>29</v>
      </c>
      <c r="G23">
        <v>57</v>
      </c>
      <c r="M23">
        <v>233</v>
      </c>
      <c r="AA23">
        <v>290</v>
      </c>
    </row>
    <row r="24" spans="1:27" x14ac:dyDescent="0.3">
      <c r="A24" s="2" t="s">
        <v>1337</v>
      </c>
      <c r="B24">
        <v>121</v>
      </c>
      <c r="E24" s="2" t="s">
        <v>58</v>
      </c>
      <c r="J24">
        <v>173</v>
      </c>
      <c r="T24">
        <v>96</v>
      </c>
      <c r="Z24">
        <v>4</v>
      </c>
      <c r="AA24">
        <v>273</v>
      </c>
    </row>
    <row r="25" spans="1:27" x14ac:dyDescent="0.3">
      <c r="A25" s="2" t="s">
        <v>71</v>
      </c>
      <c r="B25">
        <v>115</v>
      </c>
      <c r="E25" s="2" t="s">
        <v>40</v>
      </c>
      <c r="J25">
        <v>0</v>
      </c>
      <c r="K25">
        <v>7</v>
      </c>
      <c r="O25">
        <v>42</v>
      </c>
      <c r="P25">
        <v>51</v>
      </c>
      <c r="T25">
        <v>10</v>
      </c>
      <c r="W25">
        <v>106</v>
      </c>
      <c r="AA25">
        <v>216</v>
      </c>
    </row>
    <row r="26" spans="1:27" x14ac:dyDescent="0.3">
      <c r="A26" s="2" t="s">
        <v>601</v>
      </c>
      <c r="B26">
        <v>109</v>
      </c>
      <c r="E26" s="2" t="s">
        <v>1337</v>
      </c>
      <c r="S26">
        <v>50</v>
      </c>
      <c r="V26">
        <v>71</v>
      </c>
      <c r="AA26">
        <v>121</v>
      </c>
    </row>
    <row r="27" spans="1:27" x14ac:dyDescent="0.3">
      <c r="A27" s="2" t="s">
        <v>1092</v>
      </c>
      <c r="B27">
        <v>100</v>
      </c>
      <c r="E27" s="2" t="s">
        <v>71</v>
      </c>
      <c r="O27">
        <v>115</v>
      </c>
      <c r="AA27">
        <v>115</v>
      </c>
    </row>
    <row r="28" spans="1:27" x14ac:dyDescent="0.3">
      <c r="A28" s="2" t="s">
        <v>244</v>
      </c>
      <c r="B28">
        <v>69</v>
      </c>
      <c r="E28" s="2" t="s">
        <v>601</v>
      </c>
      <c r="H28">
        <v>58</v>
      </c>
      <c r="S28">
        <v>1</v>
      </c>
      <c r="U28">
        <v>29</v>
      </c>
      <c r="V28">
        <v>21</v>
      </c>
      <c r="AA28">
        <v>109</v>
      </c>
    </row>
    <row r="29" spans="1:27" x14ac:dyDescent="0.3">
      <c r="A29" s="2" t="s">
        <v>1180</v>
      </c>
      <c r="B29">
        <v>63</v>
      </c>
      <c r="E29" s="2" t="s">
        <v>1092</v>
      </c>
      <c r="H29">
        <v>2</v>
      </c>
      <c r="S29">
        <v>80</v>
      </c>
      <c r="U29">
        <v>4</v>
      </c>
      <c r="V29">
        <v>14</v>
      </c>
      <c r="AA29">
        <v>100</v>
      </c>
    </row>
    <row r="30" spans="1:27" x14ac:dyDescent="0.3">
      <c r="A30" s="2" t="s">
        <v>67</v>
      </c>
      <c r="B30">
        <v>47</v>
      </c>
      <c r="E30" s="2" t="s">
        <v>244</v>
      </c>
      <c r="H30">
        <v>32</v>
      </c>
      <c r="Y30">
        <v>37</v>
      </c>
      <c r="AA30">
        <v>69</v>
      </c>
    </row>
    <row r="31" spans="1:27" x14ac:dyDescent="0.3">
      <c r="A31" s="2" t="s">
        <v>1283</v>
      </c>
      <c r="B31">
        <v>32</v>
      </c>
      <c r="E31" s="2" t="s">
        <v>1180</v>
      </c>
      <c r="M31">
        <v>6</v>
      </c>
      <c r="O31">
        <v>57</v>
      </c>
      <c r="AA31">
        <v>63</v>
      </c>
    </row>
    <row r="32" spans="1:27" x14ac:dyDescent="0.3">
      <c r="A32" s="2" t="s">
        <v>1444</v>
      </c>
      <c r="B32">
        <v>30</v>
      </c>
      <c r="E32" s="2" t="s">
        <v>67</v>
      </c>
      <c r="O32">
        <v>47</v>
      </c>
      <c r="AA32">
        <v>47</v>
      </c>
    </row>
    <row r="33" spans="1:27" x14ac:dyDescent="0.3">
      <c r="A33" s="2" t="s">
        <v>1334</v>
      </c>
      <c r="B33">
        <v>29</v>
      </c>
      <c r="E33" s="2" t="s">
        <v>1283</v>
      </c>
      <c r="I33">
        <v>27</v>
      </c>
      <c r="Z33">
        <v>5</v>
      </c>
      <c r="AA33">
        <v>32</v>
      </c>
    </row>
    <row r="34" spans="1:27" x14ac:dyDescent="0.3">
      <c r="A34" s="2" t="s">
        <v>250</v>
      </c>
      <c r="B34">
        <v>21</v>
      </c>
      <c r="E34" s="2" t="s">
        <v>1444</v>
      </c>
      <c r="S34">
        <v>30</v>
      </c>
      <c r="AA34">
        <v>30</v>
      </c>
    </row>
    <row r="35" spans="1:27" x14ac:dyDescent="0.3">
      <c r="A35" s="2" t="s">
        <v>794</v>
      </c>
      <c r="B35">
        <v>16</v>
      </c>
      <c r="E35" s="2" t="s">
        <v>1334</v>
      </c>
      <c r="K35">
        <v>10</v>
      </c>
      <c r="P35">
        <v>19</v>
      </c>
      <c r="AA35">
        <v>29</v>
      </c>
    </row>
    <row r="36" spans="1:27" x14ac:dyDescent="0.3">
      <c r="A36" s="2" t="s">
        <v>1324</v>
      </c>
      <c r="B36">
        <v>12</v>
      </c>
      <c r="E36" s="2" t="s">
        <v>250</v>
      </c>
      <c r="G36">
        <v>21</v>
      </c>
      <c r="AA36">
        <v>21</v>
      </c>
    </row>
    <row r="37" spans="1:27" x14ac:dyDescent="0.3">
      <c r="A37" s="2" t="s">
        <v>608</v>
      </c>
      <c r="B37">
        <v>12</v>
      </c>
      <c r="E37" s="2" t="s">
        <v>794</v>
      </c>
      <c r="F37">
        <v>12</v>
      </c>
      <c r="P37">
        <v>4</v>
      </c>
      <c r="AA37">
        <v>16</v>
      </c>
    </row>
    <row r="38" spans="1:27" x14ac:dyDescent="0.3">
      <c r="A38" s="2" t="s">
        <v>45</v>
      </c>
      <c r="B38">
        <v>12</v>
      </c>
      <c r="E38" s="2" t="s">
        <v>1324</v>
      </c>
      <c r="R38">
        <v>12</v>
      </c>
      <c r="AA38">
        <v>12</v>
      </c>
    </row>
    <row r="39" spans="1:27" x14ac:dyDescent="0.3">
      <c r="A39" s="2" t="s">
        <v>440</v>
      </c>
      <c r="B39">
        <v>9</v>
      </c>
      <c r="E39" s="2" t="s">
        <v>608</v>
      </c>
      <c r="O39">
        <v>12</v>
      </c>
      <c r="AA39">
        <v>12</v>
      </c>
    </row>
    <row r="40" spans="1:27" x14ac:dyDescent="0.3">
      <c r="A40" s="2" t="s">
        <v>76</v>
      </c>
      <c r="B40">
        <v>9</v>
      </c>
      <c r="E40" s="2" t="s">
        <v>45</v>
      </c>
      <c r="Q40">
        <v>12</v>
      </c>
      <c r="AA40">
        <v>12</v>
      </c>
    </row>
    <row r="41" spans="1:27" x14ac:dyDescent="0.3">
      <c r="A41" s="2" t="s">
        <v>62</v>
      </c>
      <c r="B41">
        <v>4</v>
      </c>
      <c r="E41" s="2" t="s">
        <v>440</v>
      </c>
      <c r="Z41">
        <v>9</v>
      </c>
      <c r="AA41">
        <v>9</v>
      </c>
    </row>
    <row r="42" spans="1:27" x14ac:dyDescent="0.3">
      <c r="A42" s="2" t="s">
        <v>951</v>
      </c>
      <c r="B42">
        <v>2</v>
      </c>
      <c r="E42" s="2" t="s">
        <v>76</v>
      </c>
      <c r="X42">
        <v>9</v>
      </c>
      <c r="AA42">
        <v>9</v>
      </c>
    </row>
    <row r="43" spans="1:27" x14ac:dyDescent="0.3">
      <c r="A43" s="2" t="s">
        <v>255</v>
      </c>
      <c r="B43">
        <v>1</v>
      </c>
      <c r="E43" s="2" t="s">
        <v>62</v>
      </c>
      <c r="Y43">
        <v>4</v>
      </c>
      <c r="AA43">
        <v>4</v>
      </c>
    </row>
    <row r="44" spans="1:27" x14ac:dyDescent="0.3">
      <c r="A44" s="2" t="s">
        <v>992</v>
      </c>
      <c r="B44">
        <v>1</v>
      </c>
      <c r="E44" s="2" t="s">
        <v>951</v>
      </c>
      <c r="H44">
        <v>0</v>
      </c>
      <c r="Z44">
        <v>2</v>
      </c>
      <c r="AA44">
        <v>2</v>
      </c>
    </row>
    <row r="45" spans="1:27" x14ac:dyDescent="0.3">
      <c r="A45" s="2" t="s">
        <v>590</v>
      </c>
      <c r="B45">
        <v>0</v>
      </c>
      <c r="E45" s="2" t="s">
        <v>255</v>
      </c>
      <c r="G45">
        <v>0</v>
      </c>
      <c r="Z45">
        <v>1</v>
      </c>
      <c r="AA45">
        <v>1</v>
      </c>
    </row>
    <row r="46" spans="1:27" x14ac:dyDescent="0.3">
      <c r="A46" s="2" t="s">
        <v>613</v>
      </c>
      <c r="B46">
        <v>0</v>
      </c>
      <c r="E46" s="2" t="s">
        <v>992</v>
      </c>
      <c r="Z46">
        <v>1</v>
      </c>
      <c r="AA46">
        <v>1</v>
      </c>
    </row>
    <row r="47" spans="1:27" x14ac:dyDescent="0.3">
      <c r="A47" s="2" t="s">
        <v>79</v>
      </c>
      <c r="B47">
        <v>0</v>
      </c>
      <c r="E47" s="2" t="s">
        <v>590</v>
      </c>
      <c r="O47">
        <v>0</v>
      </c>
      <c r="AA47">
        <v>0</v>
      </c>
    </row>
    <row r="48" spans="1:27" x14ac:dyDescent="0.3">
      <c r="A48" s="2" t="s">
        <v>587</v>
      </c>
      <c r="B48">
        <v>0</v>
      </c>
      <c r="E48" s="2" t="s">
        <v>613</v>
      </c>
      <c r="O48">
        <v>0</v>
      </c>
      <c r="AA48">
        <v>0</v>
      </c>
    </row>
    <row r="49" spans="1:27" x14ac:dyDescent="0.3">
      <c r="A49" s="2" t="s">
        <v>1318</v>
      </c>
      <c r="B49">
        <v>0</v>
      </c>
      <c r="E49" s="2" t="s">
        <v>79</v>
      </c>
      <c r="Z49">
        <v>0</v>
      </c>
      <c r="AA49">
        <v>0</v>
      </c>
    </row>
    <row r="50" spans="1:27" x14ac:dyDescent="0.3">
      <c r="A50" s="2" t="s">
        <v>1548</v>
      </c>
      <c r="B50">
        <v>18848.5</v>
      </c>
      <c r="E50" s="2" t="s">
        <v>587</v>
      </c>
      <c r="Z50">
        <v>0</v>
      </c>
      <c r="AA50">
        <v>0</v>
      </c>
    </row>
    <row r="51" spans="1:27" x14ac:dyDescent="0.3">
      <c r="E51" s="2" t="s">
        <v>1318</v>
      </c>
      <c r="I51">
        <v>0</v>
      </c>
      <c r="AA51">
        <v>0</v>
      </c>
    </row>
    <row r="52" spans="1:27" x14ac:dyDescent="0.3">
      <c r="E52" s="2" t="s">
        <v>1548</v>
      </c>
      <c r="F52">
        <v>69</v>
      </c>
      <c r="G52">
        <v>78</v>
      </c>
      <c r="H52">
        <v>306</v>
      </c>
      <c r="I52">
        <v>584</v>
      </c>
      <c r="J52">
        <v>575</v>
      </c>
      <c r="K52">
        <v>17</v>
      </c>
      <c r="L52">
        <v>0</v>
      </c>
      <c r="M52">
        <v>3645.5</v>
      </c>
      <c r="N52">
        <v>59</v>
      </c>
      <c r="O52">
        <v>310</v>
      </c>
      <c r="P52">
        <v>74</v>
      </c>
      <c r="Q52">
        <v>2736</v>
      </c>
      <c r="R52">
        <v>4700.5</v>
      </c>
      <c r="S52">
        <v>161</v>
      </c>
      <c r="T52">
        <v>321</v>
      </c>
      <c r="U52">
        <v>40</v>
      </c>
      <c r="V52">
        <v>4402.5</v>
      </c>
      <c r="W52">
        <v>390</v>
      </c>
      <c r="X52">
        <v>48</v>
      </c>
      <c r="Y52">
        <v>118</v>
      </c>
      <c r="Z52">
        <v>214</v>
      </c>
      <c r="AA52">
        <v>18848.5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7C17-AAB3-4309-9F22-0FAD45F9BC85}">
  <dimension ref="A3:N50"/>
  <sheetViews>
    <sheetView workbookViewId="0">
      <selection activeCell="M4" sqref="M4"/>
    </sheetView>
  </sheetViews>
  <sheetFormatPr defaultRowHeight="14.4" x14ac:dyDescent="0.3"/>
  <cols>
    <col min="1" max="1" width="16.44140625" bestFit="1" customWidth="1"/>
    <col min="2" max="2" width="15.5546875" bestFit="1" customWidth="1"/>
    <col min="3" max="4" width="5" bestFit="1" customWidth="1"/>
    <col min="5" max="5" width="7" bestFit="1" customWidth="1"/>
    <col min="6" max="10" width="5" bestFit="1" customWidth="1"/>
    <col min="11" max="11" width="10.5546875" bestFit="1" customWidth="1"/>
    <col min="12" max="12" width="16.33203125" bestFit="1" customWidth="1"/>
    <col min="13" max="13" width="18.109375" bestFit="1" customWidth="1"/>
    <col min="14" max="14" width="16.44140625" bestFit="1" customWidth="1"/>
    <col min="15" max="57" width="19.109375" bestFit="1" customWidth="1"/>
    <col min="58" max="58" width="10.5546875" bestFit="1" customWidth="1"/>
  </cols>
  <sheetData>
    <row r="3" spans="1:14" x14ac:dyDescent="0.3">
      <c r="A3" s="1" t="s">
        <v>1549</v>
      </c>
      <c r="B3" s="1" t="s">
        <v>1551</v>
      </c>
    </row>
    <row r="4" spans="1:14" x14ac:dyDescent="0.3">
      <c r="A4" s="1" t="s">
        <v>1547</v>
      </c>
      <c r="B4">
        <v>2018</v>
      </c>
      <c r="C4">
        <v>2019</v>
      </c>
      <c r="D4">
        <v>2020</v>
      </c>
      <c r="E4">
        <v>2021</v>
      </c>
      <c r="F4">
        <v>2022</v>
      </c>
      <c r="G4">
        <v>2023</v>
      </c>
      <c r="H4">
        <v>2024</v>
      </c>
      <c r="I4">
        <v>2025</v>
      </c>
      <c r="J4">
        <v>2026</v>
      </c>
      <c r="K4" t="s">
        <v>1548</v>
      </c>
      <c r="M4" s="1" t="s">
        <v>1547</v>
      </c>
      <c r="N4" t="s">
        <v>1549</v>
      </c>
    </row>
    <row r="5" spans="1:14" x14ac:dyDescent="0.3">
      <c r="A5" s="2" t="s">
        <v>1449</v>
      </c>
      <c r="J5">
        <v>0</v>
      </c>
      <c r="K5">
        <v>0</v>
      </c>
      <c r="M5" s="2" t="s">
        <v>248</v>
      </c>
      <c r="N5">
        <v>313</v>
      </c>
    </row>
    <row r="6" spans="1:14" x14ac:dyDescent="0.3">
      <c r="A6" s="2" t="s">
        <v>1446</v>
      </c>
      <c r="J6">
        <v>17</v>
      </c>
      <c r="K6">
        <v>17</v>
      </c>
      <c r="M6" s="2" t="s">
        <v>1324</v>
      </c>
      <c r="N6">
        <v>12</v>
      </c>
    </row>
    <row r="7" spans="1:14" x14ac:dyDescent="0.3">
      <c r="A7" s="2" t="s">
        <v>1176</v>
      </c>
      <c r="H7">
        <v>40</v>
      </c>
      <c r="K7">
        <v>40</v>
      </c>
      <c r="M7" s="2" t="s">
        <v>250</v>
      </c>
      <c r="N7">
        <v>21</v>
      </c>
    </row>
    <row r="8" spans="1:14" x14ac:dyDescent="0.3">
      <c r="A8" s="2" t="s">
        <v>56</v>
      </c>
      <c r="B8">
        <v>48</v>
      </c>
      <c r="K8">
        <v>48</v>
      </c>
      <c r="M8" s="2" t="s">
        <v>1444</v>
      </c>
      <c r="N8">
        <v>30</v>
      </c>
    </row>
    <row r="9" spans="1:14" x14ac:dyDescent="0.3">
      <c r="A9" s="2" t="s">
        <v>51</v>
      </c>
      <c r="B9">
        <v>59</v>
      </c>
      <c r="K9">
        <v>59</v>
      </c>
      <c r="M9" s="2" t="s">
        <v>62</v>
      </c>
      <c r="N9">
        <v>4</v>
      </c>
    </row>
    <row r="10" spans="1:14" x14ac:dyDescent="0.3">
      <c r="A10" s="2" t="s">
        <v>789</v>
      </c>
      <c r="F10">
        <v>53</v>
      </c>
      <c r="G10">
        <v>16</v>
      </c>
      <c r="K10">
        <v>69</v>
      </c>
      <c r="M10" s="2" t="s">
        <v>47</v>
      </c>
      <c r="N10">
        <v>1141.5</v>
      </c>
    </row>
    <row r="11" spans="1:14" x14ac:dyDescent="0.3">
      <c r="A11" s="2" t="s">
        <v>1175</v>
      </c>
      <c r="H11">
        <v>4</v>
      </c>
      <c r="I11">
        <v>70</v>
      </c>
      <c r="K11">
        <v>74</v>
      </c>
      <c r="M11" s="2" t="s">
        <v>54</v>
      </c>
      <c r="N11">
        <v>1727</v>
      </c>
    </row>
    <row r="12" spans="1:14" x14ac:dyDescent="0.3">
      <c r="A12" s="2" t="s">
        <v>243</v>
      </c>
      <c r="C12">
        <v>57</v>
      </c>
      <c r="D12">
        <v>8</v>
      </c>
      <c r="E12">
        <v>13</v>
      </c>
      <c r="K12">
        <v>78</v>
      </c>
      <c r="M12" s="2" t="s">
        <v>31</v>
      </c>
      <c r="N12">
        <v>504</v>
      </c>
    </row>
    <row r="13" spans="1:14" x14ac:dyDescent="0.3">
      <c r="A13" s="2" t="s">
        <v>64</v>
      </c>
      <c r="B13">
        <v>33</v>
      </c>
      <c r="C13">
        <v>85</v>
      </c>
      <c r="K13">
        <v>118</v>
      </c>
      <c r="M13" s="2" t="s">
        <v>244</v>
      </c>
      <c r="N13">
        <v>69</v>
      </c>
    </row>
    <row r="14" spans="1:14" x14ac:dyDescent="0.3">
      <c r="A14" s="2" t="s">
        <v>1330</v>
      </c>
      <c r="I14">
        <v>88</v>
      </c>
      <c r="J14">
        <v>73</v>
      </c>
      <c r="K14">
        <v>161</v>
      </c>
      <c r="M14" s="2" t="s">
        <v>52</v>
      </c>
      <c r="N14">
        <v>382</v>
      </c>
    </row>
    <row r="15" spans="1:14" x14ac:dyDescent="0.3">
      <c r="A15" s="2" t="s">
        <v>60</v>
      </c>
      <c r="B15">
        <v>4</v>
      </c>
      <c r="C15">
        <v>1</v>
      </c>
      <c r="D15">
        <v>0</v>
      </c>
      <c r="E15">
        <v>23</v>
      </c>
      <c r="F15">
        <v>8</v>
      </c>
      <c r="G15">
        <v>26</v>
      </c>
      <c r="H15">
        <v>17</v>
      </c>
      <c r="I15">
        <v>124</v>
      </c>
      <c r="J15">
        <v>11</v>
      </c>
      <c r="K15">
        <v>214</v>
      </c>
      <c r="M15" s="2" t="s">
        <v>35</v>
      </c>
      <c r="N15">
        <v>534</v>
      </c>
    </row>
    <row r="16" spans="1:14" x14ac:dyDescent="0.3">
      <c r="A16" s="2" t="s">
        <v>438</v>
      </c>
      <c r="D16">
        <v>107</v>
      </c>
      <c r="E16">
        <v>142</v>
      </c>
      <c r="F16">
        <v>35</v>
      </c>
      <c r="G16">
        <v>22</v>
      </c>
      <c r="K16">
        <v>306</v>
      </c>
      <c r="M16" s="2" t="s">
        <v>1283</v>
      </c>
      <c r="N16">
        <v>32</v>
      </c>
    </row>
    <row r="17" spans="1:14" x14ac:dyDescent="0.3">
      <c r="A17" s="2" t="s">
        <v>69</v>
      </c>
      <c r="B17">
        <v>93</v>
      </c>
      <c r="C17">
        <v>28</v>
      </c>
      <c r="D17">
        <v>3</v>
      </c>
      <c r="E17">
        <v>0</v>
      </c>
      <c r="F17">
        <v>33</v>
      </c>
      <c r="G17">
        <v>9</v>
      </c>
      <c r="H17">
        <v>51</v>
      </c>
      <c r="I17">
        <v>73</v>
      </c>
      <c r="J17">
        <v>20</v>
      </c>
      <c r="K17">
        <v>310</v>
      </c>
      <c r="M17" s="2" t="s">
        <v>1334</v>
      </c>
      <c r="N17">
        <v>29</v>
      </c>
    </row>
    <row r="18" spans="1:14" x14ac:dyDescent="0.3">
      <c r="A18" s="2" t="s">
        <v>192</v>
      </c>
      <c r="B18">
        <v>38</v>
      </c>
      <c r="C18">
        <v>73</v>
      </c>
      <c r="D18">
        <v>210</v>
      </c>
      <c r="K18">
        <v>321</v>
      </c>
      <c r="M18" s="2" t="s">
        <v>252</v>
      </c>
      <c r="N18">
        <v>1130</v>
      </c>
    </row>
    <row r="19" spans="1:14" x14ac:dyDescent="0.3">
      <c r="A19" s="2" t="s">
        <v>42</v>
      </c>
      <c r="B19">
        <v>118</v>
      </c>
      <c r="C19">
        <v>91</v>
      </c>
      <c r="D19">
        <v>181</v>
      </c>
      <c r="K19">
        <v>390</v>
      </c>
      <c r="M19" s="2" t="s">
        <v>794</v>
      </c>
      <c r="N19">
        <v>16</v>
      </c>
    </row>
    <row r="20" spans="1:14" x14ac:dyDescent="0.3">
      <c r="A20" s="2" t="s">
        <v>603</v>
      </c>
      <c r="E20">
        <v>77</v>
      </c>
      <c r="F20">
        <v>55</v>
      </c>
      <c r="G20">
        <v>266</v>
      </c>
      <c r="H20">
        <v>94</v>
      </c>
      <c r="I20">
        <v>80</v>
      </c>
      <c r="J20">
        <v>3</v>
      </c>
      <c r="K20">
        <v>575</v>
      </c>
      <c r="M20" s="2" t="s">
        <v>1337</v>
      </c>
      <c r="N20">
        <v>121</v>
      </c>
    </row>
    <row r="21" spans="1:14" x14ac:dyDescent="0.3">
      <c r="A21" s="2" t="s">
        <v>607</v>
      </c>
      <c r="E21">
        <v>155</v>
      </c>
      <c r="F21">
        <v>170</v>
      </c>
      <c r="G21">
        <v>110</v>
      </c>
      <c r="H21">
        <v>63</v>
      </c>
      <c r="I21">
        <v>20</v>
      </c>
      <c r="J21">
        <v>66</v>
      </c>
      <c r="K21">
        <v>584</v>
      </c>
      <c r="M21" s="2" t="s">
        <v>587</v>
      </c>
      <c r="N21">
        <v>0</v>
      </c>
    </row>
    <row r="22" spans="1:14" x14ac:dyDescent="0.3">
      <c r="A22" s="2" t="s">
        <v>37</v>
      </c>
      <c r="B22">
        <v>62</v>
      </c>
      <c r="C22">
        <v>145</v>
      </c>
      <c r="D22">
        <v>202</v>
      </c>
      <c r="E22">
        <v>274</v>
      </c>
      <c r="F22">
        <v>150</v>
      </c>
      <c r="G22">
        <v>266</v>
      </c>
      <c r="H22">
        <v>609</v>
      </c>
      <c r="I22">
        <v>775</v>
      </c>
      <c r="J22">
        <v>253</v>
      </c>
      <c r="K22">
        <v>2736</v>
      </c>
      <c r="M22" s="2" t="s">
        <v>1318</v>
      </c>
      <c r="N22">
        <v>0</v>
      </c>
    </row>
    <row r="23" spans="1:14" x14ac:dyDescent="0.3">
      <c r="A23" s="2" t="s">
        <v>22</v>
      </c>
      <c r="B23">
        <v>541</v>
      </c>
      <c r="C23">
        <v>504</v>
      </c>
      <c r="D23">
        <v>131</v>
      </c>
      <c r="E23">
        <v>322.5</v>
      </c>
      <c r="F23">
        <v>519</v>
      </c>
      <c r="G23">
        <v>363</v>
      </c>
      <c r="H23">
        <v>595</v>
      </c>
      <c r="I23">
        <v>360</v>
      </c>
      <c r="J23">
        <v>310</v>
      </c>
      <c r="K23">
        <v>3645.5</v>
      </c>
      <c r="M23" s="2" t="s">
        <v>71</v>
      </c>
      <c r="N23">
        <v>115</v>
      </c>
    </row>
    <row r="24" spans="1:14" x14ac:dyDescent="0.3">
      <c r="A24" s="2" t="s">
        <v>33</v>
      </c>
      <c r="B24">
        <v>409</v>
      </c>
      <c r="C24">
        <v>417</v>
      </c>
      <c r="D24">
        <v>319</v>
      </c>
      <c r="E24">
        <v>578.5</v>
      </c>
      <c r="F24">
        <v>724</v>
      </c>
      <c r="G24">
        <v>790</v>
      </c>
      <c r="H24">
        <v>537</v>
      </c>
      <c r="I24">
        <v>410</v>
      </c>
      <c r="J24">
        <v>218</v>
      </c>
      <c r="K24">
        <v>4402.5</v>
      </c>
      <c r="M24" s="2" t="s">
        <v>1339</v>
      </c>
      <c r="N24">
        <v>389</v>
      </c>
    </row>
    <row r="25" spans="1:14" x14ac:dyDescent="0.3">
      <c r="A25" s="2" t="s">
        <v>28</v>
      </c>
      <c r="B25">
        <v>615</v>
      </c>
      <c r="C25">
        <v>739</v>
      </c>
      <c r="D25">
        <v>573</v>
      </c>
      <c r="E25">
        <v>604.5</v>
      </c>
      <c r="F25">
        <v>495</v>
      </c>
      <c r="G25">
        <v>374</v>
      </c>
      <c r="H25">
        <v>433</v>
      </c>
      <c r="I25">
        <v>424</v>
      </c>
      <c r="J25">
        <v>443</v>
      </c>
      <c r="K25">
        <v>4700.5</v>
      </c>
      <c r="M25" s="2" t="s">
        <v>29</v>
      </c>
      <c r="N25">
        <v>290</v>
      </c>
    </row>
    <row r="26" spans="1:14" x14ac:dyDescent="0.3">
      <c r="A26" s="2" t="s">
        <v>1548</v>
      </c>
      <c r="B26">
        <v>2020</v>
      </c>
      <c r="C26">
        <v>2140</v>
      </c>
      <c r="D26">
        <v>1734</v>
      </c>
      <c r="E26">
        <v>2189.5</v>
      </c>
      <c r="F26">
        <v>2242</v>
      </c>
      <c r="G26">
        <v>2242</v>
      </c>
      <c r="H26">
        <v>2443</v>
      </c>
      <c r="I26">
        <v>2424</v>
      </c>
      <c r="J26">
        <v>1414</v>
      </c>
      <c r="K26">
        <v>18848.5</v>
      </c>
      <c r="M26" s="2" t="s">
        <v>58</v>
      </c>
      <c r="N26">
        <v>273</v>
      </c>
    </row>
    <row r="27" spans="1:14" x14ac:dyDescent="0.3">
      <c r="M27" s="2" t="s">
        <v>246</v>
      </c>
      <c r="N27">
        <v>1498</v>
      </c>
    </row>
    <row r="28" spans="1:14" x14ac:dyDescent="0.3">
      <c r="M28" s="2" t="s">
        <v>26</v>
      </c>
      <c r="N28">
        <v>2491.5</v>
      </c>
    </row>
    <row r="29" spans="1:14" x14ac:dyDescent="0.3">
      <c r="M29" s="2" t="s">
        <v>1092</v>
      </c>
      <c r="N29">
        <v>100</v>
      </c>
    </row>
    <row r="30" spans="1:14" x14ac:dyDescent="0.3">
      <c r="M30" s="2" t="s">
        <v>992</v>
      </c>
      <c r="N30">
        <v>1</v>
      </c>
    </row>
    <row r="31" spans="1:14" x14ac:dyDescent="0.3">
      <c r="M31" s="2" t="s">
        <v>76</v>
      </c>
      <c r="N31">
        <v>9</v>
      </c>
    </row>
    <row r="32" spans="1:14" x14ac:dyDescent="0.3">
      <c r="M32" s="2" t="s">
        <v>38</v>
      </c>
      <c r="N32">
        <v>3003.5</v>
      </c>
    </row>
    <row r="33" spans="13:14" x14ac:dyDescent="0.3">
      <c r="M33" s="2" t="s">
        <v>608</v>
      </c>
      <c r="N33">
        <v>12</v>
      </c>
    </row>
    <row r="34" spans="13:14" x14ac:dyDescent="0.3">
      <c r="M34" s="2" t="s">
        <v>440</v>
      </c>
      <c r="N34">
        <v>9</v>
      </c>
    </row>
    <row r="35" spans="13:14" x14ac:dyDescent="0.3">
      <c r="M35" s="2" t="s">
        <v>40</v>
      </c>
      <c r="N35">
        <v>216</v>
      </c>
    </row>
    <row r="36" spans="13:14" x14ac:dyDescent="0.3">
      <c r="M36" s="2" t="s">
        <v>613</v>
      </c>
      <c r="N36">
        <v>0</v>
      </c>
    </row>
    <row r="37" spans="13:14" x14ac:dyDescent="0.3">
      <c r="M37" s="2" t="s">
        <v>951</v>
      </c>
      <c r="N37">
        <v>2</v>
      </c>
    </row>
    <row r="38" spans="13:14" x14ac:dyDescent="0.3">
      <c r="M38" s="2" t="s">
        <v>1180</v>
      </c>
      <c r="N38">
        <v>63</v>
      </c>
    </row>
    <row r="39" spans="13:14" x14ac:dyDescent="0.3">
      <c r="M39" s="2" t="s">
        <v>1000</v>
      </c>
      <c r="N39">
        <v>827</v>
      </c>
    </row>
    <row r="40" spans="13:14" x14ac:dyDescent="0.3">
      <c r="M40" s="2" t="s">
        <v>73</v>
      </c>
      <c r="N40">
        <v>485</v>
      </c>
    </row>
    <row r="41" spans="13:14" x14ac:dyDescent="0.3">
      <c r="M41" s="2" t="s">
        <v>590</v>
      </c>
      <c r="N41">
        <v>0</v>
      </c>
    </row>
    <row r="42" spans="13:14" x14ac:dyDescent="0.3">
      <c r="M42" s="2" t="s">
        <v>255</v>
      </c>
      <c r="N42">
        <v>1</v>
      </c>
    </row>
    <row r="43" spans="13:14" x14ac:dyDescent="0.3">
      <c r="M43" s="2" t="s">
        <v>67</v>
      </c>
      <c r="N43">
        <v>47</v>
      </c>
    </row>
    <row r="44" spans="13:14" x14ac:dyDescent="0.3">
      <c r="M44" s="2" t="s">
        <v>20</v>
      </c>
      <c r="N44">
        <v>661</v>
      </c>
    </row>
    <row r="45" spans="13:14" x14ac:dyDescent="0.3">
      <c r="M45" s="2" t="s">
        <v>79</v>
      </c>
      <c r="N45">
        <v>0</v>
      </c>
    </row>
    <row r="46" spans="13:14" x14ac:dyDescent="0.3">
      <c r="M46" s="2" t="s">
        <v>49</v>
      </c>
      <c r="N46">
        <v>1112</v>
      </c>
    </row>
    <row r="47" spans="13:14" x14ac:dyDescent="0.3">
      <c r="M47" s="2" t="s">
        <v>45</v>
      </c>
      <c r="N47">
        <v>12</v>
      </c>
    </row>
    <row r="48" spans="13:14" x14ac:dyDescent="0.3">
      <c r="M48" s="2" t="s">
        <v>43</v>
      </c>
      <c r="N48">
        <v>1057</v>
      </c>
    </row>
    <row r="49" spans="13:14" x14ac:dyDescent="0.3">
      <c r="M49" s="2" t="s">
        <v>601</v>
      </c>
      <c r="N49">
        <v>109</v>
      </c>
    </row>
    <row r="50" spans="13:14" x14ac:dyDescent="0.3">
      <c r="M50" s="2" t="s">
        <v>1548</v>
      </c>
      <c r="N50">
        <v>18848.5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F1_2018_2026_RACE_DATA</vt:lpstr>
      <vt:lpstr>Dashboard</vt:lpstr>
      <vt:lpstr>Weather vs Race Performance</vt:lpstr>
      <vt:lpstr>Finish Vs Starting</vt:lpstr>
      <vt:lpstr>Fastest Sector Performance</vt:lpstr>
      <vt:lpstr>Average Lap Time by Driver</vt:lpstr>
      <vt:lpstr>Driver Championship Points</vt:lpstr>
      <vt:lpstr>Constructor Points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Pawar</cp:lastModifiedBy>
  <dcterms:created xsi:type="dcterms:W3CDTF">2026-09-25T12:27:05Z</dcterms:created>
  <dcterms:modified xsi:type="dcterms:W3CDTF">2026-09-28T13:35:14Z</dcterms:modified>
</cp:coreProperties>
</file>